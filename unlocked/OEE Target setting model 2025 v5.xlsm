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6.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7.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8.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9.xml" ContentType="application/vnd.openxmlformats-officedocument.spreadsheetml.table+xml"/>
  <Override PartName="/xl/comments9.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10.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tables/table14.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tables/table15.xml" ContentType="application/vnd.openxmlformats-officedocument.spreadsheetml.table+xml"/>
  <Override PartName="/xl/comments12.xml" ContentType="application/vnd.openxmlformats-officedocument.spreadsheetml.comments+xml"/>
  <Override PartName="/xl/threadedComments/threadedComment2.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60c.sharepoint.com/sites/SC00300T14630/Shared Documents/OEE Meeting/OEE Target Setting 2025/"/>
    </mc:Choice>
  </mc:AlternateContent>
  <xr:revisionPtr revIDLastSave="31" documentId="8_{B898B6C5-91AD-4589-80EC-52C8C8C76D89}" xr6:coauthVersionLast="47" xr6:coauthVersionMax="47" xr10:uidLastSave="{A58C44A1-20B5-4605-99F0-68C4F2B6D119}"/>
  <bookViews>
    <workbookView xWindow="-120" yWindow="-120" windowWidth="29040" windowHeight="15720" tabRatio="807" activeTab="5" xr2:uid="{3E5E68C2-5303-4177-9622-1AF2A083CD47}"/>
  </bookViews>
  <sheets>
    <sheet name="Instructions" sheetId="60" r:id="rId1"/>
    <sheet name="FlowChart" sheetId="23" r:id="rId2"/>
    <sheet name="OEE target setting Tool" sheetId="29" r:id="rId3"/>
    <sheet name="OEE target setting (manual)" sheetId="31" r:id="rId4"/>
    <sheet name="Results" sheetId="11" r:id="rId5"/>
    <sheet name="(HOT) K201 Kettle" sheetId="70" r:id="rId6"/>
    <sheet name="(HOT) K600 Kettle" sheetId="69" r:id="rId7"/>
    <sheet name="(HOT) R200 Alkox Reactor" sheetId="64" r:id="rId8"/>
    <sheet name="(HOT) R300 Alkox Reactor" sheetId="65" r:id="rId9"/>
    <sheet name="(HOT) V600 Alkox Reactor" sheetId="67" r:id="rId10"/>
    <sheet name="(HOT) V500 Alkox Reactor" sheetId="66" r:id="rId11"/>
    <sheet name="(HOT) V700 Alkox Reactor" sheetId="68" r:id="rId12"/>
    <sheet name="Table Exception hours" sheetId="59" state="hidden" r:id="rId13"/>
    <sheet name="Version management" sheetId="10" state="hidden" r:id="rId14"/>
    <sheet name="Table OEE" sheetId="6" state="hidden" r:id="rId15"/>
    <sheet name="Table normalized OEE" sheetId="16" state="hidden" r:id="rId16"/>
    <sheet name="Table Categories" sheetId="5" state="hidden" r:id="rId17"/>
    <sheet name="EMEA SD plan" sheetId="57" state="hidden" r:id="rId18"/>
    <sheet name="EMEA TA plan" sheetId="58" state="hidden" r:id="rId19"/>
    <sheet name="Playbook Matrix" sheetId="8" state="hidden" r:id="rId20"/>
  </sheets>
  <externalReferences>
    <externalReference r:id="rId21"/>
  </externalReferences>
  <definedNames>
    <definedName name="EMEA_SD_plan" localSheetId="5">Table12[]</definedName>
    <definedName name="EMEA_SD_plan" localSheetId="6">Table12[]</definedName>
    <definedName name="EMEA_SD_plan" localSheetId="7">Table12[]</definedName>
    <definedName name="EMEA_SD_plan" localSheetId="8">Table12[]</definedName>
    <definedName name="EMEA_SD_plan" localSheetId="10">Table12[]</definedName>
    <definedName name="EMEA_SD_plan" localSheetId="9">Table12[]</definedName>
    <definedName name="EMEA_SD_plan" localSheetId="11">Table12[]</definedName>
    <definedName name="EMEA_SD_plan" localSheetId="0">[1]!Table12[#Data]</definedName>
    <definedName name="EMEA_SD_plan">Table12[]</definedName>
    <definedName name="EMEA_TA_plan" localSheetId="5">Table13[]</definedName>
    <definedName name="EMEA_TA_plan" localSheetId="6">Table13[]</definedName>
    <definedName name="EMEA_TA_plan" localSheetId="7">Table13[]</definedName>
    <definedName name="EMEA_TA_plan" localSheetId="8">Table13[]</definedName>
    <definedName name="EMEA_TA_plan" localSheetId="10">Table13[]</definedName>
    <definedName name="EMEA_TA_plan" localSheetId="9">Table13[]</definedName>
    <definedName name="EMEA_TA_plan" localSheetId="11">Table13[]</definedName>
    <definedName name="EMEA_TA_plan" localSheetId="0">[1]!Table13[#Data]</definedName>
    <definedName name="EMEA_TA_plan">Table13[]</definedName>
    <definedName name="RunningOEE_criteriaPM" localSheetId="0">'[1]Playbook Matrix'!$C$27</definedName>
    <definedName name="RunningOEE_criteriaPM">'Playbook Matrix'!$C$27</definedName>
    <definedName name="RunningOEE_criteriaVolume" localSheetId="0">'[1]Playbook Matrix'!$C$26</definedName>
    <definedName name="RunningOEE_criteriaVolume">'Playbook Matrix'!$C$26</definedName>
    <definedName name="UnitList" localSheetId="5">TableOEE[Unit]</definedName>
    <definedName name="UnitList" localSheetId="6">TableOEE[Unit]</definedName>
    <definedName name="UnitList" localSheetId="7">TableOEE[Unit]</definedName>
    <definedName name="UnitList" localSheetId="8">TableOEE[Unit]</definedName>
    <definedName name="UnitList" localSheetId="10">TableOEE[Unit]</definedName>
    <definedName name="UnitList" localSheetId="9">TableOEE[Unit]</definedName>
    <definedName name="UnitList" localSheetId="11">TableOEE[Unit]</definedName>
    <definedName name="UnitList" localSheetId="0">[1]!TableOEE[Unit]</definedName>
    <definedName name="UnitList" localSheetId="15">TableOEEnormalized[Unit]</definedName>
    <definedName name="UnitList">TableOEE[Unit]</definedName>
  </definedNames>
  <calcPr calcId="191029"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48" i="70" l="1"/>
  <c r="R248" i="70"/>
  <c r="T247" i="70"/>
  <c r="S247" i="70"/>
  <c r="R247" i="70"/>
  <c r="T246" i="70"/>
  <c r="S246" i="70"/>
  <c r="R246" i="70"/>
  <c r="T245" i="70"/>
  <c r="S245" i="70"/>
  <c r="R245" i="70"/>
  <c r="T244" i="70"/>
  <c r="S244" i="70"/>
  <c r="R244" i="70"/>
  <c r="T243" i="70"/>
  <c r="S243" i="70"/>
  <c r="R243" i="70"/>
  <c r="T242" i="70"/>
  <c r="R242" i="70"/>
  <c r="T241" i="70"/>
  <c r="S241" i="70"/>
  <c r="R241" i="70"/>
  <c r="T240" i="70"/>
  <c r="S240" i="70"/>
  <c r="R240" i="70"/>
  <c r="T239" i="70"/>
  <c r="S239" i="70"/>
  <c r="R239" i="70"/>
  <c r="T238" i="70"/>
  <c r="S238" i="70"/>
  <c r="R238" i="70"/>
  <c r="T237" i="70"/>
  <c r="S237" i="70"/>
  <c r="R237" i="70"/>
  <c r="T236" i="70"/>
  <c r="S236" i="70"/>
  <c r="R236" i="70"/>
  <c r="T235" i="70"/>
  <c r="S235" i="70"/>
  <c r="R235" i="70"/>
  <c r="T234" i="70"/>
  <c r="S234" i="70"/>
  <c r="R234" i="70"/>
  <c r="T233" i="70"/>
  <c r="S233" i="70"/>
  <c r="R233" i="70"/>
  <c r="T232" i="70"/>
  <c r="S232" i="70"/>
  <c r="R232" i="70"/>
  <c r="T231" i="70"/>
  <c r="S231" i="70"/>
  <c r="R231" i="70"/>
  <c r="T230" i="70"/>
  <c r="S230" i="70"/>
  <c r="R230" i="70"/>
  <c r="T229" i="70"/>
  <c r="R229" i="70"/>
  <c r="T228" i="70"/>
  <c r="S228" i="70"/>
  <c r="R228" i="70"/>
  <c r="T227" i="70"/>
  <c r="S227" i="70"/>
  <c r="R227" i="70"/>
  <c r="T226" i="70"/>
  <c r="S226" i="70"/>
  <c r="R226" i="70"/>
  <c r="T225" i="70"/>
  <c r="S225" i="70"/>
  <c r="R225" i="70"/>
  <c r="T224" i="70"/>
  <c r="R224" i="70"/>
  <c r="T223" i="70"/>
  <c r="R223" i="70"/>
  <c r="T222" i="70"/>
  <c r="R222" i="70"/>
  <c r="T221" i="70"/>
  <c r="R221" i="70"/>
  <c r="T220" i="70"/>
  <c r="R220" i="70"/>
  <c r="T219" i="70"/>
  <c r="R219" i="70"/>
  <c r="T218" i="70"/>
  <c r="R218" i="70"/>
  <c r="T217" i="70"/>
  <c r="R217" i="70"/>
  <c r="T216" i="70"/>
  <c r="R216" i="70"/>
  <c r="T215" i="70"/>
  <c r="R215" i="70"/>
  <c r="T214" i="70"/>
  <c r="R214" i="70"/>
  <c r="T213" i="70"/>
  <c r="R213" i="70"/>
  <c r="T212" i="70"/>
  <c r="R212" i="70"/>
  <c r="T211" i="70"/>
  <c r="R211" i="70"/>
  <c r="T210" i="70"/>
  <c r="R210" i="70"/>
  <c r="T209" i="70"/>
  <c r="R209" i="70"/>
  <c r="T208" i="70"/>
  <c r="R208" i="70"/>
  <c r="T207" i="70"/>
  <c r="R207" i="70"/>
  <c r="T206" i="70"/>
  <c r="S206" i="70"/>
  <c r="R206" i="70"/>
  <c r="T205" i="70"/>
  <c r="R205" i="70"/>
  <c r="T204" i="70"/>
  <c r="S204" i="70"/>
  <c r="R204" i="70"/>
  <c r="T203" i="70"/>
  <c r="S203" i="70"/>
  <c r="R203" i="70"/>
  <c r="T202" i="70"/>
  <c r="S202" i="70"/>
  <c r="R202" i="70"/>
  <c r="T201" i="70"/>
  <c r="S201" i="70"/>
  <c r="R201" i="70"/>
  <c r="T200" i="70"/>
  <c r="R200" i="70"/>
  <c r="T199" i="70"/>
  <c r="R199" i="70"/>
  <c r="T198" i="70"/>
  <c r="R198" i="70"/>
  <c r="T197" i="70"/>
  <c r="R197" i="70"/>
  <c r="T196" i="70"/>
  <c r="R196" i="70"/>
  <c r="T195" i="70"/>
  <c r="R195" i="70"/>
  <c r="T194" i="70"/>
  <c r="R194" i="70"/>
  <c r="T193" i="70"/>
  <c r="R193" i="70"/>
  <c r="T192" i="70"/>
  <c r="R192" i="70"/>
  <c r="T191" i="70"/>
  <c r="R191" i="70"/>
  <c r="T190" i="70"/>
  <c r="R190" i="70"/>
  <c r="T189" i="70"/>
  <c r="R189" i="70"/>
  <c r="T188" i="70"/>
  <c r="R188" i="70"/>
  <c r="T187" i="70"/>
  <c r="R187" i="70"/>
  <c r="T186" i="70"/>
  <c r="R186" i="70"/>
  <c r="T185" i="70"/>
  <c r="R185" i="70"/>
  <c r="T184" i="70"/>
  <c r="R184" i="70"/>
  <c r="T183" i="70"/>
  <c r="R183" i="70"/>
  <c r="T182" i="70"/>
  <c r="S182" i="70"/>
  <c r="R182" i="70"/>
  <c r="T181" i="70"/>
  <c r="R181" i="70"/>
  <c r="T180" i="70"/>
  <c r="S180" i="70"/>
  <c r="R180" i="70"/>
  <c r="T179" i="70"/>
  <c r="R179" i="70"/>
  <c r="T178" i="70"/>
  <c r="R178" i="70"/>
  <c r="T177" i="70"/>
  <c r="R177" i="70"/>
  <c r="T176" i="70"/>
  <c r="R176" i="70"/>
  <c r="T175" i="70"/>
  <c r="R175" i="70"/>
  <c r="T174" i="70"/>
  <c r="R174" i="70"/>
  <c r="T173" i="70"/>
  <c r="R173" i="70"/>
  <c r="T172" i="70"/>
  <c r="R172" i="70"/>
  <c r="T171" i="70"/>
  <c r="R171" i="70"/>
  <c r="T170" i="70"/>
  <c r="R170" i="70"/>
  <c r="T169" i="70"/>
  <c r="R169" i="70"/>
  <c r="T168" i="70"/>
  <c r="R168" i="70"/>
  <c r="T167" i="70"/>
  <c r="R167" i="70"/>
  <c r="T166" i="70"/>
  <c r="R166" i="70"/>
  <c r="T165" i="70"/>
  <c r="R165" i="70"/>
  <c r="T164" i="70"/>
  <c r="S164" i="70"/>
  <c r="R164" i="70"/>
  <c r="T163" i="70"/>
  <c r="R163" i="70"/>
  <c r="T162" i="70"/>
  <c r="S162" i="70"/>
  <c r="R162" i="70"/>
  <c r="T161" i="70"/>
  <c r="S161" i="70"/>
  <c r="R161" i="70"/>
  <c r="T160" i="70"/>
  <c r="S160" i="70"/>
  <c r="R160" i="70"/>
  <c r="T159" i="70"/>
  <c r="S159" i="70"/>
  <c r="R159" i="70"/>
  <c r="T158" i="70"/>
  <c r="R158" i="70"/>
  <c r="T157" i="70"/>
  <c r="R157" i="70"/>
  <c r="T156" i="70"/>
  <c r="R156" i="70"/>
  <c r="T155" i="70"/>
  <c r="S155" i="70"/>
  <c r="R155" i="70"/>
  <c r="T154" i="70"/>
  <c r="R154" i="70"/>
  <c r="T153" i="70"/>
  <c r="R153" i="70"/>
  <c r="T152" i="70"/>
  <c r="R152" i="70"/>
  <c r="T151" i="70"/>
  <c r="R151" i="70"/>
  <c r="T150" i="70"/>
  <c r="R150" i="70"/>
  <c r="T149" i="70"/>
  <c r="R149" i="70"/>
  <c r="T148" i="70"/>
  <c r="R148" i="70"/>
  <c r="T147" i="70"/>
  <c r="R147" i="70"/>
  <c r="T146" i="70"/>
  <c r="R146" i="70"/>
  <c r="T145" i="70"/>
  <c r="R145" i="70"/>
  <c r="T144" i="70"/>
  <c r="R144" i="70"/>
  <c r="T143" i="70"/>
  <c r="R143" i="70"/>
  <c r="T142" i="70"/>
  <c r="R142" i="70"/>
  <c r="T141" i="70"/>
  <c r="R141" i="70"/>
  <c r="T140" i="70"/>
  <c r="R140" i="70"/>
  <c r="T139" i="70"/>
  <c r="R139" i="70"/>
  <c r="T138" i="70"/>
  <c r="S138" i="70"/>
  <c r="R138" i="70"/>
  <c r="T137" i="70"/>
  <c r="R137" i="70"/>
  <c r="T136" i="70"/>
  <c r="R136" i="70"/>
  <c r="T135" i="70"/>
  <c r="R135" i="70"/>
  <c r="T134" i="70"/>
  <c r="S134" i="70"/>
  <c r="R134" i="70"/>
  <c r="T133" i="70"/>
  <c r="R133" i="70"/>
  <c r="T132" i="70"/>
  <c r="R132" i="70"/>
  <c r="T131" i="70"/>
  <c r="R131" i="70"/>
  <c r="T130" i="70"/>
  <c r="R130" i="70"/>
  <c r="T129" i="70"/>
  <c r="R129" i="70"/>
  <c r="T128" i="70"/>
  <c r="R128" i="70"/>
  <c r="T127" i="70"/>
  <c r="R127" i="70"/>
  <c r="T126" i="70"/>
  <c r="R126" i="70"/>
  <c r="T125" i="70"/>
  <c r="R125" i="70"/>
  <c r="T124" i="70"/>
  <c r="R124" i="70"/>
  <c r="T123" i="70"/>
  <c r="R123" i="70"/>
  <c r="T122" i="70"/>
  <c r="R122" i="70"/>
  <c r="T121" i="70"/>
  <c r="R121" i="70"/>
  <c r="T120" i="70"/>
  <c r="S120" i="70"/>
  <c r="R120" i="70"/>
  <c r="T119" i="70"/>
  <c r="S119" i="70"/>
  <c r="R119" i="70"/>
  <c r="T118" i="70"/>
  <c r="S118" i="70"/>
  <c r="R118" i="70"/>
  <c r="T117" i="70"/>
  <c r="S117" i="70"/>
  <c r="R117" i="70"/>
  <c r="T116" i="70"/>
  <c r="R116" i="70"/>
  <c r="T115" i="70"/>
  <c r="R115" i="70"/>
  <c r="T114" i="70"/>
  <c r="R114" i="70"/>
  <c r="T113" i="70"/>
  <c r="R113" i="70"/>
  <c r="T112" i="70"/>
  <c r="R112" i="70"/>
  <c r="T111" i="70"/>
  <c r="R111" i="70"/>
  <c r="T110" i="70"/>
  <c r="R110" i="70"/>
  <c r="T109" i="70"/>
  <c r="R109" i="70"/>
  <c r="T108" i="70"/>
  <c r="R108" i="70"/>
  <c r="T107" i="70"/>
  <c r="R107" i="70"/>
  <c r="T106" i="70"/>
  <c r="R106" i="70"/>
  <c r="T105" i="70"/>
  <c r="R105" i="70"/>
  <c r="T104" i="70"/>
  <c r="R104" i="70"/>
  <c r="T103" i="70"/>
  <c r="R103" i="70"/>
  <c r="T102" i="70"/>
  <c r="R102" i="70"/>
  <c r="T101" i="70"/>
  <c r="R101" i="70"/>
  <c r="T100" i="70"/>
  <c r="R100" i="70"/>
  <c r="T99" i="70"/>
  <c r="R99" i="70"/>
  <c r="T98" i="70"/>
  <c r="R98" i="70"/>
  <c r="T97" i="70"/>
  <c r="R97" i="70"/>
  <c r="T96" i="70"/>
  <c r="R96" i="70"/>
  <c r="T95" i="70"/>
  <c r="R95" i="70"/>
  <c r="T94" i="70"/>
  <c r="R94" i="70"/>
  <c r="T93" i="70"/>
  <c r="R93" i="70"/>
  <c r="T92" i="70"/>
  <c r="S92" i="70"/>
  <c r="R92" i="70"/>
  <c r="T91" i="70"/>
  <c r="S91" i="70"/>
  <c r="R91" i="70"/>
  <c r="T90" i="70"/>
  <c r="S90" i="70"/>
  <c r="R90" i="70"/>
  <c r="T89" i="70"/>
  <c r="R89" i="70"/>
  <c r="T88" i="70"/>
  <c r="R88" i="70"/>
  <c r="T87" i="70"/>
  <c r="R87" i="70"/>
  <c r="T86" i="70"/>
  <c r="R86" i="70"/>
  <c r="T85" i="70"/>
  <c r="R85" i="70"/>
  <c r="T84" i="70"/>
  <c r="R84" i="70"/>
  <c r="T83" i="70"/>
  <c r="R83" i="70"/>
  <c r="T82" i="70"/>
  <c r="R82" i="70"/>
  <c r="T81" i="70"/>
  <c r="R81" i="70"/>
  <c r="T80" i="70"/>
  <c r="R80" i="70"/>
  <c r="T79" i="70"/>
  <c r="R79" i="70"/>
  <c r="T78" i="70"/>
  <c r="R78" i="70"/>
  <c r="T77" i="70"/>
  <c r="S77" i="70"/>
  <c r="R77" i="70"/>
  <c r="T76" i="70"/>
  <c r="S76" i="70"/>
  <c r="R76" i="70"/>
  <c r="T75" i="70"/>
  <c r="S75" i="70"/>
  <c r="R75" i="70"/>
  <c r="T74" i="70"/>
  <c r="R74" i="70"/>
  <c r="T73" i="70"/>
  <c r="R73" i="70"/>
  <c r="T72" i="70"/>
  <c r="R72" i="70"/>
  <c r="T71" i="70"/>
  <c r="S71" i="70"/>
  <c r="R71" i="70"/>
  <c r="T70" i="70"/>
  <c r="S70" i="70"/>
  <c r="R70" i="70"/>
  <c r="T69" i="70"/>
  <c r="S69" i="70"/>
  <c r="R69" i="70"/>
  <c r="T68" i="70"/>
  <c r="R68" i="70"/>
  <c r="T67" i="70"/>
  <c r="R67" i="70"/>
  <c r="T66" i="70"/>
  <c r="R66" i="70"/>
  <c r="T65" i="70"/>
  <c r="R65" i="70"/>
  <c r="T64" i="70"/>
  <c r="R64" i="70"/>
  <c r="T63" i="70"/>
  <c r="R63" i="70"/>
  <c r="T62" i="70"/>
  <c r="R62" i="70"/>
  <c r="T61" i="70"/>
  <c r="R61" i="70"/>
  <c r="T60" i="70"/>
  <c r="R60" i="70"/>
  <c r="T59" i="70"/>
  <c r="R59" i="70"/>
  <c r="T58" i="70"/>
  <c r="R58" i="70"/>
  <c r="T57" i="70"/>
  <c r="R57" i="70"/>
  <c r="T56" i="70"/>
  <c r="S56" i="70"/>
  <c r="R56" i="70"/>
  <c r="T55" i="70"/>
  <c r="R55" i="70"/>
  <c r="T54" i="70"/>
  <c r="R54" i="70"/>
  <c r="L54" i="70"/>
  <c r="K54" i="70"/>
  <c r="I54" i="70"/>
  <c r="G54" i="70"/>
  <c r="F54" i="70"/>
  <c r="A54" i="70"/>
  <c r="T53" i="70"/>
  <c r="S53" i="70"/>
  <c r="T52" i="70"/>
  <c r="S52" i="70"/>
  <c r="R52" i="70"/>
  <c r="T51" i="70"/>
  <c r="S51" i="70"/>
  <c r="R51" i="70"/>
  <c r="D51" i="70"/>
  <c r="S39" i="70" s="1"/>
  <c r="T50" i="70"/>
  <c r="S50" i="70"/>
  <c r="R50" i="70"/>
  <c r="D50" i="70"/>
  <c r="S38" i="70" s="1"/>
  <c r="T49" i="70"/>
  <c r="R49" i="70"/>
  <c r="T48" i="70"/>
  <c r="R48" i="70"/>
  <c r="D48" i="70"/>
  <c r="C54" i="70" s="1"/>
  <c r="T47" i="70"/>
  <c r="R47" i="70"/>
  <c r="T46" i="70"/>
  <c r="R46" i="70"/>
  <c r="T45" i="70"/>
  <c r="R45" i="70"/>
  <c r="B45" i="70"/>
  <c r="T44" i="70"/>
  <c r="R44" i="70"/>
  <c r="T43" i="70"/>
  <c r="R43" i="70"/>
  <c r="T42" i="70"/>
  <c r="R42" i="70"/>
  <c r="T41" i="70"/>
  <c r="R41" i="70"/>
  <c r="D41" i="70"/>
  <c r="S112" i="70" s="1"/>
  <c r="T40" i="70"/>
  <c r="R40" i="70"/>
  <c r="D40" i="70"/>
  <c r="S111" i="70" s="1"/>
  <c r="T39" i="70"/>
  <c r="R39" i="70"/>
  <c r="B39" i="70"/>
  <c r="D39" i="70" s="1"/>
  <c r="T38" i="70"/>
  <c r="R38" i="70"/>
  <c r="B38" i="70"/>
  <c r="S67" i="70" s="1"/>
  <c r="T37" i="70"/>
  <c r="R37" i="70"/>
  <c r="B37" i="70"/>
  <c r="T36" i="70"/>
  <c r="R36" i="70"/>
  <c r="B36" i="70"/>
  <c r="D36" i="70" s="1"/>
  <c r="T35" i="70"/>
  <c r="R35" i="70"/>
  <c r="B35" i="70"/>
  <c r="S64" i="70" s="1"/>
  <c r="T34" i="70"/>
  <c r="R34" i="70"/>
  <c r="B34" i="70"/>
  <c r="D34" i="70" s="1"/>
  <c r="T33" i="70"/>
  <c r="R33" i="70"/>
  <c r="B33" i="70"/>
  <c r="D33" i="70" s="1"/>
  <c r="T32" i="70"/>
  <c r="R32" i="70"/>
  <c r="B32" i="70"/>
  <c r="S61" i="70" s="1"/>
  <c r="T31" i="70"/>
  <c r="R31" i="70"/>
  <c r="T30" i="70"/>
  <c r="R30" i="70"/>
  <c r="T29" i="70"/>
  <c r="R29" i="70"/>
  <c r="B29" i="70"/>
  <c r="S58" i="70" s="1"/>
  <c r="T28" i="70"/>
  <c r="R28" i="70"/>
  <c r="B28" i="70"/>
  <c r="C50" i="70" s="1"/>
  <c r="S34" i="70" s="1"/>
  <c r="T27" i="70"/>
  <c r="S27" i="70"/>
  <c r="R27" i="70"/>
  <c r="D27" i="70"/>
  <c r="S98" i="70" s="1"/>
  <c r="T26" i="70"/>
  <c r="R26" i="70"/>
  <c r="B26" i="70"/>
  <c r="S55" i="70" s="1"/>
  <c r="T25" i="70"/>
  <c r="R25" i="70"/>
  <c r="B25" i="70"/>
  <c r="S54" i="70" s="1"/>
  <c r="T24" i="70"/>
  <c r="S24" i="70"/>
  <c r="R24" i="70"/>
  <c r="T23" i="70"/>
  <c r="S23" i="70"/>
  <c r="R23" i="70"/>
  <c r="T22" i="70"/>
  <c r="R22" i="70"/>
  <c r="B22" i="70"/>
  <c r="S22" i="70" s="1"/>
  <c r="T21" i="70"/>
  <c r="R21" i="70"/>
  <c r="T20" i="70"/>
  <c r="R20" i="70"/>
  <c r="C20" i="70"/>
  <c r="B21" i="70" s="1"/>
  <c r="S21" i="70" s="1"/>
  <c r="B20" i="70"/>
  <c r="S20" i="70" s="1"/>
  <c r="T19" i="70"/>
  <c r="R19" i="70"/>
  <c r="D19" i="70"/>
  <c r="S223" i="70" s="1"/>
  <c r="B19" i="70"/>
  <c r="S19" i="70" s="1"/>
  <c r="T18" i="70"/>
  <c r="S18" i="70"/>
  <c r="R18" i="70"/>
  <c r="D18" i="70"/>
  <c r="D20" i="70" s="1"/>
  <c r="S224" i="70" s="1"/>
  <c r="B18" i="70"/>
  <c r="T17" i="70"/>
  <c r="R17" i="70"/>
  <c r="T16" i="70"/>
  <c r="R16" i="70"/>
  <c r="T15" i="70"/>
  <c r="S15" i="70"/>
  <c r="R15" i="70"/>
  <c r="T14" i="70"/>
  <c r="R14" i="70"/>
  <c r="T13" i="70"/>
  <c r="S13" i="70"/>
  <c r="R13" i="70"/>
  <c r="T12" i="70"/>
  <c r="R12" i="70"/>
  <c r="T11" i="70"/>
  <c r="S11" i="70"/>
  <c r="R11" i="70"/>
  <c r="T10" i="70"/>
  <c r="S10" i="70"/>
  <c r="R10" i="70"/>
  <c r="T9" i="70"/>
  <c r="R9" i="70"/>
  <c r="T8" i="70"/>
  <c r="S8" i="70"/>
  <c r="R8" i="70"/>
  <c r="T7" i="70"/>
  <c r="S7" i="70"/>
  <c r="R7" i="70"/>
  <c r="C7" i="70"/>
  <c r="T6" i="70"/>
  <c r="S6" i="70"/>
  <c r="R6" i="70"/>
  <c r="T5" i="70"/>
  <c r="S5" i="70"/>
  <c r="R5" i="70"/>
  <c r="T4" i="70"/>
  <c r="S4" i="70"/>
  <c r="R4" i="70"/>
  <c r="T3" i="70"/>
  <c r="S3" i="70"/>
  <c r="R3" i="70"/>
  <c r="B3" i="70"/>
  <c r="T2" i="70"/>
  <c r="S2" i="70"/>
  <c r="R2" i="70"/>
  <c r="T248" i="69"/>
  <c r="R248" i="69"/>
  <c r="T247" i="69"/>
  <c r="S247" i="69"/>
  <c r="R247" i="69"/>
  <c r="T246" i="69"/>
  <c r="S246" i="69"/>
  <c r="R246" i="69"/>
  <c r="T245" i="69"/>
  <c r="S245" i="69"/>
  <c r="R245" i="69"/>
  <c r="T244" i="69"/>
  <c r="S244" i="69"/>
  <c r="R244" i="69"/>
  <c r="T243" i="69"/>
  <c r="S243" i="69"/>
  <c r="R243" i="69"/>
  <c r="T242" i="69"/>
  <c r="R242" i="69"/>
  <c r="T241" i="69"/>
  <c r="S241" i="69"/>
  <c r="R241" i="69"/>
  <c r="T240" i="69"/>
  <c r="S240" i="69"/>
  <c r="R240" i="69"/>
  <c r="T239" i="69"/>
  <c r="S239" i="69"/>
  <c r="R239" i="69"/>
  <c r="T238" i="69"/>
  <c r="S238" i="69"/>
  <c r="R238" i="69"/>
  <c r="T237" i="69"/>
  <c r="S237" i="69"/>
  <c r="R237" i="69"/>
  <c r="T236" i="69"/>
  <c r="S236" i="69"/>
  <c r="R236" i="69"/>
  <c r="T235" i="69"/>
  <c r="S235" i="69"/>
  <c r="R235" i="69"/>
  <c r="T234" i="69"/>
  <c r="S234" i="69"/>
  <c r="R234" i="69"/>
  <c r="T233" i="69"/>
  <c r="S233" i="69"/>
  <c r="R233" i="69"/>
  <c r="T232" i="69"/>
  <c r="S232" i="69"/>
  <c r="R232" i="69"/>
  <c r="T231" i="69"/>
  <c r="S231" i="69"/>
  <c r="R231" i="69"/>
  <c r="T230" i="69"/>
  <c r="S230" i="69"/>
  <c r="R230" i="69"/>
  <c r="T229" i="69"/>
  <c r="R229" i="69"/>
  <c r="T228" i="69"/>
  <c r="S228" i="69"/>
  <c r="R228" i="69"/>
  <c r="T227" i="69"/>
  <c r="S227" i="69"/>
  <c r="R227" i="69"/>
  <c r="T226" i="69"/>
  <c r="S226" i="69"/>
  <c r="R226" i="69"/>
  <c r="T225" i="69"/>
  <c r="S225" i="69"/>
  <c r="R225" i="69"/>
  <c r="T224" i="69"/>
  <c r="R224" i="69"/>
  <c r="T223" i="69"/>
  <c r="R223" i="69"/>
  <c r="T222" i="69"/>
  <c r="R222" i="69"/>
  <c r="T221" i="69"/>
  <c r="R221" i="69"/>
  <c r="T220" i="69"/>
  <c r="R220" i="69"/>
  <c r="T219" i="69"/>
  <c r="R219" i="69"/>
  <c r="T218" i="69"/>
  <c r="R218" i="69"/>
  <c r="T217" i="69"/>
  <c r="R217" i="69"/>
  <c r="T216" i="69"/>
  <c r="R216" i="69"/>
  <c r="T215" i="69"/>
  <c r="R215" i="69"/>
  <c r="T214" i="69"/>
  <c r="R214" i="69"/>
  <c r="T213" i="69"/>
  <c r="R213" i="69"/>
  <c r="T212" i="69"/>
  <c r="R212" i="69"/>
  <c r="T211" i="69"/>
  <c r="R211" i="69"/>
  <c r="T210" i="69"/>
  <c r="R210" i="69"/>
  <c r="T209" i="69"/>
  <c r="R209" i="69"/>
  <c r="T208" i="69"/>
  <c r="R208" i="69"/>
  <c r="T207" i="69"/>
  <c r="R207" i="69"/>
  <c r="T206" i="69"/>
  <c r="S206" i="69"/>
  <c r="R206" i="69"/>
  <c r="T205" i="69"/>
  <c r="R205" i="69"/>
  <c r="T204" i="69"/>
  <c r="S204" i="69"/>
  <c r="R204" i="69"/>
  <c r="T203" i="69"/>
  <c r="S203" i="69"/>
  <c r="R203" i="69"/>
  <c r="T202" i="69"/>
  <c r="S202" i="69"/>
  <c r="R202" i="69"/>
  <c r="T201" i="69"/>
  <c r="S201" i="69"/>
  <c r="R201" i="69"/>
  <c r="T200" i="69"/>
  <c r="R200" i="69"/>
  <c r="T199" i="69"/>
  <c r="R199" i="69"/>
  <c r="T198" i="69"/>
  <c r="R198" i="69"/>
  <c r="T197" i="69"/>
  <c r="R197" i="69"/>
  <c r="T196" i="69"/>
  <c r="R196" i="69"/>
  <c r="T195" i="69"/>
  <c r="R195" i="69"/>
  <c r="T194" i="69"/>
  <c r="R194" i="69"/>
  <c r="T193" i="69"/>
  <c r="R193" i="69"/>
  <c r="T192" i="69"/>
  <c r="R192" i="69"/>
  <c r="T191" i="69"/>
  <c r="R191" i="69"/>
  <c r="T190" i="69"/>
  <c r="R190" i="69"/>
  <c r="T189" i="69"/>
  <c r="R189" i="69"/>
  <c r="T188" i="69"/>
  <c r="R188" i="69"/>
  <c r="T187" i="69"/>
  <c r="R187" i="69"/>
  <c r="T186" i="69"/>
  <c r="R186" i="69"/>
  <c r="T185" i="69"/>
  <c r="R185" i="69"/>
  <c r="T184" i="69"/>
  <c r="R184" i="69"/>
  <c r="T183" i="69"/>
  <c r="R183" i="69"/>
  <c r="T182" i="69"/>
  <c r="S182" i="69"/>
  <c r="R182" i="69"/>
  <c r="T181" i="69"/>
  <c r="R181" i="69"/>
  <c r="T180" i="69"/>
  <c r="S180" i="69"/>
  <c r="R180" i="69"/>
  <c r="T179" i="69"/>
  <c r="R179" i="69"/>
  <c r="T178" i="69"/>
  <c r="R178" i="69"/>
  <c r="T177" i="69"/>
  <c r="R177" i="69"/>
  <c r="T176" i="69"/>
  <c r="R176" i="69"/>
  <c r="T175" i="69"/>
  <c r="R175" i="69"/>
  <c r="T174" i="69"/>
  <c r="R174" i="69"/>
  <c r="T173" i="69"/>
  <c r="R173" i="69"/>
  <c r="T172" i="69"/>
  <c r="R172" i="69"/>
  <c r="T171" i="69"/>
  <c r="R171" i="69"/>
  <c r="T170" i="69"/>
  <c r="R170" i="69"/>
  <c r="T169" i="69"/>
  <c r="R169" i="69"/>
  <c r="T168" i="69"/>
  <c r="R168" i="69"/>
  <c r="T167" i="69"/>
  <c r="R167" i="69"/>
  <c r="T166" i="69"/>
  <c r="R166" i="69"/>
  <c r="T165" i="69"/>
  <c r="R165" i="69"/>
  <c r="T164" i="69"/>
  <c r="S164" i="69"/>
  <c r="R164" i="69"/>
  <c r="T163" i="69"/>
  <c r="R163" i="69"/>
  <c r="T162" i="69"/>
  <c r="S162" i="69"/>
  <c r="R162" i="69"/>
  <c r="T161" i="69"/>
  <c r="S161" i="69"/>
  <c r="R161" i="69"/>
  <c r="T160" i="69"/>
  <c r="S160" i="69"/>
  <c r="R160" i="69"/>
  <c r="T159" i="69"/>
  <c r="S159" i="69"/>
  <c r="R159" i="69"/>
  <c r="T158" i="69"/>
  <c r="R158" i="69"/>
  <c r="T157" i="69"/>
  <c r="R157" i="69"/>
  <c r="T156" i="69"/>
  <c r="R156" i="69"/>
  <c r="T155" i="69"/>
  <c r="S155" i="69"/>
  <c r="R155" i="69"/>
  <c r="T154" i="69"/>
  <c r="R154" i="69"/>
  <c r="T153" i="69"/>
  <c r="R153" i="69"/>
  <c r="T152" i="69"/>
  <c r="R152" i="69"/>
  <c r="T151" i="69"/>
  <c r="R151" i="69"/>
  <c r="T150" i="69"/>
  <c r="R150" i="69"/>
  <c r="T149" i="69"/>
  <c r="R149" i="69"/>
  <c r="T148" i="69"/>
  <c r="R148" i="69"/>
  <c r="T147" i="69"/>
  <c r="R147" i="69"/>
  <c r="T146" i="69"/>
  <c r="R146" i="69"/>
  <c r="T145" i="69"/>
  <c r="R145" i="69"/>
  <c r="T144" i="69"/>
  <c r="R144" i="69"/>
  <c r="T143" i="69"/>
  <c r="R143" i="69"/>
  <c r="T142" i="69"/>
  <c r="R142" i="69"/>
  <c r="T141" i="69"/>
  <c r="R141" i="69"/>
  <c r="T140" i="69"/>
  <c r="R140" i="69"/>
  <c r="T139" i="69"/>
  <c r="R139" i="69"/>
  <c r="T138" i="69"/>
  <c r="S138" i="69"/>
  <c r="R138" i="69"/>
  <c r="T137" i="69"/>
  <c r="R137" i="69"/>
  <c r="T136" i="69"/>
  <c r="R136" i="69"/>
  <c r="T135" i="69"/>
  <c r="R135" i="69"/>
  <c r="T134" i="69"/>
  <c r="S134" i="69"/>
  <c r="R134" i="69"/>
  <c r="T133" i="69"/>
  <c r="R133" i="69"/>
  <c r="T132" i="69"/>
  <c r="R132" i="69"/>
  <c r="T131" i="69"/>
  <c r="R131" i="69"/>
  <c r="T130" i="69"/>
  <c r="R130" i="69"/>
  <c r="T129" i="69"/>
  <c r="R129" i="69"/>
  <c r="T128" i="69"/>
  <c r="R128" i="69"/>
  <c r="T127" i="69"/>
  <c r="R127" i="69"/>
  <c r="T126" i="69"/>
  <c r="R126" i="69"/>
  <c r="T125" i="69"/>
  <c r="R125" i="69"/>
  <c r="T124" i="69"/>
  <c r="R124" i="69"/>
  <c r="T123" i="69"/>
  <c r="R123" i="69"/>
  <c r="T122" i="69"/>
  <c r="R122" i="69"/>
  <c r="T121" i="69"/>
  <c r="R121" i="69"/>
  <c r="T120" i="69"/>
  <c r="S120" i="69"/>
  <c r="R120" i="69"/>
  <c r="T119" i="69"/>
  <c r="S119" i="69"/>
  <c r="R119" i="69"/>
  <c r="T118" i="69"/>
  <c r="S118" i="69"/>
  <c r="R118" i="69"/>
  <c r="T117" i="69"/>
  <c r="S117" i="69"/>
  <c r="R117" i="69"/>
  <c r="T116" i="69"/>
  <c r="R116" i="69"/>
  <c r="T115" i="69"/>
  <c r="R115" i="69"/>
  <c r="T114" i="69"/>
  <c r="R114" i="69"/>
  <c r="T113" i="69"/>
  <c r="R113" i="69"/>
  <c r="T112" i="69"/>
  <c r="R112" i="69"/>
  <c r="T111" i="69"/>
  <c r="R111" i="69"/>
  <c r="T110" i="69"/>
  <c r="R110" i="69"/>
  <c r="T109" i="69"/>
  <c r="R109" i="69"/>
  <c r="T108" i="69"/>
  <c r="R108" i="69"/>
  <c r="T107" i="69"/>
  <c r="R107" i="69"/>
  <c r="T106" i="69"/>
  <c r="R106" i="69"/>
  <c r="T105" i="69"/>
  <c r="R105" i="69"/>
  <c r="T104" i="69"/>
  <c r="R104" i="69"/>
  <c r="T103" i="69"/>
  <c r="R103" i="69"/>
  <c r="T102" i="69"/>
  <c r="R102" i="69"/>
  <c r="T101" i="69"/>
  <c r="R101" i="69"/>
  <c r="T100" i="69"/>
  <c r="R100" i="69"/>
  <c r="T99" i="69"/>
  <c r="R99" i="69"/>
  <c r="T98" i="69"/>
  <c r="R98" i="69"/>
  <c r="T97" i="69"/>
  <c r="R97" i="69"/>
  <c r="T96" i="69"/>
  <c r="R96" i="69"/>
  <c r="T95" i="69"/>
  <c r="R95" i="69"/>
  <c r="T94" i="69"/>
  <c r="R94" i="69"/>
  <c r="T93" i="69"/>
  <c r="R93" i="69"/>
  <c r="T92" i="69"/>
  <c r="S92" i="69"/>
  <c r="R92" i="69"/>
  <c r="T91" i="69"/>
  <c r="S91" i="69"/>
  <c r="R91" i="69"/>
  <c r="T90" i="69"/>
  <c r="S90" i="69"/>
  <c r="R90" i="69"/>
  <c r="T89" i="69"/>
  <c r="R89" i="69"/>
  <c r="T88" i="69"/>
  <c r="R88" i="69"/>
  <c r="T87" i="69"/>
  <c r="R87" i="69"/>
  <c r="T86" i="69"/>
  <c r="R86" i="69"/>
  <c r="T85" i="69"/>
  <c r="R85" i="69"/>
  <c r="T84" i="69"/>
  <c r="R84" i="69"/>
  <c r="T83" i="69"/>
  <c r="R83" i="69"/>
  <c r="T82" i="69"/>
  <c r="R82" i="69"/>
  <c r="T81" i="69"/>
  <c r="R81" i="69"/>
  <c r="T80" i="69"/>
  <c r="R80" i="69"/>
  <c r="T79" i="69"/>
  <c r="R79" i="69"/>
  <c r="T78" i="69"/>
  <c r="R78" i="69"/>
  <c r="T77" i="69"/>
  <c r="S77" i="69"/>
  <c r="R77" i="69"/>
  <c r="T76" i="69"/>
  <c r="S76" i="69"/>
  <c r="R76" i="69"/>
  <c r="T75" i="69"/>
  <c r="S75" i="69"/>
  <c r="R75" i="69"/>
  <c r="T74" i="69"/>
  <c r="R74" i="69"/>
  <c r="T73" i="69"/>
  <c r="R73" i="69"/>
  <c r="T72" i="69"/>
  <c r="R72" i="69"/>
  <c r="T71" i="69"/>
  <c r="S71" i="69"/>
  <c r="R71" i="69"/>
  <c r="T70" i="69"/>
  <c r="S70" i="69"/>
  <c r="R70" i="69"/>
  <c r="T69" i="69"/>
  <c r="S69" i="69"/>
  <c r="R69" i="69"/>
  <c r="T68" i="69"/>
  <c r="R68" i="69"/>
  <c r="T67" i="69"/>
  <c r="R67" i="69"/>
  <c r="T66" i="69"/>
  <c r="R66" i="69"/>
  <c r="T65" i="69"/>
  <c r="R65" i="69"/>
  <c r="T64" i="69"/>
  <c r="R64" i="69"/>
  <c r="T63" i="69"/>
  <c r="R63" i="69"/>
  <c r="T62" i="69"/>
  <c r="R62" i="69"/>
  <c r="T61" i="69"/>
  <c r="R61" i="69"/>
  <c r="T60" i="69"/>
  <c r="R60" i="69"/>
  <c r="T59" i="69"/>
  <c r="R59" i="69"/>
  <c r="T58" i="69"/>
  <c r="R58" i="69"/>
  <c r="T57" i="69"/>
  <c r="R57" i="69"/>
  <c r="T56" i="69"/>
  <c r="S56" i="69"/>
  <c r="R56" i="69"/>
  <c r="T55" i="69"/>
  <c r="R55" i="69"/>
  <c r="T54" i="69"/>
  <c r="R54" i="69"/>
  <c r="L54" i="69"/>
  <c r="K54" i="69"/>
  <c r="I54" i="69"/>
  <c r="G54" i="69"/>
  <c r="F54" i="69"/>
  <c r="A54" i="69"/>
  <c r="T53" i="69"/>
  <c r="S53" i="69"/>
  <c r="T52" i="69"/>
  <c r="S52" i="69"/>
  <c r="R52" i="69"/>
  <c r="T51" i="69"/>
  <c r="S51" i="69"/>
  <c r="R51" i="69"/>
  <c r="D51" i="69"/>
  <c r="S39" i="69" s="1"/>
  <c r="T50" i="69"/>
  <c r="S50" i="69"/>
  <c r="R50" i="69"/>
  <c r="D50" i="69"/>
  <c r="S38" i="69" s="1"/>
  <c r="T49" i="69"/>
  <c r="R49" i="69"/>
  <c r="T48" i="69"/>
  <c r="R48" i="69"/>
  <c r="D48" i="69"/>
  <c r="C54" i="69" s="1"/>
  <c r="T47" i="69"/>
  <c r="R47" i="69"/>
  <c r="T46" i="69"/>
  <c r="R46" i="69"/>
  <c r="T45" i="69"/>
  <c r="R45" i="69"/>
  <c r="B45" i="69"/>
  <c r="T44" i="69"/>
  <c r="R44" i="69"/>
  <c r="T43" i="69"/>
  <c r="R43" i="69"/>
  <c r="T42" i="69"/>
  <c r="R42" i="69"/>
  <c r="T41" i="69"/>
  <c r="R41" i="69"/>
  <c r="T40" i="69"/>
  <c r="R40" i="69"/>
  <c r="D40" i="69"/>
  <c r="S111" i="69" s="1"/>
  <c r="T39" i="69"/>
  <c r="R39" i="69"/>
  <c r="H39" i="69"/>
  <c r="S173" i="69" s="1"/>
  <c r="B39" i="69"/>
  <c r="D39" i="69" s="1"/>
  <c r="T38" i="69"/>
  <c r="R38" i="69"/>
  <c r="H38" i="69"/>
  <c r="S172" i="69" s="1"/>
  <c r="B38" i="69"/>
  <c r="D38" i="69" s="1"/>
  <c r="T37" i="69"/>
  <c r="R37" i="69"/>
  <c r="H37" i="69"/>
  <c r="S171" i="69" s="1"/>
  <c r="D37" i="69"/>
  <c r="S108" i="69" s="1"/>
  <c r="B37" i="69"/>
  <c r="S66" i="69" s="1"/>
  <c r="T36" i="69"/>
  <c r="R36" i="69"/>
  <c r="H36" i="69"/>
  <c r="S170" i="69" s="1"/>
  <c r="B36" i="69"/>
  <c r="D36" i="69" s="1"/>
  <c r="T35" i="69"/>
  <c r="R35" i="69"/>
  <c r="H35" i="69"/>
  <c r="S169" i="69" s="1"/>
  <c r="B35" i="69"/>
  <c r="S64" i="69" s="1"/>
  <c r="T34" i="69"/>
  <c r="R34" i="69"/>
  <c r="H34" i="69"/>
  <c r="S168" i="69" s="1"/>
  <c r="B34" i="69"/>
  <c r="D34" i="69" s="1"/>
  <c r="T33" i="69"/>
  <c r="R33" i="69"/>
  <c r="H33" i="69"/>
  <c r="S167" i="69" s="1"/>
  <c r="B33" i="69"/>
  <c r="D33" i="69" s="1"/>
  <c r="T32" i="69"/>
  <c r="R32" i="69"/>
  <c r="H32" i="69"/>
  <c r="S166" i="69" s="1"/>
  <c r="B32" i="69"/>
  <c r="S61" i="69" s="1"/>
  <c r="T31" i="69"/>
  <c r="R31" i="69"/>
  <c r="H31" i="69"/>
  <c r="S165" i="69" s="1"/>
  <c r="T30" i="69"/>
  <c r="R30" i="69"/>
  <c r="T29" i="69"/>
  <c r="R29" i="69"/>
  <c r="B29" i="69"/>
  <c r="S58" i="69" s="1"/>
  <c r="T28" i="69"/>
  <c r="R28" i="69"/>
  <c r="B28" i="69"/>
  <c r="C50" i="69" s="1"/>
  <c r="S34" i="69" s="1"/>
  <c r="T27" i="69"/>
  <c r="S27" i="69"/>
  <c r="R27" i="69"/>
  <c r="F27" i="69"/>
  <c r="S229" i="69" s="1"/>
  <c r="D27" i="69"/>
  <c r="S98" i="69" s="1"/>
  <c r="T26" i="69"/>
  <c r="R26" i="69"/>
  <c r="B26" i="69"/>
  <c r="S55" i="69" s="1"/>
  <c r="T25" i="69"/>
  <c r="R25" i="69"/>
  <c r="B25" i="69"/>
  <c r="S54" i="69" s="1"/>
  <c r="T24" i="69"/>
  <c r="S24" i="69"/>
  <c r="R24" i="69"/>
  <c r="T23" i="69"/>
  <c r="S23" i="69"/>
  <c r="R23" i="69"/>
  <c r="T22" i="69"/>
  <c r="R22" i="69"/>
  <c r="B22" i="69"/>
  <c r="S22" i="69" s="1"/>
  <c r="T21" i="69"/>
  <c r="R21" i="69"/>
  <c r="T20" i="69"/>
  <c r="R20" i="69"/>
  <c r="C20" i="69"/>
  <c r="I29" i="69" s="1"/>
  <c r="B20" i="69"/>
  <c r="T19" i="69"/>
  <c r="S19" i="69"/>
  <c r="R19" i="69"/>
  <c r="D19" i="69"/>
  <c r="S223" i="69" s="1"/>
  <c r="B19" i="69"/>
  <c r="T18" i="69"/>
  <c r="R18" i="69"/>
  <c r="D18" i="69"/>
  <c r="B18" i="69"/>
  <c r="S18" i="69" s="1"/>
  <c r="T17" i="69"/>
  <c r="R17" i="69"/>
  <c r="T16" i="69"/>
  <c r="R16" i="69"/>
  <c r="T15" i="69"/>
  <c r="S15" i="69"/>
  <c r="R15" i="69"/>
  <c r="T14" i="69"/>
  <c r="R14" i="69"/>
  <c r="T13" i="69"/>
  <c r="S13" i="69"/>
  <c r="R13" i="69"/>
  <c r="T12" i="69"/>
  <c r="R12" i="69"/>
  <c r="T11" i="69"/>
  <c r="S11" i="69"/>
  <c r="R11" i="69"/>
  <c r="T10" i="69"/>
  <c r="S10" i="69"/>
  <c r="R10" i="69"/>
  <c r="T9" i="69"/>
  <c r="R9" i="69"/>
  <c r="T8" i="69"/>
  <c r="S8" i="69"/>
  <c r="R8" i="69"/>
  <c r="T7" i="69"/>
  <c r="S7" i="69"/>
  <c r="R7" i="69"/>
  <c r="T6" i="69"/>
  <c r="R6" i="69"/>
  <c r="T5" i="69"/>
  <c r="S5" i="69"/>
  <c r="R5" i="69"/>
  <c r="T4" i="69"/>
  <c r="S4" i="69"/>
  <c r="R4" i="69"/>
  <c r="T3" i="69"/>
  <c r="S3" i="69"/>
  <c r="R3" i="69"/>
  <c r="B3" i="69"/>
  <c r="S6" i="69" s="1"/>
  <c r="T2" i="69"/>
  <c r="S2" i="69"/>
  <c r="R2" i="69"/>
  <c r="T248" i="68"/>
  <c r="R248" i="68"/>
  <c r="T247" i="68"/>
  <c r="S247" i="68"/>
  <c r="R247" i="68"/>
  <c r="T246" i="68"/>
  <c r="S246" i="68"/>
  <c r="R246" i="68"/>
  <c r="T245" i="68"/>
  <c r="S245" i="68"/>
  <c r="R245" i="68"/>
  <c r="T244" i="68"/>
  <c r="S244" i="68"/>
  <c r="R244" i="68"/>
  <c r="T243" i="68"/>
  <c r="S243" i="68"/>
  <c r="R243" i="68"/>
  <c r="T242" i="68"/>
  <c r="R242" i="68"/>
  <c r="T241" i="68"/>
  <c r="S241" i="68"/>
  <c r="R241" i="68"/>
  <c r="T240" i="68"/>
  <c r="S240" i="68"/>
  <c r="R240" i="68"/>
  <c r="T239" i="68"/>
  <c r="S239" i="68"/>
  <c r="R239" i="68"/>
  <c r="T238" i="68"/>
  <c r="S238" i="68"/>
  <c r="R238" i="68"/>
  <c r="T237" i="68"/>
  <c r="S237" i="68"/>
  <c r="R237" i="68"/>
  <c r="T236" i="68"/>
  <c r="S236" i="68"/>
  <c r="R236" i="68"/>
  <c r="T235" i="68"/>
  <c r="S235" i="68"/>
  <c r="R235" i="68"/>
  <c r="T234" i="68"/>
  <c r="S234" i="68"/>
  <c r="R234" i="68"/>
  <c r="T233" i="68"/>
  <c r="S233" i="68"/>
  <c r="R233" i="68"/>
  <c r="T232" i="68"/>
  <c r="S232" i="68"/>
  <c r="R232" i="68"/>
  <c r="T231" i="68"/>
  <c r="S231" i="68"/>
  <c r="R231" i="68"/>
  <c r="T230" i="68"/>
  <c r="S230" i="68"/>
  <c r="R230" i="68"/>
  <c r="T229" i="68"/>
  <c r="R229" i="68"/>
  <c r="T228" i="68"/>
  <c r="S228" i="68"/>
  <c r="R228" i="68"/>
  <c r="T227" i="68"/>
  <c r="S227" i="68"/>
  <c r="R227" i="68"/>
  <c r="T226" i="68"/>
  <c r="S226" i="68"/>
  <c r="R226" i="68"/>
  <c r="T225" i="68"/>
  <c r="S225" i="68"/>
  <c r="R225" i="68"/>
  <c r="T224" i="68"/>
  <c r="R224" i="68"/>
  <c r="T223" i="68"/>
  <c r="R223" i="68"/>
  <c r="T222" i="68"/>
  <c r="R222" i="68"/>
  <c r="T221" i="68"/>
  <c r="R221" i="68"/>
  <c r="T220" i="68"/>
  <c r="R220" i="68"/>
  <c r="T219" i="68"/>
  <c r="R219" i="68"/>
  <c r="T218" i="68"/>
  <c r="R218" i="68"/>
  <c r="T217" i="68"/>
  <c r="R217" i="68"/>
  <c r="T216" i="68"/>
  <c r="R216" i="68"/>
  <c r="T215" i="68"/>
  <c r="R215" i="68"/>
  <c r="T214" i="68"/>
  <c r="R214" i="68"/>
  <c r="T213" i="68"/>
  <c r="R213" i="68"/>
  <c r="T212" i="68"/>
  <c r="R212" i="68"/>
  <c r="T211" i="68"/>
  <c r="R211" i="68"/>
  <c r="T210" i="68"/>
  <c r="R210" i="68"/>
  <c r="T209" i="68"/>
  <c r="R209" i="68"/>
  <c r="T208" i="68"/>
  <c r="R208" i="68"/>
  <c r="T207" i="68"/>
  <c r="R207" i="68"/>
  <c r="T206" i="68"/>
  <c r="S206" i="68"/>
  <c r="R206" i="68"/>
  <c r="T205" i="68"/>
  <c r="R205" i="68"/>
  <c r="T204" i="68"/>
  <c r="S204" i="68"/>
  <c r="R204" i="68"/>
  <c r="T203" i="68"/>
  <c r="S203" i="68"/>
  <c r="R203" i="68"/>
  <c r="T202" i="68"/>
  <c r="S202" i="68"/>
  <c r="R202" i="68"/>
  <c r="T201" i="68"/>
  <c r="S201" i="68"/>
  <c r="R201" i="68"/>
  <c r="T200" i="68"/>
  <c r="R200" i="68"/>
  <c r="T199" i="68"/>
  <c r="R199" i="68"/>
  <c r="T198" i="68"/>
  <c r="R198" i="68"/>
  <c r="T197" i="68"/>
  <c r="R197" i="68"/>
  <c r="T196" i="68"/>
  <c r="R196" i="68"/>
  <c r="T195" i="68"/>
  <c r="R195" i="68"/>
  <c r="T194" i="68"/>
  <c r="R194" i="68"/>
  <c r="T193" i="68"/>
  <c r="R193" i="68"/>
  <c r="T192" i="68"/>
  <c r="R192" i="68"/>
  <c r="T191" i="68"/>
  <c r="R191" i="68"/>
  <c r="T190" i="68"/>
  <c r="R190" i="68"/>
  <c r="T189" i="68"/>
  <c r="R189" i="68"/>
  <c r="T188" i="68"/>
  <c r="R188" i="68"/>
  <c r="T187" i="68"/>
  <c r="R187" i="68"/>
  <c r="T186" i="68"/>
  <c r="R186" i="68"/>
  <c r="T185" i="68"/>
  <c r="R185" i="68"/>
  <c r="T184" i="68"/>
  <c r="R184" i="68"/>
  <c r="T183" i="68"/>
  <c r="R183" i="68"/>
  <c r="T182" i="68"/>
  <c r="S182" i="68"/>
  <c r="R182" i="68"/>
  <c r="T181" i="68"/>
  <c r="R181" i="68"/>
  <c r="T180" i="68"/>
  <c r="S180" i="68"/>
  <c r="R180" i="68"/>
  <c r="T179" i="68"/>
  <c r="R179" i="68"/>
  <c r="T178" i="68"/>
  <c r="R178" i="68"/>
  <c r="T177" i="68"/>
  <c r="R177" i="68"/>
  <c r="T176" i="68"/>
  <c r="R176" i="68"/>
  <c r="T175" i="68"/>
  <c r="R175" i="68"/>
  <c r="T174" i="68"/>
  <c r="R174" i="68"/>
  <c r="T173" i="68"/>
  <c r="R173" i="68"/>
  <c r="T172" i="68"/>
  <c r="R172" i="68"/>
  <c r="T171" i="68"/>
  <c r="R171" i="68"/>
  <c r="T170" i="68"/>
  <c r="R170" i="68"/>
  <c r="T169" i="68"/>
  <c r="R169" i="68"/>
  <c r="T168" i="68"/>
  <c r="R168" i="68"/>
  <c r="T167" i="68"/>
  <c r="R167" i="68"/>
  <c r="T166" i="68"/>
  <c r="R166" i="68"/>
  <c r="T165" i="68"/>
  <c r="R165" i="68"/>
  <c r="T164" i="68"/>
  <c r="S164" i="68"/>
  <c r="R164" i="68"/>
  <c r="T163" i="68"/>
  <c r="R163" i="68"/>
  <c r="T162" i="68"/>
  <c r="S162" i="68"/>
  <c r="R162" i="68"/>
  <c r="T161" i="68"/>
  <c r="S161" i="68"/>
  <c r="R161" i="68"/>
  <c r="T160" i="68"/>
  <c r="S160" i="68"/>
  <c r="R160" i="68"/>
  <c r="T159" i="68"/>
  <c r="S159" i="68"/>
  <c r="R159" i="68"/>
  <c r="T158" i="68"/>
  <c r="R158" i="68"/>
  <c r="T157" i="68"/>
  <c r="R157" i="68"/>
  <c r="T156" i="68"/>
  <c r="R156" i="68"/>
  <c r="T155" i="68"/>
  <c r="S155" i="68"/>
  <c r="R155" i="68"/>
  <c r="T154" i="68"/>
  <c r="R154" i="68"/>
  <c r="T153" i="68"/>
  <c r="R153" i="68"/>
  <c r="T152" i="68"/>
  <c r="R152" i="68"/>
  <c r="T151" i="68"/>
  <c r="R151" i="68"/>
  <c r="T150" i="68"/>
  <c r="R150" i="68"/>
  <c r="T149" i="68"/>
  <c r="R149" i="68"/>
  <c r="T148" i="68"/>
  <c r="R148" i="68"/>
  <c r="T147" i="68"/>
  <c r="R147" i="68"/>
  <c r="T146" i="68"/>
  <c r="R146" i="68"/>
  <c r="T145" i="68"/>
  <c r="R145" i="68"/>
  <c r="T144" i="68"/>
  <c r="R144" i="68"/>
  <c r="T143" i="68"/>
  <c r="R143" i="68"/>
  <c r="T142" i="68"/>
  <c r="R142" i="68"/>
  <c r="T141" i="68"/>
  <c r="R141" i="68"/>
  <c r="T140" i="68"/>
  <c r="R140" i="68"/>
  <c r="T139" i="68"/>
  <c r="R139" i="68"/>
  <c r="T138" i="68"/>
  <c r="S138" i="68"/>
  <c r="R138" i="68"/>
  <c r="T137" i="68"/>
  <c r="R137" i="68"/>
  <c r="T136" i="68"/>
  <c r="R136" i="68"/>
  <c r="T135" i="68"/>
  <c r="R135" i="68"/>
  <c r="T134" i="68"/>
  <c r="S134" i="68"/>
  <c r="R134" i="68"/>
  <c r="T133" i="68"/>
  <c r="R133" i="68"/>
  <c r="T132" i="68"/>
  <c r="R132" i="68"/>
  <c r="T131" i="68"/>
  <c r="R131" i="68"/>
  <c r="T130" i="68"/>
  <c r="R130" i="68"/>
  <c r="T129" i="68"/>
  <c r="R129" i="68"/>
  <c r="T128" i="68"/>
  <c r="R128" i="68"/>
  <c r="T127" i="68"/>
  <c r="R127" i="68"/>
  <c r="T126" i="68"/>
  <c r="R126" i="68"/>
  <c r="T125" i="68"/>
  <c r="R125" i="68"/>
  <c r="T124" i="68"/>
  <c r="R124" i="68"/>
  <c r="T123" i="68"/>
  <c r="R123" i="68"/>
  <c r="T122" i="68"/>
  <c r="R122" i="68"/>
  <c r="T121" i="68"/>
  <c r="R121" i="68"/>
  <c r="T120" i="68"/>
  <c r="S120" i="68"/>
  <c r="R120" i="68"/>
  <c r="T119" i="68"/>
  <c r="S119" i="68"/>
  <c r="R119" i="68"/>
  <c r="T118" i="68"/>
  <c r="S118" i="68"/>
  <c r="R118" i="68"/>
  <c r="T117" i="68"/>
  <c r="S117" i="68"/>
  <c r="R117" i="68"/>
  <c r="T116" i="68"/>
  <c r="R116" i="68"/>
  <c r="T115" i="68"/>
  <c r="R115" i="68"/>
  <c r="T114" i="68"/>
  <c r="R114" i="68"/>
  <c r="T113" i="68"/>
  <c r="R113" i="68"/>
  <c r="T112" i="68"/>
  <c r="R112" i="68"/>
  <c r="T111" i="68"/>
  <c r="R111" i="68"/>
  <c r="T110" i="68"/>
  <c r="R110" i="68"/>
  <c r="T109" i="68"/>
  <c r="R109" i="68"/>
  <c r="T108" i="68"/>
  <c r="R108" i="68"/>
  <c r="T107" i="68"/>
  <c r="R107" i="68"/>
  <c r="T106" i="68"/>
  <c r="R106" i="68"/>
  <c r="T105" i="68"/>
  <c r="R105" i="68"/>
  <c r="T104" i="68"/>
  <c r="R104" i="68"/>
  <c r="T103" i="68"/>
  <c r="R103" i="68"/>
  <c r="T102" i="68"/>
  <c r="R102" i="68"/>
  <c r="T101" i="68"/>
  <c r="R101" i="68"/>
  <c r="T100" i="68"/>
  <c r="R100" i="68"/>
  <c r="T99" i="68"/>
  <c r="R99" i="68"/>
  <c r="T98" i="68"/>
  <c r="R98" i="68"/>
  <c r="T97" i="68"/>
  <c r="R97" i="68"/>
  <c r="T96" i="68"/>
  <c r="R96" i="68"/>
  <c r="T95" i="68"/>
  <c r="R95" i="68"/>
  <c r="T94" i="68"/>
  <c r="R94" i="68"/>
  <c r="T93" i="68"/>
  <c r="R93" i="68"/>
  <c r="T92" i="68"/>
  <c r="S92" i="68"/>
  <c r="R92" i="68"/>
  <c r="T91" i="68"/>
  <c r="S91" i="68"/>
  <c r="R91" i="68"/>
  <c r="T90" i="68"/>
  <c r="S90" i="68"/>
  <c r="R90" i="68"/>
  <c r="T89" i="68"/>
  <c r="R89" i="68"/>
  <c r="T88" i="68"/>
  <c r="R88" i="68"/>
  <c r="T87" i="68"/>
  <c r="R87" i="68"/>
  <c r="T86" i="68"/>
  <c r="R86" i="68"/>
  <c r="T85" i="68"/>
  <c r="R85" i="68"/>
  <c r="T84" i="68"/>
  <c r="R84" i="68"/>
  <c r="T83" i="68"/>
  <c r="R83" i="68"/>
  <c r="T82" i="68"/>
  <c r="R82" i="68"/>
  <c r="T81" i="68"/>
  <c r="R81" i="68"/>
  <c r="T80" i="68"/>
  <c r="R80" i="68"/>
  <c r="T79" i="68"/>
  <c r="R79" i="68"/>
  <c r="T78" i="68"/>
  <c r="R78" i="68"/>
  <c r="T77" i="68"/>
  <c r="S77" i="68"/>
  <c r="R77" i="68"/>
  <c r="T76" i="68"/>
  <c r="S76" i="68"/>
  <c r="R76" i="68"/>
  <c r="T75" i="68"/>
  <c r="S75" i="68"/>
  <c r="R75" i="68"/>
  <c r="T74" i="68"/>
  <c r="R74" i="68"/>
  <c r="T73" i="68"/>
  <c r="R73" i="68"/>
  <c r="T72" i="68"/>
  <c r="R72" i="68"/>
  <c r="T71" i="68"/>
  <c r="S71" i="68"/>
  <c r="R71" i="68"/>
  <c r="T70" i="68"/>
  <c r="S70" i="68"/>
  <c r="R70" i="68"/>
  <c r="T69" i="68"/>
  <c r="S69" i="68"/>
  <c r="R69" i="68"/>
  <c r="T68" i="68"/>
  <c r="R68" i="68"/>
  <c r="T67" i="68"/>
  <c r="R67" i="68"/>
  <c r="T66" i="68"/>
  <c r="R66" i="68"/>
  <c r="T65" i="68"/>
  <c r="R65" i="68"/>
  <c r="T64" i="68"/>
  <c r="R64" i="68"/>
  <c r="T63" i="68"/>
  <c r="R63" i="68"/>
  <c r="T62" i="68"/>
  <c r="R62" i="68"/>
  <c r="T61" i="68"/>
  <c r="R61" i="68"/>
  <c r="T60" i="68"/>
  <c r="R60" i="68"/>
  <c r="T59" i="68"/>
  <c r="R59" i="68"/>
  <c r="T58" i="68"/>
  <c r="R58" i="68"/>
  <c r="T57" i="68"/>
  <c r="R57" i="68"/>
  <c r="T56" i="68"/>
  <c r="S56" i="68"/>
  <c r="R56" i="68"/>
  <c r="T55" i="68"/>
  <c r="R55" i="68"/>
  <c r="T54" i="68"/>
  <c r="R54" i="68"/>
  <c r="L54" i="68"/>
  <c r="K54" i="68"/>
  <c r="I54" i="68"/>
  <c r="G54" i="68"/>
  <c r="F54" i="68"/>
  <c r="A54" i="68"/>
  <c r="T53" i="68"/>
  <c r="S53" i="68"/>
  <c r="T52" i="68"/>
  <c r="S52" i="68"/>
  <c r="R52" i="68"/>
  <c r="T51" i="68"/>
  <c r="S51" i="68"/>
  <c r="R51" i="68"/>
  <c r="D51" i="68"/>
  <c r="S39" i="68" s="1"/>
  <c r="T50" i="68"/>
  <c r="S50" i="68"/>
  <c r="R50" i="68"/>
  <c r="D50" i="68"/>
  <c r="S38" i="68" s="1"/>
  <c r="T49" i="68"/>
  <c r="R49" i="68"/>
  <c r="T48" i="68"/>
  <c r="R48" i="68"/>
  <c r="D48" i="68"/>
  <c r="C54" i="68" s="1"/>
  <c r="T47" i="68"/>
  <c r="R47" i="68"/>
  <c r="T46" i="68"/>
  <c r="R46" i="68"/>
  <c r="T45" i="68"/>
  <c r="R45" i="68"/>
  <c r="B45" i="68"/>
  <c r="T44" i="68"/>
  <c r="R44" i="68"/>
  <c r="T43" i="68"/>
  <c r="R43" i="68"/>
  <c r="T42" i="68"/>
  <c r="R42" i="68"/>
  <c r="T41" i="68"/>
  <c r="R41" i="68"/>
  <c r="D41" i="68"/>
  <c r="S112" i="68" s="1"/>
  <c r="T40" i="68"/>
  <c r="R40" i="68"/>
  <c r="D40" i="68"/>
  <c r="S111" i="68" s="1"/>
  <c r="T39" i="68"/>
  <c r="R39" i="68"/>
  <c r="H39" i="68"/>
  <c r="S173" i="68" s="1"/>
  <c r="B39" i="68"/>
  <c r="D39" i="68" s="1"/>
  <c r="T38" i="68"/>
  <c r="R38" i="68"/>
  <c r="H38" i="68"/>
  <c r="S172" i="68" s="1"/>
  <c r="D38" i="68"/>
  <c r="S109" i="68" s="1"/>
  <c r="B38" i="68"/>
  <c r="T37" i="68"/>
  <c r="R37" i="68"/>
  <c r="H37" i="68"/>
  <c r="S171" i="68" s="1"/>
  <c r="B37" i="68"/>
  <c r="T36" i="68"/>
  <c r="S36" i="68"/>
  <c r="R36" i="68"/>
  <c r="H36" i="68"/>
  <c r="S170" i="68" s="1"/>
  <c r="B36" i="68"/>
  <c r="D36" i="68" s="1"/>
  <c r="T35" i="68"/>
  <c r="R35" i="68"/>
  <c r="H35" i="68"/>
  <c r="S169" i="68" s="1"/>
  <c r="B35" i="68"/>
  <c r="S64" i="68" s="1"/>
  <c r="T34" i="68"/>
  <c r="R34" i="68"/>
  <c r="H34" i="68"/>
  <c r="S168" i="68" s="1"/>
  <c r="B34" i="68"/>
  <c r="D34" i="68" s="1"/>
  <c r="T33" i="68"/>
  <c r="R33" i="68"/>
  <c r="H33" i="68"/>
  <c r="S167" i="68" s="1"/>
  <c r="B33" i="68"/>
  <c r="D33" i="68" s="1"/>
  <c r="T32" i="68"/>
  <c r="R32" i="68"/>
  <c r="H32" i="68"/>
  <c r="S166" i="68" s="1"/>
  <c r="B32" i="68"/>
  <c r="S61" i="68" s="1"/>
  <c r="T31" i="68"/>
  <c r="R31" i="68"/>
  <c r="H31" i="68"/>
  <c r="S165" i="68" s="1"/>
  <c r="T30" i="68"/>
  <c r="R30" i="68"/>
  <c r="T29" i="68"/>
  <c r="R29" i="68"/>
  <c r="B29" i="68"/>
  <c r="S58" i="68" s="1"/>
  <c r="T28" i="68"/>
  <c r="R28" i="68"/>
  <c r="B28" i="68"/>
  <c r="C50" i="68" s="1"/>
  <c r="S34" i="68" s="1"/>
  <c r="T27" i="68"/>
  <c r="S27" i="68"/>
  <c r="R27" i="68"/>
  <c r="F27" i="68"/>
  <c r="S229" i="68" s="1"/>
  <c r="D27" i="68"/>
  <c r="S98" i="68" s="1"/>
  <c r="T26" i="68"/>
  <c r="R26" i="68"/>
  <c r="B26" i="68"/>
  <c r="S55" i="68" s="1"/>
  <c r="T25" i="68"/>
  <c r="R25" i="68"/>
  <c r="B25" i="68"/>
  <c r="D25" i="68" s="1"/>
  <c r="T24" i="68"/>
  <c r="S24" i="68"/>
  <c r="R24" i="68"/>
  <c r="T23" i="68"/>
  <c r="S23" i="68"/>
  <c r="R23" i="68"/>
  <c r="T22" i="68"/>
  <c r="R22" i="68"/>
  <c r="B22" i="68"/>
  <c r="S22" i="68" s="1"/>
  <c r="T21" i="68"/>
  <c r="R21" i="68"/>
  <c r="C21" i="68"/>
  <c r="S26" i="68" s="1"/>
  <c r="T20" i="68"/>
  <c r="R20" i="68"/>
  <c r="C20" i="68"/>
  <c r="B21" i="68" s="1"/>
  <c r="S21" i="68" s="1"/>
  <c r="B20" i="68"/>
  <c r="S20" i="68" s="1"/>
  <c r="T19" i="68"/>
  <c r="R19" i="68"/>
  <c r="D19" i="68"/>
  <c r="S223" i="68" s="1"/>
  <c r="B19" i="68"/>
  <c r="S19" i="68" s="1"/>
  <c r="T18" i="68"/>
  <c r="S18" i="68"/>
  <c r="R18" i="68"/>
  <c r="D18" i="68"/>
  <c r="B18" i="68"/>
  <c r="T17" i="68"/>
  <c r="R17" i="68"/>
  <c r="T16" i="68"/>
  <c r="R16" i="68"/>
  <c r="T15" i="68"/>
  <c r="S15" i="68"/>
  <c r="R15" i="68"/>
  <c r="T14" i="68"/>
  <c r="R14" i="68"/>
  <c r="T13" i="68"/>
  <c r="S13" i="68"/>
  <c r="R13" i="68"/>
  <c r="T12" i="68"/>
  <c r="R12" i="68"/>
  <c r="T11" i="68"/>
  <c r="S11" i="68"/>
  <c r="R11" i="68"/>
  <c r="T10" i="68"/>
  <c r="S10" i="68"/>
  <c r="R10" i="68"/>
  <c r="T9" i="68"/>
  <c r="R9" i="68"/>
  <c r="T8" i="68"/>
  <c r="S8" i="68"/>
  <c r="R8" i="68"/>
  <c r="T7" i="68"/>
  <c r="S7" i="68"/>
  <c r="R7" i="68"/>
  <c r="C7" i="68"/>
  <c r="T6" i="68"/>
  <c r="R6" i="68"/>
  <c r="T5" i="68"/>
  <c r="S5" i="68"/>
  <c r="R5" i="68"/>
  <c r="T4" i="68"/>
  <c r="S4" i="68"/>
  <c r="R4" i="68"/>
  <c r="T3" i="68"/>
  <c r="S3" i="68"/>
  <c r="R3" i="68"/>
  <c r="B3" i="68"/>
  <c r="S6" i="68" s="1"/>
  <c r="T2" i="68"/>
  <c r="S2" i="68"/>
  <c r="R2" i="68"/>
  <c r="T248" i="67"/>
  <c r="R248" i="67"/>
  <c r="T247" i="67"/>
  <c r="S247" i="67"/>
  <c r="R247" i="67"/>
  <c r="T246" i="67"/>
  <c r="S246" i="67"/>
  <c r="R246" i="67"/>
  <c r="T245" i="67"/>
  <c r="S245" i="67"/>
  <c r="R245" i="67"/>
  <c r="T244" i="67"/>
  <c r="S244" i="67"/>
  <c r="R244" i="67"/>
  <c r="T243" i="67"/>
  <c r="S243" i="67"/>
  <c r="R243" i="67"/>
  <c r="T242" i="67"/>
  <c r="R242" i="67"/>
  <c r="T241" i="67"/>
  <c r="S241" i="67"/>
  <c r="R241" i="67"/>
  <c r="T240" i="67"/>
  <c r="S240" i="67"/>
  <c r="R240" i="67"/>
  <c r="T239" i="67"/>
  <c r="S239" i="67"/>
  <c r="R239" i="67"/>
  <c r="T238" i="67"/>
  <c r="S238" i="67"/>
  <c r="R238" i="67"/>
  <c r="T237" i="67"/>
  <c r="S237" i="67"/>
  <c r="R237" i="67"/>
  <c r="T236" i="67"/>
  <c r="S236" i="67"/>
  <c r="R236" i="67"/>
  <c r="T235" i="67"/>
  <c r="S235" i="67"/>
  <c r="R235" i="67"/>
  <c r="T234" i="67"/>
  <c r="S234" i="67"/>
  <c r="R234" i="67"/>
  <c r="T233" i="67"/>
  <c r="S233" i="67"/>
  <c r="R233" i="67"/>
  <c r="T232" i="67"/>
  <c r="S232" i="67"/>
  <c r="R232" i="67"/>
  <c r="T231" i="67"/>
  <c r="S231" i="67"/>
  <c r="R231" i="67"/>
  <c r="T230" i="67"/>
  <c r="S230" i="67"/>
  <c r="R230" i="67"/>
  <c r="T229" i="67"/>
  <c r="R229" i="67"/>
  <c r="T228" i="67"/>
  <c r="S228" i="67"/>
  <c r="R228" i="67"/>
  <c r="T227" i="67"/>
  <c r="S227" i="67"/>
  <c r="R227" i="67"/>
  <c r="T226" i="67"/>
  <c r="S226" i="67"/>
  <c r="R226" i="67"/>
  <c r="T225" i="67"/>
  <c r="S225" i="67"/>
  <c r="R225" i="67"/>
  <c r="T224" i="67"/>
  <c r="R224" i="67"/>
  <c r="T223" i="67"/>
  <c r="R223" i="67"/>
  <c r="T222" i="67"/>
  <c r="R222" i="67"/>
  <c r="T221" i="67"/>
  <c r="R221" i="67"/>
  <c r="T220" i="67"/>
  <c r="R220" i="67"/>
  <c r="T219" i="67"/>
  <c r="R219" i="67"/>
  <c r="T218" i="67"/>
  <c r="R218" i="67"/>
  <c r="T217" i="67"/>
  <c r="R217" i="67"/>
  <c r="T216" i="67"/>
  <c r="R216" i="67"/>
  <c r="T215" i="67"/>
  <c r="R215" i="67"/>
  <c r="T214" i="67"/>
  <c r="R214" i="67"/>
  <c r="T213" i="67"/>
  <c r="R213" i="67"/>
  <c r="T212" i="67"/>
  <c r="R212" i="67"/>
  <c r="T211" i="67"/>
  <c r="R211" i="67"/>
  <c r="T210" i="67"/>
  <c r="R210" i="67"/>
  <c r="T209" i="67"/>
  <c r="R209" i="67"/>
  <c r="T208" i="67"/>
  <c r="R208" i="67"/>
  <c r="T207" i="67"/>
  <c r="R207" i="67"/>
  <c r="T206" i="67"/>
  <c r="S206" i="67"/>
  <c r="R206" i="67"/>
  <c r="T205" i="67"/>
  <c r="R205" i="67"/>
  <c r="T204" i="67"/>
  <c r="S204" i="67"/>
  <c r="R204" i="67"/>
  <c r="T203" i="67"/>
  <c r="S203" i="67"/>
  <c r="R203" i="67"/>
  <c r="T202" i="67"/>
  <c r="S202" i="67"/>
  <c r="R202" i="67"/>
  <c r="T201" i="67"/>
  <c r="S201" i="67"/>
  <c r="R201" i="67"/>
  <c r="T200" i="67"/>
  <c r="R200" i="67"/>
  <c r="T199" i="67"/>
  <c r="R199" i="67"/>
  <c r="T198" i="67"/>
  <c r="R198" i="67"/>
  <c r="T197" i="67"/>
  <c r="R197" i="67"/>
  <c r="T196" i="67"/>
  <c r="R196" i="67"/>
  <c r="T195" i="67"/>
  <c r="R195" i="67"/>
  <c r="T194" i="67"/>
  <c r="R194" i="67"/>
  <c r="T193" i="67"/>
  <c r="R193" i="67"/>
  <c r="T192" i="67"/>
  <c r="R192" i="67"/>
  <c r="T191" i="67"/>
  <c r="R191" i="67"/>
  <c r="T190" i="67"/>
  <c r="R190" i="67"/>
  <c r="T189" i="67"/>
  <c r="R189" i="67"/>
  <c r="T188" i="67"/>
  <c r="R188" i="67"/>
  <c r="T187" i="67"/>
  <c r="R187" i="67"/>
  <c r="T186" i="67"/>
  <c r="R186" i="67"/>
  <c r="T185" i="67"/>
  <c r="R185" i="67"/>
  <c r="T184" i="67"/>
  <c r="R184" i="67"/>
  <c r="T183" i="67"/>
  <c r="R183" i="67"/>
  <c r="T182" i="67"/>
  <c r="S182" i="67"/>
  <c r="R182" i="67"/>
  <c r="T181" i="67"/>
  <c r="R181" i="67"/>
  <c r="T180" i="67"/>
  <c r="S180" i="67"/>
  <c r="R180" i="67"/>
  <c r="T179" i="67"/>
  <c r="R179" i="67"/>
  <c r="T178" i="67"/>
  <c r="R178" i="67"/>
  <c r="T177" i="67"/>
  <c r="R177" i="67"/>
  <c r="T176" i="67"/>
  <c r="R176" i="67"/>
  <c r="T175" i="67"/>
  <c r="R175" i="67"/>
  <c r="T174" i="67"/>
  <c r="R174" i="67"/>
  <c r="T173" i="67"/>
  <c r="R173" i="67"/>
  <c r="T172" i="67"/>
  <c r="R172" i="67"/>
  <c r="T171" i="67"/>
  <c r="R171" i="67"/>
  <c r="T170" i="67"/>
  <c r="R170" i="67"/>
  <c r="T169" i="67"/>
  <c r="R169" i="67"/>
  <c r="T168" i="67"/>
  <c r="R168" i="67"/>
  <c r="T167" i="67"/>
  <c r="R167" i="67"/>
  <c r="T166" i="67"/>
  <c r="R166" i="67"/>
  <c r="T165" i="67"/>
  <c r="R165" i="67"/>
  <c r="T164" i="67"/>
  <c r="S164" i="67"/>
  <c r="R164" i="67"/>
  <c r="T163" i="67"/>
  <c r="R163" i="67"/>
  <c r="T162" i="67"/>
  <c r="S162" i="67"/>
  <c r="R162" i="67"/>
  <c r="T161" i="67"/>
  <c r="S161" i="67"/>
  <c r="R161" i="67"/>
  <c r="T160" i="67"/>
  <c r="S160" i="67"/>
  <c r="R160" i="67"/>
  <c r="T159" i="67"/>
  <c r="S159" i="67"/>
  <c r="R159" i="67"/>
  <c r="T158" i="67"/>
  <c r="R158" i="67"/>
  <c r="T157" i="67"/>
  <c r="R157" i="67"/>
  <c r="T156" i="67"/>
  <c r="R156" i="67"/>
  <c r="T155" i="67"/>
  <c r="S155" i="67"/>
  <c r="R155" i="67"/>
  <c r="T154" i="67"/>
  <c r="R154" i="67"/>
  <c r="T153" i="67"/>
  <c r="R153" i="67"/>
  <c r="T152" i="67"/>
  <c r="R152" i="67"/>
  <c r="T151" i="67"/>
  <c r="R151" i="67"/>
  <c r="T150" i="67"/>
  <c r="R150" i="67"/>
  <c r="T149" i="67"/>
  <c r="R149" i="67"/>
  <c r="T148" i="67"/>
  <c r="R148" i="67"/>
  <c r="T147" i="67"/>
  <c r="R147" i="67"/>
  <c r="T146" i="67"/>
  <c r="R146" i="67"/>
  <c r="T145" i="67"/>
  <c r="R145" i="67"/>
  <c r="T144" i="67"/>
  <c r="R144" i="67"/>
  <c r="T143" i="67"/>
  <c r="R143" i="67"/>
  <c r="T142" i="67"/>
  <c r="R142" i="67"/>
  <c r="T141" i="67"/>
  <c r="R141" i="67"/>
  <c r="T140" i="67"/>
  <c r="R140" i="67"/>
  <c r="T139" i="67"/>
  <c r="R139" i="67"/>
  <c r="T138" i="67"/>
  <c r="S138" i="67"/>
  <c r="R138" i="67"/>
  <c r="T137" i="67"/>
  <c r="R137" i="67"/>
  <c r="T136" i="67"/>
  <c r="R136" i="67"/>
  <c r="T135" i="67"/>
  <c r="R135" i="67"/>
  <c r="T134" i="67"/>
  <c r="S134" i="67"/>
  <c r="R134" i="67"/>
  <c r="T133" i="67"/>
  <c r="R133" i="67"/>
  <c r="T132" i="67"/>
  <c r="R132" i="67"/>
  <c r="T131" i="67"/>
  <c r="R131" i="67"/>
  <c r="T130" i="67"/>
  <c r="R130" i="67"/>
  <c r="T129" i="67"/>
  <c r="R129" i="67"/>
  <c r="T128" i="67"/>
  <c r="R128" i="67"/>
  <c r="T127" i="67"/>
  <c r="R127" i="67"/>
  <c r="T126" i="67"/>
  <c r="R126" i="67"/>
  <c r="T125" i="67"/>
  <c r="R125" i="67"/>
  <c r="T124" i="67"/>
  <c r="R124" i="67"/>
  <c r="T123" i="67"/>
  <c r="R123" i="67"/>
  <c r="T122" i="67"/>
  <c r="R122" i="67"/>
  <c r="T121" i="67"/>
  <c r="R121" i="67"/>
  <c r="T120" i="67"/>
  <c r="S120" i="67"/>
  <c r="R120" i="67"/>
  <c r="T119" i="67"/>
  <c r="S119" i="67"/>
  <c r="R119" i="67"/>
  <c r="T118" i="67"/>
  <c r="S118" i="67"/>
  <c r="R118" i="67"/>
  <c r="T117" i="67"/>
  <c r="S117" i="67"/>
  <c r="R117" i="67"/>
  <c r="T116" i="67"/>
  <c r="R116" i="67"/>
  <c r="T115" i="67"/>
  <c r="R115" i="67"/>
  <c r="T114" i="67"/>
  <c r="R114" i="67"/>
  <c r="T113" i="67"/>
  <c r="R113" i="67"/>
  <c r="T112" i="67"/>
  <c r="R112" i="67"/>
  <c r="T111" i="67"/>
  <c r="R111" i="67"/>
  <c r="T110" i="67"/>
  <c r="R110" i="67"/>
  <c r="T109" i="67"/>
  <c r="R109" i="67"/>
  <c r="T108" i="67"/>
  <c r="R108" i="67"/>
  <c r="T107" i="67"/>
  <c r="R107" i="67"/>
  <c r="T106" i="67"/>
  <c r="R106" i="67"/>
  <c r="T105" i="67"/>
  <c r="R105" i="67"/>
  <c r="T104" i="67"/>
  <c r="R104" i="67"/>
  <c r="T103" i="67"/>
  <c r="R103" i="67"/>
  <c r="T102" i="67"/>
  <c r="R102" i="67"/>
  <c r="T101" i="67"/>
  <c r="R101" i="67"/>
  <c r="T100" i="67"/>
  <c r="R100" i="67"/>
  <c r="T99" i="67"/>
  <c r="R99" i="67"/>
  <c r="T98" i="67"/>
  <c r="R98" i="67"/>
  <c r="T97" i="67"/>
  <c r="R97" i="67"/>
  <c r="T96" i="67"/>
  <c r="R96" i="67"/>
  <c r="T95" i="67"/>
  <c r="R95" i="67"/>
  <c r="T94" i="67"/>
  <c r="R94" i="67"/>
  <c r="T93" i="67"/>
  <c r="R93" i="67"/>
  <c r="T92" i="67"/>
  <c r="S92" i="67"/>
  <c r="R92" i="67"/>
  <c r="T91" i="67"/>
  <c r="S91" i="67"/>
  <c r="R91" i="67"/>
  <c r="T90" i="67"/>
  <c r="S90" i="67"/>
  <c r="R90" i="67"/>
  <c r="T89" i="67"/>
  <c r="R89" i="67"/>
  <c r="T88" i="67"/>
  <c r="R88" i="67"/>
  <c r="T87" i="67"/>
  <c r="R87" i="67"/>
  <c r="T86" i="67"/>
  <c r="R86" i="67"/>
  <c r="T85" i="67"/>
  <c r="R85" i="67"/>
  <c r="T84" i="67"/>
  <c r="R84" i="67"/>
  <c r="T83" i="67"/>
  <c r="R83" i="67"/>
  <c r="T82" i="67"/>
  <c r="R82" i="67"/>
  <c r="T81" i="67"/>
  <c r="R81" i="67"/>
  <c r="T80" i="67"/>
  <c r="R80" i="67"/>
  <c r="T79" i="67"/>
  <c r="R79" i="67"/>
  <c r="T78" i="67"/>
  <c r="R78" i="67"/>
  <c r="T77" i="67"/>
  <c r="S77" i="67"/>
  <c r="R77" i="67"/>
  <c r="T76" i="67"/>
  <c r="S76" i="67"/>
  <c r="R76" i="67"/>
  <c r="T75" i="67"/>
  <c r="S75" i="67"/>
  <c r="R75" i="67"/>
  <c r="T74" i="67"/>
  <c r="R74" i="67"/>
  <c r="T73" i="67"/>
  <c r="R73" i="67"/>
  <c r="T72" i="67"/>
  <c r="R72" i="67"/>
  <c r="T71" i="67"/>
  <c r="S71" i="67"/>
  <c r="R71" i="67"/>
  <c r="T70" i="67"/>
  <c r="S70" i="67"/>
  <c r="R70" i="67"/>
  <c r="T69" i="67"/>
  <c r="S69" i="67"/>
  <c r="R69" i="67"/>
  <c r="T68" i="67"/>
  <c r="R68" i="67"/>
  <c r="T67" i="67"/>
  <c r="R67" i="67"/>
  <c r="T66" i="67"/>
  <c r="R66" i="67"/>
  <c r="T65" i="67"/>
  <c r="R65" i="67"/>
  <c r="T64" i="67"/>
  <c r="R64" i="67"/>
  <c r="T63" i="67"/>
  <c r="R63" i="67"/>
  <c r="T62" i="67"/>
  <c r="R62" i="67"/>
  <c r="T61" i="67"/>
  <c r="R61" i="67"/>
  <c r="T60" i="67"/>
  <c r="R60" i="67"/>
  <c r="T59" i="67"/>
  <c r="R59" i="67"/>
  <c r="T58" i="67"/>
  <c r="R58" i="67"/>
  <c r="T57" i="67"/>
  <c r="R57" i="67"/>
  <c r="T56" i="67"/>
  <c r="S56" i="67"/>
  <c r="R56" i="67"/>
  <c r="T55" i="67"/>
  <c r="R55" i="67"/>
  <c r="T54" i="67"/>
  <c r="R54" i="67"/>
  <c r="L54" i="67"/>
  <c r="K54" i="67"/>
  <c r="I54" i="67"/>
  <c r="G54" i="67"/>
  <c r="F54" i="67"/>
  <c r="A54" i="67"/>
  <c r="T53" i="67"/>
  <c r="S53" i="67"/>
  <c r="T52" i="67"/>
  <c r="S52" i="67"/>
  <c r="R52" i="67"/>
  <c r="T51" i="67"/>
  <c r="S51" i="67"/>
  <c r="R51" i="67"/>
  <c r="D51" i="67"/>
  <c r="S39" i="67" s="1"/>
  <c r="T50" i="67"/>
  <c r="S50" i="67"/>
  <c r="R50" i="67"/>
  <c r="D50" i="67"/>
  <c r="S38" i="67" s="1"/>
  <c r="T49" i="67"/>
  <c r="R49" i="67"/>
  <c r="T48" i="67"/>
  <c r="R48" i="67"/>
  <c r="D48" i="67"/>
  <c r="C54" i="67" s="1"/>
  <c r="T47" i="67"/>
  <c r="R47" i="67"/>
  <c r="T46" i="67"/>
  <c r="R46" i="67"/>
  <c r="T45" i="67"/>
  <c r="R45" i="67"/>
  <c r="B45" i="67"/>
  <c r="T44" i="67"/>
  <c r="R44" i="67"/>
  <c r="T43" i="67"/>
  <c r="R43" i="67"/>
  <c r="T42" i="67"/>
  <c r="R42" i="67"/>
  <c r="T41" i="67"/>
  <c r="R41" i="67"/>
  <c r="D41" i="67"/>
  <c r="S112" i="67" s="1"/>
  <c r="T40" i="67"/>
  <c r="R40" i="67"/>
  <c r="D40" i="67"/>
  <c r="S111" i="67" s="1"/>
  <c r="T39" i="67"/>
  <c r="R39" i="67"/>
  <c r="H39" i="67"/>
  <c r="S173" i="67" s="1"/>
  <c r="B39" i="67"/>
  <c r="D39" i="67" s="1"/>
  <c r="T38" i="67"/>
  <c r="R38" i="67"/>
  <c r="H38" i="67"/>
  <c r="S172" i="67" s="1"/>
  <c r="B38" i="67"/>
  <c r="D38" i="67" s="1"/>
  <c r="T37" i="67"/>
  <c r="R37" i="67"/>
  <c r="H37" i="67"/>
  <c r="S171" i="67" s="1"/>
  <c r="D37" i="67"/>
  <c r="S108" i="67" s="1"/>
  <c r="B37" i="67"/>
  <c r="C37" i="67" s="1"/>
  <c r="S87" i="67" s="1"/>
  <c r="T36" i="67"/>
  <c r="R36" i="67"/>
  <c r="H36" i="67"/>
  <c r="S170" i="67" s="1"/>
  <c r="B36" i="67"/>
  <c r="D36" i="67" s="1"/>
  <c r="T35" i="67"/>
  <c r="R35" i="67"/>
  <c r="H35" i="67"/>
  <c r="S169" i="67" s="1"/>
  <c r="B35" i="67"/>
  <c r="S64" i="67" s="1"/>
  <c r="T34" i="67"/>
  <c r="R34" i="67"/>
  <c r="H34" i="67"/>
  <c r="S168" i="67" s="1"/>
  <c r="B34" i="67"/>
  <c r="D34" i="67" s="1"/>
  <c r="T33" i="67"/>
  <c r="R33" i="67"/>
  <c r="H33" i="67"/>
  <c r="S167" i="67" s="1"/>
  <c r="D33" i="67"/>
  <c r="S104" i="67" s="1"/>
  <c r="B33" i="67"/>
  <c r="S62" i="67" s="1"/>
  <c r="T32" i="67"/>
  <c r="R32" i="67"/>
  <c r="H32" i="67"/>
  <c r="S166" i="67" s="1"/>
  <c r="B32" i="67"/>
  <c r="S61" i="67" s="1"/>
  <c r="T31" i="67"/>
  <c r="R31" i="67"/>
  <c r="H31" i="67"/>
  <c r="S165" i="67" s="1"/>
  <c r="T30" i="67"/>
  <c r="R30" i="67"/>
  <c r="T29" i="67"/>
  <c r="R29" i="67"/>
  <c r="B29" i="67"/>
  <c r="S58" i="67" s="1"/>
  <c r="T28" i="67"/>
  <c r="R28" i="67"/>
  <c r="B28" i="67"/>
  <c r="T27" i="67"/>
  <c r="S27" i="67"/>
  <c r="R27" i="67"/>
  <c r="F27" i="67"/>
  <c r="S229" i="67" s="1"/>
  <c r="D27" i="67"/>
  <c r="S98" i="67" s="1"/>
  <c r="T26" i="67"/>
  <c r="R26" i="67"/>
  <c r="B26" i="67"/>
  <c r="S55" i="67" s="1"/>
  <c r="T25" i="67"/>
  <c r="S25" i="67"/>
  <c r="R25" i="67"/>
  <c r="B25" i="67"/>
  <c r="S54" i="67" s="1"/>
  <c r="T24" i="67"/>
  <c r="S24" i="67"/>
  <c r="R24" i="67"/>
  <c r="T23" i="67"/>
  <c r="S23" i="67"/>
  <c r="R23" i="67"/>
  <c r="T22" i="67"/>
  <c r="S22" i="67"/>
  <c r="R22" i="67"/>
  <c r="B22" i="67"/>
  <c r="T21" i="67"/>
  <c r="R21" i="67"/>
  <c r="C21" i="67"/>
  <c r="D15" i="67" s="1"/>
  <c r="C15" i="67" s="1"/>
  <c r="T20" i="67"/>
  <c r="S20" i="67"/>
  <c r="R20" i="67"/>
  <c r="C20" i="67"/>
  <c r="I29" i="67" s="1"/>
  <c r="S184" i="67" s="1"/>
  <c r="B20" i="67"/>
  <c r="T19" i="67"/>
  <c r="R19" i="67"/>
  <c r="D19" i="67"/>
  <c r="S223" i="67" s="1"/>
  <c r="B19" i="67"/>
  <c r="S19" i="67" s="1"/>
  <c r="T18" i="67"/>
  <c r="R18" i="67"/>
  <c r="D18" i="67"/>
  <c r="B18" i="67"/>
  <c r="S18" i="67" s="1"/>
  <c r="T17" i="67"/>
  <c r="R17" i="67"/>
  <c r="T16" i="67"/>
  <c r="R16" i="67"/>
  <c r="T15" i="67"/>
  <c r="S15" i="67"/>
  <c r="R15" i="67"/>
  <c r="T14" i="67"/>
  <c r="R14" i="67"/>
  <c r="T13" i="67"/>
  <c r="S13" i="67"/>
  <c r="R13" i="67"/>
  <c r="T12" i="67"/>
  <c r="R12" i="67"/>
  <c r="T11" i="67"/>
  <c r="S11" i="67"/>
  <c r="R11" i="67"/>
  <c r="T10" i="67"/>
  <c r="S10" i="67"/>
  <c r="R10" i="67"/>
  <c r="T9" i="67"/>
  <c r="R9" i="67"/>
  <c r="T8" i="67"/>
  <c r="S8" i="67"/>
  <c r="R8" i="67"/>
  <c r="T7" i="67"/>
  <c r="S7" i="67"/>
  <c r="R7" i="67"/>
  <c r="C7" i="67"/>
  <c r="T6" i="67"/>
  <c r="R6" i="67"/>
  <c r="T5" i="67"/>
  <c r="S5" i="67"/>
  <c r="R5" i="67"/>
  <c r="T4" i="67"/>
  <c r="S4" i="67"/>
  <c r="R4" i="67"/>
  <c r="T3" i="67"/>
  <c r="S3" i="67"/>
  <c r="R3" i="67"/>
  <c r="B3" i="67"/>
  <c r="S6" i="67" s="1"/>
  <c r="T2" i="67"/>
  <c r="S2" i="67"/>
  <c r="R2" i="67"/>
  <c r="T248" i="66"/>
  <c r="R248" i="66"/>
  <c r="T247" i="66"/>
  <c r="S247" i="66"/>
  <c r="R247" i="66"/>
  <c r="T246" i="66"/>
  <c r="S246" i="66"/>
  <c r="R246" i="66"/>
  <c r="T245" i="66"/>
  <c r="S245" i="66"/>
  <c r="R245" i="66"/>
  <c r="T244" i="66"/>
  <c r="S244" i="66"/>
  <c r="R244" i="66"/>
  <c r="T243" i="66"/>
  <c r="S243" i="66"/>
  <c r="R243" i="66"/>
  <c r="T242" i="66"/>
  <c r="R242" i="66"/>
  <c r="T241" i="66"/>
  <c r="S241" i="66"/>
  <c r="R241" i="66"/>
  <c r="T240" i="66"/>
  <c r="S240" i="66"/>
  <c r="R240" i="66"/>
  <c r="T239" i="66"/>
  <c r="S239" i="66"/>
  <c r="R239" i="66"/>
  <c r="T238" i="66"/>
  <c r="S238" i="66"/>
  <c r="R238" i="66"/>
  <c r="T237" i="66"/>
  <c r="S237" i="66"/>
  <c r="R237" i="66"/>
  <c r="T236" i="66"/>
  <c r="S236" i="66"/>
  <c r="R236" i="66"/>
  <c r="T235" i="66"/>
  <c r="S235" i="66"/>
  <c r="R235" i="66"/>
  <c r="T234" i="66"/>
  <c r="S234" i="66"/>
  <c r="R234" i="66"/>
  <c r="T233" i="66"/>
  <c r="S233" i="66"/>
  <c r="R233" i="66"/>
  <c r="T232" i="66"/>
  <c r="S232" i="66"/>
  <c r="R232" i="66"/>
  <c r="T231" i="66"/>
  <c r="S231" i="66"/>
  <c r="R231" i="66"/>
  <c r="T230" i="66"/>
  <c r="S230" i="66"/>
  <c r="R230" i="66"/>
  <c r="T229" i="66"/>
  <c r="R229" i="66"/>
  <c r="T228" i="66"/>
  <c r="S228" i="66"/>
  <c r="R228" i="66"/>
  <c r="T227" i="66"/>
  <c r="S227" i="66"/>
  <c r="R227" i="66"/>
  <c r="T226" i="66"/>
  <c r="S226" i="66"/>
  <c r="R226" i="66"/>
  <c r="T225" i="66"/>
  <c r="S225" i="66"/>
  <c r="R225" i="66"/>
  <c r="T224" i="66"/>
  <c r="R224" i="66"/>
  <c r="T223" i="66"/>
  <c r="R223" i="66"/>
  <c r="T222" i="66"/>
  <c r="R222" i="66"/>
  <c r="T221" i="66"/>
  <c r="R221" i="66"/>
  <c r="T220" i="66"/>
  <c r="R220" i="66"/>
  <c r="T219" i="66"/>
  <c r="R219" i="66"/>
  <c r="T218" i="66"/>
  <c r="R218" i="66"/>
  <c r="T217" i="66"/>
  <c r="R217" i="66"/>
  <c r="T216" i="66"/>
  <c r="R216" i="66"/>
  <c r="T215" i="66"/>
  <c r="R215" i="66"/>
  <c r="T214" i="66"/>
  <c r="R214" i="66"/>
  <c r="T213" i="66"/>
  <c r="R213" i="66"/>
  <c r="T212" i="66"/>
  <c r="R212" i="66"/>
  <c r="T211" i="66"/>
  <c r="R211" i="66"/>
  <c r="T210" i="66"/>
  <c r="R210" i="66"/>
  <c r="T209" i="66"/>
  <c r="R209" i="66"/>
  <c r="T208" i="66"/>
  <c r="R208" i="66"/>
  <c r="T207" i="66"/>
  <c r="R207" i="66"/>
  <c r="T206" i="66"/>
  <c r="S206" i="66"/>
  <c r="R206" i="66"/>
  <c r="T205" i="66"/>
  <c r="R205" i="66"/>
  <c r="T204" i="66"/>
  <c r="S204" i="66"/>
  <c r="R204" i="66"/>
  <c r="T203" i="66"/>
  <c r="S203" i="66"/>
  <c r="R203" i="66"/>
  <c r="T202" i="66"/>
  <c r="S202" i="66"/>
  <c r="R202" i="66"/>
  <c r="T201" i="66"/>
  <c r="S201" i="66"/>
  <c r="R201" i="66"/>
  <c r="T200" i="66"/>
  <c r="R200" i="66"/>
  <c r="T199" i="66"/>
  <c r="R199" i="66"/>
  <c r="T198" i="66"/>
  <c r="R198" i="66"/>
  <c r="T197" i="66"/>
  <c r="R197" i="66"/>
  <c r="T196" i="66"/>
  <c r="R196" i="66"/>
  <c r="T195" i="66"/>
  <c r="R195" i="66"/>
  <c r="T194" i="66"/>
  <c r="R194" i="66"/>
  <c r="T193" i="66"/>
  <c r="R193" i="66"/>
  <c r="T192" i="66"/>
  <c r="R192" i="66"/>
  <c r="T191" i="66"/>
  <c r="R191" i="66"/>
  <c r="T190" i="66"/>
  <c r="R190" i="66"/>
  <c r="T189" i="66"/>
  <c r="R189" i="66"/>
  <c r="T188" i="66"/>
  <c r="R188" i="66"/>
  <c r="T187" i="66"/>
  <c r="R187" i="66"/>
  <c r="T186" i="66"/>
  <c r="R186" i="66"/>
  <c r="T185" i="66"/>
  <c r="R185" i="66"/>
  <c r="T184" i="66"/>
  <c r="R184" i="66"/>
  <c r="T183" i="66"/>
  <c r="R183" i="66"/>
  <c r="T182" i="66"/>
  <c r="S182" i="66"/>
  <c r="R182" i="66"/>
  <c r="T181" i="66"/>
  <c r="R181" i="66"/>
  <c r="T180" i="66"/>
  <c r="S180" i="66"/>
  <c r="R180" i="66"/>
  <c r="T179" i="66"/>
  <c r="R179" i="66"/>
  <c r="T178" i="66"/>
  <c r="R178" i="66"/>
  <c r="T177" i="66"/>
  <c r="R177" i="66"/>
  <c r="T176" i="66"/>
  <c r="R176" i="66"/>
  <c r="T175" i="66"/>
  <c r="R175" i="66"/>
  <c r="T174" i="66"/>
  <c r="R174" i="66"/>
  <c r="T173" i="66"/>
  <c r="R173" i="66"/>
  <c r="T172" i="66"/>
  <c r="R172" i="66"/>
  <c r="T171" i="66"/>
  <c r="R171" i="66"/>
  <c r="T170" i="66"/>
  <c r="R170" i="66"/>
  <c r="T169" i="66"/>
  <c r="R169" i="66"/>
  <c r="T168" i="66"/>
  <c r="R168" i="66"/>
  <c r="T167" i="66"/>
  <c r="R167" i="66"/>
  <c r="T166" i="66"/>
  <c r="R166" i="66"/>
  <c r="T165" i="66"/>
  <c r="R165" i="66"/>
  <c r="T164" i="66"/>
  <c r="S164" i="66"/>
  <c r="R164" i="66"/>
  <c r="T163" i="66"/>
  <c r="R163" i="66"/>
  <c r="T162" i="66"/>
  <c r="S162" i="66"/>
  <c r="R162" i="66"/>
  <c r="T161" i="66"/>
  <c r="S161" i="66"/>
  <c r="R161" i="66"/>
  <c r="T160" i="66"/>
  <c r="S160" i="66"/>
  <c r="R160" i="66"/>
  <c r="T159" i="66"/>
  <c r="S159" i="66"/>
  <c r="R159" i="66"/>
  <c r="T158" i="66"/>
  <c r="R158" i="66"/>
  <c r="T157" i="66"/>
  <c r="R157" i="66"/>
  <c r="T156" i="66"/>
  <c r="R156" i="66"/>
  <c r="T155" i="66"/>
  <c r="S155" i="66"/>
  <c r="R155" i="66"/>
  <c r="T154" i="66"/>
  <c r="R154" i="66"/>
  <c r="T153" i="66"/>
  <c r="R153" i="66"/>
  <c r="T152" i="66"/>
  <c r="R152" i="66"/>
  <c r="T151" i="66"/>
  <c r="R151" i="66"/>
  <c r="T150" i="66"/>
  <c r="R150" i="66"/>
  <c r="T149" i="66"/>
  <c r="R149" i="66"/>
  <c r="T148" i="66"/>
  <c r="R148" i="66"/>
  <c r="T147" i="66"/>
  <c r="R147" i="66"/>
  <c r="T146" i="66"/>
  <c r="R146" i="66"/>
  <c r="T145" i="66"/>
  <c r="R145" i="66"/>
  <c r="T144" i="66"/>
  <c r="R144" i="66"/>
  <c r="T143" i="66"/>
  <c r="R143" i="66"/>
  <c r="T142" i="66"/>
  <c r="R142" i="66"/>
  <c r="T141" i="66"/>
  <c r="R141" i="66"/>
  <c r="T140" i="66"/>
  <c r="R140" i="66"/>
  <c r="T139" i="66"/>
  <c r="R139" i="66"/>
  <c r="T138" i="66"/>
  <c r="S138" i="66"/>
  <c r="R138" i="66"/>
  <c r="T137" i="66"/>
  <c r="R137" i="66"/>
  <c r="T136" i="66"/>
  <c r="R136" i="66"/>
  <c r="T135" i="66"/>
  <c r="R135" i="66"/>
  <c r="T134" i="66"/>
  <c r="S134" i="66"/>
  <c r="R134" i="66"/>
  <c r="T133" i="66"/>
  <c r="R133" i="66"/>
  <c r="T132" i="66"/>
  <c r="R132" i="66"/>
  <c r="T131" i="66"/>
  <c r="R131" i="66"/>
  <c r="T130" i="66"/>
  <c r="R130" i="66"/>
  <c r="T129" i="66"/>
  <c r="R129" i="66"/>
  <c r="T128" i="66"/>
  <c r="R128" i="66"/>
  <c r="T127" i="66"/>
  <c r="R127" i="66"/>
  <c r="T126" i="66"/>
  <c r="R126" i="66"/>
  <c r="T125" i="66"/>
  <c r="R125" i="66"/>
  <c r="T124" i="66"/>
  <c r="R124" i="66"/>
  <c r="T123" i="66"/>
  <c r="R123" i="66"/>
  <c r="T122" i="66"/>
  <c r="R122" i="66"/>
  <c r="T121" i="66"/>
  <c r="R121" i="66"/>
  <c r="T120" i="66"/>
  <c r="S120" i="66"/>
  <c r="R120" i="66"/>
  <c r="T119" i="66"/>
  <c r="S119" i="66"/>
  <c r="R119" i="66"/>
  <c r="T118" i="66"/>
  <c r="S118" i="66"/>
  <c r="R118" i="66"/>
  <c r="T117" i="66"/>
  <c r="S117" i="66"/>
  <c r="R117" i="66"/>
  <c r="T116" i="66"/>
  <c r="R116" i="66"/>
  <c r="T115" i="66"/>
  <c r="R115" i="66"/>
  <c r="T114" i="66"/>
  <c r="R114" i="66"/>
  <c r="T113" i="66"/>
  <c r="R113" i="66"/>
  <c r="T112" i="66"/>
  <c r="R112" i="66"/>
  <c r="T111" i="66"/>
  <c r="R111" i="66"/>
  <c r="T110" i="66"/>
  <c r="R110" i="66"/>
  <c r="T109" i="66"/>
  <c r="R109" i="66"/>
  <c r="T108" i="66"/>
  <c r="R108" i="66"/>
  <c r="T107" i="66"/>
  <c r="R107" i="66"/>
  <c r="T106" i="66"/>
  <c r="R106" i="66"/>
  <c r="T105" i="66"/>
  <c r="R105" i="66"/>
  <c r="T104" i="66"/>
  <c r="R104" i="66"/>
  <c r="T103" i="66"/>
  <c r="R103" i="66"/>
  <c r="T102" i="66"/>
  <c r="R102" i="66"/>
  <c r="T101" i="66"/>
  <c r="R101" i="66"/>
  <c r="T100" i="66"/>
  <c r="R100" i="66"/>
  <c r="T99" i="66"/>
  <c r="R99" i="66"/>
  <c r="T98" i="66"/>
  <c r="R98" i="66"/>
  <c r="T97" i="66"/>
  <c r="R97" i="66"/>
  <c r="T96" i="66"/>
  <c r="R96" i="66"/>
  <c r="T95" i="66"/>
  <c r="R95" i="66"/>
  <c r="T94" i="66"/>
  <c r="R94" i="66"/>
  <c r="T93" i="66"/>
  <c r="R93" i="66"/>
  <c r="T92" i="66"/>
  <c r="S92" i="66"/>
  <c r="R92" i="66"/>
  <c r="T91" i="66"/>
  <c r="S91" i="66"/>
  <c r="R91" i="66"/>
  <c r="T90" i="66"/>
  <c r="S90" i="66"/>
  <c r="R90" i="66"/>
  <c r="T89" i="66"/>
  <c r="R89" i="66"/>
  <c r="T88" i="66"/>
  <c r="R88" i="66"/>
  <c r="T87" i="66"/>
  <c r="R87" i="66"/>
  <c r="T86" i="66"/>
  <c r="R86" i="66"/>
  <c r="T85" i="66"/>
  <c r="R85" i="66"/>
  <c r="T84" i="66"/>
  <c r="R84" i="66"/>
  <c r="T83" i="66"/>
  <c r="R83" i="66"/>
  <c r="T82" i="66"/>
  <c r="R82" i="66"/>
  <c r="T81" i="66"/>
  <c r="R81" i="66"/>
  <c r="T80" i="66"/>
  <c r="R80" i="66"/>
  <c r="T79" i="66"/>
  <c r="R79" i="66"/>
  <c r="T78" i="66"/>
  <c r="R78" i="66"/>
  <c r="T77" i="66"/>
  <c r="S77" i="66"/>
  <c r="R77" i="66"/>
  <c r="T76" i="66"/>
  <c r="S76" i="66"/>
  <c r="R76" i="66"/>
  <c r="T75" i="66"/>
  <c r="S75" i="66"/>
  <c r="R75" i="66"/>
  <c r="T74" i="66"/>
  <c r="R74" i="66"/>
  <c r="T73" i="66"/>
  <c r="R73" i="66"/>
  <c r="T72" i="66"/>
  <c r="R72" i="66"/>
  <c r="T71" i="66"/>
  <c r="S71" i="66"/>
  <c r="R71" i="66"/>
  <c r="T70" i="66"/>
  <c r="S70" i="66"/>
  <c r="R70" i="66"/>
  <c r="T69" i="66"/>
  <c r="S69" i="66"/>
  <c r="R69" i="66"/>
  <c r="T68" i="66"/>
  <c r="R68" i="66"/>
  <c r="T67" i="66"/>
  <c r="R67" i="66"/>
  <c r="T66" i="66"/>
  <c r="R66" i="66"/>
  <c r="T65" i="66"/>
  <c r="R65" i="66"/>
  <c r="T64" i="66"/>
  <c r="R64" i="66"/>
  <c r="T63" i="66"/>
  <c r="R63" i="66"/>
  <c r="T62" i="66"/>
  <c r="R62" i="66"/>
  <c r="T61" i="66"/>
  <c r="R61" i="66"/>
  <c r="T60" i="66"/>
  <c r="R60" i="66"/>
  <c r="T59" i="66"/>
  <c r="R59" i="66"/>
  <c r="T58" i="66"/>
  <c r="R58" i="66"/>
  <c r="T57" i="66"/>
  <c r="R57" i="66"/>
  <c r="T56" i="66"/>
  <c r="S56" i="66"/>
  <c r="R56" i="66"/>
  <c r="T55" i="66"/>
  <c r="R55" i="66"/>
  <c r="T54" i="66"/>
  <c r="R54" i="66"/>
  <c r="L54" i="66"/>
  <c r="K54" i="66"/>
  <c r="I54" i="66"/>
  <c r="G54" i="66"/>
  <c r="F54" i="66"/>
  <c r="A54" i="66"/>
  <c r="T53" i="66"/>
  <c r="S53" i="66"/>
  <c r="T52" i="66"/>
  <c r="S52" i="66"/>
  <c r="R52" i="66"/>
  <c r="T51" i="66"/>
  <c r="S51" i="66"/>
  <c r="R51" i="66"/>
  <c r="D51" i="66"/>
  <c r="S39" i="66" s="1"/>
  <c r="T50" i="66"/>
  <c r="S50" i="66"/>
  <c r="R50" i="66"/>
  <c r="D50" i="66"/>
  <c r="S38" i="66" s="1"/>
  <c r="T49" i="66"/>
  <c r="R49" i="66"/>
  <c r="T48" i="66"/>
  <c r="R48" i="66"/>
  <c r="D48" i="66"/>
  <c r="C54" i="66" s="1"/>
  <c r="T47" i="66"/>
  <c r="R47" i="66"/>
  <c r="T46" i="66"/>
  <c r="R46" i="66"/>
  <c r="T45" i="66"/>
  <c r="R45" i="66"/>
  <c r="B45" i="66"/>
  <c r="T44" i="66"/>
  <c r="R44" i="66"/>
  <c r="T43" i="66"/>
  <c r="R43" i="66"/>
  <c r="T42" i="66"/>
  <c r="R42" i="66"/>
  <c r="T41" i="66"/>
  <c r="R41" i="66"/>
  <c r="D41" i="66"/>
  <c r="S112" i="66" s="1"/>
  <c r="T40" i="66"/>
  <c r="R40" i="66"/>
  <c r="D40" i="66"/>
  <c r="S111" i="66" s="1"/>
  <c r="T39" i="66"/>
  <c r="R39" i="66"/>
  <c r="H39" i="66"/>
  <c r="S173" i="66" s="1"/>
  <c r="B39" i="66"/>
  <c r="D39" i="66" s="1"/>
  <c r="T38" i="66"/>
  <c r="R38" i="66"/>
  <c r="H38" i="66"/>
  <c r="S172" i="66" s="1"/>
  <c r="B38" i="66"/>
  <c r="D38" i="66" s="1"/>
  <c r="T37" i="66"/>
  <c r="R37" i="66"/>
  <c r="H37" i="66"/>
  <c r="S171" i="66" s="1"/>
  <c r="B37" i="66"/>
  <c r="T36" i="66"/>
  <c r="R36" i="66"/>
  <c r="H36" i="66"/>
  <c r="S170" i="66" s="1"/>
  <c r="B36" i="66"/>
  <c r="C36" i="66" s="1"/>
  <c r="S86" i="66" s="1"/>
  <c r="T35" i="66"/>
  <c r="R35" i="66"/>
  <c r="H35" i="66"/>
  <c r="S169" i="66" s="1"/>
  <c r="B35" i="66"/>
  <c r="S64" i="66" s="1"/>
  <c r="T34" i="66"/>
  <c r="R34" i="66"/>
  <c r="H34" i="66"/>
  <c r="S168" i="66" s="1"/>
  <c r="B34" i="66"/>
  <c r="D34" i="66" s="1"/>
  <c r="T33" i="66"/>
  <c r="R33" i="66"/>
  <c r="H33" i="66"/>
  <c r="S167" i="66" s="1"/>
  <c r="D33" i="66"/>
  <c r="S104" i="66" s="1"/>
  <c r="B33" i="66"/>
  <c r="S62" i="66" s="1"/>
  <c r="T32" i="66"/>
  <c r="R32" i="66"/>
  <c r="H32" i="66"/>
  <c r="S166" i="66" s="1"/>
  <c r="B32" i="66"/>
  <c r="S61" i="66" s="1"/>
  <c r="T31" i="66"/>
  <c r="R31" i="66"/>
  <c r="H31" i="66"/>
  <c r="S165" i="66" s="1"/>
  <c r="T30" i="66"/>
  <c r="R30" i="66"/>
  <c r="T29" i="66"/>
  <c r="R29" i="66"/>
  <c r="B29" i="66"/>
  <c r="S58" i="66" s="1"/>
  <c r="T28" i="66"/>
  <c r="R28" i="66"/>
  <c r="B28" i="66"/>
  <c r="C50" i="66" s="1"/>
  <c r="S34" i="66" s="1"/>
  <c r="T27" i="66"/>
  <c r="S27" i="66"/>
  <c r="R27" i="66"/>
  <c r="G27" i="66"/>
  <c r="S140" i="66" s="1"/>
  <c r="F27" i="66"/>
  <c r="S229" i="66" s="1"/>
  <c r="D27" i="66"/>
  <c r="S98" i="66" s="1"/>
  <c r="T26" i="66"/>
  <c r="R26" i="66"/>
  <c r="B26" i="66"/>
  <c r="S55" i="66" s="1"/>
  <c r="T25" i="66"/>
  <c r="R25" i="66"/>
  <c r="D25" i="66"/>
  <c r="S96" i="66" s="1"/>
  <c r="B25" i="66"/>
  <c r="S54" i="66" s="1"/>
  <c r="T24" i="66"/>
  <c r="S24" i="66"/>
  <c r="R24" i="66"/>
  <c r="T23" i="66"/>
  <c r="S23" i="66"/>
  <c r="R23" i="66"/>
  <c r="T22" i="66"/>
  <c r="R22" i="66"/>
  <c r="B22" i="66"/>
  <c r="S22" i="66" s="1"/>
  <c r="T21" i="66"/>
  <c r="R21" i="66"/>
  <c r="B21" i="66"/>
  <c r="S21" i="66" s="1"/>
  <c r="T20" i="66"/>
  <c r="R20" i="66"/>
  <c r="C20" i="66"/>
  <c r="I29" i="66" s="1"/>
  <c r="B20" i="66"/>
  <c r="S20" i="66" s="1"/>
  <c r="T19" i="66"/>
  <c r="R19" i="66"/>
  <c r="D19" i="66"/>
  <c r="S223" i="66" s="1"/>
  <c r="B19" i="66"/>
  <c r="S19" i="66" s="1"/>
  <c r="T18" i="66"/>
  <c r="R18" i="66"/>
  <c r="D18" i="66"/>
  <c r="B18" i="66"/>
  <c r="S18" i="66" s="1"/>
  <c r="T17" i="66"/>
  <c r="R17" i="66"/>
  <c r="T16" i="66"/>
  <c r="R16" i="66"/>
  <c r="T15" i="66"/>
  <c r="S15" i="66"/>
  <c r="R15" i="66"/>
  <c r="T14" i="66"/>
  <c r="R14" i="66"/>
  <c r="T13" i="66"/>
  <c r="S13" i="66"/>
  <c r="R13" i="66"/>
  <c r="T12" i="66"/>
  <c r="R12" i="66"/>
  <c r="T11" i="66"/>
  <c r="S11" i="66"/>
  <c r="R11" i="66"/>
  <c r="T10" i="66"/>
  <c r="S10" i="66"/>
  <c r="R10" i="66"/>
  <c r="T9" i="66"/>
  <c r="R9" i="66"/>
  <c r="T8" i="66"/>
  <c r="S8" i="66"/>
  <c r="R8" i="66"/>
  <c r="T7" i="66"/>
  <c r="S7" i="66"/>
  <c r="R7" i="66"/>
  <c r="C7" i="66"/>
  <c r="T6" i="66"/>
  <c r="R6" i="66"/>
  <c r="T5" i="66"/>
  <c r="S5" i="66"/>
  <c r="R5" i="66"/>
  <c r="T4" i="66"/>
  <c r="S4" i="66"/>
  <c r="R4" i="66"/>
  <c r="T3" i="66"/>
  <c r="S3" i="66"/>
  <c r="R3" i="66"/>
  <c r="B3" i="66"/>
  <c r="S6" i="66" s="1"/>
  <c r="T2" i="66"/>
  <c r="S2" i="66"/>
  <c r="R2" i="66"/>
  <c r="T248" i="65"/>
  <c r="R248" i="65"/>
  <c r="T247" i="65"/>
  <c r="S247" i="65"/>
  <c r="R247" i="65"/>
  <c r="T246" i="65"/>
  <c r="S246" i="65"/>
  <c r="R246" i="65"/>
  <c r="T245" i="65"/>
  <c r="S245" i="65"/>
  <c r="R245" i="65"/>
  <c r="T244" i="65"/>
  <c r="S244" i="65"/>
  <c r="R244" i="65"/>
  <c r="T243" i="65"/>
  <c r="S243" i="65"/>
  <c r="R243" i="65"/>
  <c r="T242" i="65"/>
  <c r="R242" i="65"/>
  <c r="T241" i="65"/>
  <c r="S241" i="65"/>
  <c r="R241" i="65"/>
  <c r="T240" i="65"/>
  <c r="S240" i="65"/>
  <c r="R240" i="65"/>
  <c r="T239" i="65"/>
  <c r="S239" i="65"/>
  <c r="R239" i="65"/>
  <c r="T238" i="65"/>
  <c r="S238" i="65"/>
  <c r="R238" i="65"/>
  <c r="T237" i="65"/>
  <c r="S237" i="65"/>
  <c r="R237" i="65"/>
  <c r="T236" i="65"/>
  <c r="S236" i="65"/>
  <c r="R236" i="65"/>
  <c r="T235" i="65"/>
  <c r="S235" i="65"/>
  <c r="R235" i="65"/>
  <c r="T234" i="65"/>
  <c r="S234" i="65"/>
  <c r="R234" i="65"/>
  <c r="T233" i="65"/>
  <c r="S233" i="65"/>
  <c r="R233" i="65"/>
  <c r="T232" i="65"/>
  <c r="S232" i="65"/>
  <c r="R232" i="65"/>
  <c r="T231" i="65"/>
  <c r="S231" i="65"/>
  <c r="R231" i="65"/>
  <c r="T230" i="65"/>
  <c r="S230" i="65"/>
  <c r="R230" i="65"/>
  <c r="T229" i="65"/>
  <c r="R229" i="65"/>
  <c r="T228" i="65"/>
  <c r="S228" i="65"/>
  <c r="R228" i="65"/>
  <c r="T227" i="65"/>
  <c r="S227" i="65"/>
  <c r="R227" i="65"/>
  <c r="T226" i="65"/>
  <c r="S226" i="65"/>
  <c r="R226" i="65"/>
  <c r="T225" i="65"/>
  <c r="S225" i="65"/>
  <c r="R225" i="65"/>
  <c r="T224" i="65"/>
  <c r="R224" i="65"/>
  <c r="T223" i="65"/>
  <c r="R223" i="65"/>
  <c r="T222" i="65"/>
  <c r="R222" i="65"/>
  <c r="T221" i="65"/>
  <c r="R221" i="65"/>
  <c r="T220" i="65"/>
  <c r="R220" i="65"/>
  <c r="T219" i="65"/>
  <c r="R219" i="65"/>
  <c r="T218" i="65"/>
  <c r="R218" i="65"/>
  <c r="T217" i="65"/>
  <c r="R217" i="65"/>
  <c r="T216" i="65"/>
  <c r="R216" i="65"/>
  <c r="T215" i="65"/>
  <c r="R215" i="65"/>
  <c r="T214" i="65"/>
  <c r="R214" i="65"/>
  <c r="T213" i="65"/>
  <c r="R213" i="65"/>
  <c r="T212" i="65"/>
  <c r="R212" i="65"/>
  <c r="T211" i="65"/>
  <c r="R211" i="65"/>
  <c r="T210" i="65"/>
  <c r="R210" i="65"/>
  <c r="T209" i="65"/>
  <c r="R209" i="65"/>
  <c r="T208" i="65"/>
  <c r="R208" i="65"/>
  <c r="T207" i="65"/>
  <c r="R207" i="65"/>
  <c r="T206" i="65"/>
  <c r="S206" i="65"/>
  <c r="R206" i="65"/>
  <c r="T205" i="65"/>
  <c r="R205" i="65"/>
  <c r="T204" i="65"/>
  <c r="S204" i="65"/>
  <c r="R204" i="65"/>
  <c r="T203" i="65"/>
  <c r="S203" i="65"/>
  <c r="R203" i="65"/>
  <c r="T202" i="65"/>
  <c r="S202" i="65"/>
  <c r="R202" i="65"/>
  <c r="T201" i="65"/>
  <c r="S201" i="65"/>
  <c r="R201" i="65"/>
  <c r="T200" i="65"/>
  <c r="R200" i="65"/>
  <c r="T199" i="65"/>
  <c r="R199" i="65"/>
  <c r="T198" i="65"/>
  <c r="R198" i="65"/>
  <c r="T197" i="65"/>
  <c r="R197" i="65"/>
  <c r="T196" i="65"/>
  <c r="R196" i="65"/>
  <c r="T195" i="65"/>
  <c r="R195" i="65"/>
  <c r="T194" i="65"/>
  <c r="R194" i="65"/>
  <c r="T193" i="65"/>
  <c r="R193" i="65"/>
  <c r="T192" i="65"/>
  <c r="R192" i="65"/>
  <c r="T191" i="65"/>
  <c r="R191" i="65"/>
  <c r="T190" i="65"/>
  <c r="R190" i="65"/>
  <c r="T189" i="65"/>
  <c r="R189" i="65"/>
  <c r="T188" i="65"/>
  <c r="R188" i="65"/>
  <c r="T187" i="65"/>
  <c r="R187" i="65"/>
  <c r="T186" i="65"/>
  <c r="R186" i="65"/>
  <c r="T185" i="65"/>
  <c r="R185" i="65"/>
  <c r="T184" i="65"/>
  <c r="R184" i="65"/>
  <c r="T183" i="65"/>
  <c r="R183" i="65"/>
  <c r="T182" i="65"/>
  <c r="S182" i="65"/>
  <c r="R182" i="65"/>
  <c r="T181" i="65"/>
  <c r="R181" i="65"/>
  <c r="T180" i="65"/>
  <c r="S180" i="65"/>
  <c r="R180" i="65"/>
  <c r="T179" i="65"/>
  <c r="R179" i="65"/>
  <c r="T178" i="65"/>
  <c r="R178" i="65"/>
  <c r="T177" i="65"/>
  <c r="R177" i="65"/>
  <c r="T176" i="65"/>
  <c r="R176" i="65"/>
  <c r="T175" i="65"/>
  <c r="R175" i="65"/>
  <c r="T174" i="65"/>
  <c r="R174" i="65"/>
  <c r="T173" i="65"/>
  <c r="R173" i="65"/>
  <c r="T172" i="65"/>
  <c r="R172" i="65"/>
  <c r="T171" i="65"/>
  <c r="R171" i="65"/>
  <c r="T170" i="65"/>
  <c r="R170" i="65"/>
  <c r="T169" i="65"/>
  <c r="R169" i="65"/>
  <c r="T168" i="65"/>
  <c r="R168" i="65"/>
  <c r="T167" i="65"/>
  <c r="R167" i="65"/>
  <c r="T166" i="65"/>
  <c r="R166" i="65"/>
  <c r="T165" i="65"/>
  <c r="R165" i="65"/>
  <c r="T164" i="65"/>
  <c r="S164" i="65"/>
  <c r="R164" i="65"/>
  <c r="T163" i="65"/>
  <c r="R163" i="65"/>
  <c r="T162" i="65"/>
  <c r="S162" i="65"/>
  <c r="R162" i="65"/>
  <c r="T161" i="65"/>
  <c r="S161" i="65"/>
  <c r="R161" i="65"/>
  <c r="T160" i="65"/>
  <c r="S160" i="65"/>
  <c r="R160" i="65"/>
  <c r="T159" i="65"/>
  <c r="S159" i="65"/>
  <c r="R159" i="65"/>
  <c r="T158" i="65"/>
  <c r="R158" i="65"/>
  <c r="T157" i="65"/>
  <c r="R157" i="65"/>
  <c r="T156" i="65"/>
  <c r="R156" i="65"/>
  <c r="T155" i="65"/>
  <c r="S155" i="65"/>
  <c r="R155" i="65"/>
  <c r="T154" i="65"/>
  <c r="R154" i="65"/>
  <c r="T153" i="65"/>
  <c r="R153" i="65"/>
  <c r="T152" i="65"/>
  <c r="R152" i="65"/>
  <c r="T151" i="65"/>
  <c r="R151" i="65"/>
  <c r="T150" i="65"/>
  <c r="R150" i="65"/>
  <c r="T149" i="65"/>
  <c r="R149" i="65"/>
  <c r="T148" i="65"/>
  <c r="R148" i="65"/>
  <c r="T147" i="65"/>
  <c r="R147" i="65"/>
  <c r="T146" i="65"/>
  <c r="R146" i="65"/>
  <c r="T145" i="65"/>
  <c r="R145" i="65"/>
  <c r="T144" i="65"/>
  <c r="R144" i="65"/>
  <c r="T143" i="65"/>
  <c r="R143" i="65"/>
  <c r="T142" i="65"/>
  <c r="R142" i="65"/>
  <c r="T141" i="65"/>
  <c r="R141" i="65"/>
  <c r="T140" i="65"/>
  <c r="R140" i="65"/>
  <c r="T139" i="65"/>
  <c r="R139" i="65"/>
  <c r="T138" i="65"/>
  <c r="S138" i="65"/>
  <c r="R138" i="65"/>
  <c r="T137" i="65"/>
  <c r="R137" i="65"/>
  <c r="T136" i="65"/>
  <c r="R136" i="65"/>
  <c r="T135" i="65"/>
  <c r="R135" i="65"/>
  <c r="T134" i="65"/>
  <c r="S134" i="65"/>
  <c r="R134" i="65"/>
  <c r="T133" i="65"/>
  <c r="R133" i="65"/>
  <c r="T132" i="65"/>
  <c r="R132" i="65"/>
  <c r="T131" i="65"/>
  <c r="R131" i="65"/>
  <c r="T130" i="65"/>
  <c r="R130" i="65"/>
  <c r="T129" i="65"/>
  <c r="R129" i="65"/>
  <c r="T128" i="65"/>
  <c r="R128" i="65"/>
  <c r="T127" i="65"/>
  <c r="R127" i="65"/>
  <c r="T126" i="65"/>
  <c r="R126" i="65"/>
  <c r="T125" i="65"/>
  <c r="R125" i="65"/>
  <c r="T124" i="65"/>
  <c r="R124" i="65"/>
  <c r="T123" i="65"/>
  <c r="R123" i="65"/>
  <c r="T122" i="65"/>
  <c r="R122" i="65"/>
  <c r="T121" i="65"/>
  <c r="R121" i="65"/>
  <c r="T120" i="65"/>
  <c r="S120" i="65"/>
  <c r="R120" i="65"/>
  <c r="T119" i="65"/>
  <c r="S119" i="65"/>
  <c r="R119" i="65"/>
  <c r="T118" i="65"/>
  <c r="S118" i="65"/>
  <c r="R118" i="65"/>
  <c r="T117" i="65"/>
  <c r="S117" i="65"/>
  <c r="R117" i="65"/>
  <c r="T116" i="65"/>
  <c r="R116" i="65"/>
  <c r="T115" i="65"/>
  <c r="R115" i="65"/>
  <c r="T114" i="65"/>
  <c r="R114" i="65"/>
  <c r="T113" i="65"/>
  <c r="R113" i="65"/>
  <c r="T112" i="65"/>
  <c r="R112" i="65"/>
  <c r="T111" i="65"/>
  <c r="R111" i="65"/>
  <c r="T110" i="65"/>
  <c r="R110" i="65"/>
  <c r="T109" i="65"/>
  <c r="R109" i="65"/>
  <c r="T108" i="65"/>
  <c r="R108" i="65"/>
  <c r="T107" i="65"/>
  <c r="R107" i="65"/>
  <c r="T106" i="65"/>
  <c r="R106" i="65"/>
  <c r="T105" i="65"/>
  <c r="R105" i="65"/>
  <c r="T104" i="65"/>
  <c r="R104" i="65"/>
  <c r="T103" i="65"/>
  <c r="R103" i="65"/>
  <c r="T102" i="65"/>
  <c r="R102" i="65"/>
  <c r="T101" i="65"/>
  <c r="R101" i="65"/>
  <c r="T100" i="65"/>
  <c r="R100" i="65"/>
  <c r="T99" i="65"/>
  <c r="R99" i="65"/>
  <c r="T98" i="65"/>
  <c r="R98" i="65"/>
  <c r="T97" i="65"/>
  <c r="R97" i="65"/>
  <c r="T96" i="65"/>
  <c r="R96" i="65"/>
  <c r="T95" i="65"/>
  <c r="R95" i="65"/>
  <c r="T94" i="65"/>
  <c r="R94" i="65"/>
  <c r="T93" i="65"/>
  <c r="R93" i="65"/>
  <c r="T92" i="65"/>
  <c r="S92" i="65"/>
  <c r="R92" i="65"/>
  <c r="T91" i="65"/>
  <c r="S91" i="65"/>
  <c r="R91" i="65"/>
  <c r="T90" i="65"/>
  <c r="S90" i="65"/>
  <c r="R90" i="65"/>
  <c r="T89" i="65"/>
  <c r="R89" i="65"/>
  <c r="T88" i="65"/>
  <c r="R88" i="65"/>
  <c r="T87" i="65"/>
  <c r="R87" i="65"/>
  <c r="T86" i="65"/>
  <c r="R86" i="65"/>
  <c r="T85" i="65"/>
  <c r="R85" i="65"/>
  <c r="T84" i="65"/>
  <c r="R84" i="65"/>
  <c r="T83" i="65"/>
  <c r="R83" i="65"/>
  <c r="T82" i="65"/>
  <c r="R82" i="65"/>
  <c r="T81" i="65"/>
  <c r="R81" i="65"/>
  <c r="T80" i="65"/>
  <c r="R80" i="65"/>
  <c r="T79" i="65"/>
  <c r="R79" i="65"/>
  <c r="T78" i="65"/>
  <c r="R78" i="65"/>
  <c r="T77" i="65"/>
  <c r="S77" i="65"/>
  <c r="R77" i="65"/>
  <c r="T76" i="65"/>
  <c r="S76" i="65"/>
  <c r="R76" i="65"/>
  <c r="T75" i="65"/>
  <c r="S75" i="65"/>
  <c r="R75" i="65"/>
  <c r="T74" i="65"/>
  <c r="R74" i="65"/>
  <c r="T73" i="65"/>
  <c r="R73" i="65"/>
  <c r="T72" i="65"/>
  <c r="R72" i="65"/>
  <c r="T71" i="65"/>
  <c r="S71" i="65"/>
  <c r="R71" i="65"/>
  <c r="T70" i="65"/>
  <c r="S70" i="65"/>
  <c r="R70" i="65"/>
  <c r="T69" i="65"/>
  <c r="S69" i="65"/>
  <c r="R69" i="65"/>
  <c r="T68" i="65"/>
  <c r="R68" i="65"/>
  <c r="T67" i="65"/>
  <c r="S67" i="65"/>
  <c r="R67" i="65"/>
  <c r="T66" i="65"/>
  <c r="R66" i="65"/>
  <c r="T65" i="65"/>
  <c r="R65" i="65"/>
  <c r="T64" i="65"/>
  <c r="R64" i="65"/>
  <c r="T63" i="65"/>
  <c r="R63" i="65"/>
  <c r="T62" i="65"/>
  <c r="R62" i="65"/>
  <c r="T61" i="65"/>
  <c r="R61" i="65"/>
  <c r="T60" i="65"/>
  <c r="R60" i="65"/>
  <c r="T59" i="65"/>
  <c r="R59" i="65"/>
  <c r="T58" i="65"/>
  <c r="R58" i="65"/>
  <c r="T57" i="65"/>
  <c r="R57" i="65"/>
  <c r="T56" i="65"/>
  <c r="S56" i="65"/>
  <c r="R56" i="65"/>
  <c r="T55" i="65"/>
  <c r="R55" i="65"/>
  <c r="T54" i="65"/>
  <c r="R54" i="65"/>
  <c r="L54" i="65"/>
  <c r="K54" i="65"/>
  <c r="I54" i="65"/>
  <c r="G54" i="65"/>
  <c r="F54" i="65"/>
  <c r="A54" i="65"/>
  <c r="T53" i="65"/>
  <c r="S53" i="65"/>
  <c r="T52" i="65"/>
  <c r="S52" i="65"/>
  <c r="R52" i="65"/>
  <c r="T51" i="65"/>
  <c r="S51" i="65"/>
  <c r="R51" i="65"/>
  <c r="D51" i="65"/>
  <c r="S39" i="65" s="1"/>
  <c r="T50" i="65"/>
  <c r="S50" i="65"/>
  <c r="R50" i="65"/>
  <c r="D50" i="65"/>
  <c r="S38" i="65" s="1"/>
  <c r="T49" i="65"/>
  <c r="R49" i="65"/>
  <c r="T48" i="65"/>
  <c r="R48" i="65"/>
  <c r="D48" i="65"/>
  <c r="C54" i="65" s="1"/>
  <c r="T47" i="65"/>
  <c r="R47" i="65"/>
  <c r="T46" i="65"/>
  <c r="R46" i="65"/>
  <c r="T45" i="65"/>
  <c r="R45" i="65"/>
  <c r="B45" i="65"/>
  <c r="T44" i="65"/>
  <c r="R44" i="65"/>
  <c r="T43" i="65"/>
  <c r="R43" i="65"/>
  <c r="T42" i="65"/>
  <c r="R42" i="65"/>
  <c r="T41" i="65"/>
  <c r="R41" i="65"/>
  <c r="D41" i="65"/>
  <c r="S112" i="65" s="1"/>
  <c r="T40" i="65"/>
  <c r="R40" i="65"/>
  <c r="D40" i="65"/>
  <c r="S111" i="65" s="1"/>
  <c r="T39" i="65"/>
  <c r="R39" i="65"/>
  <c r="H39" i="65"/>
  <c r="S173" i="65" s="1"/>
  <c r="B39" i="65"/>
  <c r="D39" i="65" s="1"/>
  <c r="T38" i="65"/>
  <c r="R38" i="65"/>
  <c r="H38" i="65"/>
  <c r="S172" i="65" s="1"/>
  <c r="B38" i="65"/>
  <c r="D38" i="65" s="1"/>
  <c r="T37" i="65"/>
  <c r="R37" i="65"/>
  <c r="H37" i="65"/>
  <c r="S171" i="65" s="1"/>
  <c r="D37" i="65"/>
  <c r="S108" i="65" s="1"/>
  <c r="B37" i="65"/>
  <c r="S66" i="65" s="1"/>
  <c r="T36" i="65"/>
  <c r="R36" i="65"/>
  <c r="H36" i="65"/>
  <c r="S170" i="65" s="1"/>
  <c r="D36" i="65"/>
  <c r="S107" i="65" s="1"/>
  <c r="B36" i="65"/>
  <c r="S65" i="65" s="1"/>
  <c r="T35" i="65"/>
  <c r="R35" i="65"/>
  <c r="H35" i="65"/>
  <c r="S169" i="65" s="1"/>
  <c r="B35" i="65"/>
  <c r="S64" i="65" s="1"/>
  <c r="T34" i="65"/>
  <c r="R34" i="65"/>
  <c r="H34" i="65"/>
  <c r="S168" i="65" s="1"/>
  <c r="B34" i="65"/>
  <c r="T33" i="65"/>
  <c r="R33" i="65"/>
  <c r="H33" i="65"/>
  <c r="S167" i="65" s="1"/>
  <c r="B33" i="65"/>
  <c r="S62" i="65" s="1"/>
  <c r="T32" i="65"/>
  <c r="R32" i="65"/>
  <c r="H32" i="65"/>
  <c r="S166" i="65" s="1"/>
  <c r="B32" i="65"/>
  <c r="S61" i="65" s="1"/>
  <c r="T31" i="65"/>
  <c r="R31" i="65"/>
  <c r="H31" i="65"/>
  <c r="S165" i="65" s="1"/>
  <c r="T30" i="65"/>
  <c r="R30" i="65"/>
  <c r="T29" i="65"/>
  <c r="R29" i="65"/>
  <c r="I29" i="65"/>
  <c r="S184" i="65" s="1"/>
  <c r="B29" i="65"/>
  <c r="S58" i="65" s="1"/>
  <c r="T28" i="65"/>
  <c r="R28" i="65"/>
  <c r="B28" i="65"/>
  <c r="C50" i="65" s="1"/>
  <c r="S34" i="65" s="1"/>
  <c r="T27" i="65"/>
  <c r="S27" i="65"/>
  <c r="R27" i="65"/>
  <c r="G27" i="65"/>
  <c r="S140" i="65" s="1"/>
  <c r="F27" i="65"/>
  <c r="S229" i="65" s="1"/>
  <c r="D27" i="65"/>
  <c r="S98" i="65" s="1"/>
  <c r="T26" i="65"/>
  <c r="R26" i="65"/>
  <c r="D26" i="65"/>
  <c r="S97" i="65" s="1"/>
  <c r="B26" i="65"/>
  <c r="S55" i="65" s="1"/>
  <c r="T25" i="65"/>
  <c r="S25" i="65"/>
  <c r="R25" i="65"/>
  <c r="B25" i="65"/>
  <c r="S54" i="65" s="1"/>
  <c r="T24" i="65"/>
  <c r="S24" i="65"/>
  <c r="R24" i="65"/>
  <c r="T23" i="65"/>
  <c r="S23" i="65"/>
  <c r="R23" i="65"/>
  <c r="T22" i="65"/>
  <c r="R22" i="65"/>
  <c r="B22" i="65"/>
  <c r="S22" i="65" s="1"/>
  <c r="T21" i="65"/>
  <c r="R21" i="65"/>
  <c r="T20" i="65"/>
  <c r="R20" i="65"/>
  <c r="C20" i="65"/>
  <c r="B20" i="65"/>
  <c r="S20" i="65" s="1"/>
  <c r="T19" i="65"/>
  <c r="R19" i="65"/>
  <c r="D19" i="65"/>
  <c r="S223" i="65" s="1"/>
  <c r="B19" i="65"/>
  <c r="S19" i="65" s="1"/>
  <c r="T18" i="65"/>
  <c r="R18" i="65"/>
  <c r="D18" i="65"/>
  <c r="D20" i="65" s="1"/>
  <c r="S224" i="65" s="1"/>
  <c r="B18" i="65"/>
  <c r="S18" i="65" s="1"/>
  <c r="T17" i="65"/>
  <c r="R17" i="65"/>
  <c r="T16" i="65"/>
  <c r="R16" i="65"/>
  <c r="T15" i="65"/>
  <c r="S15" i="65"/>
  <c r="R15" i="65"/>
  <c r="T14" i="65"/>
  <c r="R14" i="65"/>
  <c r="T13" i="65"/>
  <c r="S13" i="65"/>
  <c r="R13" i="65"/>
  <c r="T12" i="65"/>
  <c r="R12" i="65"/>
  <c r="T11" i="65"/>
  <c r="S11" i="65"/>
  <c r="R11" i="65"/>
  <c r="T10" i="65"/>
  <c r="S10" i="65"/>
  <c r="R10" i="65"/>
  <c r="T9" i="65"/>
  <c r="R9" i="65"/>
  <c r="T8" i="65"/>
  <c r="S8" i="65"/>
  <c r="R8" i="65"/>
  <c r="T7" i="65"/>
  <c r="S7" i="65"/>
  <c r="R7" i="65"/>
  <c r="C7" i="65"/>
  <c r="T6" i="65"/>
  <c r="R6" i="65"/>
  <c r="T5" i="65"/>
  <c r="S5" i="65"/>
  <c r="R5" i="65"/>
  <c r="T4" i="65"/>
  <c r="S4" i="65"/>
  <c r="R4" i="65"/>
  <c r="T3" i="65"/>
  <c r="S3" i="65"/>
  <c r="R3" i="65"/>
  <c r="B3" i="65"/>
  <c r="S6" i="65" s="1"/>
  <c r="T2" i="65"/>
  <c r="S2" i="65"/>
  <c r="R2" i="65"/>
  <c r="T248" i="64"/>
  <c r="R248" i="64"/>
  <c r="T247" i="64"/>
  <c r="S247" i="64"/>
  <c r="R247" i="64"/>
  <c r="T246" i="64"/>
  <c r="S246" i="64"/>
  <c r="R246" i="64"/>
  <c r="T245" i="64"/>
  <c r="S245" i="64"/>
  <c r="R245" i="64"/>
  <c r="T244" i="64"/>
  <c r="S244" i="64"/>
  <c r="R244" i="64"/>
  <c r="T243" i="64"/>
  <c r="S243" i="64"/>
  <c r="R243" i="64"/>
  <c r="T242" i="64"/>
  <c r="R242" i="64"/>
  <c r="T241" i="64"/>
  <c r="S241" i="64"/>
  <c r="R241" i="64"/>
  <c r="T240" i="64"/>
  <c r="S240" i="64"/>
  <c r="R240" i="64"/>
  <c r="T239" i="64"/>
  <c r="S239" i="64"/>
  <c r="R239" i="64"/>
  <c r="T238" i="64"/>
  <c r="S238" i="64"/>
  <c r="R238" i="64"/>
  <c r="T237" i="64"/>
  <c r="S237" i="64"/>
  <c r="R237" i="64"/>
  <c r="T236" i="64"/>
  <c r="S236" i="64"/>
  <c r="R236" i="64"/>
  <c r="T235" i="64"/>
  <c r="S235" i="64"/>
  <c r="R235" i="64"/>
  <c r="T234" i="64"/>
  <c r="S234" i="64"/>
  <c r="R234" i="64"/>
  <c r="T233" i="64"/>
  <c r="S233" i="64"/>
  <c r="R233" i="64"/>
  <c r="T232" i="64"/>
  <c r="S232" i="64"/>
  <c r="R232" i="64"/>
  <c r="T231" i="64"/>
  <c r="S231" i="64"/>
  <c r="R231" i="64"/>
  <c r="T230" i="64"/>
  <c r="S230" i="64"/>
  <c r="R230" i="64"/>
  <c r="T229" i="64"/>
  <c r="R229" i="64"/>
  <c r="T228" i="64"/>
  <c r="S228" i="64"/>
  <c r="R228" i="64"/>
  <c r="T227" i="64"/>
  <c r="S227" i="64"/>
  <c r="R227" i="64"/>
  <c r="T226" i="64"/>
  <c r="S226" i="64"/>
  <c r="R226" i="64"/>
  <c r="T225" i="64"/>
  <c r="S225" i="64"/>
  <c r="R225" i="64"/>
  <c r="T224" i="64"/>
  <c r="R224" i="64"/>
  <c r="T223" i="64"/>
  <c r="R223" i="64"/>
  <c r="T222" i="64"/>
  <c r="R222" i="64"/>
  <c r="T221" i="64"/>
  <c r="R221" i="64"/>
  <c r="T220" i="64"/>
  <c r="R220" i="64"/>
  <c r="T219" i="64"/>
  <c r="R219" i="64"/>
  <c r="T218" i="64"/>
  <c r="R218" i="64"/>
  <c r="T217" i="64"/>
  <c r="R217" i="64"/>
  <c r="T216" i="64"/>
  <c r="R216" i="64"/>
  <c r="T215" i="64"/>
  <c r="R215" i="64"/>
  <c r="T214" i="64"/>
  <c r="R214" i="64"/>
  <c r="T213" i="64"/>
  <c r="R213" i="64"/>
  <c r="T212" i="64"/>
  <c r="R212" i="64"/>
  <c r="T211" i="64"/>
  <c r="R211" i="64"/>
  <c r="T210" i="64"/>
  <c r="R210" i="64"/>
  <c r="T209" i="64"/>
  <c r="R209" i="64"/>
  <c r="T208" i="64"/>
  <c r="R208" i="64"/>
  <c r="T207" i="64"/>
  <c r="R207" i="64"/>
  <c r="T206" i="64"/>
  <c r="S206" i="64"/>
  <c r="R206" i="64"/>
  <c r="T205" i="64"/>
  <c r="R205" i="64"/>
  <c r="T204" i="64"/>
  <c r="S204" i="64"/>
  <c r="R204" i="64"/>
  <c r="T203" i="64"/>
  <c r="S203" i="64"/>
  <c r="R203" i="64"/>
  <c r="T202" i="64"/>
  <c r="S202" i="64"/>
  <c r="R202" i="64"/>
  <c r="T201" i="64"/>
  <c r="S201" i="64"/>
  <c r="R201" i="64"/>
  <c r="T200" i="64"/>
  <c r="R200" i="64"/>
  <c r="T199" i="64"/>
  <c r="R199" i="64"/>
  <c r="T198" i="64"/>
  <c r="R198" i="64"/>
  <c r="T197" i="64"/>
  <c r="R197" i="64"/>
  <c r="T196" i="64"/>
  <c r="R196" i="64"/>
  <c r="T195" i="64"/>
  <c r="R195" i="64"/>
  <c r="T194" i="64"/>
  <c r="R194" i="64"/>
  <c r="T193" i="64"/>
  <c r="R193" i="64"/>
  <c r="T192" i="64"/>
  <c r="R192" i="64"/>
  <c r="T191" i="64"/>
  <c r="R191" i="64"/>
  <c r="T190" i="64"/>
  <c r="R190" i="64"/>
  <c r="T189" i="64"/>
  <c r="R189" i="64"/>
  <c r="T188" i="64"/>
  <c r="R188" i="64"/>
  <c r="T187" i="64"/>
  <c r="R187" i="64"/>
  <c r="T186" i="64"/>
  <c r="R186" i="64"/>
  <c r="T185" i="64"/>
  <c r="R185" i="64"/>
  <c r="T184" i="64"/>
  <c r="R184" i="64"/>
  <c r="T183" i="64"/>
  <c r="R183" i="64"/>
  <c r="T182" i="64"/>
  <c r="S182" i="64"/>
  <c r="R182" i="64"/>
  <c r="T181" i="64"/>
  <c r="R181" i="64"/>
  <c r="T180" i="64"/>
  <c r="S180" i="64"/>
  <c r="R180" i="64"/>
  <c r="T179" i="64"/>
  <c r="R179" i="64"/>
  <c r="T178" i="64"/>
  <c r="R178" i="64"/>
  <c r="T177" i="64"/>
  <c r="R177" i="64"/>
  <c r="T176" i="64"/>
  <c r="R176" i="64"/>
  <c r="T175" i="64"/>
  <c r="R175" i="64"/>
  <c r="T174" i="64"/>
  <c r="R174" i="64"/>
  <c r="T173" i="64"/>
  <c r="R173" i="64"/>
  <c r="T172" i="64"/>
  <c r="R172" i="64"/>
  <c r="T171" i="64"/>
  <c r="R171" i="64"/>
  <c r="T170" i="64"/>
  <c r="R170" i="64"/>
  <c r="T169" i="64"/>
  <c r="R169" i="64"/>
  <c r="T168" i="64"/>
  <c r="R168" i="64"/>
  <c r="T167" i="64"/>
  <c r="R167" i="64"/>
  <c r="T166" i="64"/>
  <c r="R166" i="64"/>
  <c r="T165" i="64"/>
  <c r="R165" i="64"/>
  <c r="T164" i="64"/>
  <c r="S164" i="64"/>
  <c r="R164" i="64"/>
  <c r="T163" i="64"/>
  <c r="R163" i="64"/>
  <c r="T162" i="64"/>
  <c r="S162" i="64"/>
  <c r="R162" i="64"/>
  <c r="T161" i="64"/>
  <c r="S161" i="64"/>
  <c r="R161" i="64"/>
  <c r="T160" i="64"/>
  <c r="S160" i="64"/>
  <c r="R160" i="64"/>
  <c r="T159" i="64"/>
  <c r="S159" i="64"/>
  <c r="R159" i="64"/>
  <c r="T158" i="64"/>
  <c r="R158" i="64"/>
  <c r="T157" i="64"/>
  <c r="R157" i="64"/>
  <c r="T156" i="64"/>
  <c r="R156" i="64"/>
  <c r="T155" i="64"/>
  <c r="S155" i="64"/>
  <c r="R155" i="64"/>
  <c r="T154" i="64"/>
  <c r="R154" i="64"/>
  <c r="T153" i="64"/>
  <c r="R153" i="64"/>
  <c r="T152" i="64"/>
  <c r="R152" i="64"/>
  <c r="T151" i="64"/>
  <c r="R151" i="64"/>
  <c r="T150" i="64"/>
  <c r="R150" i="64"/>
  <c r="T149" i="64"/>
  <c r="R149" i="64"/>
  <c r="T148" i="64"/>
  <c r="R148" i="64"/>
  <c r="T147" i="64"/>
  <c r="R147" i="64"/>
  <c r="T146" i="64"/>
  <c r="R146" i="64"/>
  <c r="T145" i="64"/>
  <c r="R145" i="64"/>
  <c r="T144" i="64"/>
  <c r="R144" i="64"/>
  <c r="T143" i="64"/>
  <c r="R143" i="64"/>
  <c r="T142" i="64"/>
  <c r="R142" i="64"/>
  <c r="T141" i="64"/>
  <c r="R141" i="64"/>
  <c r="T140" i="64"/>
  <c r="R140" i="64"/>
  <c r="T139" i="64"/>
  <c r="R139" i="64"/>
  <c r="T138" i="64"/>
  <c r="S138" i="64"/>
  <c r="R138" i="64"/>
  <c r="T137" i="64"/>
  <c r="R137" i="64"/>
  <c r="T136" i="64"/>
  <c r="R136" i="64"/>
  <c r="T135" i="64"/>
  <c r="R135" i="64"/>
  <c r="T134" i="64"/>
  <c r="S134" i="64"/>
  <c r="R134" i="64"/>
  <c r="T133" i="64"/>
  <c r="R133" i="64"/>
  <c r="T132" i="64"/>
  <c r="R132" i="64"/>
  <c r="T131" i="64"/>
  <c r="R131" i="64"/>
  <c r="T130" i="64"/>
  <c r="R130" i="64"/>
  <c r="T129" i="64"/>
  <c r="R129" i="64"/>
  <c r="T128" i="64"/>
  <c r="R128" i="64"/>
  <c r="T127" i="64"/>
  <c r="R127" i="64"/>
  <c r="T126" i="64"/>
  <c r="R126" i="64"/>
  <c r="T125" i="64"/>
  <c r="R125" i="64"/>
  <c r="T124" i="64"/>
  <c r="R124" i="64"/>
  <c r="T123" i="64"/>
  <c r="R123" i="64"/>
  <c r="T122" i="64"/>
  <c r="R122" i="64"/>
  <c r="T121" i="64"/>
  <c r="R121" i="64"/>
  <c r="T120" i="64"/>
  <c r="S120" i="64"/>
  <c r="R120" i="64"/>
  <c r="T119" i="64"/>
  <c r="S119" i="64"/>
  <c r="R119" i="64"/>
  <c r="T118" i="64"/>
  <c r="S118" i="64"/>
  <c r="R118" i="64"/>
  <c r="T117" i="64"/>
  <c r="S117" i="64"/>
  <c r="R117" i="64"/>
  <c r="T116" i="64"/>
  <c r="R116" i="64"/>
  <c r="T115" i="64"/>
  <c r="R115" i="64"/>
  <c r="T114" i="64"/>
  <c r="R114" i="64"/>
  <c r="T113" i="64"/>
  <c r="R113" i="64"/>
  <c r="T112" i="64"/>
  <c r="R112" i="64"/>
  <c r="T111" i="64"/>
  <c r="R111" i="64"/>
  <c r="T110" i="64"/>
  <c r="R110" i="64"/>
  <c r="T109" i="64"/>
  <c r="R109" i="64"/>
  <c r="T108" i="64"/>
  <c r="R108" i="64"/>
  <c r="T107" i="64"/>
  <c r="R107" i="64"/>
  <c r="T106" i="64"/>
  <c r="R106" i="64"/>
  <c r="T105" i="64"/>
  <c r="R105" i="64"/>
  <c r="T104" i="64"/>
  <c r="R104" i="64"/>
  <c r="T103" i="64"/>
  <c r="R103" i="64"/>
  <c r="T102" i="64"/>
  <c r="R102" i="64"/>
  <c r="T101" i="64"/>
  <c r="R101" i="64"/>
  <c r="T100" i="64"/>
  <c r="R100" i="64"/>
  <c r="T99" i="64"/>
  <c r="R99" i="64"/>
  <c r="T98" i="64"/>
  <c r="R98" i="64"/>
  <c r="T97" i="64"/>
  <c r="R97" i="64"/>
  <c r="T96" i="64"/>
  <c r="R96" i="64"/>
  <c r="T95" i="64"/>
  <c r="R95" i="64"/>
  <c r="T94" i="64"/>
  <c r="R94" i="64"/>
  <c r="T93" i="64"/>
  <c r="R93" i="64"/>
  <c r="T92" i="64"/>
  <c r="S92" i="64"/>
  <c r="R92" i="64"/>
  <c r="T91" i="64"/>
  <c r="S91" i="64"/>
  <c r="R91" i="64"/>
  <c r="T90" i="64"/>
  <c r="S90" i="64"/>
  <c r="R90" i="64"/>
  <c r="T89" i="64"/>
  <c r="R89" i="64"/>
  <c r="T88" i="64"/>
  <c r="R88" i="64"/>
  <c r="T87" i="64"/>
  <c r="R87" i="64"/>
  <c r="T86" i="64"/>
  <c r="R86" i="64"/>
  <c r="T85" i="64"/>
  <c r="R85" i="64"/>
  <c r="T84" i="64"/>
  <c r="R84" i="64"/>
  <c r="T83" i="64"/>
  <c r="R83" i="64"/>
  <c r="T82" i="64"/>
  <c r="R82" i="64"/>
  <c r="T81" i="64"/>
  <c r="R81" i="64"/>
  <c r="T80" i="64"/>
  <c r="R80" i="64"/>
  <c r="T79" i="64"/>
  <c r="R79" i="64"/>
  <c r="T78" i="64"/>
  <c r="R78" i="64"/>
  <c r="T77" i="64"/>
  <c r="S77" i="64"/>
  <c r="R77" i="64"/>
  <c r="T76" i="64"/>
  <c r="S76" i="64"/>
  <c r="R76" i="64"/>
  <c r="T75" i="64"/>
  <c r="S75" i="64"/>
  <c r="R75" i="64"/>
  <c r="T74" i="64"/>
  <c r="R74" i="64"/>
  <c r="T73" i="64"/>
  <c r="R73" i="64"/>
  <c r="T72" i="64"/>
  <c r="R72" i="64"/>
  <c r="T71" i="64"/>
  <c r="S71" i="64"/>
  <c r="R71" i="64"/>
  <c r="T70" i="64"/>
  <c r="S70" i="64"/>
  <c r="R70" i="64"/>
  <c r="T69" i="64"/>
  <c r="S69" i="64"/>
  <c r="R69" i="64"/>
  <c r="T68" i="64"/>
  <c r="R68" i="64"/>
  <c r="T67" i="64"/>
  <c r="R67" i="64"/>
  <c r="T66" i="64"/>
  <c r="R66" i="64"/>
  <c r="T65" i="64"/>
  <c r="R65" i="64"/>
  <c r="T64" i="64"/>
  <c r="R64" i="64"/>
  <c r="T63" i="64"/>
  <c r="R63" i="64"/>
  <c r="T62" i="64"/>
  <c r="R62" i="64"/>
  <c r="T61" i="64"/>
  <c r="R61" i="64"/>
  <c r="T60" i="64"/>
  <c r="R60" i="64"/>
  <c r="T59" i="64"/>
  <c r="R59" i="64"/>
  <c r="T58" i="64"/>
  <c r="R58" i="64"/>
  <c r="T57" i="64"/>
  <c r="R57" i="64"/>
  <c r="T56" i="64"/>
  <c r="S56" i="64"/>
  <c r="R56" i="64"/>
  <c r="T55" i="64"/>
  <c r="R55" i="64"/>
  <c r="T54" i="64"/>
  <c r="R54" i="64"/>
  <c r="L54" i="64"/>
  <c r="K54" i="64"/>
  <c r="I54" i="64"/>
  <c r="G54" i="64"/>
  <c r="F54" i="64"/>
  <c r="A54" i="64"/>
  <c r="T53" i="64"/>
  <c r="S53" i="64"/>
  <c r="T52" i="64"/>
  <c r="S52" i="64"/>
  <c r="R52" i="64"/>
  <c r="T51" i="64"/>
  <c r="S51" i="64"/>
  <c r="R51" i="64"/>
  <c r="D51" i="64"/>
  <c r="S39" i="64" s="1"/>
  <c r="T50" i="64"/>
  <c r="S50" i="64"/>
  <c r="R50" i="64"/>
  <c r="D50" i="64"/>
  <c r="S38" i="64" s="1"/>
  <c r="T49" i="64"/>
  <c r="R49" i="64"/>
  <c r="T48" i="64"/>
  <c r="R48" i="64"/>
  <c r="D48" i="64"/>
  <c r="C54" i="64" s="1"/>
  <c r="T47" i="64"/>
  <c r="R47" i="64"/>
  <c r="T46" i="64"/>
  <c r="R46" i="64"/>
  <c r="T45" i="64"/>
  <c r="R45" i="64"/>
  <c r="B45" i="64"/>
  <c r="T44" i="64"/>
  <c r="R44" i="64"/>
  <c r="T43" i="64"/>
  <c r="R43" i="64"/>
  <c r="T42" i="64"/>
  <c r="R42" i="64"/>
  <c r="T41" i="64"/>
  <c r="R41" i="64"/>
  <c r="D41" i="64"/>
  <c r="S112" i="64" s="1"/>
  <c r="T40" i="64"/>
  <c r="R40" i="64"/>
  <c r="G40" i="64"/>
  <c r="S153" i="64" s="1"/>
  <c r="D40" i="64"/>
  <c r="S111" i="64" s="1"/>
  <c r="T39" i="64"/>
  <c r="R39" i="64"/>
  <c r="H39" i="64"/>
  <c r="S173" i="64" s="1"/>
  <c r="B39" i="64"/>
  <c r="D39" i="64" s="1"/>
  <c r="T38" i="64"/>
  <c r="R38" i="64"/>
  <c r="H38" i="64"/>
  <c r="S172" i="64" s="1"/>
  <c r="B38" i="64"/>
  <c r="D38" i="64" s="1"/>
  <c r="T37" i="64"/>
  <c r="R37" i="64"/>
  <c r="H37" i="64"/>
  <c r="S171" i="64" s="1"/>
  <c r="B37" i="64"/>
  <c r="T36" i="64"/>
  <c r="R36" i="64"/>
  <c r="H36" i="64"/>
  <c r="S170" i="64" s="1"/>
  <c r="B36" i="64"/>
  <c r="D36" i="64" s="1"/>
  <c r="T35" i="64"/>
  <c r="R35" i="64"/>
  <c r="H35" i="64"/>
  <c r="S169" i="64" s="1"/>
  <c r="B35" i="64"/>
  <c r="S64" i="64" s="1"/>
  <c r="T34" i="64"/>
  <c r="R34" i="64"/>
  <c r="H34" i="64"/>
  <c r="S168" i="64" s="1"/>
  <c r="B34" i="64"/>
  <c r="D34" i="64" s="1"/>
  <c r="T33" i="64"/>
  <c r="R33" i="64"/>
  <c r="H33" i="64"/>
  <c r="S167" i="64" s="1"/>
  <c r="B33" i="64"/>
  <c r="D33" i="64" s="1"/>
  <c r="T32" i="64"/>
  <c r="R32" i="64"/>
  <c r="H32" i="64"/>
  <c r="S166" i="64" s="1"/>
  <c r="B32" i="64"/>
  <c r="S61" i="64" s="1"/>
  <c r="T31" i="64"/>
  <c r="R31" i="64"/>
  <c r="H31" i="64"/>
  <c r="S165" i="64" s="1"/>
  <c r="T30" i="64"/>
  <c r="R30" i="64"/>
  <c r="T29" i="64"/>
  <c r="R29" i="64"/>
  <c r="B29" i="64"/>
  <c r="S58" i="64" s="1"/>
  <c r="T28" i="64"/>
  <c r="R28" i="64"/>
  <c r="B28" i="64"/>
  <c r="T27" i="64"/>
  <c r="S27" i="64"/>
  <c r="R27" i="64"/>
  <c r="F27" i="64"/>
  <c r="S229" i="64" s="1"/>
  <c r="D27" i="64"/>
  <c r="S98" i="64" s="1"/>
  <c r="T26" i="64"/>
  <c r="R26" i="64"/>
  <c r="B26" i="64"/>
  <c r="S55" i="64" s="1"/>
  <c r="T25" i="64"/>
  <c r="R25" i="64"/>
  <c r="B25" i="64"/>
  <c r="D25" i="64" s="1"/>
  <c r="T24" i="64"/>
  <c r="S24" i="64"/>
  <c r="R24" i="64"/>
  <c r="T23" i="64"/>
  <c r="S23" i="64"/>
  <c r="R23" i="64"/>
  <c r="T22" i="64"/>
  <c r="R22" i="64"/>
  <c r="B22" i="64"/>
  <c r="S22" i="64" s="1"/>
  <c r="T21" i="64"/>
  <c r="R21" i="64"/>
  <c r="T20" i="64"/>
  <c r="R20" i="64"/>
  <c r="C20" i="64"/>
  <c r="B21" i="64" s="1"/>
  <c r="S21" i="64" s="1"/>
  <c r="B20" i="64"/>
  <c r="S20" i="64" s="1"/>
  <c r="T19" i="64"/>
  <c r="R19" i="64"/>
  <c r="D19" i="64"/>
  <c r="S223" i="64" s="1"/>
  <c r="B19" i="64"/>
  <c r="S19" i="64" s="1"/>
  <c r="T18" i="64"/>
  <c r="S18" i="64"/>
  <c r="R18" i="64"/>
  <c r="D18" i="64"/>
  <c r="B18" i="64"/>
  <c r="T17" i="64"/>
  <c r="R17" i="64"/>
  <c r="T16" i="64"/>
  <c r="R16" i="64"/>
  <c r="T15" i="64"/>
  <c r="S15" i="64"/>
  <c r="R15" i="64"/>
  <c r="T14" i="64"/>
  <c r="R14" i="64"/>
  <c r="T13" i="64"/>
  <c r="S13" i="64"/>
  <c r="R13" i="64"/>
  <c r="T12" i="64"/>
  <c r="R12" i="64"/>
  <c r="T11" i="64"/>
  <c r="S11" i="64"/>
  <c r="R11" i="64"/>
  <c r="T10" i="64"/>
  <c r="S10" i="64"/>
  <c r="R10" i="64"/>
  <c r="T9" i="64"/>
  <c r="R9" i="64"/>
  <c r="T8" i="64"/>
  <c r="S8" i="64"/>
  <c r="R8" i="64"/>
  <c r="T7" i="64"/>
  <c r="S7" i="64"/>
  <c r="R7" i="64"/>
  <c r="C7" i="64"/>
  <c r="T6" i="64"/>
  <c r="S6" i="64"/>
  <c r="R6" i="64"/>
  <c r="T5" i="64"/>
  <c r="S5" i="64"/>
  <c r="R5" i="64"/>
  <c r="T4" i="64"/>
  <c r="S4" i="64"/>
  <c r="R4" i="64"/>
  <c r="T3" i="64"/>
  <c r="S3" i="64"/>
  <c r="R3" i="64"/>
  <c r="B3" i="64"/>
  <c r="T2" i="64"/>
  <c r="S2" i="64"/>
  <c r="R2" i="64"/>
  <c r="R3" i="31"/>
  <c r="R4" i="31"/>
  <c r="R5" i="31"/>
  <c r="R6" i="31"/>
  <c r="R7" i="31"/>
  <c r="R8" i="31"/>
  <c r="R9" i="31"/>
  <c r="R10" i="31"/>
  <c r="R11" i="31"/>
  <c r="R12" i="31"/>
  <c r="R13" i="31"/>
  <c r="R14" i="31"/>
  <c r="R15" i="31"/>
  <c r="R16" i="31"/>
  <c r="R17" i="31"/>
  <c r="R18" i="31"/>
  <c r="R19" i="31"/>
  <c r="R20" i="31"/>
  <c r="R21" i="31"/>
  <c r="R22" i="31"/>
  <c r="R23" i="31"/>
  <c r="R24" i="31"/>
  <c r="R25" i="31"/>
  <c r="R26" i="31"/>
  <c r="R27" i="31"/>
  <c r="R28" i="31"/>
  <c r="R29" i="31"/>
  <c r="R30" i="31"/>
  <c r="R31" i="31"/>
  <c r="R32" i="31"/>
  <c r="R33" i="31"/>
  <c r="R34" i="31"/>
  <c r="R35" i="31"/>
  <c r="R36" i="31"/>
  <c r="R37" i="31"/>
  <c r="R38" i="31"/>
  <c r="R39" i="31"/>
  <c r="R40" i="31"/>
  <c r="R41" i="31"/>
  <c r="R42" i="31"/>
  <c r="R43" i="31"/>
  <c r="R44" i="31"/>
  <c r="R45" i="31"/>
  <c r="R46" i="31"/>
  <c r="R47" i="31"/>
  <c r="R48" i="31"/>
  <c r="R49" i="31"/>
  <c r="R50" i="31"/>
  <c r="R51" i="31"/>
  <c r="R52" i="31"/>
  <c r="R53" i="31"/>
  <c r="R54" i="31"/>
  <c r="R55" i="31"/>
  <c r="R56" i="31"/>
  <c r="R57" i="31"/>
  <c r="R58" i="31"/>
  <c r="R59" i="31"/>
  <c r="R60" i="31"/>
  <c r="R61" i="31"/>
  <c r="R62" i="31"/>
  <c r="R63" i="31"/>
  <c r="R64" i="31"/>
  <c r="R65" i="31"/>
  <c r="R66" i="31"/>
  <c r="R67" i="31"/>
  <c r="R68" i="31"/>
  <c r="R69" i="31"/>
  <c r="R70" i="31"/>
  <c r="R71" i="31"/>
  <c r="R72" i="31"/>
  <c r="R73" i="31"/>
  <c r="R74" i="31"/>
  <c r="R75" i="31"/>
  <c r="R76" i="31"/>
  <c r="R77" i="31"/>
  <c r="R78" i="31"/>
  <c r="R79" i="31"/>
  <c r="R80" i="31"/>
  <c r="R81" i="31"/>
  <c r="R82" i="31"/>
  <c r="R83" i="31"/>
  <c r="R84" i="31"/>
  <c r="R85" i="31"/>
  <c r="R86" i="31"/>
  <c r="R87" i="31"/>
  <c r="R88" i="31"/>
  <c r="R89" i="31"/>
  <c r="R90" i="31"/>
  <c r="R91" i="31"/>
  <c r="R92" i="31"/>
  <c r="R93" i="31"/>
  <c r="R94" i="31"/>
  <c r="R95" i="31"/>
  <c r="R96" i="31"/>
  <c r="R97" i="31"/>
  <c r="R98" i="31"/>
  <c r="R99" i="31"/>
  <c r="R100" i="31"/>
  <c r="R101" i="31"/>
  <c r="R102" i="31"/>
  <c r="R103" i="31"/>
  <c r="R104" i="31"/>
  <c r="R105" i="31"/>
  <c r="R106" i="31"/>
  <c r="R107" i="31"/>
  <c r="R108" i="31"/>
  <c r="R109" i="31"/>
  <c r="R110" i="31"/>
  <c r="R111" i="31"/>
  <c r="R112" i="31"/>
  <c r="R113" i="31"/>
  <c r="R114" i="31"/>
  <c r="R115" i="31"/>
  <c r="R116" i="31"/>
  <c r="R117" i="31"/>
  <c r="R118" i="31"/>
  <c r="R119" i="31"/>
  <c r="R120" i="31"/>
  <c r="R121" i="31"/>
  <c r="R122" i="31"/>
  <c r="R123" i="31"/>
  <c r="R124" i="31"/>
  <c r="R125" i="31"/>
  <c r="R126" i="31"/>
  <c r="R127" i="31"/>
  <c r="R128" i="31"/>
  <c r="R129" i="31"/>
  <c r="R130" i="31"/>
  <c r="R131" i="31"/>
  <c r="R132" i="31"/>
  <c r="R133" i="31"/>
  <c r="R134" i="31"/>
  <c r="R135" i="31"/>
  <c r="R136" i="31"/>
  <c r="R137" i="31"/>
  <c r="R138" i="31"/>
  <c r="R139" i="31"/>
  <c r="R140" i="31"/>
  <c r="R141" i="31"/>
  <c r="R142" i="31"/>
  <c r="R143" i="31"/>
  <c r="R144" i="31"/>
  <c r="R145" i="31"/>
  <c r="R146" i="31"/>
  <c r="R147" i="31"/>
  <c r="R148" i="31"/>
  <c r="R149" i="31"/>
  <c r="R150" i="31"/>
  <c r="R151" i="31"/>
  <c r="R152" i="31"/>
  <c r="R153" i="31"/>
  <c r="R154" i="31"/>
  <c r="R155" i="31"/>
  <c r="R156" i="31"/>
  <c r="R157" i="31"/>
  <c r="R158" i="31"/>
  <c r="R159" i="31"/>
  <c r="R160" i="31"/>
  <c r="R161" i="31"/>
  <c r="R162" i="31"/>
  <c r="R163" i="31"/>
  <c r="R164" i="31"/>
  <c r="R165" i="31"/>
  <c r="R166" i="31"/>
  <c r="R167" i="31"/>
  <c r="R168" i="31"/>
  <c r="R169" i="31"/>
  <c r="R170" i="31"/>
  <c r="R171" i="31"/>
  <c r="R172" i="31"/>
  <c r="R173" i="31"/>
  <c r="R174" i="31"/>
  <c r="R175" i="31"/>
  <c r="R176" i="31"/>
  <c r="R177" i="31"/>
  <c r="R178" i="31"/>
  <c r="R179" i="31"/>
  <c r="R180" i="31"/>
  <c r="R181" i="31"/>
  <c r="R182" i="31"/>
  <c r="R183" i="31"/>
  <c r="R184" i="31"/>
  <c r="R185" i="31"/>
  <c r="R186" i="31"/>
  <c r="R187" i="31"/>
  <c r="R188" i="31"/>
  <c r="R189" i="31"/>
  <c r="R190" i="31"/>
  <c r="R191" i="31"/>
  <c r="R192" i="31"/>
  <c r="R193" i="31"/>
  <c r="R194" i="31"/>
  <c r="R195" i="31"/>
  <c r="R196" i="31"/>
  <c r="R197" i="31"/>
  <c r="R198" i="31"/>
  <c r="R199" i="31"/>
  <c r="R200" i="31"/>
  <c r="R201" i="31"/>
  <c r="R202" i="31"/>
  <c r="R203" i="31"/>
  <c r="R204" i="31"/>
  <c r="R205" i="31"/>
  <c r="R206" i="31"/>
  <c r="R207" i="31"/>
  <c r="R208" i="31"/>
  <c r="R209" i="31"/>
  <c r="R210" i="31"/>
  <c r="R211" i="31"/>
  <c r="R212" i="31"/>
  <c r="R213" i="31"/>
  <c r="R214" i="31"/>
  <c r="R215" i="31"/>
  <c r="R216" i="31"/>
  <c r="R217" i="31"/>
  <c r="R218" i="31"/>
  <c r="R219" i="31"/>
  <c r="R220" i="31"/>
  <c r="R221" i="31"/>
  <c r="R222" i="31"/>
  <c r="R223" i="31"/>
  <c r="R224" i="31"/>
  <c r="R225" i="31"/>
  <c r="R226" i="31"/>
  <c r="R227" i="31"/>
  <c r="R228" i="31"/>
  <c r="R229" i="31"/>
  <c r="R230" i="31"/>
  <c r="R231" i="31"/>
  <c r="R232" i="31"/>
  <c r="R233" i="31"/>
  <c r="R234" i="31"/>
  <c r="R235" i="31"/>
  <c r="R236" i="31"/>
  <c r="R237" i="31"/>
  <c r="R238" i="31"/>
  <c r="R239" i="31"/>
  <c r="R240" i="31"/>
  <c r="R241" i="31"/>
  <c r="R242" i="31"/>
  <c r="R243" i="31"/>
  <c r="R244" i="31"/>
  <c r="R245" i="31"/>
  <c r="R246" i="31"/>
  <c r="R247" i="31"/>
  <c r="R248" i="31"/>
  <c r="R2" i="31"/>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R216" i="59"/>
  <c r="S216" i="59" s="1"/>
  <c r="R215" i="59"/>
  <c r="S215" i="59" s="1"/>
  <c r="R214" i="59"/>
  <c r="S214" i="59" s="1"/>
  <c r="R213" i="59"/>
  <c r="S213" i="59" s="1"/>
  <c r="R212" i="59"/>
  <c r="S212" i="59" s="1"/>
  <c r="R211" i="59"/>
  <c r="S211" i="59" s="1"/>
  <c r="R210" i="59"/>
  <c r="S210" i="59" s="1"/>
  <c r="R209" i="59"/>
  <c r="S209" i="59" s="1"/>
  <c r="R208" i="59"/>
  <c r="S208" i="59" s="1"/>
  <c r="R207" i="59"/>
  <c r="S207" i="59" s="1"/>
  <c r="R206" i="59"/>
  <c r="S206" i="59" s="1"/>
  <c r="R205" i="59"/>
  <c r="S205" i="59" s="1"/>
  <c r="R204" i="59"/>
  <c r="S204" i="59" s="1"/>
  <c r="R203" i="59"/>
  <c r="S203" i="59" s="1"/>
  <c r="R202" i="59"/>
  <c r="S202" i="59" s="1"/>
  <c r="R201" i="59"/>
  <c r="S201" i="59" s="1"/>
  <c r="R200" i="59"/>
  <c r="S200" i="59" s="1"/>
  <c r="R199" i="59"/>
  <c r="S199" i="59" s="1"/>
  <c r="R198" i="59"/>
  <c r="S198" i="59" s="1"/>
  <c r="R197" i="59"/>
  <c r="S197" i="59" s="1"/>
  <c r="R196" i="59"/>
  <c r="S196" i="59" s="1"/>
  <c r="R195" i="59"/>
  <c r="S195" i="59" s="1"/>
  <c r="R194" i="59"/>
  <c r="S194" i="59" s="1"/>
  <c r="R193" i="59"/>
  <c r="S193" i="59" s="1"/>
  <c r="R192" i="59"/>
  <c r="S192" i="59" s="1"/>
  <c r="R191" i="59"/>
  <c r="S191" i="59" s="1"/>
  <c r="R190" i="59"/>
  <c r="S190" i="59" s="1"/>
  <c r="R189" i="59"/>
  <c r="S189" i="59" s="1"/>
  <c r="R188" i="59"/>
  <c r="S188" i="59" s="1"/>
  <c r="R187" i="59"/>
  <c r="S187" i="59" s="1"/>
  <c r="R186" i="59"/>
  <c r="S186" i="59" s="1"/>
  <c r="R185" i="59"/>
  <c r="S185" i="59" s="1"/>
  <c r="R184" i="59"/>
  <c r="S184" i="59" s="1"/>
  <c r="R183" i="59"/>
  <c r="S183" i="59" s="1"/>
  <c r="R182" i="59"/>
  <c r="S182" i="59" s="1"/>
  <c r="R181" i="59"/>
  <c r="S181" i="59" s="1"/>
  <c r="R180" i="59"/>
  <c r="S180" i="59" s="1"/>
  <c r="R179" i="59"/>
  <c r="S179" i="59" s="1"/>
  <c r="R178" i="59"/>
  <c r="S178" i="59" s="1"/>
  <c r="R177" i="59"/>
  <c r="S177" i="59" s="1"/>
  <c r="R176" i="59"/>
  <c r="S176" i="59" s="1"/>
  <c r="R175" i="59"/>
  <c r="S175" i="59" s="1"/>
  <c r="R174" i="59"/>
  <c r="S174" i="59" s="1"/>
  <c r="R173" i="59"/>
  <c r="S173" i="59" s="1"/>
  <c r="R172" i="59"/>
  <c r="S172" i="59" s="1"/>
  <c r="R171" i="59"/>
  <c r="S171" i="59" s="1"/>
  <c r="R170" i="59"/>
  <c r="S170" i="59" s="1"/>
  <c r="R169" i="59"/>
  <c r="S169" i="59" s="1"/>
  <c r="R168" i="59"/>
  <c r="S168" i="59" s="1"/>
  <c r="R167" i="59"/>
  <c r="S167" i="59" s="1"/>
  <c r="R166" i="59"/>
  <c r="S166" i="59" s="1"/>
  <c r="R165" i="59"/>
  <c r="S165" i="59" s="1"/>
  <c r="R164" i="59"/>
  <c r="S164" i="59" s="1"/>
  <c r="R163" i="59"/>
  <c r="S163" i="59" s="1"/>
  <c r="R162" i="59"/>
  <c r="S162" i="59" s="1"/>
  <c r="R161" i="59"/>
  <c r="S161" i="59" s="1"/>
  <c r="R160" i="59"/>
  <c r="S160" i="59" s="1"/>
  <c r="R159" i="59"/>
  <c r="S159" i="59" s="1"/>
  <c r="R158" i="59"/>
  <c r="S158" i="59" s="1"/>
  <c r="R157" i="59"/>
  <c r="S157" i="59" s="1"/>
  <c r="R156" i="59"/>
  <c r="S156" i="59" s="1"/>
  <c r="R155" i="59"/>
  <c r="S155" i="59" s="1"/>
  <c r="R154" i="59"/>
  <c r="S154" i="59" s="1"/>
  <c r="R153" i="59"/>
  <c r="S153" i="59" s="1"/>
  <c r="R152" i="59"/>
  <c r="S152" i="59" s="1"/>
  <c r="R151" i="59"/>
  <c r="S151" i="59" s="1"/>
  <c r="R150" i="59"/>
  <c r="S150" i="59" s="1"/>
  <c r="R149" i="59"/>
  <c r="S149" i="59" s="1"/>
  <c r="R148" i="59"/>
  <c r="S148" i="59" s="1"/>
  <c r="R147" i="59"/>
  <c r="S147" i="59" s="1"/>
  <c r="R146" i="59"/>
  <c r="S146" i="59" s="1"/>
  <c r="R145" i="59"/>
  <c r="S145" i="59" s="1"/>
  <c r="R144" i="59"/>
  <c r="S144" i="59" s="1"/>
  <c r="R143" i="59"/>
  <c r="S143" i="59" s="1"/>
  <c r="R142" i="59"/>
  <c r="S142" i="59" s="1"/>
  <c r="R141" i="59"/>
  <c r="S141" i="59" s="1"/>
  <c r="R140" i="59"/>
  <c r="S140" i="59" s="1"/>
  <c r="R139" i="59"/>
  <c r="S139" i="59" s="1"/>
  <c r="R138" i="59"/>
  <c r="S138" i="59" s="1"/>
  <c r="R137" i="59"/>
  <c r="S137" i="59" s="1"/>
  <c r="R136" i="59"/>
  <c r="S136" i="59" s="1"/>
  <c r="R135" i="59"/>
  <c r="S135" i="59" s="1"/>
  <c r="R134" i="59"/>
  <c r="S134" i="59" s="1"/>
  <c r="R133" i="59"/>
  <c r="S133" i="59" s="1"/>
  <c r="R132" i="59"/>
  <c r="S132" i="59" s="1"/>
  <c r="R131" i="59"/>
  <c r="S131" i="59" s="1"/>
  <c r="R130" i="59"/>
  <c r="S130" i="59" s="1"/>
  <c r="R129" i="59"/>
  <c r="S129" i="59" s="1"/>
  <c r="R128" i="59"/>
  <c r="S128" i="59" s="1"/>
  <c r="R127" i="59"/>
  <c r="S127" i="59" s="1"/>
  <c r="R126" i="59"/>
  <c r="S126" i="59" s="1"/>
  <c r="R125" i="59"/>
  <c r="S125" i="59" s="1"/>
  <c r="R124" i="59"/>
  <c r="S124" i="59" s="1"/>
  <c r="R123" i="59"/>
  <c r="S123" i="59" s="1"/>
  <c r="R122" i="59"/>
  <c r="S122" i="59" s="1"/>
  <c r="R121" i="59"/>
  <c r="S121" i="59" s="1"/>
  <c r="R120" i="59"/>
  <c r="S120" i="59" s="1"/>
  <c r="R119" i="59"/>
  <c r="S119" i="59" s="1"/>
  <c r="R118" i="59"/>
  <c r="S118" i="59" s="1"/>
  <c r="R117" i="59"/>
  <c r="S117" i="59" s="1"/>
  <c r="R116" i="59"/>
  <c r="S116" i="59" s="1"/>
  <c r="R115" i="59"/>
  <c r="S115" i="59" s="1"/>
  <c r="R114" i="59"/>
  <c r="S114" i="59" s="1"/>
  <c r="R113" i="59"/>
  <c r="S113" i="59" s="1"/>
  <c r="R112" i="59"/>
  <c r="S112" i="59" s="1"/>
  <c r="R111" i="59"/>
  <c r="S111" i="59" s="1"/>
  <c r="R110" i="59"/>
  <c r="S110" i="59" s="1"/>
  <c r="R109" i="59"/>
  <c r="S109" i="59" s="1"/>
  <c r="R108" i="59"/>
  <c r="S108" i="59" s="1"/>
  <c r="R107" i="59"/>
  <c r="S107" i="59" s="1"/>
  <c r="R106" i="59"/>
  <c r="S106" i="59" s="1"/>
  <c r="R105" i="59"/>
  <c r="S105" i="59" s="1"/>
  <c r="R104" i="59"/>
  <c r="S104" i="59" s="1"/>
  <c r="R103" i="59"/>
  <c r="S103" i="59" s="1"/>
  <c r="R102" i="59"/>
  <c r="S102" i="59" s="1"/>
  <c r="R101" i="59"/>
  <c r="S101" i="59" s="1"/>
  <c r="R100" i="59"/>
  <c r="S100" i="59" s="1"/>
  <c r="R99" i="59"/>
  <c r="S99" i="59" s="1"/>
  <c r="R98" i="59"/>
  <c r="S98" i="59" s="1"/>
  <c r="R97" i="59"/>
  <c r="S97" i="59" s="1"/>
  <c r="R96" i="59"/>
  <c r="S96" i="59" s="1"/>
  <c r="R95" i="59"/>
  <c r="S95" i="59" s="1"/>
  <c r="R94" i="59"/>
  <c r="S94" i="59" s="1"/>
  <c r="R93" i="59"/>
  <c r="S93" i="59" s="1"/>
  <c r="R92" i="59"/>
  <c r="S92" i="59" s="1"/>
  <c r="R91" i="59"/>
  <c r="S91" i="59" s="1"/>
  <c r="R90" i="59"/>
  <c r="S90" i="59" s="1"/>
  <c r="R89" i="59"/>
  <c r="S89" i="59" s="1"/>
  <c r="R88" i="59"/>
  <c r="S88" i="59" s="1"/>
  <c r="R87" i="59"/>
  <c r="S87" i="59" s="1"/>
  <c r="R86" i="59"/>
  <c r="S86" i="59" s="1"/>
  <c r="R85" i="59"/>
  <c r="S85" i="59" s="1"/>
  <c r="R84" i="59"/>
  <c r="S84" i="59" s="1"/>
  <c r="R83" i="59"/>
  <c r="S83" i="59" s="1"/>
  <c r="R82" i="59"/>
  <c r="S82" i="59" s="1"/>
  <c r="R81" i="59"/>
  <c r="S81" i="59" s="1"/>
  <c r="R80" i="59"/>
  <c r="S80" i="59" s="1"/>
  <c r="R79" i="59"/>
  <c r="S79" i="59" s="1"/>
  <c r="R78" i="59"/>
  <c r="S78" i="59" s="1"/>
  <c r="R77" i="59"/>
  <c r="S77" i="59" s="1"/>
  <c r="R76" i="59"/>
  <c r="S76" i="59" s="1"/>
  <c r="R75" i="59"/>
  <c r="S75" i="59" s="1"/>
  <c r="R74" i="59"/>
  <c r="S74" i="59" s="1"/>
  <c r="R73" i="59"/>
  <c r="S73" i="59" s="1"/>
  <c r="R72" i="59"/>
  <c r="S72" i="59" s="1"/>
  <c r="R71" i="59"/>
  <c r="S71" i="59" s="1"/>
  <c r="R70" i="59"/>
  <c r="S70" i="59" s="1"/>
  <c r="R69" i="59"/>
  <c r="S69" i="59" s="1"/>
  <c r="R68" i="59"/>
  <c r="S68" i="59" s="1"/>
  <c r="R67" i="59"/>
  <c r="S67" i="59" s="1"/>
  <c r="R66" i="59"/>
  <c r="S66" i="59" s="1"/>
  <c r="R65" i="59"/>
  <c r="S65" i="59" s="1"/>
  <c r="R64" i="59"/>
  <c r="S64" i="59" s="1"/>
  <c r="R63" i="59"/>
  <c r="S63" i="59" s="1"/>
  <c r="R62" i="59"/>
  <c r="S62" i="59" s="1"/>
  <c r="R61" i="59"/>
  <c r="S61" i="59" s="1"/>
  <c r="R60" i="59"/>
  <c r="S60" i="59" s="1"/>
  <c r="R59" i="59"/>
  <c r="S59" i="59" s="1"/>
  <c r="R58" i="59"/>
  <c r="S58" i="59" s="1"/>
  <c r="R57" i="59"/>
  <c r="S57" i="59" s="1"/>
  <c r="R56" i="59"/>
  <c r="S56" i="59" s="1"/>
  <c r="R55" i="59"/>
  <c r="S55" i="59" s="1"/>
  <c r="R54" i="59"/>
  <c r="S54" i="59" s="1"/>
  <c r="R53" i="59"/>
  <c r="S53" i="59" s="1"/>
  <c r="R52" i="59"/>
  <c r="S52" i="59" s="1"/>
  <c r="R51" i="59"/>
  <c r="S51" i="59" s="1"/>
  <c r="R50" i="59"/>
  <c r="S50" i="59" s="1"/>
  <c r="R49" i="59"/>
  <c r="S49" i="59" s="1"/>
  <c r="R48" i="59"/>
  <c r="S48" i="59" s="1"/>
  <c r="R47" i="59"/>
  <c r="S47" i="59" s="1"/>
  <c r="R46" i="59"/>
  <c r="S46" i="59" s="1"/>
  <c r="R45" i="59"/>
  <c r="S45" i="59" s="1"/>
  <c r="R44" i="59"/>
  <c r="S44" i="59" s="1"/>
  <c r="R43" i="59"/>
  <c r="S43" i="59" s="1"/>
  <c r="R42" i="59"/>
  <c r="S42" i="59" s="1"/>
  <c r="R41" i="59"/>
  <c r="S41" i="59" s="1"/>
  <c r="R40" i="59"/>
  <c r="S40" i="59" s="1"/>
  <c r="R39" i="59"/>
  <c r="S39" i="59" s="1"/>
  <c r="R38" i="59"/>
  <c r="S38" i="59" s="1"/>
  <c r="R37" i="59"/>
  <c r="S37" i="59" s="1"/>
  <c r="R36" i="59"/>
  <c r="S36" i="59" s="1"/>
  <c r="R35" i="59"/>
  <c r="S35" i="59" s="1"/>
  <c r="R34" i="59"/>
  <c r="S34" i="59" s="1"/>
  <c r="R33" i="59"/>
  <c r="S33" i="59" s="1"/>
  <c r="R32" i="59"/>
  <c r="S32" i="59" s="1"/>
  <c r="R31" i="59"/>
  <c r="S31" i="59" s="1"/>
  <c r="R30" i="59"/>
  <c r="S30" i="59" s="1"/>
  <c r="R29" i="59"/>
  <c r="S29" i="59" s="1"/>
  <c r="R28" i="59"/>
  <c r="S28" i="59" s="1"/>
  <c r="R27" i="59"/>
  <c r="S27" i="59" s="1"/>
  <c r="R26" i="59"/>
  <c r="S26" i="59" s="1"/>
  <c r="R25" i="59"/>
  <c r="S25" i="59" s="1"/>
  <c r="R24" i="59"/>
  <c r="S24" i="59" s="1"/>
  <c r="R23" i="59"/>
  <c r="S23" i="59" s="1"/>
  <c r="R22" i="59"/>
  <c r="S22" i="59" s="1"/>
  <c r="R21" i="59"/>
  <c r="S21" i="59" s="1"/>
  <c r="R20" i="59"/>
  <c r="S20" i="59" s="1"/>
  <c r="R19" i="59"/>
  <c r="S19" i="59" s="1"/>
  <c r="R18" i="59"/>
  <c r="S18" i="59" s="1"/>
  <c r="R17" i="59"/>
  <c r="S17" i="59" s="1"/>
  <c r="R16" i="59"/>
  <c r="S16" i="59" s="1"/>
  <c r="R15" i="59"/>
  <c r="S15" i="59" s="1"/>
  <c r="R14" i="59"/>
  <c r="S14" i="59" s="1"/>
  <c r="R13" i="59"/>
  <c r="S13" i="59" s="1"/>
  <c r="R12" i="59"/>
  <c r="S12" i="59" s="1"/>
  <c r="R11" i="59"/>
  <c r="S11" i="59" s="1"/>
  <c r="R10" i="59"/>
  <c r="S10" i="59" s="1"/>
  <c r="R9" i="59"/>
  <c r="S9" i="59" s="1"/>
  <c r="R8" i="59"/>
  <c r="S8" i="59" s="1"/>
  <c r="R7" i="59"/>
  <c r="S7" i="59" s="1"/>
  <c r="R6" i="59"/>
  <c r="S6" i="59" s="1"/>
  <c r="C5" i="67" s="1"/>
  <c r="R5" i="59"/>
  <c r="S5" i="59" s="1"/>
  <c r="R4" i="59"/>
  <c r="S4" i="59" s="1"/>
  <c r="C5" i="69" s="1"/>
  <c r="G7" i="68"/>
  <c r="G7" i="67"/>
  <c r="G7" i="66"/>
  <c r="G7" i="70"/>
  <c r="G7" i="65"/>
  <c r="G7" i="64"/>
  <c r="G7" i="69"/>
  <c r="C5" i="64" l="1"/>
  <c r="C50" i="64"/>
  <c r="S34" i="64" s="1"/>
  <c r="C37" i="64"/>
  <c r="S87" i="64" s="1"/>
  <c r="D33" i="65"/>
  <c r="S104" i="65" s="1"/>
  <c r="C21" i="66"/>
  <c r="D15" i="66" s="1"/>
  <c r="C15" i="66" s="1"/>
  <c r="S25" i="66"/>
  <c r="D36" i="66"/>
  <c r="B15" i="68"/>
  <c r="J54" i="68" s="1"/>
  <c r="G40" i="68"/>
  <c r="S153" i="68" s="1"/>
  <c r="C5" i="70"/>
  <c r="C21" i="64"/>
  <c r="D15" i="64" s="1"/>
  <c r="C15" i="64" s="1"/>
  <c r="D37" i="64"/>
  <c r="S108" i="64" s="1"/>
  <c r="D25" i="65"/>
  <c r="S96" i="65" s="1"/>
  <c r="B21" i="67"/>
  <c r="S21" i="67" s="1"/>
  <c r="C50" i="67"/>
  <c r="S34" i="67" s="1"/>
  <c r="D15" i="68"/>
  <c r="C15" i="68" s="1"/>
  <c r="C37" i="68"/>
  <c r="S87" i="68" s="1"/>
  <c r="D20" i="69"/>
  <c r="S224" i="69" s="1"/>
  <c r="B21" i="69"/>
  <c r="S21" i="69" s="1"/>
  <c r="C37" i="70"/>
  <c r="S87" i="70" s="1"/>
  <c r="D20" i="66"/>
  <c r="S224" i="66" s="1"/>
  <c r="D20" i="67"/>
  <c r="S224" i="67" s="1"/>
  <c r="D20" i="68"/>
  <c r="S224" i="68" s="1"/>
  <c r="D32" i="70"/>
  <c r="S103" i="70" s="1"/>
  <c r="D37" i="70"/>
  <c r="S108" i="70" s="1"/>
  <c r="C5" i="65"/>
  <c r="B21" i="65"/>
  <c r="S21" i="65" s="1"/>
  <c r="I29" i="68"/>
  <c r="S184" i="68" s="1"/>
  <c r="D25" i="69"/>
  <c r="S96" i="69" s="1"/>
  <c r="D32" i="64"/>
  <c r="S103" i="64" s="1"/>
  <c r="C21" i="65"/>
  <c r="D15" i="65" s="1"/>
  <c r="C15" i="65" s="1"/>
  <c r="C34" i="65"/>
  <c r="S84" i="65" s="1"/>
  <c r="C37" i="66"/>
  <c r="S87" i="66" s="1"/>
  <c r="D25" i="67"/>
  <c r="S96" i="67" s="1"/>
  <c r="C5" i="68"/>
  <c r="D32" i="68"/>
  <c r="S103" i="68" s="1"/>
  <c r="D20" i="64"/>
  <c r="S224" i="64" s="1"/>
  <c r="D34" i="65"/>
  <c r="S105" i="65" s="1"/>
  <c r="D37" i="66"/>
  <c r="S108" i="66" s="1"/>
  <c r="G27" i="67"/>
  <c r="S140" i="67" s="1"/>
  <c r="C38" i="68"/>
  <c r="S88" i="68" s="1"/>
  <c r="C21" i="69"/>
  <c r="D15" i="69" s="1"/>
  <c r="C15" i="69" s="1"/>
  <c r="S25" i="69"/>
  <c r="D25" i="70"/>
  <c r="S96" i="70" s="1"/>
  <c r="C5" i="66"/>
  <c r="D38" i="70"/>
  <c r="S109" i="70" s="1"/>
  <c r="G40" i="70"/>
  <c r="S153" i="70" s="1"/>
  <c r="C21" i="70"/>
  <c r="D15" i="70" s="1"/>
  <c r="C15" i="70" s="1"/>
  <c r="S110" i="70"/>
  <c r="S105" i="70"/>
  <c r="S107" i="70"/>
  <c r="S104" i="70"/>
  <c r="S26" i="70"/>
  <c r="C32" i="70"/>
  <c r="S82" i="70" s="1"/>
  <c r="S25" i="70"/>
  <c r="C28" i="70"/>
  <c r="S78" i="70" s="1"/>
  <c r="C29" i="70"/>
  <c r="C35" i="70"/>
  <c r="S85" i="70" s="1"/>
  <c r="S62" i="70"/>
  <c r="S222" i="70"/>
  <c r="D29" i="70"/>
  <c r="D35" i="70"/>
  <c r="C38" i="70"/>
  <c r="S88" i="70" s="1"/>
  <c r="S57" i="70"/>
  <c r="S65" i="70"/>
  <c r="B15" i="70"/>
  <c r="B30" i="70"/>
  <c r="C33" i="70"/>
  <c r="S83" i="70" s="1"/>
  <c r="S68" i="70"/>
  <c r="D26" i="70"/>
  <c r="G27" i="70"/>
  <c r="B31" i="70"/>
  <c r="C36" i="70"/>
  <c r="S86" i="70" s="1"/>
  <c r="S36" i="70"/>
  <c r="S63" i="70"/>
  <c r="C39" i="70"/>
  <c r="S89" i="70" s="1"/>
  <c r="S66" i="70"/>
  <c r="S74" i="70"/>
  <c r="I29" i="70"/>
  <c r="C34" i="70"/>
  <c r="S84" i="70" s="1"/>
  <c r="C45" i="70"/>
  <c r="S95" i="70" s="1"/>
  <c r="B48" i="70"/>
  <c r="B49" i="70"/>
  <c r="S29" i="70" s="1"/>
  <c r="B50" i="70"/>
  <c r="S30" i="70" s="1"/>
  <c r="B51" i="70"/>
  <c r="D45" i="70"/>
  <c r="C48" i="70"/>
  <c r="S104" i="69"/>
  <c r="S110" i="69"/>
  <c r="S184" i="69"/>
  <c r="S105" i="69"/>
  <c r="S107" i="69"/>
  <c r="S109" i="69"/>
  <c r="S26" i="69"/>
  <c r="C32" i="69"/>
  <c r="S82" i="69" s="1"/>
  <c r="S67" i="69"/>
  <c r="C28" i="69"/>
  <c r="S78" i="69" s="1"/>
  <c r="C29" i="69"/>
  <c r="D32" i="69"/>
  <c r="C35" i="69"/>
  <c r="S85" i="69" s="1"/>
  <c r="S62" i="69"/>
  <c r="S222" i="69"/>
  <c r="D28" i="69"/>
  <c r="E36" i="69" s="1"/>
  <c r="D29" i="69"/>
  <c r="D35" i="69"/>
  <c r="C38" i="69"/>
  <c r="S88" i="69" s="1"/>
  <c r="G40" i="69"/>
  <c r="S153" i="69" s="1"/>
  <c r="S57" i="69"/>
  <c r="S65" i="69"/>
  <c r="B15" i="69"/>
  <c r="B30" i="69"/>
  <c r="C33" i="69"/>
  <c r="S83" i="69" s="1"/>
  <c r="S68" i="69"/>
  <c r="D26" i="69"/>
  <c r="S97" i="69" s="1"/>
  <c r="G27" i="69"/>
  <c r="S140" i="69" s="1"/>
  <c r="B31" i="69"/>
  <c r="C36" i="69"/>
  <c r="S86" i="69" s="1"/>
  <c r="S36" i="69"/>
  <c r="S63" i="69"/>
  <c r="S20" i="69"/>
  <c r="C39" i="69"/>
  <c r="S89" i="69" s="1"/>
  <c r="S74" i="69"/>
  <c r="C34" i="69"/>
  <c r="S84" i="69" s="1"/>
  <c r="C45" i="69"/>
  <c r="S95" i="69" s="1"/>
  <c r="B48" i="69"/>
  <c r="B49" i="69"/>
  <c r="S29" i="69" s="1"/>
  <c r="B50" i="69"/>
  <c r="S30" i="69" s="1"/>
  <c r="B51" i="69"/>
  <c r="C37" i="69"/>
  <c r="S87" i="69" s="1"/>
  <c r="C48" i="69"/>
  <c r="S17" i="68"/>
  <c r="S96" i="68"/>
  <c r="S105" i="68"/>
  <c r="S107" i="68"/>
  <c r="S104" i="68"/>
  <c r="S110" i="68"/>
  <c r="C32" i="68"/>
  <c r="S82" i="68" s="1"/>
  <c r="D37" i="68"/>
  <c r="S67" i="68"/>
  <c r="S25" i="68"/>
  <c r="C28" i="68"/>
  <c r="S78" i="68" s="1"/>
  <c r="C29" i="68"/>
  <c r="C35" i="68"/>
  <c r="S85" i="68" s="1"/>
  <c r="S54" i="68"/>
  <c r="S62" i="68"/>
  <c r="S222" i="68"/>
  <c r="D29" i="68"/>
  <c r="G29" i="68" s="1"/>
  <c r="S142" i="68" s="1"/>
  <c r="D35" i="68"/>
  <c r="S57" i="68"/>
  <c r="S65" i="68"/>
  <c r="B30" i="68"/>
  <c r="C33" i="68"/>
  <c r="S83" i="68" s="1"/>
  <c r="S68" i="68"/>
  <c r="D26" i="68"/>
  <c r="S97" i="68" s="1"/>
  <c r="G27" i="68"/>
  <c r="S140" i="68" s="1"/>
  <c r="B31" i="68"/>
  <c r="C36" i="68"/>
  <c r="S86" i="68" s="1"/>
  <c r="S63" i="68"/>
  <c r="C39" i="68"/>
  <c r="S89" i="68" s="1"/>
  <c r="S66" i="68"/>
  <c r="S74" i="68"/>
  <c r="C34" i="68"/>
  <c r="S84" i="68" s="1"/>
  <c r="C45" i="68"/>
  <c r="S95" i="68" s="1"/>
  <c r="B48" i="68"/>
  <c r="B49" i="68"/>
  <c r="S29" i="68" s="1"/>
  <c r="B50" i="68"/>
  <c r="S30" i="68" s="1"/>
  <c r="B51" i="68"/>
  <c r="D45" i="68"/>
  <c r="C48" i="68"/>
  <c r="S110" i="67"/>
  <c r="C49" i="67"/>
  <c r="S33" i="67" s="1"/>
  <c r="S105" i="67"/>
  <c r="S107" i="67"/>
  <c r="S109" i="67"/>
  <c r="S26" i="67"/>
  <c r="C32" i="67"/>
  <c r="S82" i="67" s="1"/>
  <c r="S67" i="67"/>
  <c r="C28" i="67"/>
  <c r="S78" i="67" s="1"/>
  <c r="C29" i="67"/>
  <c r="D32" i="67"/>
  <c r="C35" i="67"/>
  <c r="S85" i="67" s="1"/>
  <c r="S222" i="67"/>
  <c r="D29" i="67"/>
  <c r="D35" i="67"/>
  <c r="C38" i="67"/>
  <c r="S88" i="67" s="1"/>
  <c r="G40" i="67"/>
  <c r="S153" i="67" s="1"/>
  <c r="S57" i="67"/>
  <c r="S65" i="67"/>
  <c r="B15" i="67"/>
  <c r="B30" i="67"/>
  <c r="C33" i="67"/>
  <c r="S83" i="67" s="1"/>
  <c r="S68" i="67"/>
  <c r="D26" i="67"/>
  <c r="S97" i="67" s="1"/>
  <c r="B31" i="67"/>
  <c r="C36" i="67"/>
  <c r="S86" i="67" s="1"/>
  <c r="S36" i="67"/>
  <c r="S63" i="67"/>
  <c r="C39" i="67"/>
  <c r="S89" i="67" s="1"/>
  <c r="S66" i="67"/>
  <c r="S74" i="67"/>
  <c r="C34" i="67"/>
  <c r="S84" i="67" s="1"/>
  <c r="C45" i="67"/>
  <c r="S95" i="67" s="1"/>
  <c r="B48" i="67"/>
  <c r="B49" i="67"/>
  <c r="S29" i="67" s="1"/>
  <c r="B50" i="67"/>
  <c r="S30" i="67" s="1"/>
  <c r="B51" i="67"/>
  <c r="D45" i="67"/>
  <c r="C48" i="67"/>
  <c r="S110" i="66"/>
  <c r="S105" i="66"/>
  <c r="S109" i="66"/>
  <c r="S184" i="66"/>
  <c r="G29" i="66"/>
  <c r="S142" i="66" s="1"/>
  <c r="S26" i="66"/>
  <c r="C32" i="66"/>
  <c r="S82" i="66" s="1"/>
  <c r="S67" i="66"/>
  <c r="S107" i="66"/>
  <c r="C28" i="66"/>
  <c r="S78" i="66" s="1"/>
  <c r="C29" i="66"/>
  <c r="D32" i="66"/>
  <c r="C35" i="66"/>
  <c r="S85" i="66" s="1"/>
  <c r="S222" i="66"/>
  <c r="D29" i="66"/>
  <c r="D35" i="66"/>
  <c r="C38" i="66"/>
  <c r="S88" i="66" s="1"/>
  <c r="G40" i="66"/>
  <c r="S153" i="66" s="1"/>
  <c r="S57" i="66"/>
  <c r="S65" i="66"/>
  <c r="B15" i="66"/>
  <c r="B30" i="66"/>
  <c r="C49" i="66" s="1"/>
  <c r="S33" i="66" s="1"/>
  <c r="C33" i="66"/>
  <c r="S83" i="66" s="1"/>
  <c r="S68" i="66"/>
  <c r="D26" i="66"/>
  <c r="S97" i="66" s="1"/>
  <c r="B31" i="66"/>
  <c r="S36" i="66"/>
  <c r="S63" i="66"/>
  <c r="C39" i="66"/>
  <c r="S89" i="66" s="1"/>
  <c r="S66" i="66"/>
  <c r="S74" i="66"/>
  <c r="C34" i="66"/>
  <c r="S84" i="66" s="1"/>
  <c r="C45" i="66"/>
  <c r="S95" i="66" s="1"/>
  <c r="B48" i="66"/>
  <c r="B49" i="66"/>
  <c r="S29" i="66" s="1"/>
  <c r="B50" i="66"/>
  <c r="S30" i="66" s="1"/>
  <c r="B51" i="66"/>
  <c r="D45" i="66"/>
  <c r="C48" i="66"/>
  <c r="S109" i="65"/>
  <c r="E39" i="65"/>
  <c r="S110" i="65"/>
  <c r="C49" i="65"/>
  <c r="S33" i="65" s="1"/>
  <c r="S26" i="65"/>
  <c r="C32" i="65"/>
  <c r="S82" i="65" s="1"/>
  <c r="C28" i="65"/>
  <c r="S78" i="65" s="1"/>
  <c r="C29" i="65"/>
  <c r="D32" i="65"/>
  <c r="C35" i="65"/>
  <c r="S85" i="65" s="1"/>
  <c r="E37" i="65"/>
  <c r="S222" i="65"/>
  <c r="D28" i="65"/>
  <c r="D29" i="65"/>
  <c r="D35" i="65"/>
  <c r="C38" i="65"/>
  <c r="S88" i="65" s="1"/>
  <c r="G40" i="65"/>
  <c r="S153" i="65" s="1"/>
  <c r="E41" i="65"/>
  <c r="S57" i="65"/>
  <c r="B15" i="65"/>
  <c r="B30" i="65"/>
  <c r="C33" i="65"/>
  <c r="S83" i="65" s="1"/>
  <c r="S68" i="65"/>
  <c r="B31" i="65"/>
  <c r="C36" i="65"/>
  <c r="S86" i="65" s="1"/>
  <c r="S36" i="65"/>
  <c r="S63" i="65"/>
  <c r="C39" i="65"/>
  <c r="S89" i="65" s="1"/>
  <c r="S74" i="65"/>
  <c r="C45" i="65"/>
  <c r="S95" i="65" s="1"/>
  <c r="B48" i="65"/>
  <c r="B50" i="65"/>
  <c r="S30" i="65" s="1"/>
  <c r="B51" i="65"/>
  <c r="C37" i="65"/>
  <c r="S87" i="65" s="1"/>
  <c r="D45" i="65"/>
  <c r="C48" i="65"/>
  <c r="S110" i="64"/>
  <c r="S105" i="64"/>
  <c r="S107" i="64"/>
  <c r="S96" i="64"/>
  <c r="S109" i="64"/>
  <c r="S104" i="64"/>
  <c r="S26" i="64"/>
  <c r="C32" i="64"/>
  <c r="S82" i="64" s="1"/>
  <c r="S67" i="64"/>
  <c r="S25" i="64"/>
  <c r="C28" i="64"/>
  <c r="S78" i="64" s="1"/>
  <c r="C29" i="64"/>
  <c r="C35" i="64"/>
  <c r="S85" i="64" s="1"/>
  <c r="S54" i="64"/>
  <c r="S62" i="64"/>
  <c r="S222" i="64"/>
  <c r="D29" i="64"/>
  <c r="D35" i="64"/>
  <c r="C38" i="64"/>
  <c r="S88" i="64" s="1"/>
  <c r="S57" i="64"/>
  <c r="S65" i="64"/>
  <c r="B15" i="64"/>
  <c r="B30" i="64"/>
  <c r="C33" i="64"/>
  <c r="S83" i="64" s="1"/>
  <c r="S68" i="64"/>
  <c r="D26" i="64"/>
  <c r="S97" i="64" s="1"/>
  <c r="G27" i="64"/>
  <c r="S140" i="64" s="1"/>
  <c r="B31" i="64"/>
  <c r="C36" i="64"/>
  <c r="S86" i="64" s="1"/>
  <c r="S36" i="64"/>
  <c r="S63" i="64"/>
  <c r="C39" i="64"/>
  <c r="S89" i="64" s="1"/>
  <c r="S66" i="64"/>
  <c r="S74" i="64"/>
  <c r="I29" i="64"/>
  <c r="C34" i="64"/>
  <c r="S84" i="64" s="1"/>
  <c r="C45" i="64"/>
  <c r="S95" i="64" s="1"/>
  <c r="B48" i="64"/>
  <c r="B49" i="64"/>
  <c r="S29" i="64" s="1"/>
  <c r="B50" i="64"/>
  <c r="S30" i="64" s="1"/>
  <c r="B51" i="64"/>
  <c r="D45" i="64"/>
  <c r="C48" i="64"/>
  <c r="C5" i="31"/>
  <c r="C5" i="29"/>
  <c r="S247" i="31"/>
  <c r="S246" i="31"/>
  <c r="S245" i="31"/>
  <c r="S244" i="31"/>
  <c r="S243" i="31"/>
  <c r="S241" i="31"/>
  <c r="S240" i="31"/>
  <c r="S239" i="31"/>
  <c r="S238" i="31"/>
  <c r="S237" i="31"/>
  <c r="S236" i="31"/>
  <c r="S235" i="31"/>
  <c r="S234" i="31"/>
  <c r="S233" i="31"/>
  <c r="S232" i="31"/>
  <c r="S231" i="31"/>
  <c r="S230" i="31"/>
  <c r="S228" i="31"/>
  <c r="S227" i="31"/>
  <c r="S226" i="31"/>
  <c r="S225" i="31"/>
  <c r="S206" i="31"/>
  <c r="S204" i="31"/>
  <c r="S203" i="31"/>
  <c r="S202" i="31"/>
  <c r="S201" i="31"/>
  <c r="S182" i="31"/>
  <c r="S180" i="31"/>
  <c r="S164" i="31"/>
  <c r="S162" i="31"/>
  <c r="S161" i="31"/>
  <c r="S160" i="31"/>
  <c r="S159" i="31"/>
  <c r="S155" i="31"/>
  <c r="S138" i="31"/>
  <c r="S134" i="31"/>
  <c r="S120" i="31"/>
  <c r="S119" i="31"/>
  <c r="S118" i="31"/>
  <c r="S117" i="31"/>
  <c r="S92" i="31"/>
  <c r="S91" i="31"/>
  <c r="S90" i="31"/>
  <c r="S77" i="31"/>
  <c r="S76" i="31"/>
  <c r="S75" i="31"/>
  <c r="S71" i="31"/>
  <c r="S70" i="31"/>
  <c r="S69" i="31"/>
  <c r="S68" i="31"/>
  <c r="S67" i="31"/>
  <c r="S66" i="31"/>
  <c r="S65" i="31"/>
  <c r="S64" i="31"/>
  <c r="S63" i="31"/>
  <c r="S62" i="31"/>
  <c r="S61" i="31"/>
  <c r="S60" i="31"/>
  <c r="S56" i="31"/>
  <c r="S55" i="31"/>
  <c r="S54" i="31"/>
  <c r="S53" i="31"/>
  <c r="S52" i="31"/>
  <c r="S51" i="31"/>
  <c r="S50" i="31"/>
  <c r="S27" i="31"/>
  <c r="S24" i="31"/>
  <c r="S23" i="31"/>
  <c r="S19" i="31"/>
  <c r="S18" i="31"/>
  <c r="S15" i="31"/>
  <c r="S13" i="31"/>
  <c r="S11" i="31"/>
  <c r="S10" i="31"/>
  <c r="S9" i="31"/>
  <c r="S8" i="31"/>
  <c r="S7" i="31"/>
  <c r="S6" i="31"/>
  <c r="S5" i="31"/>
  <c r="S4" i="31"/>
  <c r="S3" i="31"/>
  <c r="S2" i="31"/>
  <c r="T3" i="31"/>
  <c r="T4" i="31"/>
  <c r="T5" i="31"/>
  <c r="T6" i="31"/>
  <c r="T7" i="31"/>
  <c r="T8" i="31"/>
  <c r="T9" i="31"/>
  <c r="T10" i="31"/>
  <c r="T11" i="31"/>
  <c r="T12" i="31"/>
  <c r="T13" i="31"/>
  <c r="T14" i="31"/>
  <c r="T15" i="31"/>
  <c r="T16" i="31"/>
  <c r="T17" i="31"/>
  <c r="T18" i="31"/>
  <c r="T19" i="31"/>
  <c r="T20" i="31"/>
  <c r="T21" i="31"/>
  <c r="T22" i="31"/>
  <c r="T23" i="31"/>
  <c r="T24" i="31"/>
  <c r="T25" i="31"/>
  <c r="T26" i="31"/>
  <c r="T27" i="31"/>
  <c r="T28" i="31"/>
  <c r="T29" i="31"/>
  <c r="T30" i="31"/>
  <c r="T31" i="31"/>
  <c r="T32" i="31"/>
  <c r="T33" i="31"/>
  <c r="T34" i="31"/>
  <c r="T35" i="31"/>
  <c r="T36" i="31"/>
  <c r="T37" i="31"/>
  <c r="T38" i="31"/>
  <c r="T39" i="31"/>
  <c r="T40" i="31"/>
  <c r="T41" i="31"/>
  <c r="T42" i="31"/>
  <c r="T43" i="31"/>
  <c r="T44" i="31"/>
  <c r="T45" i="31"/>
  <c r="T46" i="31"/>
  <c r="T47" i="31"/>
  <c r="T48" i="31"/>
  <c r="T49" i="31"/>
  <c r="T50" i="31"/>
  <c r="T51" i="31"/>
  <c r="T52" i="31"/>
  <c r="T53" i="31"/>
  <c r="T54" i="31"/>
  <c r="T55" i="31"/>
  <c r="T56" i="31"/>
  <c r="T57" i="31"/>
  <c r="T58" i="31"/>
  <c r="T59" i="31"/>
  <c r="T60" i="31"/>
  <c r="T61" i="31"/>
  <c r="T62" i="31"/>
  <c r="T63" i="31"/>
  <c r="T64" i="31"/>
  <c r="T65" i="31"/>
  <c r="T66" i="31"/>
  <c r="T67" i="31"/>
  <c r="T68" i="31"/>
  <c r="T69" i="31"/>
  <c r="T70" i="31"/>
  <c r="T71" i="31"/>
  <c r="T72" i="31"/>
  <c r="T73" i="31"/>
  <c r="T74" i="31"/>
  <c r="T75" i="31"/>
  <c r="T76" i="31"/>
  <c r="T77" i="31"/>
  <c r="T78" i="31"/>
  <c r="T79" i="31"/>
  <c r="T80" i="31"/>
  <c r="T81" i="31"/>
  <c r="T82" i="31"/>
  <c r="T83" i="31"/>
  <c r="T84" i="31"/>
  <c r="T85" i="31"/>
  <c r="T86" i="31"/>
  <c r="T87" i="31"/>
  <c r="T88" i="31"/>
  <c r="T89" i="31"/>
  <c r="T90" i="31"/>
  <c r="T91" i="31"/>
  <c r="T92" i="31"/>
  <c r="T93" i="31"/>
  <c r="T94" i="31"/>
  <c r="T95" i="31"/>
  <c r="T96" i="31"/>
  <c r="T97" i="31"/>
  <c r="T98" i="31"/>
  <c r="T99" i="31"/>
  <c r="T100" i="31"/>
  <c r="T101" i="31"/>
  <c r="T102" i="31"/>
  <c r="T103" i="31"/>
  <c r="T104" i="31"/>
  <c r="T105" i="31"/>
  <c r="T106" i="31"/>
  <c r="T107" i="31"/>
  <c r="T108" i="31"/>
  <c r="T109" i="31"/>
  <c r="T110" i="31"/>
  <c r="T111" i="31"/>
  <c r="T112" i="31"/>
  <c r="T113" i="31"/>
  <c r="T114" i="31"/>
  <c r="T115" i="31"/>
  <c r="T116" i="31"/>
  <c r="T117" i="31"/>
  <c r="T118" i="31"/>
  <c r="T119" i="31"/>
  <c r="T120" i="31"/>
  <c r="T121" i="31"/>
  <c r="T122" i="31"/>
  <c r="T123" i="31"/>
  <c r="T124" i="31"/>
  <c r="T125" i="31"/>
  <c r="T126" i="31"/>
  <c r="T127" i="31"/>
  <c r="T128" i="31"/>
  <c r="T129" i="31"/>
  <c r="T130" i="31"/>
  <c r="T131" i="31"/>
  <c r="T132" i="31"/>
  <c r="T133" i="31"/>
  <c r="T134" i="31"/>
  <c r="T135" i="31"/>
  <c r="T136" i="31"/>
  <c r="T137" i="31"/>
  <c r="T138" i="31"/>
  <c r="T139" i="31"/>
  <c r="T140" i="31"/>
  <c r="T141" i="31"/>
  <c r="T142" i="31"/>
  <c r="T143" i="31"/>
  <c r="T144" i="31"/>
  <c r="T145" i="31"/>
  <c r="T146" i="31"/>
  <c r="T147" i="31"/>
  <c r="T148" i="31"/>
  <c r="T149" i="31"/>
  <c r="T150" i="31"/>
  <c r="T151" i="31"/>
  <c r="T152" i="31"/>
  <c r="T153" i="31"/>
  <c r="T154" i="31"/>
  <c r="T155" i="31"/>
  <c r="T156" i="31"/>
  <c r="T157" i="31"/>
  <c r="T158" i="31"/>
  <c r="T159" i="31"/>
  <c r="T160" i="31"/>
  <c r="T161" i="31"/>
  <c r="T162" i="31"/>
  <c r="T163" i="31"/>
  <c r="T164" i="31"/>
  <c r="T165" i="31"/>
  <c r="T166" i="31"/>
  <c r="T167" i="31"/>
  <c r="T168" i="31"/>
  <c r="T169" i="31"/>
  <c r="T170" i="31"/>
  <c r="T171" i="31"/>
  <c r="T172" i="31"/>
  <c r="T173" i="31"/>
  <c r="T174" i="31"/>
  <c r="T175" i="31"/>
  <c r="T176" i="31"/>
  <c r="T177" i="31"/>
  <c r="T178" i="31"/>
  <c r="T179" i="31"/>
  <c r="T180" i="31"/>
  <c r="T181" i="31"/>
  <c r="T182" i="31"/>
  <c r="T183" i="31"/>
  <c r="T184" i="31"/>
  <c r="T185" i="31"/>
  <c r="T186" i="31"/>
  <c r="T187" i="31"/>
  <c r="T188" i="31"/>
  <c r="T189" i="31"/>
  <c r="T190" i="31"/>
  <c r="T191" i="31"/>
  <c r="T192" i="31"/>
  <c r="T193" i="31"/>
  <c r="T194" i="31"/>
  <c r="T195" i="31"/>
  <c r="T196" i="31"/>
  <c r="T197" i="31"/>
  <c r="T198" i="31"/>
  <c r="T199" i="31"/>
  <c r="T200" i="31"/>
  <c r="T201" i="31"/>
  <c r="T202" i="31"/>
  <c r="T203" i="31"/>
  <c r="T204" i="31"/>
  <c r="T205" i="31"/>
  <c r="T206" i="31"/>
  <c r="T207" i="31"/>
  <c r="T208" i="31"/>
  <c r="T209" i="31"/>
  <c r="T210" i="31"/>
  <c r="T211" i="31"/>
  <c r="T212" i="31"/>
  <c r="T213" i="31"/>
  <c r="T214" i="31"/>
  <c r="T215" i="31"/>
  <c r="T216" i="31"/>
  <c r="T217" i="31"/>
  <c r="T218" i="31"/>
  <c r="T219" i="31"/>
  <c r="T220" i="31"/>
  <c r="T221" i="31"/>
  <c r="T222" i="31"/>
  <c r="T223" i="31"/>
  <c r="T224" i="31"/>
  <c r="T225" i="31"/>
  <c r="T226" i="31"/>
  <c r="T227" i="31"/>
  <c r="T228" i="31"/>
  <c r="T229" i="31"/>
  <c r="T230" i="31"/>
  <c r="T231" i="31"/>
  <c r="T232" i="31"/>
  <c r="T233" i="31"/>
  <c r="T234" i="31"/>
  <c r="T235" i="31"/>
  <c r="T236" i="31"/>
  <c r="T237" i="31"/>
  <c r="T238" i="31"/>
  <c r="T239" i="31"/>
  <c r="T240" i="31"/>
  <c r="T241" i="31"/>
  <c r="T242" i="31"/>
  <c r="T243" i="31"/>
  <c r="T244" i="31"/>
  <c r="T245" i="31"/>
  <c r="T246" i="31"/>
  <c r="T247" i="31"/>
  <c r="T248" i="31"/>
  <c r="T2" i="31"/>
  <c r="R248" i="29"/>
  <c r="T248" i="29"/>
  <c r="D19" i="31"/>
  <c r="S223" i="31" s="1"/>
  <c r="D18" i="31"/>
  <c r="S222" i="31" s="1"/>
  <c r="S228" i="29"/>
  <c r="S230" i="29"/>
  <c r="S231" i="29"/>
  <c r="S232" i="29"/>
  <c r="S233" i="29"/>
  <c r="S234" i="29"/>
  <c r="S235" i="29"/>
  <c r="S236" i="29"/>
  <c r="S237" i="29"/>
  <c r="S238" i="29"/>
  <c r="S239" i="29"/>
  <c r="S240" i="29"/>
  <c r="S241" i="29"/>
  <c r="S243" i="29"/>
  <c r="S244" i="29"/>
  <c r="S245" i="29"/>
  <c r="S246" i="29"/>
  <c r="S247" i="29"/>
  <c r="S227" i="29"/>
  <c r="R228" i="29"/>
  <c r="R229" i="29"/>
  <c r="R230" i="29"/>
  <c r="R231" i="29"/>
  <c r="R232" i="29"/>
  <c r="R233" i="29"/>
  <c r="R234" i="29"/>
  <c r="R235" i="29"/>
  <c r="R236" i="29"/>
  <c r="R237" i="29"/>
  <c r="R238" i="29"/>
  <c r="R239" i="29"/>
  <c r="R240" i="29"/>
  <c r="R241" i="29"/>
  <c r="R242" i="29"/>
  <c r="R243" i="29"/>
  <c r="R244" i="29"/>
  <c r="R245" i="29"/>
  <c r="R246" i="29"/>
  <c r="R247" i="29"/>
  <c r="T228" i="29"/>
  <c r="T229" i="29"/>
  <c r="T230" i="29"/>
  <c r="T231" i="29"/>
  <c r="T232" i="29"/>
  <c r="T233" i="29"/>
  <c r="T234" i="29"/>
  <c r="T235" i="29"/>
  <c r="T236" i="29"/>
  <c r="T237" i="29"/>
  <c r="T238" i="29"/>
  <c r="T239" i="29"/>
  <c r="T240" i="29"/>
  <c r="T241" i="29"/>
  <c r="T242" i="29"/>
  <c r="T243" i="29"/>
  <c r="T244" i="29"/>
  <c r="T245" i="29"/>
  <c r="T246" i="29"/>
  <c r="T247" i="29"/>
  <c r="S225" i="29"/>
  <c r="R226" i="29"/>
  <c r="T226" i="29"/>
  <c r="R225" i="29"/>
  <c r="R227" i="29"/>
  <c r="S226" i="29"/>
  <c r="T225" i="29"/>
  <c r="T227" i="29"/>
  <c r="K16" i="5"/>
  <c r="K17" i="5"/>
  <c r="K18" i="5"/>
  <c r="K19" i="5"/>
  <c r="K20" i="5"/>
  <c r="K21" i="5"/>
  <c r="K22" i="5"/>
  <c r="D28" i="67" l="1"/>
  <c r="S140" i="70"/>
  <c r="F27" i="70"/>
  <c r="S229" i="70" s="1"/>
  <c r="S106" i="70"/>
  <c r="S28" i="70"/>
  <c r="B54" i="70"/>
  <c r="B7" i="70"/>
  <c r="S100" i="70"/>
  <c r="C30" i="70"/>
  <c r="S80" i="70" s="1"/>
  <c r="S59" i="70"/>
  <c r="S17" i="70"/>
  <c r="J54" i="70"/>
  <c r="E48" i="70"/>
  <c r="S32" i="70"/>
  <c r="S184" i="70"/>
  <c r="G29" i="70"/>
  <c r="S142" i="70" s="1"/>
  <c r="C49" i="70"/>
  <c r="S33" i="70" s="1"/>
  <c r="C6" i="70"/>
  <c r="D7" i="70" s="1"/>
  <c r="D31" i="70"/>
  <c r="C31" i="70"/>
  <c r="S60" i="70"/>
  <c r="D6" i="70"/>
  <c r="B43" i="70"/>
  <c r="S116" i="70"/>
  <c r="I45" i="70"/>
  <c r="E51" i="70"/>
  <c r="S45" i="70" s="1"/>
  <c r="C51" i="70"/>
  <c r="S35" i="70" s="1"/>
  <c r="S31" i="70"/>
  <c r="S79" i="70"/>
  <c r="S97" i="70"/>
  <c r="D28" i="70"/>
  <c r="E35" i="70" s="1"/>
  <c r="S128" i="69"/>
  <c r="J36" i="69"/>
  <c r="C30" i="69"/>
  <c r="S80" i="69" s="1"/>
  <c r="S59" i="69"/>
  <c r="S106" i="69"/>
  <c r="E35" i="69"/>
  <c r="S79" i="69"/>
  <c r="S28" i="69"/>
  <c r="B54" i="69"/>
  <c r="B7" i="69"/>
  <c r="S17" i="69"/>
  <c r="J54" i="69"/>
  <c r="S100" i="69"/>
  <c r="E29" i="69"/>
  <c r="S121" i="69" s="1"/>
  <c r="C49" i="69"/>
  <c r="S33" i="69" s="1"/>
  <c r="C6" i="69"/>
  <c r="D7" i="69" s="1"/>
  <c r="D31" i="69"/>
  <c r="C31" i="69"/>
  <c r="D6" i="69"/>
  <c r="S60" i="69"/>
  <c r="B43" i="69"/>
  <c r="D30" i="69"/>
  <c r="E50" i="69"/>
  <c r="S42" i="69" s="1"/>
  <c r="S99" i="69"/>
  <c r="E40" i="69"/>
  <c r="E48" i="69"/>
  <c r="S32" i="69"/>
  <c r="E34" i="69"/>
  <c r="E39" i="69"/>
  <c r="E37" i="69"/>
  <c r="E38" i="69"/>
  <c r="E33" i="69"/>
  <c r="C51" i="69"/>
  <c r="S35" i="69" s="1"/>
  <c r="S31" i="69"/>
  <c r="G29" i="69"/>
  <c r="S142" i="69" s="1"/>
  <c r="S103" i="69"/>
  <c r="E32" i="69"/>
  <c r="E48" i="68"/>
  <c r="S32" i="68"/>
  <c r="S116" i="68"/>
  <c r="I45" i="68"/>
  <c r="E51" i="68"/>
  <c r="S45" i="68" s="1"/>
  <c r="S79" i="68"/>
  <c r="C51" i="68"/>
  <c r="S35" i="68" s="1"/>
  <c r="S31" i="68"/>
  <c r="S106" i="68"/>
  <c r="S100" i="68"/>
  <c r="S28" i="68"/>
  <c r="B54" i="68"/>
  <c r="B7" i="68"/>
  <c r="C30" i="68"/>
  <c r="S80" i="68" s="1"/>
  <c r="S59" i="68"/>
  <c r="S108" i="68"/>
  <c r="D28" i="68"/>
  <c r="E35" i="68" s="1"/>
  <c r="C6" i="68"/>
  <c r="D31" i="68"/>
  <c r="C31" i="68"/>
  <c r="S60" i="68"/>
  <c r="B43" i="68"/>
  <c r="D6" i="68"/>
  <c r="C49" i="68"/>
  <c r="S33" i="68" s="1"/>
  <c r="S17" i="67"/>
  <c r="J54" i="67"/>
  <c r="G29" i="67"/>
  <c r="S142" i="67" s="1"/>
  <c r="S100" i="67"/>
  <c r="E29" i="67"/>
  <c r="S121" i="67" s="1"/>
  <c r="S28" i="67"/>
  <c r="B54" i="67"/>
  <c r="B7" i="67"/>
  <c r="E33" i="67"/>
  <c r="D30" i="67"/>
  <c r="E50" i="67"/>
  <c r="S42" i="67" s="1"/>
  <c r="S99" i="67"/>
  <c r="E40" i="67"/>
  <c r="E34" i="67"/>
  <c r="C6" i="67"/>
  <c r="D31" i="67"/>
  <c r="C31" i="67"/>
  <c r="S60" i="67"/>
  <c r="B43" i="67"/>
  <c r="D6" i="67"/>
  <c r="E41" i="67"/>
  <c r="E37" i="67"/>
  <c r="E38" i="67"/>
  <c r="E48" i="67"/>
  <c r="S32" i="67"/>
  <c r="S116" i="67"/>
  <c r="I45" i="67"/>
  <c r="E51" i="67"/>
  <c r="S45" i="67" s="1"/>
  <c r="E45" i="67"/>
  <c r="S137" i="67" s="1"/>
  <c r="S103" i="67"/>
  <c r="E32" i="67"/>
  <c r="C51" i="67"/>
  <c r="S35" i="67" s="1"/>
  <c r="S31" i="67"/>
  <c r="S79" i="67"/>
  <c r="C30" i="67"/>
  <c r="S80" i="67" s="1"/>
  <c r="S59" i="67"/>
  <c r="S106" i="67"/>
  <c r="E35" i="67"/>
  <c r="E36" i="67"/>
  <c r="E39" i="67"/>
  <c r="C6" i="66"/>
  <c r="D31" i="66"/>
  <c r="C31" i="66"/>
  <c r="S60" i="66"/>
  <c r="B43" i="66"/>
  <c r="D6" i="66"/>
  <c r="E48" i="66"/>
  <c r="S32" i="66"/>
  <c r="S116" i="66"/>
  <c r="I45" i="66"/>
  <c r="E51" i="66"/>
  <c r="S45" i="66" s="1"/>
  <c r="S103" i="66"/>
  <c r="C51" i="66"/>
  <c r="S35" i="66" s="1"/>
  <c r="S31" i="66"/>
  <c r="S79" i="66"/>
  <c r="C30" i="66"/>
  <c r="S80" i="66" s="1"/>
  <c r="S59" i="66"/>
  <c r="S106" i="66"/>
  <c r="S17" i="66"/>
  <c r="J54" i="66"/>
  <c r="S100" i="66"/>
  <c r="E29" i="66"/>
  <c r="S121" i="66" s="1"/>
  <c r="S28" i="66"/>
  <c r="B54" i="66"/>
  <c r="B7" i="66"/>
  <c r="D28" i="66"/>
  <c r="E45" i="66" s="1"/>
  <c r="S137" i="66" s="1"/>
  <c r="E48" i="65"/>
  <c r="S32" i="65"/>
  <c r="S103" i="65"/>
  <c r="E32" i="65"/>
  <c r="S116" i="65"/>
  <c r="I45" i="65"/>
  <c r="E51" i="65"/>
  <c r="S45" i="65" s="1"/>
  <c r="E45" i="65"/>
  <c r="S137" i="65" s="1"/>
  <c r="S106" i="65"/>
  <c r="E35" i="65"/>
  <c r="S79" i="65"/>
  <c r="C30" i="65"/>
  <c r="S80" i="65" s="1"/>
  <c r="S59" i="65"/>
  <c r="G29" i="65"/>
  <c r="S142" i="65" s="1"/>
  <c r="S100" i="65"/>
  <c r="E29" i="65"/>
  <c r="S121" i="65" s="1"/>
  <c r="J39" i="65"/>
  <c r="S131" i="65"/>
  <c r="C51" i="65"/>
  <c r="S35" i="65" s="1"/>
  <c r="S31" i="65"/>
  <c r="S17" i="65"/>
  <c r="J54" i="65"/>
  <c r="E33" i="65"/>
  <c r="D30" i="65"/>
  <c r="E50" i="65"/>
  <c r="S42" i="65" s="1"/>
  <c r="S99" i="65"/>
  <c r="E40" i="65"/>
  <c r="E38" i="65"/>
  <c r="E34" i="65"/>
  <c r="B49" i="65"/>
  <c r="S29" i="65" s="1"/>
  <c r="S133" i="65"/>
  <c r="H41" i="65"/>
  <c r="S175" i="65" s="1"/>
  <c r="J37" i="65"/>
  <c r="S129" i="65"/>
  <c r="S28" i="65"/>
  <c r="B54" i="65"/>
  <c r="B7" i="65"/>
  <c r="C6" i="65"/>
  <c r="D7" i="65" s="1"/>
  <c r="D31" i="65"/>
  <c r="C31" i="65"/>
  <c r="S60" i="65"/>
  <c r="B43" i="65"/>
  <c r="D6" i="65"/>
  <c r="E36" i="65"/>
  <c r="S79" i="64"/>
  <c r="C51" i="64"/>
  <c r="S35" i="64" s="1"/>
  <c r="S31" i="64"/>
  <c r="S106" i="64"/>
  <c r="C30" i="64"/>
  <c r="S80" i="64" s="1"/>
  <c r="S59" i="64"/>
  <c r="S17" i="64"/>
  <c r="J54" i="64"/>
  <c r="D28" i="64"/>
  <c r="E35" i="64" s="1"/>
  <c r="C49" i="64"/>
  <c r="S33" i="64" s="1"/>
  <c r="S116" i="64"/>
  <c r="I45" i="64"/>
  <c r="E51" i="64"/>
  <c r="S45" i="64" s="1"/>
  <c r="S100" i="64"/>
  <c r="C6" i="64"/>
  <c r="D31" i="64"/>
  <c r="C31" i="64"/>
  <c r="S60" i="64"/>
  <c r="B43" i="64"/>
  <c r="D6" i="64"/>
  <c r="S28" i="64"/>
  <c r="B54" i="64"/>
  <c r="B7" i="64"/>
  <c r="E48" i="64"/>
  <c r="S32" i="64"/>
  <c r="S184" i="64"/>
  <c r="G29" i="64"/>
  <c r="S142" i="64" s="1"/>
  <c r="D20" i="31"/>
  <c r="S224" i="31" s="1"/>
  <c r="K6" i="5"/>
  <c r="K7" i="5"/>
  <c r="K8" i="5"/>
  <c r="E45" i="68" l="1"/>
  <c r="S137" i="68" s="1"/>
  <c r="E29" i="68"/>
  <c r="S121" i="68" s="1"/>
  <c r="E37" i="68"/>
  <c r="D7" i="67"/>
  <c r="E32" i="66"/>
  <c r="E35" i="66"/>
  <c r="D41" i="69"/>
  <c r="D45" i="69"/>
  <c r="C7" i="69"/>
  <c r="E29" i="70"/>
  <c r="S121" i="70" s="1"/>
  <c r="S127" i="70"/>
  <c r="E31" i="70"/>
  <c r="D43" i="70"/>
  <c r="S102" i="70"/>
  <c r="S9" i="70"/>
  <c r="D49" i="70"/>
  <c r="S37" i="70" s="1"/>
  <c r="S72" i="70"/>
  <c r="B44" i="70"/>
  <c r="C43" i="70"/>
  <c r="S93" i="70" s="1"/>
  <c r="D30" i="70"/>
  <c r="E41" i="70"/>
  <c r="E32" i="70"/>
  <c r="E50" i="70"/>
  <c r="S42" i="70" s="1"/>
  <c r="S99" i="70"/>
  <c r="E40" i="70"/>
  <c r="E39" i="70"/>
  <c r="E36" i="70"/>
  <c r="E37" i="70"/>
  <c r="E33" i="70"/>
  <c r="E38" i="70"/>
  <c r="E34" i="70"/>
  <c r="S200" i="70"/>
  <c r="F51" i="70"/>
  <c r="S49" i="70" s="1"/>
  <c r="G45" i="70"/>
  <c r="S158" i="70" s="1"/>
  <c r="E45" i="70"/>
  <c r="S137" i="70" s="1"/>
  <c r="S81" i="70"/>
  <c r="B10" i="70"/>
  <c r="S12" i="70" s="1"/>
  <c r="S40" i="70"/>
  <c r="D54" i="70"/>
  <c r="J35" i="69"/>
  <c r="S127" i="69"/>
  <c r="S81" i="69"/>
  <c r="B10" i="69"/>
  <c r="S12" i="69" s="1"/>
  <c r="S125" i="69"/>
  <c r="J33" i="69"/>
  <c r="S130" i="69"/>
  <c r="J38" i="69"/>
  <c r="S101" i="69"/>
  <c r="E30" i="69"/>
  <c r="S122" i="69" s="1"/>
  <c r="D42" i="69"/>
  <c r="S113" i="69" s="1"/>
  <c r="S9" i="69"/>
  <c r="D49" i="69"/>
  <c r="S37" i="69" s="1"/>
  <c r="S132" i="69"/>
  <c r="H40" i="69"/>
  <c r="J40" i="69" s="1"/>
  <c r="J32" i="69"/>
  <c r="S124" i="69"/>
  <c r="J37" i="69"/>
  <c r="S129" i="69"/>
  <c r="J34" i="69"/>
  <c r="S126" i="69"/>
  <c r="S72" i="69"/>
  <c r="B44" i="69"/>
  <c r="C43" i="69"/>
  <c r="S93" i="69" s="1"/>
  <c r="E31" i="69"/>
  <c r="D43" i="69"/>
  <c r="S102" i="69"/>
  <c r="J39" i="69"/>
  <c r="S131" i="69"/>
  <c r="S212" i="69"/>
  <c r="S40" i="69"/>
  <c r="D54" i="69"/>
  <c r="J37" i="68"/>
  <c r="S129" i="68"/>
  <c r="S72" i="68"/>
  <c r="B44" i="68"/>
  <c r="C43" i="68"/>
  <c r="S93" i="68" s="1"/>
  <c r="J35" i="68"/>
  <c r="S127" i="68"/>
  <c r="S81" i="68"/>
  <c r="B10" i="68"/>
  <c r="S12" i="68" s="1"/>
  <c r="S200" i="68"/>
  <c r="F51" i="68"/>
  <c r="S49" i="68" s="1"/>
  <c r="G45" i="68"/>
  <c r="S158" i="68" s="1"/>
  <c r="E31" i="68"/>
  <c r="D43" i="68"/>
  <c r="S102" i="68"/>
  <c r="S9" i="68"/>
  <c r="D49" i="68"/>
  <c r="S37" i="68" s="1"/>
  <c r="D7" i="68"/>
  <c r="D30" i="68"/>
  <c r="E41" i="68"/>
  <c r="E32" i="68"/>
  <c r="E50" i="68"/>
  <c r="S42" i="68" s="1"/>
  <c r="S99" i="68"/>
  <c r="E40" i="68"/>
  <c r="E38" i="68"/>
  <c r="E33" i="68"/>
  <c r="E34" i="68"/>
  <c r="E39" i="68"/>
  <c r="E36" i="68"/>
  <c r="S40" i="68"/>
  <c r="D54" i="68"/>
  <c r="S72" i="67"/>
  <c r="B44" i="67"/>
  <c r="C43" i="67"/>
  <c r="S93" i="67" s="1"/>
  <c r="S128" i="67"/>
  <c r="J36" i="67"/>
  <c r="J35" i="67"/>
  <c r="S127" i="67"/>
  <c r="S40" i="67"/>
  <c r="D54" i="67"/>
  <c r="E31" i="67"/>
  <c r="D43" i="67"/>
  <c r="S102" i="67"/>
  <c r="S125" i="67"/>
  <c r="J33" i="67"/>
  <c r="S9" i="67"/>
  <c r="D49" i="67"/>
  <c r="S37" i="67" s="1"/>
  <c r="S81" i="67"/>
  <c r="B10" i="67"/>
  <c r="S12" i="67" s="1"/>
  <c r="J37" i="67"/>
  <c r="S129" i="67"/>
  <c r="J34" i="67"/>
  <c r="S126" i="67"/>
  <c r="S200" i="67"/>
  <c r="F51" i="67"/>
  <c r="S49" i="67" s="1"/>
  <c r="G45" i="67"/>
  <c r="S158" i="67" s="1"/>
  <c r="J32" i="67"/>
  <c r="S124" i="67"/>
  <c r="S101" i="67"/>
  <c r="E30" i="67"/>
  <c r="S122" i="67" s="1"/>
  <c r="D42" i="67"/>
  <c r="S113" i="67" s="1"/>
  <c r="S130" i="67"/>
  <c r="J38" i="67"/>
  <c r="E49" i="67"/>
  <c r="S133" i="67"/>
  <c r="J41" i="67"/>
  <c r="H41" i="67"/>
  <c r="S175" i="67" s="1"/>
  <c r="S132" i="67"/>
  <c r="H40" i="67"/>
  <c r="J39" i="67"/>
  <c r="S131" i="67"/>
  <c r="S40" i="66"/>
  <c r="D54" i="66"/>
  <c r="S72" i="66"/>
  <c r="B44" i="66"/>
  <c r="C43" i="66"/>
  <c r="S93" i="66" s="1"/>
  <c r="S81" i="66"/>
  <c r="B10" i="66"/>
  <c r="S12" i="66" s="1"/>
  <c r="J32" i="66"/>
  <c r="S124" i="66"/>
  <c r="E33" i="66"/>
  <c r="D30" i="66"/>
  <c r="E50" i="66"/>
  <c r="S42" i="66" s="1"/>
  <c r="S99" i="66"/>
  <c r="E40" i="66"/>
  <c r="E39" i="66"/>
  <c r="E38" i="66"/>
  <c r="E34" i="66"/>
  <c r="E37" i="66"/>
  <c r="E41" i="66"/>
  <c r="E36" i="66"/>
  <c r="S9" i="66"/>
  <c r="D49" i="66"/>
  <c r="S37" i="66" s="1"/>
  <c r="S200" i="66"/>
  <c r="F51" i="66"/>
  <c r="S49" i="66" s="1"/>
  <c r="G45" i="66"/>
  <c r="S158" i="66" s="1"/>
  <c r="E31" i="66"/>
  <c r="D43" i="66"/>
  <c r="S102" i="66"/>
  <c r="J35" i="66"/>
  <c r="S127" i="66"/>
  <c r="D7" i="66"/>
  <c r="S101" i="65"/>
  <c r="E30" i="65"/>
  <c r="S122" i="65" s="1"/>
  <c r="D42" i="65"/>
  <c r="S113" i="65" s="1"/>
  <c r="S125" i="65"/>
  <c r="J33" i="65"/>
  <c r="S200" i="65"/>
  <c r="F51" i="65"/>
  <c r="S49" i="65" s="1"/>
  <c r="G45" i="65"/>
  <c r="S158" i="65" s="1"/>
  <c r="J34" i="65"/>
  <c r="S126" i="65"/>
  <c r="S130" i="65"/>
  <c r="J38" i="65"/>
  <c r="S215" i="65"/>
  <c r="J35" i="65"/>
  <c r="S127" i="65"/>
  <c r="J32" i="65"/>
  <c r="S124" i="65"/>
  <c r="S72" i="65"/>
  <c r="B44" i="65"/>
  <c r="C43" i="65"/>
  <c r="S93" i="65" s="1"/>
  <c r="S132" i="65"/>
  <c r="H40" i="65"/>
  <c r="S213" i="65"/>
  <c r="S9" i="65"/>
  <c r="D49" i="65"/>
  <c r="S37" i="65" s="1"/>
  <c r="S128" i="65"/>
  <c r="J36" i="65"/>
  <c r="S81" i="65"/>
  <c r="B10" i="65"/>
  <c r="S12" i="65" s="1"/>
  <c r="E31" i="65"/>
  <c r="D43" i="65"/>
  <c r="S102" i="65"/>
  <c r="J41" i="65"/>
  <c r="E49" i="65"/>
  <c r="S40" i="65"/>
  <c r="D54" i="65"/>
  <c r="J35" i="64"/>
  <c r="S127" i="64"/>
  <c r="E45" i="64"/>
  <c r="S137" i="64" s="1"/>
  <c r="E29" i="64"/>
  <c r="S121" i="64" s="1"/>
  <c r="D30" i="64"/>
  <c r="E41" i="64"/>
  <c r="E32" i="64"/>
  <c r="E50" i="64"/>
  <c r="S42" i="64" s="1"/>
  <c r="S99" i="64"/>
  <c r="E40" i="64"/>
  <c r="E39" i="64"/>
  <c r="E36" i="64"/>
  <c r="E33" i="64"/>
  <c r="E37" i="64"/>
  <c r="E34" i="64"/>
  <c r="E38" i="64"/>
  <c r="S72" i="64"/>
  <c r="B44" i="64"/>
  <c r="C43" i="64"/>
  <c r="S93" i="64" s="1"/>
  <c r="S81" i="64"/>
  <c r="B10" i="64"/>
  <c r="S12" i="64" s="1"/>
  <c r="S200" i="64"/>
  <c r="F51" i="64"/>
  <c r="S49" i="64" s="1"/>
  <c r="G45" i="64"/>
  <c r="S158" i="64" s="1"/>
  <c r="S40" i="64"/>
  <c r="D54" i="64"/>
  <c r="E31" i="64"/>
  <c r="D43" i="64"/>
  <c r="S102" i="64"/>
  <c r="S9" i="64"/>
  <c r="D49" i="64"/>
  <c r="S37" i="64" s="1"/>
  <c r="D7" i="64"/>
  <c r="D19" i="29"/>
  <c r="D18" i="29"/>
  <c r="H3" i="58"/>
  <c r="I3" i="58" s="1"/>
  <c r="J3" i="58" s="1"/>
  <c r="K3" i="58" s="1"/>
  <c r="L3" i="58" s="1"/>
  <c r="M3" i="58" s="1"/>
  <c r="N3" i="58" s="1"/>
  <c r="O3" i="58" s="1"/>
  <c r="P3" i="58" s="1"/>
  <c r="Q3" i="58" s="1"/>
  <c r="R3" i="58" s="1"/>
  <c r="S3" i="58" s="1"/>
  <c r="T3" i="58" s="1"/>
  <c r="U3" i="58" s="1"/>
  <c r="V3" i="58" s="1"/>
  <c r="W3" i="58" s="1"/>
  <c r="X3" i="58" s="1"/>
  <c r="Y3" i="58" s="1"/>
  <c r="Z3" i="58" s="1"/>
  <c r="AA3" i="58" s="1"/>
  <c r="AB3" i="58" s="1"/>
  <c r="AC3" i="58" s="1"/>
  <c r="AD3" i="58" s="1"/>
  <c r="AE3" i="58" s="1"/>
  <c r="AF3" i="58" s="1"/>
  <c r="AG3" i="58" s="1"/>
  <c r="AH3" i="58" s="1"/>
  <c r="AI3" i="58" s="1"/>
  <c r="AJ3" i="58" s="1"/>
  <c r="AK3" i="58" s="1"/>
  <c r="AL3" i="58" s="1"/>
  <c r="AM3" i="58" s="1"/>
  <c r="AN3" i="58" s="1"/>
  <c r="AO3" i="58" s="1"/>
  <c r="AP3" i="58" s="1"/>
  <c r="AQ3" i="58" s="1"/>
  <c r="AR3" i="58" s="1"/>
  <c r="AS3" i="58" s="1"/>
  <c r="AT3" i="58" s="1"/>
  <c r="AU3" i="58" s="1"/>
  <c r="AV3" i="58" s="1"/>
  <c r="AW3" i="58" s="1"/>
  <c r="AX3" i="58" s="1"/>
  <c r="AY3" i="58" s="1"/>
  <c r="AZ3" i="58" s="1"/>
  <c r="BA3" i="58" s="1"/>
  <c r="BB3" i="58" s="1"/>
  <c r="BC3" i="58" s="1"/>
  <c r="BD3" i="58" s="1"/>
  <c r="BE3" i="58" s="1"/>
  <c r="BF3" i="58" s="1"/>
  <c r="BG3" i="58" s="1"/>
  <c r="BH3" i="58" s="1"/>
  <c r="BI3" i="58" s="1"/>
  <c r="BJ3" i="58" s="1"/>
  <c r="BK3" i="58" s="1"/>
  <c r="BL3" i="58" s="1"/>
  <c r="BM3" i="58" s="1"/>
  <c r="BN3" i="58" s="1"/>
  <c r="BO3" i="58" s="1"/>
  <c r="BP3" i="58" s="1"/>
  <c r="BQ3" i="58" s="1"/>
  <c r="BR3" i="58" s="1"/>
  <c r="BS3" i="58" s="1"/>
  <c r="BT3" i="58" s="1"/>
  <c r="BU3" i="58" s="1"/>
  <c r="BV3" i="58" s="1"/>
  <c r="BW3" i="58" s="1"/>
  <c r="BX3" i="58" s="1"/>
  <c r="BY3" i="58" s="1"/>
  <c r="BZ3" i="58" s="1"/>
  <c r="CA3" i="58" s="1"/>
  <c r="CB3" i="58" s="1"/>
  <c r="CC3" i="58" s="1"/>
  <c r="CD3" i="58" s="1"/>
  <c r="CE3" i="58" s="1"/>
  <c r="CF3" i="58" s="1"/>
  <c r="CG3" i="58" s="1"/>
  <c r="CH3" i="58" s="1"/>
  <c r="CI3" i="58" s="1"/>
  <c r="CJ3" i="58" s="1"/>
  <c r="CK3" i="58" s="1"/>
  <c r="CL3" i="58" s="1"/>
  <c r="CM3" i="58" s="1"/>
  <c r="CN3" i="58" s="1"/>
  <c r="CO3" i="58" s="1"/>
  <c r="CP3" i="58" s="1"/>
  <c r="CQ3" i="58" s="1"/>
  <c r="CR3" i="58" s="1"/>
  <c r="CS3" i="58" s="1"/>
  <c r="CT3" i="58" s="1"/>
  <c r="CU3" i="58" s="1"/>
  <c r="CV3" i="58" s="1"/>
  <c r="CW3" i="58" s="1"/>
  <c r="CX3" i="58" s="1"/>
  <c r="CY3" i="58" s="1"/>
  <c r="CZ3" i="58" s="1"/>
  <c r="DA3" i="58" s="1"/>
  <c r="DB3" i="58" s="1"/>
  <c r="DC3" i="58" s="1"/>
  <c r="DD3" i="58" s="1"/>
  <c r="DE3" i="58" s="1"/>
  <c r="DF3" i="58" s="1"/>
  <c r="DG3" i="58" s="1"/>
  <c r="DH3" i="58" s="1"/>
  <c r="DI3" i="58" s="1"/>
  <c r="DJ3" i="58" s="1"/>
  <c r="DK3" i="58" s="1"/>
  <c r="DL3" i="58" s="1"/>
  <c r="DM3" i="58" s="1"/>
  <c r="DN3" i="58" s="1"/>
  <c r="DO3" i="58" s="1"/>
  <c r="DP3" i="58" s="1"/>
  <c r="DQ3" i="58" s="1"/>
  <c r="DR3" i="58" s="1"/>
  <c r="DS3" i="58" s="1"/>
  <c r="DT3" i="58" s="1"/>
  <c r="DU3" i="58" s="1"/>
  <c r="DV3" i="58" s="1"/>
  <c r="DW3" i="58" s="1"/>
  <c r="DX3" i="58" s="1"/>
  <c r="DY3" i="58" s="1"/>
  <c r="DZ3" i="58" s="1"/>
  <c r="EA3" i="58" s="1"/>
  <c r="EB3" i="58" s="1"/>
  <c r="EC3" i="58" s="1"/>
  <c r="ED3" i="58" s="1"/>
  <c r="EE3" i="58" s="1"/>
  <c r="EF3" i="58" s="1"/>
  <c r="EG3" i="58" s="1"/>
  <c r="EH3" i="58" s="1"/>
  <c r="EI3" i="58" s="1"/>
  <c r="EJ3" i="58" s="1"/>
  <c r="EK3" i="58" s="1"/>
  <c r="EL3" i="58" s="1"/>
  <c r="EM3" i="58" s="1"/>
  <c r="EN3" i="58" s="1"/>
  <c r="EO3" i="58" s="1"/>
  <c r="EP3" i="58" s="1"/>
  <c r="EQ3" i="58" s="1"/>
  <c r="ER3" i="58" s="1"/>
  <c r="ES3" i="58" s="1"/>
  <c r="ET3" i="58" s="1"/>
  <c r="EU3" i="58" s="1"/>
  <c r="EV3" i="58" s="1"/>
  <c r="EW3" i="58" s="1"/>
  <c r="EX3" i="58" s="1"/>
  <c r="EY3" i="58" s="1"/>
  <c r="EZ3" i="58" s="1"/>
  <c r="FA3" i="58" s="1"/>
  <c r="FB3" i="58" s="1"/>
  <c r="FC3" i="58" s="1"/>
  <c r="FD3" i="58" s="1"/>
  <c r="FE3" i="58" s="1"/>
  <c r="FF3" i="58" s="1"/>
  <c r="FG3" i="58" s="1"/>
  <c r="FH3" i="58" s="1"/>
  <c r="FI3" i="58" s="1"/>
  <c r="FJ3" i="58" s="1"/>
  <c r="FK3" i="58" s="1"/>
  <c r="FL3" i="58" s="1"/>
  <c r="FM3" i="58" s="1"/>
  <c r="FN3" i="58" s="1"/>
  <c r="FO3" i="58" s="1"/>
  <c r="FP3" i="58" s="1"/>
  <c r="FQ3" i="58" s="1"/>
  <c r="FR3" i="58" s="1"/>
  <c r="FS3" i="58" s="1"/>
  <c r="FT3" i="58" s="1"/>
  <c r="FU3" i="58" s="1"/>
  <c r="FV3" i="58" s="1"/>
  <c r="FW3" i="58" s="1"/>
  <c r="FX3" i="58" s="1"/>
  <c r="FY3" i="58" s="1"/>
  <c r="FZ3" i="58" s="1"/>
  <c r="GA3" i="58" s="1"/>
  <c r="GB3" i="58" s="1"/>
  <c r="GC3" i="58" s="1"/>
  <c r="GD3" i="58" s="1"/>
  <c r="GE3" i="58" s="1"/>
  <c r="GF3" i="58" s="1"/>
  <c r="GG3" i="58" s="1"/>
  <c r="GH3" i="58" s="1"/>
  <c r="GI3" i="58" s="1"/>
  <c r="GJ3" i="58" s="1"/>
  <c r="GK3" i="58" s="1"/>
  <c r="GL3" i="58" s="1"/>
  <c r="GM3" i="58" s="1"/>
  <c r="GN3" i="58" s="1"/>
  <c r="GO3" i="58" s="1"/>
  <c r="GP3" i="58" s="1"/>
  <c r="GQ3" i="58" s="1"/>
  <c r="GR3" i="58" s="1"/>
  <c r="GS3" i="58" s="1"/>
  <c r="GT3" i="58" s="1"/>
  <c r="GU3" i="58" s="1"/>
  <c r="GV3" i="58" s="1"/>
  <c r="GW3" i="58" s="1"/>
  <c r="GX3" i="58" s="1"/>
  <c r="GY3" i="58" s="1"/>
  <c r="GZ3" i="58" s="1"/>
  <c r="HA3" i="58" s="1"/>
  <c r="HB3" i="58" s="1"/>
  <c r="HC3" i="58" s="1"/>
  <c r="HD3" i="58" s="1"/>
  <c r="HE3" i="58" s="1"/>
  <c r="HF3" i="58" s="1"/>
  <c r="HG3" i="58" s="1"/>
  <c r="HH3" i="58" s="1"/>
  <c r="HI3" i="58" s="1"/>
  <c r="HJ3" i="58" s="1"/>
  <c r="HK3" i="58" s="1"/>
  <c r="HL3" i="58" s="1"/>
  <c r="HM3" i="58" s="1"/>
  <c r="HN3" i="58" s="1"/>
  <c r="HO3" i="58" s="1"/>
  <c r="HP3" i="58" s="1"/>
  <c r="HQ3" i="58" s="1"/>
  <c r="HR3" i="58" s="1"/>
  <c r="HS3" i="58" s="1"/>
  <c r="HT3" i="58" s="1"/>
  <c r="HU3" i="58" s="1"/>
  <c r="HV3" i="58" s="1"/>
  <c r="HW3" i="58" s="1"/>
  <c r="HX3" i="58" s="1"/>
  <c r="HY3" i="58" s="1"/>
  <c r="HZ3" i="58" s="1"/>
  <c r="IA3" i="58" s="1"/>
  <c r="IB3" i="58" s="1"/>
  <c r="IC3" i="58" s="1"/>
  <c r="ID3" i="58" s="1"/>
  <c r="IE3" i="58" s="1"/>
  <c r="IF3" i="58" s="1"/>
  <c r="IG3" i="58" s="1"/>
  <c r="IH3" i="58" s="1"/>
  <c r="II3" i="58" s="1"/>
  <c r="IJ3" i="58" s="1"/>
  <c r="IK3" i="58" s="1"/>
  <c r="IL3" i="58" s="1"/>
  <c r="IM3" i="58" s="1"/>
  <c r="IN3" i="58" s="1"/>
  <c r="IO3" i="58" s="1"/>
  <c r="IP3" i="58" s="1"/>
  <c r="IQ3" i="58" s="1"/>
  <c r="IR3" i="58" s="1"/>
  <c r="IS3" i="58" s="1"/>
  <c r="IT3" i="58" s="1"/>
  <c r="IU3" i="58" s="1"/>
  <c r="IV3" i="58" s="1"/>
  <c r="IW3" i="58" s="1"/>
  <c r="IX3" i="58" s="1"/>
  <c r="IY3" i="58" s="1"/>
  <c r="IZ3" i="58" s="1"/>
  <c r="JA3" i="58" s="1"/>
  <c r="JB3" i="58" s="1"/>
  <c r="JC3" i="58" s="1"/>
  <c r="JD3" i="58" s="1"/>
  <c r="JE3" i="58" s="1"/>
  <c r="JF3" i="58" s="1"/>
  <c r="JG3" i="58" s="1"/>
  <c r="JH3" i="58" s="1"/>
  <c r="JI3" i="58" s="1"/>
  <c r="JJ3" i="58" s="1"/>
  <c r="JK3" i="58" s="1"/>
  <c r="JL3" i="58" s="1"/>
  <c r="JM3" i="58" s="1"/>
  <c r="JN3" i="58" s="1"/>
  <c r="JO3" i="58" s="1"/>
  <c r="JP3" i="58" s="1"/>
  <c r="JQ3" i="58" s="1"/>
  <c r="JR3" i="58" s="1"/>
  <c r="JS3" i="58" s="1"/>
  <c r="JT3" i="58" s="1"/>
  <c r="JU3" i="58" s="1"/>
  <c r="JV3" i="58" s="1"/>
  <c r="JW3" i="58" s="1"/>
  <c r="JX3" i="58" s="1"/>
  <c r="JY3" i="58" s="1"/>
  <c r="JZ3" i="58" s="1"/>
  <c r="KA3" i="58" s="1"/>
  <c r="KB3" i="58" s="1"/>
  <c r="KC3" i="58" s="1"/>
  <c r="KD3" i="58" s="1"/>
  <c r="KE3" i="58" s="1"/>
  <c r="KF3" i="58" s="1"/>
  <c r="KG3" i="58" s="1"/>
  <c r="KH3" i="58" s="1"/>
  <c r="KI3" i="58" s="1"/>
  <c r="KJ3" i="58" s="1"/>
  <c r="KK3" i="58" s="1"/>
  <c r="KL3" i="58" s="1"/>
  <c r="KM3" i="58" s="1"/>
  <c r="KN3" i="58" s="1"/>
  <c r="KO3" i="58" s="1"/>
  <c r="KP3" i="58" s="1"/>
  <c r="KQ3" i="58" s="1"/>
  <c r="KR3" i="58" s="1"/>
  <c r="KS3" i="58" s="1"/>
  <c r="KT3" i="58" s="1"/>
  <c r="KU3" i="58" s="1"/>
  <c r="KV3" i="58" s="1"/>
  <c r="KW3" i="58" s="1"/>
  <c r="KX3" i="58" s="1"/>
  <c r="KY3" i="58" s="1"/>
  <c r="KZ3" i="58" s="1"/>
  <c r="LA3" i="58" s="1"/>
  <c r="LB3" i="58" s="1"/>
  <c r="LC3" i="58" s="1"/>
  <c r="LD3" i="58" s="1"/>
  <c r="LE3" i="58" s="1"/>
  <c r="LF3" i="58" s="1"/>
  <c r="LG3" i="58" s="1"/>
  <c r="LH3" i="58" s="1"/>
  <c r="LI3" i="58" s="1"/>
  <c r="LJ3" i="58" s="1"/>
  <c r="LK3" i="58" s="1"/>
  <c r="LL3" i="58" s="1"/>
  <c r="LM3" i="58" s="1"/>
  <c r="LN3" i="58" s="1"/>
  <c r="LO3" i="58" s="1"/>
  <c r="LP3" i="58" s="1"/>
  <c r="LQ3" i="58" s="1"/>
  <c r="LR3" i="58" s="1"/>
  <c r="LS3" i="58" s="1"/>
  <c r="LT3" i="58" s="1"/>
  <c r="LU3" i="58" s="1"/>
  <c r="LV3" i="58" s="1"/>
  <c r="LW3" i="58" s="1"/>
  <c r="LX3" i="58" s="1"/>
  <c r="LY3" i="58" s="1"/>
  <c r="LZ3" i="58" s="1"/>
  <c r="MA3" i="58" s="1"/>
  <c r="MB3" i="58" s="1"/>
  <c r="MC3" i="58" s="1"/>
  <c r="MD3" i="58" s="1"/>
  <c r="ME3" i="58" s="1"/>
  <c r="MF3" i="58" s="1"/>
  <c r="MG3" i="58" s="1"/>
  <c r="MH3" i="58" s="1"/>
  <c r="MI3" i="58" s="1"/>
  <c r="MJ3" i="58" s="1"/>
  <c r="MK3" i="58" s="1"/>
  <c r="ML3" i="58" s="1"/>
  <c r="MM3" i="58" s="1"/>
  <c r="MN3" i="58" s="1"/>
  <c r="MO3" i="58" s="1"/>
  <c r="MP3" i="58" s="1"/>
  <c r="MQ3" i="58" s="1"/>
  <c r="MR3" i="58" s="1"/>
  <c r="MS3" i="58" s="1"/>
  <c r="MT3" i="58" s="1"/>
  <c r="MU3" i="58" s="1"/>
  <c r="MV3" i="58" s="1"/>
  <c r="MW3" i="58" s="1"/>
  <c r="MX3" i="58" s="1"/>
  <c r="MY3" i="58" s="1"/>
  <c r="MZ3" i="58" s="1"/>
  <c r="NA3" i="58" s="1"/>
  <c r="NB3" i="58" s="1"/>
  <c r="NC3" i="58" s="1"/>
  <c r="ND3" i="58" s="1"/>
  <c r="NE3" i="58" s="1"/>
  <c r="NF3" i="58" s="1"/>
  <c r="NG3" i="58" s="1"/>
  <c r="H3" i="57"/>
  <c r="I3" i="57" s="1"/>
  <c r="J3" i="57" s="1"/>
  <c r="K3" i="57" s="1"/>
  <c r="L3" i="57" s="1"/>
  <c r="M3" i="57" s="1"/>
  <c r="N3" i="57" s="1"/>
  <c r="O3" i="57" s="1"/>
  <c r="P3" i="57" s="1"/>
  <c r="Q3" i="57" s="1"/>
  <c r="R3" i="57" s="1"/>
  <c r="S3" i="57" s="1"/>
  <c r="T3" i="57" s="1"/>
  <c r="U3" i="57" s="1"/>
  <c r="V3" i="57" s="1"/>
  <c r="W3" i="57" s="1"/>
  <c r="X3" i="57" s="1"/>
  <c r="Y3" i="57" s="1"/>
  <c r="Z3" i="57" s="1"/>
  <c r="AA3" i="57" s="1"/>
  <c r="AB3" i="57" s="1"/>
  <c r="AC3" i="57" s="1"/>
  <c r="AD3" i="57" s="1"/>
  <c r="AE3" i="57" s="1"/>
  <c r="AF3" i="57" s="1"/>
  <c r="AG3" i="57" s="1"/>
  <c r="AH3" i="57" s="1"/>
  <c r="AI3" i="57" s="1"/>
  <c r="AJ3" i="57" s="1"/>
  <c r="AK3" i="57" s="1"/>
  <c r="AL3" i="57" s="1"/>
  <c r="AM3" i="57" s="1"/>
  <c r="AN3" i="57" s="1"/>
  <c r="AO3" i="57" s="1"/>
  <c r="AP3" i="57" s="1"/>
  <c r="AQ3" i="57" s="1"/>
  <c r="AR3" i="57" s="1"/>
  <c r="AS3" i="57" s="1"/>
  <c r="AT3" i="57" s="1"/>
  <c r="AU3" i="57" s="1"/>
  <c r="AV3" i="57" s="1"/>
  <c r="AW3" i="57" s="1"/>
  <c r="AX3" i="57" s="1"/>
  <c r="AY3" i="57" s="1"/>
  <c r="AZ3" i="57" s="1"/>
  <c r="BA3" i="57" s="1"/>
  <c r="BB3" i="57" s="1"/>
  <c r="BC3" i="57" s="1"/>
  <c r="BD3" i="57" s="1"/>
  <c r="BE3" i="57" s="1"/>
  <c r="BF3" i="57" s="1"/>
  <c r="BG3" i="57" s="1"/>
  <c r="BH3" i="57" s="1"/>
  <c r="BI3" i="57" s="1"/>
  <c r="BJ3" i="57" s="1"/>
  <c r="BK3" i="57" s="1"/>
  <c r="BL3" i="57" s="1"/>
  <c r="BM3" i="57" s="1"/>
  <c r="BN3" i="57" s="1"/>
  <c r="BO3" i="57" s="1"/>
  <c r="BP3" i="57" s="1"/>
  <c r="BQ3" i="57" s="1"/>
  <c r="BR3" i="57" s="1"/>
  <c r="BS3" i="57" s="1"/>
  <c r="BT3" i="57" s="1"/>
  <c r="BU3" i="57" s="1"/>
  <c r="BV3" i="57" s="1"/>
  <c r="BW3" i="57" s="1"/>
  <c r="BX3" i="57" s="1"/>
  <c r="BY3" i="57" s="1"/>
  <c r="BZ3" i="57" s="1"/>
  <c r="CA3" i="57" s="1"/>
  <c r="CB3" i="57" s="1"/>
  <c r="CC3" i="57" s="1"/>
  <c r="CD3" i="57" s="1"/>
  <c r="CE3" i="57" s="1"/>
  <c r="CF3" i="57" s="1"/>
  <c r="CG3" i="57" s="1"/>
  <c r="CH3" i="57" s="1"/>
  <c r="CI3" i="57" s="1"/>
  <c r="CJ3" i="57" s="1"/>
  <c r="CK3" i="57" s="1"/>
  <c r="CL3" i="57" s="1"/>
  <c r="CM3" i="57" s="1"/>
  <c r="CN3" i="57" s="1"/>
  <c r="CO3" i="57" s="1"/>
  <c r="CP3" i="57" s="1"/>
  <c r="CQ3" i="57" s="1"/>
  <c r="CR3" i="57" s="1"/>
  <c r="CS3" i="57" s="1"/>
  <c r="CT3" i="57" s="1"/>
  <c r="CU3" i="57" s="1"/>
  <c r="CV3" i="57" s="1"/>
  <c r="CW3" i="57" s="1"/>
  <c r="CX3" i="57" s="1"/>
  <c r="CY3" i="57" s="1"/>
  <c r="CZ3" i="57" s="1"/>
  <c r="DA3" i="57" s="1"/>
  <c r="DB3" i="57" s="1"/>
  <c r="DC3" i="57" s="1"/>
  <c r="DD3" i="57" s="1"/>
  <c r="DE3" i="57" s="1"/>
  <c r="DF3" i="57" s="1"/>
  <c r="DG3" i="57" s="1"/>
  <c r="DH3" i="57" s="1"/>
  <c r="DI3" i="57" s="1"/>
  <c r="DJ3" i="57" s="1"/>
  <c r="DK3" i="57" s="1"/>
  <c r="DL3" i="57" s="1"/>
  <c r="DM3" i="57" s="1"/>
  <c r="DN3" i="57" s="1"/>
  <c r="DO3" i="57" s="1"/>
  <c r="DP3" i="57" s="1"/>
  <c r="DQ3" i="57" s="1"/>
  <c r="DR3" i="57" s="1"/>
  <c r="DS3" i="57" s="1"/>
  <c r="DT3" i="57" s="1"/>
  <c r="DU3" i="57" s="1"/>
  <c r="DV3" i="57" s="1"/>
  <c r="DW3" i="57" s="1"/>
  <c r="DX3" i="57" s="1"/>
  <c r="DY3" i="57" s="1"/>
  <c r="DZ3" i="57" s="1"/>
  <c r="EA3" i="57" s="1"/>
  <c r="EB3" i="57" s="1"/>
  <c r="EC3" i="57" s="1"/>
  <c r="ED3" i="57" s="1"/>
  <c r="EE3" i="57" s="1"/>
  <c r="EF3" i="57" s="1"/>
  <c r="EG3" i="57" s="1"/>
  <c r="EH3" i="57" s="1"/>
  <c r="EI3" i="57" s="1"/>
  <c r="EJ3" i="57" s="1"/>
  <c r="EK3" i="57" s="1"/>
  <c r="EL3" i="57" s="1"/>
  <c r="EM3" i="57" s="1"/>
  <c r="EN3" i="57" s="1"/>
  <c r="EO3" i="57" s="1"/>
  <c r="EP3" i="57" s="1"/>
  <c r="EQ3" i="57" s="1"/>
  <c r="ER3" i="57" s="1"/>
  <c r="ES3" i="57" s="1"/>
  <c r="ET3" i="57" s="1"/>
  <c r="EU3" i="57" s="1"/>
  <c r="EV3" i="57" s="1"/>
  <c r="EW3" i="57" s="1"/>
  <c r="EX3" i="57" s="1"/>
  <c r="EY3" i="57" s="1"/>
  <c r="EZ3" i="57" s="1"/>
  <c r="FA3" i="57" s="1"/>
  <c r="FB3" i="57" s="1"/>
  <c r="FC3" i="57" s="1"/>
  <c r="FD3" i="57" s="1"/>
  <c r="FE3" i="57" s="1"/>
  <c r="FF3" i="57" s="1"/>
  <c r="FG3" i="57" s="1"/>
  <c r="FH3" i="57" s="1"/>
  <c r="FI3" i="57" s="1"/>
  <c r="FJ3" i="57" s="1"/>
  <c r="FK3" i="57" s="1"/>
  <c r="FL3" i="57" s="1"/>
  <c r="FM3" i="57" s="1"/>
  <c r="FN3" i="57" s="1"/>
  <c r="FO3" i="57" s="1"/>
  <c r="FP3" i="57" s="1"/>
  <c r="FQ3" i="57" s="1"/>
  <c r="FR3" i="57" s="1"/>
  <c r="FS3" i="57" s="1"/>
  <c r="FT3" i="57" s="1"/>
  <c r="FU3" i="57" s="1"/>
  <c r="FV3" i="57" s="1"/>
  <c r="FW3" i="57" s="1"/>
  <c r="FX3" i="57" s="1"/>
  <c r="FY3" i="57" s="1"/>
  <c r="FZ3" i="57" s="1"/>
  <c r="GA3" i="57" s="1"/>
  <c r="GB3" i="57" s="1"/>
  <c r="GC3" i="57" s="1"/>
  <c r="GD3" i="57" s="1"/>
  <c r="GE3" i="57" s="1"/>
  <c r="GF3" i="57" s="1"/>
  <c r="GG3" i="57" s="1"/>
  <c r="GH3" i="57" s="1"/>
  <c r="GI3" i="57" s="1"/>
  <c r="GJ3" i="57" s="1"/>
  <c r="GK3" i="57" s="1"/>
  <c r="GL3" i="57" s="1"/>
  <c r="GM3" i="57" s="1"/>
  <c r="GN3" i="57" s="1"/>
  <c r="GO3" i="57" s="1"/>
  <c r="GP3" i="57" s="1"/>
  <c r="GQ3" i="57" s="1"/>
  <c r="GR3" i="57" s="1"/>
  <c r="GS3" i="57" s="1"/>
  <c r="GT3" i="57" s="1"/>
  <c r="GU3" i="57" s="1"/>
  <c r="GV3" i="57" s="1"/>
  <c r="GW3" i="57" s="1"/>
  <c r="GX3" i="57" s="1"/>
  <c r="GY3" i="57" s="1"/>
  <c r="GZ3" i="57" s="1"/>
  <c r="HA3" i="57" s="1"/>
  <c r="HB3" i="57" s="1"/>
  <c r="HC3" i="57" s="1"/>
  <c r="HD3" i="57" s="1"/>
  <c r="HE3" i="57" s="1"/>
  <c r="HF3" i="57" s="1"/>
  <c r="HG3" i="57" s="1"/>
  <c r="HH3" i="57" s="1"/>
  <c r="HI3" i="57" s="1"/>
  <c r="HJ3" i="57" s="1"/>
  <c r="HK3" i="57" s="1"/>
  <c r="HL3" i="57" s="1"/>
  <c r="HM3" i="57" s="1"/>
  <c r="HN3" i="57" s="1"/>
  <c r="HO3" i="57" s="1"/>
  <c r="HP3" i="57" s="1"/>
  <c r="HQ3" i="57" s="1"/>
  <c r="HR3" i="57" s="1"/>
  <c r="HS3" i="57" s="1"/>
  <c r="HT3" i="57" s="1"/>
  <c r="HU3" i="57" s="1"/>
  <c r="HV3" i="57" s="1"/>
  <c r="HW3" i="57" s="1"/>
  <c r="HX3" i="57" s="1"/>
  <c r="HY3" i="57" s="1"/>
  <c r="HZ3" i="57" s="1"/>
  <c r="IA3" i="57" s="1"/>
  <c r="IB3" i="57" s="1"/>
  <c r="IC3" i="57" s="1"/>
  <c r="ID3" i="57" s="1"/>
  <c r="IE3" i="57" s="1"/>
  <c r="IF3" i="57" s="1"/>
  <c r="IG3" i="57" s="1"/>
  <c r="IH3" i="57" s="1"/>
  <c r="II3" i="57" s="1"/>
  <c r="IJ3" i="57" s="1"/>
  <c r="IK3" i="57" s="1"/>
  <c r="IL3" i="57" s="1"/>
  <c r="IM3" i="57" s="1"/>
  <c r="IN3" i="57" s="1"/>
  <c r="IO3" i="57" s="1"/>
  <c r="IP3" i="57" s="1"/>
  <c r="IQ3" i="57" s="1"/>
  <c r="IR3" i="57" s="1"/>
  <c r="IS3" i="57" s="1"/>
  <c r="IT3" i="57" s="1"/>
  <c r="IU3" i="57" s="1"/>
  <c r="IV3" i="57" s="1"/>
  <c r="IW3" i="57" s="1"/>
  <c r="IX3" i="57" s="1"/>
  <c r="IY3" i="57" s="1"/>
  <c r="IZ3" i="57" s="1"/>
  <c r="JA3" i="57" s="1"/>
  <c r="JB3" i="57" s="1"/>
  <c r="JC3" i="57" s="1"/>
  <c r="JD3" i="57" s="1"/>
  <c r="JE3" i="57" s="1"/>
  <c r="JF3" i="57" s="1"/>
  <c r="JG3" i="57" s="1"/>
  <c r="JH3" i="57" s="1"/>
  <c r="JI3" i="57" s="1"/>
  <c r="JJ3" i="57" s="1"/>
  <c r="JK3" i="57" s="1"/>
  <c r="JL3" i="57" s="1"/>
  <c r="JM3" i="57" s="1"/>
  <c r="JN3" i="57" s="1"/>
  <c r="JO3" i="57" s="1"/>
  <c r="JP3" i="57" s="1"/>
  <c r="JQ3" i="57" s="1"/>
  <c r="JR3" i="57" s="1"/>
  <c r="JS3" i="57" s="1"/>
  <c r="JT3" i="57" s="1"/>
  <c r="JU3" i="57" s="1"/>
  <c r="JV3" i="57" s="1"/>
  <c r="JW3" i="57" s="1"/>
  <c r="JX3" i="57" s="1"/>
  <c r="JY3" i="57" s="1"/>
  <c r="JZ3" i="57" s="1"/>
  <c r="KA3" i="57" s="1"/>
  <c r="KB3" i="57" s="1"/>
  <c r="KC3" i="57" s="1"/>
  <c r="KD3" i="57" s="1"/>
  <c r="KE3" i="57" s="1"/>
  <c r="KF3" i="57" s="1"/>
  <c r="KG3" i="57" s="1"/>
  <c r="KH3" i="57" s="1"/>
  <c r="KI3" i="57" s="1"/>
  <c r="KJ3" i="57" s="1"/>
  <c r="KK3" i="57" s="1"/>
  <c r="KL3" i="57" s="1"/>
  <c r="KM3" i="57" s="1"/>
  <c r="KN3" i="57" s="1"/>
  <c r="KO3" i="57" s="1"/>
  <c r="KP3" i="57" s="1"/>
  <c r="KQ3" i="57" s="1"/>
  <c r="KR3" i="57" s="1"/>
  <c r="KS3" i="57" s="1"/>
  <c r="KT3" i="57" s="1"/>
  <c r="KU3" i="57" s="1"/>
  <c r="KV3" i="57" s="1"/>
  <c r="KW3" i="57" s="1"/>
  <c r="KX3" i="57" s="1"/>
  <c r="KY3" i="57" s="1"/>
  <c r="KZ3" i="57" s="1"/>
  <c r="LA3" i="57" s="1"/>
  <c r="LB3" i="57" s="1"/>
  <c r="LC3" i="57" s="1"/>
  <c r="LD3" i="57" s="1"/>
  <c r="LE3" i="57" s="1"/>
  <c r="LF3" i="57" s="1"/>
  <c r="LG3" i="57" s="1"/>
  <c r="LH3" i="57" s="1"/>
  <c r="LI3" i="57" s="1"/>
  <c r="LJ3" i="57" s="1"/>
  <c r="LK3" i="57" s="1"/>
  <c r="LL3" i="57" s="1"/>
  <c r="LM3" i="57" s="1"/>
  <c r="LN3" i="57" s="1"/>
  <c r="LO3" i="57" s="1"/>
  <c r="LP3" i="57" s="1"/>
  <c r="LQ3" i="57" s="1"/>
  <c r="LR3" i="57" s="1"/>
  <c r="LS3" i="57" s="1"/>
  <c r="LT3" i="57" s="1"/>
  <c r="LU3" i="57" s="1"/>
  <c r="LV3" i="57" s="1"/>
  <c r="LW3" i="57" s="1"/>
  <c r="LX3" i="57" s="1"/>
  <c r="LY3" i="57" s="1"/>
  <c r="LZ3" i="57" s="1"/>
  <c r="MA3" i="57" s="1"/>
  <c r="MB3" i="57" s="1"/>
  <c r="MC3" i="57" s="1"/>
  <c r="MD3" i="57" s="1"/>
  <c r="ME3" i="57" s="1"/>
  <c r="MF3" i="57" s="1"/>
  <c r="MG3" i="57" s="1"/>
  <c r="MH3" i="57" s="1"/>
  <c r="MI3" i="57" s="1"/>
  <c r="MJ3" i="57" s="1"/>
  <c r="MK3" i="57" s="1"/>
  <c r="ML3" i="57" s="1"/>
  <c r="MM3" i="57" s="1"/>
  <c r="MN3" i="57" s="1"/>
  <c r="MO3" i="57" s="1"/>
  <c r="MP3" i="57" s="1"/>
  <c r="MQ3" i="57" s="1"/>
  <c r="MR3" i="57" s="1"/>
  <c r="MS3" i="57" s="1"/>
  <c r="MT3" i="57" s="1"/>
  <c r="MU3" i="57" s="1"/>
  <c r="MV3" i="57" s="1"/>
  <c r="MW3" i="57" s="1"/>
  <c r="MX3" i="57" s="1"/>
  <c r="MY3" i="57" s="1"/>
  <c r="MZ3" i="57" s="1"/>
  <c r="NA3" i="57" s="1"/>
  <c r="NB3" i="57" s="1"/>
  <c r="NC3" i="57" s="1"/>
  <c r="ND3" i="57" s="1"/>
  <c r="NE3" i="57" s="1"/>
  <c r="NF3" i="57" s="1"/>
  <c r="NG3" i="57" s="1"/>
  <c r="G7" i="31"/>
  <c r="G7" i="29"/>
  <c r="S116" i="69" l="1"/>
  <c r="I45" i="69"/>
  <c r="E51" i="69"/>
  <c r="S45" i="69" s="1"/>
  <c r="E49" i="69"/>
  <c r="S41" i="69" s="1"/>
  <c r="E45" i="69"/>
  <c r="S137" i="69" s="1"/>
  <c r="S112" i="69"/>
  <c r="E41" i="69"/>
  <c r="S133" i="70"/>
  <c r="H41" i="70"/>
  <c r="S175" i="70" s="1"/>
  <c r="S129" i="70"/>
  <c r="S114" i="70"/>
  <c r="D44" i="70"/>
  <c r="E43" i="70"/>
  <c r="S128" i="70"/>
  <c r="S131" i="70"/>
  <c r="S123" i="70"/>
  <c r="S125" i="70"/>
  <c r="S132" i="70"/>
  <c r="H40" i="70"/>
  <c r="C44" i="70"/>
  <c r="S94" i="70" s="1"/>
  <c r="S73" i="70"/>
  <c r="S124" i="70"/>
  <c r="S101" i="70"/>
  <c r="E30" i="70"/>
  <c r="S122" i="70" s="1"/>
  <c r="D42" i="70"/>
  <c r="S113" i="70" s="1"/>
  <c r="E49" i="70"/>
  <c r="S130" i="70"/>
  <c r="S126" i="70"/>
  <c r="S216" i="69"/>
  <c r="J31" i="69"/>
  <c r="S123" i="69"/>
  <c r="S208" i="69"/>
  <c r="S213" i="69"/>
  <c r="C44" i="69"/>
  <c r="S94" i="69" s="1"/>
  <c r="S73" i="69"/>
  <c r="S114" i="69"/>
  <c r="D44" i="69"/>
  <c r="E43" i="69"/>
  <c r="S214" i="69"/>
  <c r="S215" i="69"/>
  <c r="S174" i="69"/>
  <c r="F40" i="69"/>
  <c r="S242" i="69" s="1"/>
  <c r="S210" i="69"/>
  <c r="S209" i="69"/>
  <c r="S211" i="69"/>
  <c r="S125" i="68"/>
  <c r="J33" i="68"/>
  <c r="S101" i="68"/>
  <c r="E30" i="68"/>
  <c r="S122" i="68" s="1"/>
  <c r="D42" i="68"/>
  <c r="S113" i="68" s="1"/>
  <c r="E49" i="68"/>
  <c r="S211" i="68"/>
  <c r="S133" i="68"/>
  <c r="H41" i="68"/>
  <c r="S175" i="68" s="1"/>
  <c r="S130" i="68"/>
  <c r="J38" i="68"/>
  <c r="S132" i="68"/>
  <c r="H40" i="68"/>
  <c r="C44" i="68"/>
  <c r="S94" i="68" s="1"/>
  <c r="S73" i="68"/>
  <c r="S114" i="68"/>
  <c r="D44" i="68"/>
  <c r="E43" i="68"/>
  <c r="J39" i="68"/>
  <c r="S131" i="68"/>
  <c r="J34" i="68"/>
  <c r="S126" i="68"/>
  <c r="J31" i="68"/>
  <c r="S123" i="68"/>
  <c r="S128" i="68"/>
  <c r="J36" i="68"/>
  <c r="J32" i="68"/>
  <c r="S124" i="68"/>
  <c r="S213" i="68"/>
  <c r="S211" i="67"/>
  <c r="S114" i="67"/>
  <c r="D44" i="67"/>
  <c r="E43" i="67"/>
  <c r="S212" i="67"/>
  <c r="S214" i="67"/>
  <c r="J31" i="67"/>
  <c r="S123" i="67"/>
  <c r="S41" i="67"/>
  <c r="C44" i="67"/>
  <c r="S94" i="67" s="1"/>
  <c r="S73" i="67"/>
  <c r="S217" i="67"/>
  <c r="S215" i="67"/>
  <c r="S174" i="67"/>
  <c r="F40" i="67"/>
  <c r="S242" i="67" s="1"/>
  <c r="J40" i="67"/>
  <c r="S209" i="67"/>
  <c r="S213" i="67"/>
  <c r="S208" i="67"/>
  <c r="S210" i="67"/>
  <c r="S128" i="66"/>
  <c r="J36" i="66"/>
  <c r="S211" i="66"/>
  <c r="S132" i="66"/>
  <c r="H40" i="66"/>
  <c r="J40" i="66" s="1"/>
  <c r="S133" i="66"/>
  <c r="H41" i="66"/>
  <c r="S175" i="66" s="1"/>
  <c r="C44" i="66"/>
  <c r="S94" i="66" s="1"/>
  <c r="S73" i="66"/>
  <c r="J31" i="66"/>
  <c r="S123" i="66"/>
  <c r="J37" i="66"/>
  <c r="S129" i="66"/>
  <c r="S101" i="66"/>
  <c r="E30" i="66"/>
  <c r="S122" i="66" s="1"/>
  <c r="D42" i="66"/>
  <c r="S113" i="66" s="1"/>
  <c r="E49" i="66"/>
  <c r="S125" i="66"/>
  <c r="J33" i="66"/>
  <c r="S114" i="66"/>
  <c r="D44" i="66"/>
  <c r="E43" i="66"/>
  <c r="J34" i="66"/>
  <c r="S126" i="66"/>
  <c r="S130" i="66"/>
  <c r="J38" i="66"/>
  <c r="J39" i="66"/>
  <c r="S131" i="66"/>
  <c r="S208" i="66"/>
  <c r="S217" i="65"/>
  <c r="S214" i="65"/>
  <c r="S209" i="65"/>
  <c r="S114" i="65"/>
  <c r="D44" i="65"/>
  <c r="E43" i="65"/>
  <c r="S208" i="65"/>
  <c r="S174" i="65"/>
  <c r="F40" i="65"/>
  <c r="S242" i="65" s="1"/>
  <c r="C44" i="65"/>
  <c r="S94" i="65" s="1"/>
  <c r="S73" i="65"/>
  <c r="J31" i="65"/>
  <c r="S123" i="65"/>
  <c r="S211" i="65"/>
  <c r="S210" i="65"/>
  <c r="S41" i="65"/>
  <c r="S212" i="65"/>
  <c r="J40" i="65"/>
  <c r="S133" i="64"/>
  <c r="H41" i="64"/>
  <c r="S175" i="64" s="1"/>
  <c r="J34" i="64"/>
  <c r="S126" i="64"/>
  <c r="S101" i="64"/>
  <c r="E30" i="64"/>
  <c r="S122" i="64" s="1"/>
  <c r="D42" i="64"/>
  <c r="S113" i="64" s="1"/>
  <c r="E49" i="64"/>
  <c r="J39" i="64"/>
  <c r="S131" i="64"/>
  <c r="J32" i="64"/>
  <c r="S124" i="64"/>
  <c r="J37" i="64"/>
  <c r="S129" i="64"/>
  <c r="S128" i="64"/>
  <c r="J36" i="64"/>
  <c r="C44" i="64"/>
  <c r="S94" i="64" s="1"/>
  <c r="S73" i="64"/>
  <c r="S132" i="64"/>
  <c r="H40" i="64"/>
  <c r="J40" i="64" s="1"/>
  <c r="S114" i="64"/>
  <c r="D44" i="64"/>
  <c r="E43" i="64"/>
  <c r="S125" i="64"/>
  <c r="J33" i="64"/>
  <c r="J31" i="64"/>
  <c r="S123" i="64"/>
  <c r="S130" i="64"/>
  <c r="J38" i="64"/>
  <c r="S211" i="64"/>
  <c r="D6" i="31"/>
  <c r="C6" i="31"/>
  <c r="S133" i="69" l="1"/>
  <c r="H41" i="69"/>
  <c r="S200" i="69"/>
  <c r="F51" i="69"/>
  <c r="S49" i="69" s="1"/>
  <c r="G45" i="69"/>
  <c r="S158" i="69" s="1"/>
  <c r="S135" i="70"/>
  <c r="S41" i="70"/>
  <c r="E44" i="70"/>
  <c r="S115" i="70"/>
  <c r="J41" i="70"/>
  <c r="S174" i="70"/>
  <c r="F40" i="70"/>
  <c r="S242" i="70" s="1"/>
  <c r="J40" i="70"/>
  <c r="S135" i="69"/>
  <c r="S207" i="69"/>
  <c r="E44" i="69"/>
  <c r="S115" i="69"/>
  <c r="S212" i="68"/>
  <c r="S41" i="68"/>
  <c r="S210" i="68"/>
  <c r="S174" i="68"/>
  <c r="F40" i="68"/>
  <c r="S242" i="68" s="1"/>
  <c r="J41" i="68"/>
  <c r="S135" i="68"/>
  <c r="E44" i="68"/>
  <c r="S115" i="68"/>
  <c r="S214" i="68"/>
  <c r="S207" i="68"/>
  <c r="S209" i="68"/>
  <c r="S208" i="68"/>
  <c r="S215" i="68"/>
  <c r="J40" i="68"/>
  <c r="S216" i="67"/>
  <c r="S135" i="67"/>
  <c r="S207" i="67"/>
  <c r="E44" i="67"/>
  <c r="S115" i="67"/>
  <c r="S216" i="66"/>
  <c r="S41" i="66"/>
  <c r="S214" i="66"/>
  <c r="S209" i="66"/>
  <c r="S135" i="66"/>
  <c r="S174" i="66"/>
  <c r="F40" i="66"/>
  <c r="S242" i="66" s="1"/>
  <c r="S210" i="66"/>
  <c r="S213" i="66"/>
  <c r="S207" i="66"/>
  <c r="S212" i="66"/>
  <c r="E44" i="66"/>
  <c r="S115" i="66"/>
  <c r="S215" i="66"/>
  <c r="J41" i="66"/>
  <c r="S207" i="65"/>
  <c r="E44" i="65"/>
  <c r="S115" i="65"/>
  <c r="S216" i="65"/>
  <c r="S135" i="65"/>
  <c r="S207" i="64"/>
  <c r="S135" i="64"/>
  <c r="S210" i="64"/>
  <c r="S209" i="64"/>
  <c r="S215" i="64"/>
  <c r="E44" i="64"/>
  <c r="S115" i="64"/>
  <c r="S208" i="64"/>
  <c r="S214" i="64"/>
  <c r="S41" i="64"/>
  <c r="J41" i="64"/>
  <c r="S216" i="64"/>
  <c r="S212" i="64"/>
  <c r="S174" i="64"/>
  <c r="F40" i="64"/>
  <c r="S242" i="64" s="1"/>
  <c r="S213" i="64"/>
  <c r="D7" i="31"/>
  <c r="D40" i="31"/>
  <c r="T222" i="29"/>
  <c r="T223" i="29"/>
  <c r="T224" i="29"/>
  <c r="R223" i="29"/>
  <c r="R224" i="29"/>
  <c r="R222" i="29"/>
  <c r="S223" i="29"/>
  <c r="S222" i="29"/>
  <c r="S175" i="69" l="1"/>
  <c r="J41" i="69"/>
  <c r="S217" i="69" s="1"/>
  <c r="S217" i="70"/>
  <c r="S216" i="70"/>
  <c r="S136" i="70"/>
  <c r="S136" i="69"/>
  <c r="S136" i="68"/>
  <c r="S216" i="68"/>
  <c r="S217" i="68"/>
  <c r="S136" i="67"/>
  <c r="S217" i="66"/>
  <c r="S136" i="66"/>
  <c r="S136" i="65"/>
  <c r="S136" i="64"/>
  <c r="S217" i="64"/>
  <c r="G40" i="31"/>
  <c r="S111" i="31"/>
  <c r="D20" i="29"/>
  <c r="S153" i="31" l="1"/>
  <c r="S224" i="29"/>
  <c r="I40" i="70" l="1"/>
  <c r="S195" i="70" s="1"/>
  <c r="T3" i="29"/>
  <c r="T4" i="29"/>
  <c r="T5" i="29"/>
  <c r="T6" i="29"/>
  <c r="T7" i="29"/>
  <c r="T8" i="29"/>
  <c r="T9" i="29"/>
  <c r="T10" i="29"/>
  <c r="T11" i="29"/>
  <c r="T12" i="29"/>
  <c r="T13" i="29"/>
  <c r="T14" i="29"/>
  <c r="T15" i="29"/>
  <c r="T16" i="29"/>
  <c r="T17" i="29"/>
  <c r="T18" i="29"/>
  <c r="T19" i="29"/>
  <c r="T20" i="29"/>
  <c r="T21" i="29"/>
  <c r="T22" i="29"/>
  <c r="T23" i="29"/>
  <c r="T24" i="29"/>
  <c r="T25" i="29"/>
  <c r="T26" i="29"/>
  <c r="T27" i="29"/>
  <c r="T28" i="29"/>
  <c r="T29" i="29"/>
  <c r="T30" i="29"/>
  <c r="T31" i="29"/>
  <c r="T32" i="29"/>
  <c r="T33" i="29"/>
  <c r="T34" i="29"/>
  <c r="T35" i="29"/>
  <c r="T36" i="29"/>
  <c r="T37" i="29"/>
  <c r="T38" i="29"/>
  <c r="T39" i="29"/>
  <c r="T40" i="29"/>
  <c r="T41" i="29"/>
  <c r="T42" i="29"/>
  <c r="T43" i="29"/>
  <c r="T44" i="29"/>
  <c r="T45" i="29"/>
  <c r="T46" i="29"/>
  <c r="T47" i="29"/>
  <c r="T48" i="29"/>
  <c r="T49" i="29"/>
  <c r="T50" i="29"/>
  <c r="T51" i="29"/>
  <c r="T52" i="29"/>
  <c r="T53" i="29"/>
  <c r="T54" i="29"/>
  <c r="T55" i="29"/>
  <c r="T56" i="29"/>
  <c r="T57" i="29"/>
  <c r="T58" i="29"/>
  <c r="T59" i="29"/>
  <c r="T60" i="29"/>
  <c r="T61" i="29"/>
  <c r="T62" i="29"/>
  <c r="T63" i="29"/>
  <c r="T64" i="29"/>
  <c r="T65" i="29"/>
  <c r="T66" i="29"/>
  <c r="T67" i="29"/>
  <c r="T68" i="29"/>
  <c r="T69" i="29"/>
  <c r="T70" i="29"/>
  <c r="T71" i="29"/>
  <c r="T72" i="29"/>
  <c r="T73" i="29"/>
  <c r="T74" i="29"/>
  <c r="T75" i="29"/>
  <c r="T76" i="29"/>
  <c r="T77" i="29"/>
  <c r="T78" i="29"/>
  <c r="T79" i="29"/>
  <c r="T80" i="29"/>
  <c r="T81" i="29"/>
  <c r="T82" i="29"/>
  <c r="T83" i="29"/>
  <c r="T84" i="29"/>
  <c r="T85" i="29"/>
  <c r="T86" i="29"/>
  <c r="T87" i="29"/>
  <c r="T88" i="29"/>
  <c r="T89" i="29"/>
  <c r="T90" i="29"/>
  <c r="T91" i="29"/>
  <c r="T92" i="29"/>
  <c r="T93" i="29"/>
  <c r="T94" i="29"/>
  <c r="T95" i="29"/>
  <c r="T96" i="29"/>
  <c r="T97" i="29"/>
  <c r="T98" i="29"/>
  <c r="T99" i="29"/>
  <c r="T100" i="29"/>
  <c r="T101" i="29"/>
  <c r="T102" i="29"/>
  <c r="T103" i="29"/>
  <c r="T104" i="29"/>
  <c r="T105" i="29"/>
  <c r="T106" i="29"/>
  <c r="T107" i="29"/>
  <c r="T108" i="29"/>
  <c r="T109" i="29"/>
  <c r="T110" i="29"/>
  <c r="T111" i="29"/>
  <c r="T112" i="29"/>
  <c r="T113" i="29"/>
  <c r="T114" i="29"/>
  <c r="T115" i="29"/>
  <c r="T116" i="29"/>
  <c r="T117" i="29"/>
  <c r="T118" i="29"/>
  <c r="T119" i="29"/>
  <c r="T120" i="29"/>
  <c r="T121" i="29"/>
  <c r="T122" i="29"/>
  <c r="T123" i="29"/>
  <c r="T124" i="29"/>
  <c r="T125" i="29"/>
  <c r="T126" i="29"/>
  <c r="T127" i="29"/>
  <c r="T128" i="29"/>
  <c r="T129" i="29"/>
  <c r="T130" i="29"/>
  <c r="T131" i="29"/>
  <c r="T132" i="29"/>
  <c r="T133" i="29"/>
  <c r="T134" i="29"/>
  <c r="T135" i="29"/>
  <c r="T136" i="29"/>
  <c r="T137" i="29"/>
  <c r="T138" i="29"/>
  <c r="T139" i="29"/>
  <c r="T140" i="29"/>
  <c r="T141" i="29"/>
  <c r="T142" i="29"/>
  <c r="T143" i="29"/>
  <c r="T144" i="29"/>
  <c r="T145" i="29"/>
  <c r="T146" i="29"/>
  <c r="T147" i="29"/>
  <c r="T148" i="29"/>
  <c r="T149" i="29"/>
  <c r="T150" i="29"/>
  <c r="T151" i="29"/>
  <c r="T152" i="29"/>
  <c r="T153" i="29"/>
  <c r="T154" i="29"/>
  <c r="T155" i="29"/>
  <c r="T156" i="29"/>
  <c r="T157" i="29"/>
  <c r="T158" i="29"/>
  <c r="T159" i="29"/>
  <c r="T160" i="29"/>
  <c r="T161" i="29"/>
  <c r="T162" i="29"/>
  <c r="T163" i="29"/>
  <c r="T164" i="29"/>
  <c r="T165" i="29"/>
  <c r="T166" i="29"/>
  <c r="T167" i="29"/>
  <c r="T168" i="29"/>
  <c r="T169" i="29"/>
  <c r="T170" i="29"/>
  <c r="T171" i="29"/>
  <c r="T172" i="29"/>
  <c r="T173" i="29"/>
  <c r="T174" i="29"/>
  <c r="T175" i="29"/>
  <c r="T176" i="29"/>
  <c r="T177" i="29"/>
  <c r="T178" i="29"/>
  <c r="T179" i="29"/>
  <c r="T180" i="29"/>
  <c r="T181" i="29"/>
  <c r="T182" i="29"/>
  <c r="T183" i="29"/>
  <c r="T184" i="29"/>
  <c r="T185" i="29"/>
  <c r="T186" i="29"/>
  <c r="T187" i="29"/>
  <c r="T188" i="29"/>
  <c r="T189" i="29"/>
  <c r="T190" i="29"/>
  <c r="T191" i="29"/>
  <c r="T192" i="29"/>
  <c r="T193" i="29"/>
  <c r="T194" i="29"/>
  <c r="T195" i="29"/>
  <c r="T196" i="29"/>
  <c r="T197" i="29"/>
  <c r="T198" i="29"/>
  <c r="T199" i="29"/>
  <c r="T200" i="29"/>
  <c r="T201" i="29"/>
  <c r="T202" i="29"/>
  <c r="T203" i="29"/>
  <c r="T204" i="29"/>
  <c r="T205" i="29"/>
  <c r="T206" i="29"/>
  <c r="T207" i="29"/>
  <c r="T208" i="29"/>
  <c r="T209" i="29"/>
  <c r="T210" i="29"/>
  <c r="T211" i="29"/>
  <c r="T212" i="29"/>
  <c r="T213" i="29"/>
  <c r="T214" i="29"/>
  <c r="T215" i="29"/>
  <c r="T216" i="29"/>
  <c r="T217" i="29"/>
  <c r="T218" i="29"/>
  <c r="T219" i="29"/>
  <c r="T220" i="29"/>
  <c r="T221" i="29"/>
  <c r="T2" i="29"/>
  <c r="S53" i="29"/>
  <c r="K4" i="5"/>
  <c r="K5" i="5"/>
  <c r="K9" i="5"/>
  <c r="K10" i="5"/>
  <c r="K11" i="5"/>
  <c r="K12" i="5"/>
  <c r="K13" i="5"/>
  <c r="K14" i="5"/>
  <c r="K15" i="5"/>
  <c r="K3" i="5"/>
  <c r="S202" i="29"/>
  <c r="S203" i="29"/>
  <c r="S204" i="29"/>
  <c r="S206" i="29"/>
  <c r="S201" i="29"/>
  <c r="S155" i="29"/>
  <c r="S138" i="29"/>
  <c r="R138" i="29"/>
  <c r="R139" i="29"/>
  <c r="R140" i="29"/>
  <c r="R141" i="29"/>
  <c r="R142" i="29"/>
  <c r="R143" i="29"/>
  <c r="R144" i="29"/>
  <c r="R145" i="29"/>
  <c r="R146" i="29"/>
  <c r="R147" i="29"/>
  <c r="R148" i="29"/>
  <c r="R149" i="29"/>
  <c r="R150" i="29"/>
  <c r="R151" i="29"/>
  <c r="R152" i="29"/>
  <c r="R153" i="29"/>
  <c r="R154" i="29"/>
  <c r="R155" i="29"/>
  <c r="R156" i="29"/>
  <c r="R157" i="29"/>
  <c r="R158" i="29"/>
  <c r="R159" i="29"/>
  <c r="R160" i="29"/>
  <c r="R161" i="29"/>
  <c r="R162" i="29"/>
  <c r="R163" i="29"/>
  <c r="R164" i="29"/>
  <c r="R165" i="29"/>
  <c r="R166" i="29"/>
  <c r="R167" i="29"/>
  <c r="R168" i="29"/>
  <c r="R169" i="29"/>
  <c r="R170" i="29"/>
  <c r="R171" i="29"/>
  <c r="R172" i="29"/>
  <c r="R173" i="29"/>
  <c r="R174" i="29"/>
  <c r="R175" i="29"/>
  <c r="R176" i="29"/>
  <c r="R177" i="29"/>
  <c r="R178" i="29"/>
  <c r="R179" i="29"/>
  <c r="R180" i="29"/>
  <c r="R181" i="29"/>
  <c r="R182" i="29"/>
  <c r="R183" i="29"/>
  <c r="R184" i="29"/>
  <c r="R185" i="29"/>
  <c r="R186" i="29"/>
  <c r="R187" i="29"/>
  <c r="R188" i="29"/>
  <c r="R189" i="29"/>
  <c r="R190" i="29"/>
  <c r="R191" i="29"/>
  <c r="R192" i="29"/>
  <c r="R193" i="29"/>
  <c r="R194" i="29"/>
  <c r="R195" i="29"/>
  <c r="R196" i="29"/>
  <c r="R197" i="29"/>
  <c r="R198" i="29"/>
  <c r="R199" i="29"/>
  <c r="R200" i="29"/>
  <c r="R201" i="29"/>
  <c r="R202" i="29"/>
  <c r="R203" i="29"/>
  <c r="R204" i="29"/>
  <c r="R205" i="29"/>
  <c r="R206" i="29"/>
  <c r="R207" i="29"/>
  <c r="R208" i="29"/>
  <c r="R209" i="29"/>
  <c r="R210" i="29"/>
  <c r="R211" i="29"/>
  <c r="R212" i="29"/>
  <c r="R213" i="29"/>
  <c r="R214" i="29"/>
  <c r="R215" i="29"/>
  <c r="R216" i="29"/>
  <c r="R217" i="29"/>
  <c r="R218" i="29"/>
  <c r="R219" i="29"/>
  <c r="R220" i="29"/>
  <c r="R221" i="29"/>
  <c r="S8" i="29"/>
  <c r="S10" i="29"/>
  <c r="S11" i="29"/>
  <c r="S13" i="29"/>
  <c r="S15" i="29"/>
  <c r="R11" i="29"/>
  <c r="R12" i="29"/>
  <c r="R13" i="29"/>
  <c r="R14" i="29"/>
  <c r="R15" i="29"/>
  <c r="R16" i="29"/>
  <c r="R17" i="29"/>
  <c r="L54" i="31"/>
  <c r="K54" i="31"/>
  <c r="I54" i="31"/>
  <c r="G54" i="31"/>
  <c r="F54" i="31"/>
  <c r="A54" i="31"/>
  <c r="G54" i="29"/>
  <c r="B43" i="31" l="1"/>
  <c r="S72" i="31" s="1"/>
  <c r="B28" i="31"/>
  <c r="S57" i="31" s="1"/>
  <c r="B20" i="31"/>
  <c r="S20" i="31" s="1"/>
  <c r="D27" i="31"/>
  <c r="S98" i="31" s="1"/>
  <c r="D25" i="31"/>
  <c r="S96" i="31" s="1"/>
  <c r="B22" i="31"/>
  <c r="S22" i="31" s="1"/>
  <c r="C20" i="31"/>
  <c r="I29" i="31" l="1"/>
  <c r="S184" i="31" s="1"/>
  <c r="S25" i="31"/>
  <c r="G27" i="31"/>
  <c r="C21" i="31"/>
  <c r="D50" i="31"/>
  <c r="S38" i="31" s="1"/>
  <c r="B29" i="31"/>
  <c r="S58" i="31" s="1"/>
  <c r="B50" i="31"/>
  <c r="S30" i="31" s="1"/>
  <c r="B21" i="31"/>
  <c r="S21" i="31" s="1"/>
  <c r="C38" i="31"/>
  <c r="S88" i="31" s="1"/>
  <c r="C35" i="31"/>
  <c r="S85" i="31" s="1"/>
  <c r="C37" i="31"/>
  <c r="S87" i="31" s="1"/>
  <c r="C39" i="31"/>
  <c r="S89" i="31" s="1"/>
  <c r="D26" i="31"/>
  <c r="S97" i="31" s="1"/>
  <c r="C28" i="31"/>
  <c r="S78" i="31" s="1"/>
  <c r="C32" i="31"/>
  <c r="S82" i="31" s="1"/>
  <c r="C33" i="31"/>
  <c r="S83" i="31" s="1"/>
  <c r="C36" i="31"/>
  <c r="S86" i="31" s="1"/>
  <c r="C34" i="31"/>
  <c r="S84" i="31" s="1"/>
  <c r="C50" i="31"/>
  <c r="S34" i="31" s="1"/>
  <c r="R3" i="29"/>
  <c r="R4" i="29"/>
  <c r="R5" i="29"/>
  <c r="R6" i="29"/>
  <c r="R7" i="29"/>
  <c r="R8" i="29"/>
  <c r="R9" i="29"/>
  <c r="R10"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4" i="29"/>
  <c r="R55" i="29"/>
  <c r="R56" i="29"/>
  <c r="R57" i="29"/>
  <c r="R58" i="29"/>
  <c r="R59" i="29"/>
  <c r="R60" i="29"/>
  <c r="R61" i="29"/>
  <c r="R62" i="29"/>
  <c r="R63" i="29"/>
  <c r="R64" i="29"/>
  <c r="R65" i="29"/>
  <c r="R66" i="29"/>
  <c r="R67" i="29"/>
  <c r="R68" i="29"/>
  <c r="R69" i="29"/>
  <c r="R70" i="29"/>
  <c r="R71" i="29"/>
  <c r="R72" i="29"/>
  <c r="R73" i="29"/>
  <c r="R74" i="29"/>
  <c r="R75" i="29"/>
  <c r="R76" i="29"/>
  <c r="R77" i="29"/>
  <c r="R78" i="29"/>
  <c r="R79" i="29"/>
  <c r="R80" i="29"/>
  <c r="R81" i="29"/>
  <c r="R82" i="29"/>
  <c r="R83" i="29"/>
  <c r="R84" i="29"/>
  <c r="R85" i="29"/>
  <c r="R86" i="29"/>
  <c r="R87" i="29"/>
  <c r="R88" i="29"/>
  <c r="R89" i="29"/>
  <c r="R90" i="29"/>
  <c r="R91" i="29"/>
  <c r="R92" i="29"/>
  <c r="R93" i="29"/>
  <c r="R94" i="29"/>
  <c r="R95" i="29"/>
  <c r="R96" i="29"/>
  <c r="R97" i="29"/>
  <c r="R98" i="29"/>
  <c r="R99" i="29"/>
  <c r="R100" i="29"/>
  <c r="R101" i="29"/>
  <c r="R102" i="29"/>
  <c r="R103" i="29"/>
  <c r="R104" i="29"/>
  <c r="R105" i="29"/>
  <c r="R106" i="29"/>
  <c r="R107" i="29"/>
  <c r="R108" i="29"/>
  <c r="R109" i="29"/>
  <c r="R110" i="29"/>
  <c r="R111" i="29"/>
  <c r="R112" i="29"/>
  <c r="R113" i="29"/>
  <c r="R114" i="29"/>
  <c r="R115" i="29"/>
  <c r="R116" i="29"/>
  <c r="R117" i="29"/>
  <c r="R118" i="29"/>
  <c r="R119" i="29"/>
  <c r="R120" i="29"/>
  <c r="R121" i="29"/>
  <c r="R122" i="29"/>
  <c r="R123" i="29"/>
  <c r="R124" i="29"/>
  <c r="R125" i="29"/>
  <c r="R126" i="29"/>
  <c r="R127" i="29"/>
  <c r="R128" i="29"/>
  <c r="R129" i="29"/>
  <c r="R130" i="29"/>
  <c r="R131" i="29"/>
  <c r="R132" i="29"/>
  <c r="R133" i="29"/>
  <c r="R134" i="29"/>
  <c r="R135" i="29"/>
  <c r="R136" i="29"/>
  <c r="R137" i="29"/>
  <c r="S182" i="29"/>
  <c r="S160" i="29"/>
  <c r="S161" i="29"/>
  <c r="S162" i="29"/>
  <c r="S164" i="29"/>
  <c r="S159" i="29"/>
  <c r="S118" i="29"/>
  <c r="S119" i="29"/>
  <c r="S120" i="29"/>
  <c r="S134" i="29"/>
  <c r="S117" i="29"/>
  <c r="S76" i="29"/>
  <c r="S77" i="29"/>
  <c r="S90" i="29"/>
  <c r="S91" i="29"/>
  <c r="S92" i="29"/>
  <c r="S75" i="29"/>
  <c r="S56" i="29"/>
  <c r="S69" i="29"/>
  <c r="S70" i="29"/>
  <c r="S71" i="29"/>
  <c r="S50" i="29"/>
  <c r="S51" i="29"/>
  <c r="S52" i="29"/>
  <c r="S7" i="29"/>
  <c r="D40" i="29"/>
  <c r="D27" i="29"/>
  <c r="G27" i="29" s="1"/>
  <c r="F27" i="29" s="1"/>
  <c r="S229" i="29" s="1"/>
  <c r="L54" i="29"/>
  <c r="K54" i="29"/>
  <c r="I54" i="29"/>
  <c r="F54" i="29"/>
  <c r="A54" i="29"/>
  <c r="B45" i="29"/>
  <c r="S74" i="29" s="1"/>
  <c r="B39" i="29"/>
  <c r="B38" i="29"/>
  <c r="B37" i="29"/>
  <c r="B36" i="29"/>
  <c r="B35" i="29"/>
  <c r="B34" i="29"/>
  <c r="B33" i="29"/>
  <c r="B32" i="29"/>
  <c r="B29" i="29"/>
  <c r="D29" i="29" s="1"/>
  <c r="S100" i="29" s="1"/>
  <c r="B28" i="29"/>
  <c r="S57" i="29" s="1"/>
  <c r="B26" i="29"/>
  <c r="S55" i="29" s="1"/>
  <c r="B25" i="29"/>
  <c r="S54" i="29" s="1"/>
  <c r="S27" i="29"/>
  <c r="B22" i="29"/>
  <c r="S22" i="29" s="1"/>
  <c r="S24" i="29"/>
  <c r="S23" i="29"/>
  <c r="C20" i="29"/>
  <c r="B20" i="29"/>
  <c r="B19" i="29"/>
  <c r="S19" i="29" s="1"/>
  <c r="B18" i="29"/>
  <c r="S18" i="29" s="1"/>
  <c r="S5" i="29"/>
  <c r="S4" i="29"/>
  <c r="S3" i="29"/>
  <c r="B3" i="29"/>
  <c r="S6" i="29" s="1"/>
  <c r="S2" i="29"/>
  <c r="R2" i="29"/>
  <c r="S140" i="31" l="1"/>
  <c r="F27" i="31"/>
  <c r="S229" i="31" s="1"/>
  <c r="D15" i="31"/>
  <c r="S26" i="31"/>
  <c r="S111" i="29"/>
  <c r="G40" i="29"/>
  <c r="B15" i="31"/>
  <c r="S17" i="31" s="1"/>
  <c r="D29" i="31"/>
  <c r="B44" i="31"/>
  <c r="S73" i="31" s="1"/>
  <c r="C29" i="31"/>
  <c r="S79" i="31" s="1"/>
  <c r="B30" i="31"/>
  <c r="S59" i="31" s="1"/>
  <c r="S98" i="29"/>
  <c r="S140" i="29"/>
  <c r="C21" i="29"/>
  <c r="S62" i="29"/>
  <c r="S63" i="29"/>
  <c r="S64" i="29"/>
  <c r="S65" i="29"/>
  <c r="S66" i="29"/>
  <c r="S67" i="29"/>
  <c r="S68" i="29"/>
  <c r="S61" i="29"/>
  <c r="D28" i="31"/>
  <c r="S99" i="31" s="1"/>
  <c r="C31" i="31"/>
  <c r="S81" i="31" s="1"/>
  <c r="S58" i="29"/>
  <c r="S20" i="29"/>
  <c r="B21" i="29"/>
  <c r="S21" i="29" s="1"/>
  <c r="C48" i="29"/>
  <c r="S32" i="29" s="1"/>
  <c r="C50" i="29"/>
  <c r="S34" i="29" s="1"/>
  <c r="B50" i="29"/>
  <c r="I29" i="29"/>
  <c r="G29" i="29" s="1"/>
  <c r="D25" i="29"/>
  <c r="D26" i="29"/>
  <c r="S97" i="29" s="1"/>
  <c r="C36" i="29"/>
  <c r="S86" i="29" s="1"/>
  <c r="B48" i="29"/>
  <c r="D48" i="29" s="1"/>
  <c r="S36" i="29" s="1"/>
  <c r="S25" i="29"/>
  <c r="C39" i="29"/>
  <c r="S89" i="29" s="1"/>
  <c r="C29" i="29"/>
  <c r="S79" i="29" s="1"/>
  <c r="C33" i="29"/>
  <c r="S83" i="29" s="1"/>
  <c r="C38" i="29"/>
  <c r="S88" i="29" s="1"/>
  <c r="C28" i="29"/>
  <c r="S78" i="29" s="1"/>
  <c r="B30" i="29"/>
  <c r="C32" i="29"/>
  <c r="S82" i="29" s="1"/>
  <c r="C34" i="29"/>
  <c r="S84" i="29" s="1"/>
  <c r="C35" i="29"/>
  <c r="S85" i="29" s="1"/>
  <c r="C45" i="29"/>
  <c r="S95" i="29" s="1"/>
  <c r="B51" i="29"/>
  <c r="C37" i="29"/>
  <c r="S87" i="29" s="1"/>
  <c r="B31" i="29"/>
  <c r="S100" i="31" l="1"/>
  <c r="G29" i="31"/>
  <c r="S142" i="31" s="1"/>
  <c r="B15" i="29"/>
  <c r="D15" i="29"/>
  <c r="J54" i="31"/>
  <c r="C30" i="31"/>
  <c r="S80" i="31" s="1"/>
  <c r="B45" i="31"/>
  <c r="D6" i="29"/>
  <c r="C6" i="29"/>
  <c r="S31" i="29"/>
  <c r="D51" i="29"/>
  <c r="S39" i="29" s="1"/>
  <c r="S30" i="29"/>
  <c r="D50" i="29"/>
  <c r="S38" i="29" s="1"/>
  <c r="C54" i="29"/>
  <c r="B7" i="29"/>
  <c r="S9" i="29" s="1"/>
  <c r="E40" i="31"/>
  <c r="E29" i="31"/>
  <c r="S121" i="31" s="1"/>
  <c r="E50" i="31"/>
  <c r="S42" i="31" s="1"/>
  <c r="D30" i="31"/>
  <c r="S101" i="31" s="1"/>
  <c r="C43" i="31"/>
  <c r="S93" i="31" s="1"/>
  <c r="B10" i="31"/>
  <c r="S12" i="31" s="1"/>
  <c r="S180" i="29"/>
  <c r="S96" i="29"/>
  <c r="S142" i="29"/>
  <c r="S184" i="29"/>
  <c r="B43" i="29"/>
  <c r="S72" i="29" s="1"/>
  <c r="S60" i="29"/>
  <c r="C49" i="29"/>
  <c r="S33" i="29" s="1"/>
  <c r="S59" i="29"/>
  <c r="C30" i="29"/>
  <c r="S80" i="29" s="1"/>
  <c r="D28" i="29"/>
  <c r="S99" i="29" s="1"/>
  <c r="S28" i="29"/>
  <c r="B49" i="29"/>
  <c r="S29" i="29" s="1"/>
  <c r="B54" i="29"/>
  <c r="C51" i="29"/>
  <c r="S35" i="29" s="1"/>
  <c r="S26" i="29"/>
  <c r="C31" i="29"/>
  <c r="D45" i="31" l="1"/>
  <c r="I45" i="31" s="1"/>
  <c r="S74" i="31"/>
  <c r="H40" i="31"/>
  <c r="S132" i="31"/>
  <c r="D41" i="29"/>
  <c r="S112" i="29" s="1"/>
  <c r="D41" i="31"/>
  <c r="S112" i="31" s="1"/>
  <c r="D49" i="31"/>
  <c r="S37" i="31" s="1"/>
  <c r="C45" i="31"/>
  <c r="S95" i="31" s="1"/>
  <c r="D51" i="31"/>
  <c r="S39" i="31" s="1"/>
  <c r="C7" i="31"/>
  <c r="D35" i="31" s="1"/>
  <c r="S106" i="31" s="1"/>
  <c r="B49" i="31"/>
  <c r="S29" i="31" s="1"/>
  <c r="C49" i="31"/>
  <c r="S33" i="31" s="1"/>
  <c r="B51" i="31"/>
  <c r="S31" i="31" s="1"/>
  <c r="C48" i="31"/>
  <c r="S32" i="31" s="1"/>
  <c r="B48" i="31"/>
  <c r="S28" i="31" s="1"/>
  <c r="C7" i="29"/>
  <c r="D45" i="29"/>
  <c r="S116" i="29" s="1"/>
  <c r="E48" i="29"/>
  <c r="S40" i="29" s="1"/>
  <c r="D7" i="29"/>
  <c r="D49" i="29"/>
  <c r="S37" i="29" s="1"/>
  <c r="E30" i="31"/>
  <c r="S122" i="31" s="1"/>
  <c r="C44" i="31"/>
  <c r="S94" i="31" s="1"/>
  <c r="B10" i="29"/>
  <c r="S12" i="29" s="1"/>
  <c r="S81" i="29"/>
  <c r="E50" i="29"/>
  <c r="S42" i="29" s="1"/>
  <c r="E29" i="29"/>
  <c r="S121" i="29" s="1"/>
  <c r="E40" i="29"/>
  <c r="C43" i="29"/>
  <c r="S93" i="29" s="1"/>
  <c r="B44" i="29"/>
  <c r="D30" i="29"/>
  <c r="S174" i="31" l="1"/>
  <c r="F40" i="31"/>
  <c r="S242" i="31" s="1"/>
  <c r="E45" i="31"/>
  <c r="S137" i="31" s="1"/>
  <c r="E49" i="31"/>
  <c r="S41" i="31" s="1"/>
  <c r="E51" i="31"/>
  <c r="S45" i="31" s="1"/>
  <c r="S116" i="31"/>
  <c r="S200" i="31"/>
  <c r="G45" i="31"/>
  <c r="S158" i="31" s="1"/>
  <c r="S132" i="29"/>
  <c r="H40" i="29"/>
  <c r="F40" i="29" s="1"/>
  <c r="S242" i="29" s="1"/>
  <c r="E41" i="29"/>
  <c r="S133" i="29" s="1"/>
  <c r="E41" i="31"/>
  <c r="S133" i="31" s="1"/>
  <c r="C51" i="31"/>
  <c r="S35" i="31" s="1"/>
  <c r="B54" i="31"/>
  <c r="D32" i="31"/>
  <c r="D37" i="31"/>
  <c r="S108" i="31" s="1"/>
  <c r="D31" i="31"/>
  <c r="S102" i="31" s="1"/>
  <c r="E35" i="31"/>
  <c r="S127" i="31" s="1"/>
  <c r="D36" i="31"/>
  <c r="S107" i="31" s="1"/>
  <c r="D34" i="31"/>
  <c r="S105" i="31" s="1"/>
  <c r="D39" i="31"/>
  <c r="S110" i="31" s="1"/>
  <c r="D38" i="31"/>
  <c r="S109" i="31" s="1"/>
  <c r="D33" i="31"/>
  <c r="S104" i="31" s="1"/>
  <c r="J40" i="31"/>
  <c r="S216" i="31" s="1"/>
  <c r="E48" i="31"/>
  <c r="S40" i="31" s="1"/>
  <c r="D36" i="29"/>
  <c r="S107" i="29" s="1"/>
  <c r="I45" i="29"/>
  <c r="G45" i="29" s="1"/>
  <c r="S158" i="29" s="1"/>
  <c r="E45" i="29"/>
  <c r="S137" i="29" s="1"/>
  <c r="D54" i="29"/>
  <c r="D39" i="29"/>
  <c r="S110" i="29" s="1"/>
  <c r="E51" i="29"/>
  <c r="S45" i="29" s="1"/>
  <c r="D34" i="29"/>
  <c r="E34" i="29" s="1"/>
  <c r="D37" i="29"/>
  <c r="S108" i="29" s="1"/>
  <c r="D38" i="29"/>
  <c r="E38" i="29" s="1"/>
  <c r="D33" i="29"/>
  <c r="E33" i="29" s="1"/>
  <c r="D31" i="29"/>
  <c r="S102" i="29" s="1"/>
  <c r="D35" i="29"/>
  <c r="D32" i="29"/>
  <c r="E32" i="29" s="1"/>
  <c r="F51" i="31"/>
  <c r="S49" i="31" s="1"/>
  <c r="E30" i="29"/>
  <c r="S122" i="29" s="1"/>
  <c r="S101" i="29"/>
  <c r="C44" i="29"/>
  <c r="S94" i="29" s="1"/>
  <c r="S73" i="29"/>
  <c r="E49" i="29"/>
  <c r="S41" i="29" s="1"/>
  <c r="G41" i="70" l="1"/>
  <c r="E32" i="31"/>
  <c r="S124" i="31" s="1"/>
  <c r="S103" i="31"/>
  <c r="H41" i="29"/>
  <c r="J41" i="29" s="1"/>
  <c r="S217" i="29" s="1"/>
  <c r="H41" i="31"/>
  <c r="S175" i="31" s="1"/>
  <c r="F51" i="29"/>
  <c r="S49" i="29" s="1"/>
  <c r="S200" i="29"/>
  <c r="E36" i="29"/>
  <c r="S128" i="29" s="1"/>
  <c r="E39" i="29"/>
  <c r="S131" i="29" s="1"/>
  <c r="E36" i="31"/>
  <c r="S128" i="31" s="1"/>
  <c r="E31" i="31"/>
  <c r="S123" i="31" s="1"/>
  <c r="E37" i="31"/>
  <c r="S129" i="31" s="1"/>
  <c r="E34" i="31"/>
  <c r="S126" i="31" s="1"/>
  <c r="D43" i="31"/>
  <c r="S114" i="31" s="1"/>
  <c r="E38" i="31"/>
  <c r="S130" i="31" s="1"/>
  <c r="E39" i="31"/>
  <c r="S131" i="31" s="1"/>
  <c r="D42" i="31"/>
  <c r="S113" i="31" s="1"/>
  <c r="E33" i="31"/>
  <c r="S125" i="31" s="1"/>
  <c r="D54" i="31"/>
  <c r="E37" i="29"/>
  <c r="S129" i="29" s="1"/>
  <c r="S105" i="29"/>
  <c r="E31" i="29"/>
  <c r="S123" i="29" s="1"/>
  <c r="D43" i="29"/>
  <c r="E43" i="29" s="1"/>
  <c r="S135" i="29" s="1"/>
  <c r="E35" i="29"/>
  <c r="S127" i="29" s="1"/>
  <c r="S103" i="29"/>
  <c r="S106" i="29"/>
  <c r="S104" i="29"/>
  <c r="D42" i="29"/>
  <c r="S113" i="29" s="1"/>
  <c r="S109" i="29"/>
  <c r="S125" i="29"/>
  <c r="S130" i="29"/>
  <c r="S126" i="29"/>
  <c r="S124" i="29"/>
  <c r="S154" i="70" l="1"/>
  <c r="I41" i="70"/>
  <c r="S196" i="70" s="1"/>
  <c r="S175" i="29"/>
  <c r="J41" i="31"/>
  <c r="S217" i="31" s="1"/>
  <c r="E43" i="31"/>
  <c r="S135" i="31" s="1"/>
  <c r="D44" i="31"/>
  <c r="S115" i="31" s="1"/>
  <c r="S114" i="29"/>
  <c r="E44" i="31" l="1"/>
  <c r="S136" i="31" s="1"/>
  <c r="G15" i="8"/>
  <c r="G16" i="8"/>
  <c r="G17" i="8"/>
  <c r="G18" i="8"/>
  <c r="G19" i="8"/>
  <c r="G14" i="8"/>
  <c r="C15" i="8"/>
  <c r="B12" i="68" s="1"/>
  <c r="C16" i="8"/>
  <c r="B12" i="67" s="1"/>
  <c r="C17" i="8"/>
  <c r="C18" i="8"/>
  <c r="B12" i="69" s="1"/>
  <c r="C19" i="8"/>
  <c r="C20" i="8"/>
  <c r="B12" i="70" s="1"/>
  <c r="C14" i="8"/>
  <c r="B14" i="70" l="1"/>
  <c r="S14" i="70"/>
  <c r="B14" i="69"/>
  <c r="S14" i="69"/>
  <c r="B12" i="66"/>
  <c r="B12" i="65"/>
  <c r="B12" i="64"/>
  <c r="B14" i="68"/>
  <c r="S14" i="68"/>
  <c r="B14" i="67"/>
  <c r="S14" i="67"/>
  <c r="B12" i="29"/>
  <c r="B12" i="31"/>
  <c r="S14" i="31" s="1"/>
  <c r="D44" i="29"/>
  <c r="S14" i="65" l="1"/>
  <c r="B14" i="65"/>
  <c r="F49" i="68"/>
  <c r="H54" i="68"/>
  <c r="S16" i="68"/>
  <c r="B14" i="66"/>
  <c r="S14" i="66"/>
  <c r="B14" i="64"/>
  <c r="S14" i="64"/>
  <c r="H54" i="69"/>
  <c r="S16" i="69"/>
  <c r="F49" i="69"/>
  <c r="F49" i="67"/>
  <c r="H54" i="67"/>
  <c r="S16" i="67"/>
  <c r="H54" i="70"/>
  <c r="S16" i="70"/>
  <c r="F49" i="70"/>
  <c r="S14" i="29"/>
  <c r="B14" i="29"/>
  <c r="B14" i="31"/>
  <c r="S16" i="31" s="1"/>
  <c r="E44" i="29"/>
  <c r="S136" i="29" s="1"/>
  <c r="S115" i="29"/>
  <c r="M54" i="67" l="1"/>
  <c r="S47" i="67"/>
  <c r="I30" i="67"/>
  <c r="F49" i="66"/>
  <c r="H54" i="66"/>
  <c r="S16" i="66"/>
  <c r="F49" i="65"/>
  <c r="S16" i="65"/>
  <c r="H54" i="65"/>
  <c r="H54" i="64"/>
  <c r="S16" i="64"/>
  <c r="F49" i="64"/>
  <c r="M54" i="69"/>
  <c r="S47" i="69"/>
  <c r="I30" i="69"/>
  <c r="M54" i="68"/>
  <c r="S47" i="68"/>
  <c r="I30" i="68"/>
  <c r="I30" i="70"/>
  <c r="M54" i="70"/>
  <c r="S47" i="70"/>
  <c r="H54" i="31"/>
  <c r="S16" i="29"/>
  <c r="H54" i="29"/>
  <c r="D48" i="31"/>
  <c r="S36" i="31" s="1"/>
  <c r="S185" i="67" l="1"/>
  <c r="G30" i="67"/>
  <c r="S143" i="67" s="1"/>
  <c r="I43" i="67"/>
  <c r="I28" i="67"/>
  <c r="S185" i="69"/>
  <c r="G30" i="69"/>
  <c r="S143" i="69" s="1"/>
  <c r="I28" i="69"/>
  <c r="I43" i="69"/>
  <c r="S47" i="64"/>
  <c r="I30" i="64"/>
  <c r="M54" i="64"/>
  <c r="I43" i="70"/>
  <c r="S185" i="70"/>
  <c r="I28" i="70"/>
  <c r="G30" i="70"/>
  <c r="S143" i="70" s="1"/>
  <c r="I30" i="65"/>
  <c r="S47" i="65"/>
  <c r="M54" i="65"/>
  <c r="S47" i="66"/>
  <c r="I30" i="66"/>
  <c r="M54" i="66"/>
  <c r="I43" i="68"/>
  <c r="S185" i="68"/>
  <c r="I28" i="68"/>
  <c r="G30" i="68"/>
  <c r="S143" i="68" s="1"/>
  <c r="C54" i="31"/>
  <c r="F50" i="68" l="1"/>
  <c r="S48" i="68" s="1"/>
  <c r="I39" i="68"/>
  <c r="I44" i="68"/>
  <c r="I33" i="68"/>
  <c r="J29" i="68"/>
  <c r="I36" i="68"/>
  <c r="F48" i="68"/>
  <c r="I38" i="68"/>
  <c r="G28" i="68"/>
  <c r="S141" i="68" s="1"/>
  <c r="I34" i="68"/>
  <c r="I37" i="68"/>
  <c r="I32" i="68"/>
  <c r="I26" i="68"/>
  <c r="I35" i="68"/>
  <c r="I41" i="68"/>
  <c r="S183" i="68"/>
  <c r="I31" i="68"/>
  <c r="I40" i="68"/>
  <c r="S195" i="68" s="1"/>
  <c r="I36" i="69"/>
  <c r="I37" i="69"/>
  <c r="F48" i="69"/>
  <c r="I39" i="69"/>
  <c r="I26" i="69"/>
  <c r="I34" i="69"/>
  <c r="I41" i="69"/>
  <c r="S183" i="69"/>
  <c r="I33" i="69"/>
  <c r="I31" i="69"/>
  <c r="F50" i="69"/>
  <c r="S48" i="69" s="1"/>
  <c r="I35" i="69"/>
  <c r="I44" i="69"/>
  <c r="I32" i="69"/>
  <c r="J29" i="69"/>
  <c r="I38" i="69"/>
  <c r="G28" i="69"/>
  <c r="S141" i="69" s="1"/>
  <c r="I40" i="69"/>
  <c r="S195" i="69" s="1"/>
  <c r="I43" i="66"/>
  <c r="G30" i="66"/>
  <c r="S143" i="66" s="1"/>
  <c r="S185" i="66"/>
  <c r="I28" i="66"/>
  <c r="G43" i="69"/>
  <c r="S156" i="69" s="1"/>
  <c r="S198" i="69"/>
  <c r="I26" i="70"/>
  <c r="S183" i="70"/>
  <c r="F50" i="70"/>
  <c r="S48" i="70" s="1"/>
  <c r="I44" i="70"/>
  <c r="J29" i="70"/>
  <c r="F48" i="70"/>
  <c r="G28" i="70"/>
  <c r="S141" i="70" s="1"/>
  <c r="G43" i="67"/>
  <c r="S156" i="67" s="1"/>
  <c r="S198" i="67"/>
  <c r="G43" i="68"/>
  <c r="S156" i="68" s="1"/>
  <c r="S198" i="68"/>
  <c r="I44" i="67"/>
  <c r="I39" i="67"/>
  <c r="I41" i="67"/>
  <c r="G28" i="67"/>
  <c r="S141" i="67" s="1"/>
  <c r="I32" i="67"/>
  <c r="I35" i="67"/>
  <c r="I40" i="67"/>
  <c r="S195" i="67" s="1"/>
  <c r="F48" i="67"/>
  <c r="I38" i="67"/>
  <c r="I37" i="67"/>
  <c r="I26" i="67"/>
  <c r="I34" i="67"/>
  <c r="S183" i="67"/>
  <c r="I36" i="67"/>
  <c r="J29" i="67"/>
  <c r="I31" i="67"/>
  <c r="F50" i="67"/>
  <c r="S48" i="67" s="1"/>
  <c r="I33" i="67"/>
  <c r="I43" i="64"/>
  <c r="G30" i="64"/>
  <c r="S143" i="64" s="1"/>
  <c r="S185" i="64"/>
  <c r="I28" i="64"/>
  <c r="S185" i="65"/>
  <c r="G30" i="65"/>
  <c r="S143" i="65" s="1"/>
  <c r="I43" i="65"/>
  <c r="I28" i="65"/>
  <c r="G43" i="70"/>
  <c r="S156" i="70" s="1"/>
  <c r="S198" i="70"/>
  <c r="J54" i="29"/>
  <c r="S17" i="29"/>
  <c r="G38" i="68" l="1"/>
  <c r="S151" i="68" s="1"/>
  <c r="S193" i="68"/>
  <c r="I26" i="66"/>
  <c r="I35" i="66"/>
  <c r="I36" i="66"/>
  <c r="S183" i="66"/>
  <c r="I40" i="66"/>
  <c r="S195" i="66" s="1"/>
  <c r="I41" i="66"/>
  <c r="F50" i="66"/>
  <c r="S48" i="66" s="1"/>
  <c r="I37" i="66"/>
  <c r="I44" i="66"/>
  <c r="I39" i="66"/>
  <c r="J29" i="66"/>
  <c r="I31" i="66"/>
  <c r="F48" i="66"/>
  <c r="I38" i="66"/>
  <c r="G28" i="66"/>
  <c r="S141" i="66" s="1"/>
  <c r="I33" i="66"/>
  <c r="I32" i="66"/>
  <c r="I34" i="66"/>
  <c r="G44" i="69"/>
  <c r="S157" i="69" s="1"/>
  <c r="S199" i="69"/>
  <c r="G41" i="68"/>
  <c r="S154" i="68" s="1"/>
  <c r="S196" i="68"/>
  <c r="J45" i="68"/>
  <c r="S46" i="68"/>
  <c r="E54" i="68"/>
  <c r="S205" i="70"/>
  <c r="H29" i="70"/>
  <c r="S163" i="70" s="1"/>
  <c r="S191" i="68"/>
  <c r="G36" i="68"/>
  <c r="S149" i="68" s="1"/>
  <c r="G35" i="67"/>
  <c r="S148" i="67" s="1"/>
  <c r="S190" i="67"/>
  <c r="G43" i="66"/>
  <c r="S156" i="66" s="1"/>
  <c r="S198" i="66"/>
  <c r="E54" i="69"/>
  <c r="J45" i="69"/>
  <c r="S46" i="69"/>
  <c r="S181" i="68"/>
  <c r="G26" i="68"/>
  <c r="S139" i="68" s="1"/>
  <c r="S205" i="68"/>
  <c r="H29" i="68"/>
  <c r="S163" i="68" s="1"/>
  <c r="S186" i="67"/>
  <c r="G31" i="67"/>
  <c r="S144" i="67" s="1"/>
  <c r="I42" i="68"/>
  <c r="I26" i="64"/>
  <c r="I33" i="64"/>
  <c r="I40" i="64"/>
  <c r="S195" i="64" s="1"/>
  <c r="S183" i="64"/>
  <c r="I32" i="64"/>
  <c r="I41" i="64"/>
  <c r="F50" i="64"/>
  <c r="S48" i="64" s="1"/>
  <c r="I34" i="64"/>
  <c r="I44" i="64"/>
  <c r="I31" i="64"/>
  <c r="F48" i="64"/>
  <c r="I38" i="64"/>
  <c r="J29" i="64"/>
  <c r="I36" i="64"/>
  <c r="G28" i="64"/>
  <c r="S141" i="64" s="1"/>
  <c r="I37" i="64"/>
  <c r="I35" i="64"/>
  <c r="I39" i="64"/>
  <c r="S190" i="68"/>
  <c r="G35" i="68"/>
  <c r="S148" i="68" s="1"/>
  <c r="G26" i="70"/>
  <c r="S139" i="70" s="1"/>
  <c r="S181" i="70"/>
  <c r="S186" i="69"/>
  <c r="G31" i="69"/>
  <c r="S144" i="69" s="1"/>
  <c r="S192" i="69"/>
  <c r="G37" i="69"/>
  <c r="S150" i="69" s="1"/>
  <c r="S187" i="68"/>
  <c r="G32" i="68"/>
  <c r="S145" i="68" s="1"/>
  <c r="G33" i="68"/>
  <c r="S146" i="68" s="1"/>
  <c r="S188" i="68"/>
  <c r="E54" i="67"/>
  <c r="J45" i="67"/>
  <c r="S46" i="67"/>
  <c r="S189" i="69"/>
  <c r="G34" i="69"/>
  <c r="S147" i="69" s="1"/>
  <c r="S181" i="69"/>
  <c r="G26" i="69"/>
  <c r="S139" i="69" s="1"/>
  <c r="S194" i="69"/>
  <c r="G39" i="69"/>
  <c r="S152" i="69" s="1"/>
  <c r="S187" i="67"/>
  <c r="G32" i="67"/>
  <c r="S145" i="67" s="1"/>
  <c r="S196" i="67"/>
  <c r="G41" i="67"/>
  <c r="S154" i="67" s="1"/>
  <c r="I42" i="69"/>
  <c r="G33" i="69"/>
  <c r="S146" i="69" s="1"/>
  <c r="S188" i="69"/>
  <c r="S191" i="69"/>
  <c r="G36" i="69"/>
  <c r="S149" i="69" s="1"/>
  <c r="S192" i="68"/>
  <c r="G37" i="68"/>
  <c r="S150" i="68" s="1"/>
  <c r="G44" i="68"/>
  <c r="S157" i="68" s="1"/>
  <c r="S199" i="68"/>
  <c r="S190" i="69"/>
  <c r="G35" i="69"/>
  <c r="S148" i="69" s="1"/>
  <c r="I42" i="67"/>
  <c r="S189" i="67"/>
  <c r="G34" i="67"/>
  <c r="S147" i="67" s="1"/>
  <c r="S181" i="67"/>
  <c r="G26" i="67"/>
  <c r="S139" i="67" s="1"/>
  <c r="I44" i="65"/>
  <c r="I34" i="65"/>
  <c r="G28" i="65"/>
  <c r="S141" i="65" s="1"/>
  <c r="I33" i="65"/>
  <c r="I39" i="65"/>
  <c r="I38" i="65"/>
  <c r="F48" i="65"/>
  <c r="I32" i="65"/>
  <c r="J29" i="65"/>
  <c r="I37" i="65"/>
  <c r="I40" i="65"/>
  <c r="S195" i="65" s="1"/>
  <c r="I26" i="65"/>
  <c r="I41" i="65"/>
  <c r="I31" i="65"/>
  <c r="S183" i="65"/>
  <c r="I36" i="65"/>
  <c r="F50" i="65"/>
  <c r="S48" i="65" s="1"/>
  <c r="I35" i="65"/>
  <c r="S188" i="67"/>
  <c r="G33" i="67"/>
  <c r="S146" i="67" s="1"/>
  <c r="S192" i="67"/>
  <c r="G37" i="67"/>
  <c r="S150" i="67" s="1"/>
  <c r="S194" i="67"/>
  <c r="G39" i="67"/>
  <c r="S152" i="67" s="1"/>
  <c r="S193" i="69"/>
  <c r="G38" i="69"/>
  <c r="S151" i="69" s="1"/>
  <c r="S189" i="68"/>
  <c r="G34" i="68"/>
  <c r="S147" i="68" s="1"/>
  <c r="S194" i="68"/>
  <c r="G39" i="68"/>
  <c r="S152" i="68" s="1"/>
  <c r="G32" i="69"/>
  <c r="S145" i="69" s="1"/>
  <c r="S187" i="69"/>
  <c r="S205" i="67"/>
  <c r="H29" i="67"/>
  <c r="S163" i="67" s="1"/>
  <c r="G44" i="70"/>
  <c r="S157" i="70" s="1"/>
  <c r="S199" i="70"/>
  <c r="S191" i="67"/>
  <c r="G36" i="67"/>
  <c r="S149" i="67" s="1"/>
  <c r="G43" i="64"/>
  <c r="S156" i="64" s="1"/>
  <c r="S198" i="64"/>
  <c r="G43" i="65"/>
  <c r="S156" i="65" s="1"/>
  <c r="S198" i="65"/>
  <c r="I42" i="65"/>
  <c r="S193" i="67"/>
  <c r="G38" i="67"/>
  <c r="S151" i="67" s="1"/>
  <c r="S199" i="67"/>
  <c r="G44" i="67"/>
  <c r="S157" i="67" s="1"/>
  <c r="E54" i="70"/>
  <c r="J45" i="70"/>
  <c r="S46" i="70"/>
  <c r="S205" i="69"/>
  <c r="H29" i="69"/>
  <c r="S163" i="69" s="1"/>
  <c r="S196" i="69"/>
  <c r="G41" i="69"/>
  <c r="S154" i="69" s="1"/>
  <c r="S186" i="68"/>
  <c r="G31" i="68"/>
  <c r="S144" i="68" s="1"/>
  <c r="C15" i="31"/>
  <c r="S194" i="64" l="1"/>
  <c r="G39" i="64"/>
  <c r="S152" i="64" s="1"/>
  <c r="S186" i="64"/>
  <c r="G31" i="64"/>
  <c r="S144" i="64" s="1"/>
  <c r="G33" i="64"/>
  <c r="S146" i="64" s="1"/>
  <c r="S188" i="64"/>
  <c r="G38" i="66"/>
  <c r="S151" i="66" s="1"/>
  <c r="S193" i="66"/>
  <c r="G41" i="66"/>
  <c r="S154" i="66" s="1"/>
  <c r="S196" i="66"/>
  <c r="S186" i="65"/>
  <c r="G31" i="65"/>
  <c r="S144" i="65" s="1"/>
  <c r="S193" i="65"/>
  <c r="G38" i="65"/>
  <c r="S151" i="65" s="1"/>
  <c r="G35" i="64"/>
  <c r="S148" i="64" s="1"/>
  <c r="S190" i="64"/>
  <c r="S199" i="64"/>
  <c r="G44" i="64"/>
  <c r="S157" i="64" s="1"/>
  <c r="S181" i="64"/>
  <c r="G26" i="64"/>
  <c r="S139" i="64" s="1"/>
  <c r="E54" i="66"/>
  <c r="J45" i="66"/>
  <c r="S46" i="66"/>
  <c r="S194" i="65"/>
  <c r="G39" i="65"/>
  <c r="S152" i="65" s="1"/>
  <c r="J44" i="67"/>
  <c r="S221" i="67"/>
  <c r="G37" i="64"/>
  <c r="S150" i="64" s="1"/>
  <c r="S192" i="64"/>
  <c r="G34" i="64"/>
  <c r="S147" i="64" s="1"/>
  <c r="S189" i="64"/>
  <c r="S197" i="68"/>
  <c r="H42" i="68"/>
  <c r="S221" i="69"/>
  <c r="J44" i="69"/>
  <c r="S186" i="66"/>
  <c r="G31" i="66"/>
  <c r="S144" i="66" s="1"/>
  <c r="S197" i="65"/>
  <c r="H42" i="65"/>
  <c r="H42" i="67"/>
  <c r="S197" i="67"/>
  <c r="S205" i="66"/>
  <c r="H29" i="66"/>
  <c r="S163" i="66" s="1"/>
  <c r="S191" i="66"/>
  <c r="G36" i="66"/>
  <c r="S149" i="66" s="1"/>
  <c r="S196" i="65"/>
  <c r="G41" i="65"/>
  <c r="S154" i="65" s="1"/>
  <c r="S188" i="65"/>
  <c r="G33" i="65"/>
  <c r="S146" i="65" s="1"/>
  <c r="S191" i="64"/>
  <c r="G36" i="64"/>
  <c r="S149" i="64" s="1"/>
  <c r="S196" i="64"/>
  <c r="G41" i="64"/>
  <c r="S154" i="64" s="1"/>
  <c r="I42" i="66"/>
  <c r="S189" i="66"/>
  <c r="G34" i="66"/>
  <c r="S147" i="66" s="1"/>
  <c r="S194" i="66"/>
  <c r="G39" i="66"/>
  <c r="S152" i="66" s="1"/>
  <c r="G35" i="66"/>
  <c r="S148" i="66" s="1"/>
  <c r="S190" i="66"/>
  <c r="J45" i="65"/>
  <c r="S46" i="65"/>
  <c r="E54" i="65"/>
  <c r="G26" i="65"/>
  <c r="S139" i="65" s="1"/>
  <c r="S181" i="65"/>
  <c r="S221" i="70"/>
  <c r="J44" i="70"/>
  <c r="G35" i="65"/>
  <c r="S148" i="65" s="1"/>
  <c r="S190" i="65"/>
  <c r="S192" i="65"/>
  <c r="G37" i="65"/>
  <c r="S150" i="65" s="1"/>
  <c r="S189" i="65"/>
  <c r="G34" i="65"/>
  <c r="S147" i="65" s="1"/>
  <c r="H29" i="64"/>
  <c r="S163" i="64" s="1"/>
  <c r="S205" i="64"/>
  <c r="G32" i="64"/>
  <c r="S145" i="64" s="1"/>
  <c r="S187" i="64"/>
  <c r="S187" i="66"/>
  <c r="G32" i="66"/>
  <c r="S145" i="66" s="1"/>
  <c r="S199" i="66"/>
  <c r="G44" i="66"/>
  <c r="S157" i="66" s="1"/>
  <c r="G26" i="66"/>
  <c r="S139" i="66" s="1"/>
  <c r="S181" i="66"/>
  <c r="I42" i="64"/>
  <c r="S205" i="65"/>
  <c r="H29" i="65"/>
  <c r="S163" i="65" s="1"/>
  <c r="G44" i="65"/>
  <c r="S157" i="65" s="1"/>
  <c r="S199" i="65"/>
  <c r="S197" i="69"/>
  <c r="H42" i="69"/>
  <c r="S193" i="64"/>
  <c r="G38" i="64"/>
  <c r="S151" i="64" s="1"/>
  <c r="G33" i="66"/>
  <c r="S146" i="66" s="1"/>
  <c r="S188" i="66"/>
  <c r="G37" i="66"/>
  <c r="S150" i="66" s="1"/>
  <c r="S192" i="66"/>
  <c r="G36" i="65"/>
  <c r="S149" i="65" s="1"/>
  <c r="S191" i="65"/>
  <c r="S187" i="65"/>
  <c r="G32" i="65"/>
  <c r="S145" i="65" s="1"/>
  <c r="J45" i="64"/>
  <c r="S46" i="64"/>
  <c r="E54" i="64"/>
  <c r="S221" i="68"/>
  <c r="J44" i="68"/>
  <c r="C15" i="29"/>
  <c r="S176" i="65" l="1"/>
  <c r="J42" i="65"/>
  <c r="S197" i="66"/>
  <c r="H42" i="66"/>
  <c r="S221" i="66"/>
  <c r="J44" i="66"/>
  <c r="S197" i="64"/>
  <c r="H42" i="64"/>
  <c r="S220" i="70"/>
  <c r="H44" i="70"/>
  <c r="S178" i="70" s="1"/>
  <c r="S220" i="69"/>
  <c r="H44" i="69"/>
  <c r="S178" i="69" s="1"/>
  <c r="S176" i="67"/>
  <c r="J42" i="67"/>
  <c r="S221" i="64"/>
  <c r="J44" i="64"/>
  <c r="S221" i="65"/>
  <c r="J44" i="65"/>
  <c r="S176" i="69"/>
  <c r="J42" i="69"/>
  <c r="S220" i="67"/>
  <c r="H44" i="67"/>
  <c r="S178" i="67" s="1"/>
  <c r="S220" i="68"/>
  <c r="H44" i="68"/>
  <c r="S178" i="68" s="1"/>
  <c r="S176" i="68"/>
  <c r="J42" i="68"/>
  <c r="S153" i="29"/>
  <c r="S218" i="69" l="1"/>
  <c r="J43" i="69"/>
  <c r="H44" i="64"/>
  <c r="S178" i="64" s="1"/>
  <c r="S220" i="64"/>
  <c r="S218" i="67"/>
  <c r="J43" i="67"/>
  <c r="J42" i="64"/>
  <c r="S176" i="64"/>
  <c r="H44" i="66"/>
  <c r="S178" i="66" s="1"/>
  <c r="S220" i="66"/>
  <c r="S176" i="66"/>
  <c r="J42" i="66"/>
  <c r="S218" i="68"/>
  <c r="J43" i="68"/>
  <c r="S220" i="65"/>
  <c r="H44" i="65"/>
  <c r="S178" i="65" s="1"/>
  <c r="S218" i="65"/>
  <c r="J43" i="65"/>
  <c r="S174" i="29"/>
  <c r="J40" i="29"/>
  <c r="S216" i="29" s="1"/>
  <c r="S219" i="67" l="1"/>
  <c r="H43" i="67"/>
  <c r="S219" i="68"/>
  <c r="H43" i="68"/>
  <c r="S218" i="64"/>
  <c r="J43" i="64"/>
  <c r="J43" i="66"/>
  <c r="S218" i="66"/>
  <c r="S219" i="65"/>
  <c r="H43" i="65"/>
  <c r="S219" i="69"/>
  <c r="H43" i="69"/>
  <c r="G32" i="70"/>
  <c r="G35" i="70"/>
  <c r="G39" i="70"/>
  <c r="G36" i="70"/>
  <c r="G38" i="70"/>
  <c r="G33" i="70"/>
  <c r="G31" i="70"/>
  <c r="G37" i="70"/>
  <c r="G34" i="70"/>
  <c r="F48" i="31"/>
  <c r="S219" i="64" l="1"/>
  <c r="H43" i="64"/>
  <c r="S177" i="68"/>
  <c r="H45" i="68"/>
  <c r="S179" i="68" s="1"/>
  <c r="S177" i="65"/>
  <c r="H45" i="65"/>
  <c r="S179" i="65" s="1"/>
  <c r="H45" i="67"/>
  <c r="S179" i="67" s="1"/>
  <c r="S177" i="67"/>
  <c r="H43" i="66"/>
  <c r="S219" i="66"/>
  <c r="S177" i="69"/>
  <c r="H45" i="69"/>
  <c r="S179" i="69" s="1"/>
  <c r="S150" i="70"/>
  <c r="I37" i="70"/>
  <c r="S152" i="70"/>
  <c r="I39" i="70"/>
  <c r="S147" i="70"/>
  <c r="I34" i="70"/>
  <c r="S149" i="70"/>
  <c r="I36" i="70"/>
  <c r="S144" i="70"/>
  <c r="I31" i="70"/>
  <c r="S146" i="70"/>
  <c r="I33" i="70"/>
  <c r="S148" i="70"/>
  <c r="I35" i="70"/>
  <c r="S151" i="70"/>
  <c r="I38" i="70"/>
  <c r="S145" i="70"/>
  <c r="I32" i="70"/>
  <c r="J45" i="31"/>
  <c r="J44" i="31" s="1"/>
  <c r="H44" i="31" s="1"/>
  <c r="S178" i="31" s="1"/>
  <c r="I28" i="31"/>
  <c r="E54" i="31"/>
  <c r="S46" i="31"/>
  <c r="S220" i="31" l="1"/>
  <c r="S221" i="31"/>
  <c r="S177" i="64"/>
  <c r="H45" i="64"/>
  <c r="S179" i="64" s="1"/>
  <c r="S177" i="66"/>
  <c r="H45" i="66"/>
  <c r="S179" i="66" s="1"/>
  <c r="J38" i="70"/>
  <c r="S193" i="70"/>
  <c r="J33" i="70"/>
  <c r="S188" i="70"/>
  <c r="J36" i="70"/>
  <c r="S191" i="70"/>
  <c r="J35" i="70"/>
  <c r="S190" i="70"/>
  <c r="J34" i="70"/>
  <c r="S189" i="70"/>
  <c r="J39" i="70"/>
  <c r="S194" i="70"/>
  <c r="J32" i="70"/>
  <c r="S187" i="70"/>
  <c r="J31" i="70"/>
  <c r="S186" i="70"/>
  <c r="I42" i="70"/>
  <c r="J37" i="70"/>
  <c r="S192" i="70"/>
  <c r="I30" i="31"/>
  <c r="J29" i="31"/>
  <c r="I44" i="31"/>
  <c r="I40" i="31"/>
  <c r="S195" i="31" s="1"/>
  <c r="F50" i="31"/>
  <c r="S48" i="31" s="1"/>
  <c r="S183" i="31"/>
  <c r="I26" i="31"/>
  <c r="G28" i="31"/>
  <c r="S141" i="31" s="1"/>
  <c r="H31" i="31"/>
  <c r="I41" i="31"/>
  <c r="H32" i="70" l="1"/>
  <c r="S166" i="70" s="1"/>
  <c r="S208" i="70"/>
  <c r="H33" i="70"/>
  <c r="S167" i="70" s="1"/>
  <c r="S209" i="70"/>
  <c r="H31" i="70"/>
  <c r="S165" i="70" s="1"/>
  <c r="S207" i="70"/>
  <c r="H36" i="70"/>
  <c r="S170" i="70" s="1"/>
  <c r="S212" i="70"/>
  <c r="H37" i="70"/>
  <c r="S171" i="70" s="1"/>
  <c r="S213" i="70"/>
  <c r="H35" i="70"/>
  <c r="S169" i="70" s="1"/>
  <c r="S211" i="70"/>
  <c r="H39" i="70"/>
  <c r="S173" i="70" s="1"/>
  <c r="S215" i="70"/>
  <c r="H42" i="70"/>
  <c r="S197" i="70"/>
  <c r="H34" i="70"/>
  <c r="S168" i="70" s="1"/>
  <c r="S210" i="70"/>
  <c r="H38" i="70"/>
  <c r="S172" i="70" s="1"/>
  <c r="S214" i="70"/>
  <c r="G26" i="31"/>
  <c r="S139" i="31" s="1"/>
  <c r="S181" i="31"/>
  <c r="G44" i="31"/>
  <c r="S157" i="31" s="1"/>
  <c r="S199" i="31"/>
  <c r="S205" i="31"/>
  <c r="H29" i="31"/>
  <c r="S163" i="31" s="1"/>
  <c r="F49" i="31"/>
  <c r="I43" i="31"/>
  <c r="G30" i="31"/>
  <c r="S143" i="31" s="1"/>
  <c r="S185" i="31"/>
  <c r="S196" i="31"/>
  <c r="G41" i="31"/>
  <c r="S154" i="31" s="1"/>
  <c r="S165" i="31"/>
  <c r="J31" i="31"/>
  <c r="H35" i="31"/>
  <c r="H33" i="31"/>
  <c r="H36" i="31"/>
  <c r="J42" i="70" l="1"/>
  <c r="S176" i="70"/>
  <c r="S198" i="31"/>
  <c r="G43" i="31"/>
  <c r="S156" i="31" s="1"/>
  <c r="M54" i="31"/>
  <c r="S47" i="31"/>
  <c r="I31" i="31"/>
  <c r="S207" i="31"/>
  <c r="S170" i="31"/>
  <c r="J36" i="31"/>
  <c r="S167" i="31"/>
  <c r="J33" i="31"/>
  <c r="S169" i="31"/>
  <c r="J35" i="31"/>
  <c r="H37" i="31"/>
  <c r="H39" i="31"/>
  <c r="H32" i="31"/>
  <c r="S166" i="31" s="1"/>
  <c r="H38" i="31"/>
  <c r="J38" i="31" s="1"/>
  <c r="H34" i="31"/>
  <c r="J34" i="31" s="1"/>
  <c r="I34" i="31" s="1"/>
  <c r="J43" i="70" l="1"/>
  <c r="S218" i="70"/>
  <c r="S172" i="31"/>
  <c r="S168" i="31"/>
  <c r="I38" i="31"/>
  <c r="S214" i="31"/>
  <c r="G34" i="31"/>
  <c r="S147" i="31" s="1"/>
  <c r="S189" i="31"/>
  <c r="I33" i="31"/>
  <c r="S209" i="31"/>
  <c r="S210" i="31"/>
  <c r="J32" i="31"/>
  <c r="I35" i="31"/>
  <c r="S211" i="31"/>
  <c r="I36" i="31"/>
  <c r="S212" i="31"/>
  <c r="S173" i="31"/>
  <c r="J39" i="31"/>
  <c r="S171" i="31"/>
  <c r="J37" i="31"/>
  <c r="G31" i="31"/>
  <c r="S144" i="31" s="1"/>
  <c r="S186" i="31"/>
  <c r="H43" i="70" l="1"/>
  <c r="S219" i="70"/>
  <c r="I37" i="31"/>
  <c r="S213" i="31"/>
  <c r="I32" i="31"/>
  <c r="S208" i="31"/>
  <c r="I39" i="31"/>
  <c r="S215" i="31"/>
  <c r="G33" i="31"/>
  <c r="S146" i="31" s="1"/>
  <c r="S188" i="31"/>
  <c r="G36" i="31"/>
  <c r="S149" i="31" s="1"/>
  <c r="S191" i="31"/>
  <c r="G35" i="31"/>
  <c r="S148" i="31" s="1"/>
  <c r="S190" i="31"/>
  <c r="S193" i="31"/>
  <c r="G38" i="31"/>
  <c r="S151" i="31" s="1"/>
  <c r="H45" i="70" l="1"/>
  <c r="S179" i="70" s="1"/>
  <c r="S177" i="70"/>
  <c r="G39" i="31"/>
  <c r="S152" i="31" s="1"/>
  <c r="S194" i="31"/>
  <c r="S187" i="31"/>
  <c r="G32" i="31"/>
  <c r="S145" i="31" s="1"/>
  <c r="I42" i="31"/>
  <c r="G37" i="31"/>
  <c r="S150" i="31" s="1"/>
  <c r="S192" i="31"/>
  <c r="S197" i="31" l="1"/>
  <c r="H42" i="31"/>
  <c r="J42" i="31" l="1"/>
  <c r="S176" i="31"/>
  <c r="S218" i="31" l="1"/>
  <c r="J43" i="31"/>
  <c r="S219" i="31" l="1"/>
  <c r="H43" i="31"/>
  <c r="S177" i="31" l="1"/>
  <c r="H45" i="31"/>
  <c r="S179" i="31" s="1"/>
  <c r="F48" i="29" l="1"/>
  <c r="S46" i="29" s="1"/>
  <c r="J45" i="29" l="1"/>
  <c r="J44" i="29" s="1"/>
  <c r="I28" i="29"/>
  <c r="E54" i="29"/>
  <c r="S221" i="29"/>
  <c r="H44" i="29"/>
  <c r="S178" i="29" s="1"/>
  <c r="S220" i="29"/>
  <c r="I30" i="29" l="1"/>
  <c r="I44" i="29"/>
  <c r="I40" i="29"/>
  <c r="S195" i="29" s="1"/>
  <c r="F50" i="29"/>
  <c r="S48" i="29" s="1"/>
  <c r="S183" i="29"/>
  <c r="I26" i="29"/>
  <c r="J29" i="29"/>
  <c r="G28" i="29"/>
  <c r="S141" i="29" s="1"/>
  <c r="S181" i="29" l="1"/>
  <c r="G26" i="29"/>
  <c r="S139" i="29" s="1"/>
  <c r="G30" i="29"/>
  <c r="S143" i="29" s="1"/>
  <c r="F49" i="29"/>
  <c r="S185" i="29"/>
  <c r="I43" i="29"/>
  <c r="H29" i="29"/>
  <c r="S163" i="29" s="1"/>
  <c r="S205" i="29"/>
  <c r="S199" i="29"/>
  <c r="G44" i="29"/>
  <c r="S157" i="29" s="1"/>
  <c r="I41" i="29" l="1"/>
  <c r="G43" i="29"/>
  <c r="S156" i="29" s="1"/>
  <c r="S198" i="29"/>
  <c r="S47" i="29"/>
  <c r="M54" i="29"/>
  <c r="S196" i="29" l="1"/>
  <c r="G41" i="29"/>
  <c r="S154" i="29" s="1"/>
  <c r="H34" i="29" l="1"/>
  <c r="H37" i="29"/>
  <c r="H32" i="29"/>
  <c r="H39" i="29"/>
  <c r="H31" i="29"/>
  <c r="H38" i="29"/>
  <c r="S173" i="29" l="1"/>
  <c r="J39" i="29"/>
  <c r="S166" i="29"/>
  <c r="J32" i="29"/>
  <c r="S172" i="29"/>
  <c r="J38" i="29"/>
  <c r="S171" i="29"/>
  <c r="J37" i="29"/>
  <c r="S165" i="29"/>
  <c r="J31" i="29"/>
  <c r="S168" i="29"/>
  <c r="J34" i="29"/>
  <c r="H33" i="29"/>
  <c r="J33" i="29" s="1"/>
  <c r="H35" i="29"/>
  <c r="S169" i="29" s="1"/>
  <c r="H36" i="29"/>
  <c r="S170" i="29" s="1"/>
  <c r="J36" i="29" l="1"/>
  <c r="I36" i="29" s="1"/>
  <c r="J35" i="29"/>
  <c r="I35" i="29" s="1"/>
  <c r="S190" i="29" s="1"/>
  <c r="S167" i="29"/>
  <c r="I33" i="29"/>
  <c r="S209" i="29"/>
  <c r="S191" i="29"/>
  <c r="G36" i="29"/>
  <c r="S149" i="29" s="1"/>
  <c r="S211" i="29"/>
  <c r="I38" i="29"/>
  <c r="S214" i="29"/>
  <c r="I34" i="29"/>
  <c r="S210" i="29"/>
  <c r="I31" i="29"/>
  <c r="S207" i="29"/>
  <c r="I39" i="29"/>
  <c r="S215" i="29"/>
  <c r="I37" i="29"/>
  <c r="S213" i="29"/>
  <c r="S212" i="29"/>
  <c r="I32" i="29"/>
  <c r="S208" i="29"/>
  <c r="G35" i="29" l="1"/>
  <c r="S148" i="29" s="1"/>
  <c r="G37" i="29"/>
  <c r="S150" i="29" s="1"/>
  <c r="S192" i="29"/>
  <c r="G31" i="29"/>
  <c r="S144" i="29" s="1"/>
  <c r="I42" i="29"/>
  <c r="S186" i="29"/>
  <c r="G38" i="29"/>
  <c r="S151" i="29" s="1"/>
  <c r="S193" i="29"/>
  <c r="G39" i="29"/>
  <c r="S152" i="29" s="1"/>
  <c r="S194" i="29"/>
  <c r="G32" i="29"/>
  <c r="S145" i="29" s="1"/>
  <c r="S187" i="29"/>
  <c r="G34" i="29"/>
  <c r="S147" i="29" s="1"/>
  <c r="S189" i="29"/>
  <c r="S188" i="29"/>
  <c r="G33" i="29"/>
  <c r="S146" i="29" s="1"/>
  <c r="S197" i="29" l="1"/>
  <c r="H42" i="29"/>
  <c r="S176" i="29" l="1"/>
  <c r="J42" i="29"/>
  <c r="S218" i="29" l="1"/>
  <c r="J43" i="29"/>
  <c r="H43" i="29" l="1"/>
  <c r="S219" i="29"/>
  <c r="S177" i="29" l="1"/>
  <c r="H45" i="29"/>
  <c r="S179"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E0F33818-F7FB-4062-9813-F36DCFF054E6}">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A918B991-73FA-4E6B-90A9-96A06F1C704D}">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DC7EEEB1-7192-4760-983F-09C5F391650B}">
      <text>
        <r>
          <rPr>
            <b/>
            <sz val="9"/>
            <color indexed="81"/>
            <rFont val="Tahoma"/>
            <family val="2"/>
          </rPr>
          <t xml:space="preserve">Philipse, H.J.F. (Erik):
</t>
        </r>
        <r>
          <rPr>
            <sz val="9"/>
            <color indexed="81"/>
            <rFont val="Tahoma"/>
            <family val="2"/>
          </rPr>
          <t>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1C7C8EAB-8C11-41BF-97A8-A5F71ACA5833}">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96579E74-77E1-412D-87F1-5796BB5B34A7}">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ECCB2844-566F-4F32-B1EA-279B6E489D7C}">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9C8D2C56-D483-46F3-AB45-19CE1A015434}">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ECCF314B-A165-4E04-986B-973CDE5AC8A4}">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1D20AA4D-D213-497C-9F03-5A2386DB5893}">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B9DD28F9-BC50-4BE5-A7AE-956D4D786B9B}">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8551B3B6-2E9A-448C-8E0D-9E13F1251CE8}">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F832EA1F-5E5A-43BA-AC3B-C1812D0ED68F}">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F2363FCA-7AE0-43CF-A449-B54A79774BE9}">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8A035F7F-97A9-4171-9EF6-1B1837F2DA56}">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A1F5408A-28F0-47E7-AD28-57A56542CCD5}">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31993713-203A-474E-9E98-272F6C93D79C}">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15" authorId="0" shapeId="0" xr:uid="{9329EBAA-B2CE-4B31-8E6B-732C7042F1B0}">
      <text>
        <r>
          <rPr>
            <b/>
            <sz val="9"/>
            <color indexed="81"/>
            <rFont val="Tahoma"/>
            <family val="2"/>
          </rPr>
          <t>Philipse, H.J.F. (Erik):</t>
        </r>
        <r>
          <rPr>
            <sz val="9"/>
            <color indexed="81"/>
            <rFont val="Tahoma"/>
            <family val="2"/>
          </rPr>
          <t xml:space="preserve">
When Planned Maintenance hours or Utilization levels are expected to differentiate strongly from Last Year (&gt;10%), the increase is added on Running OEE. In that case the final OEE target will calculated based increased Running OEE and envisaged Planned Maintenance.</t>
        </r>
      </text>
    </comment>
    <comment ref="D47" authorId="0" shapeId="0" xr:uid="{12D69866-5818-4A4A-8347-F477B4BD1C0A}">
      <text>
        <r>
          <rPr>
            <b/>
            <sz val="9"/>
            <color indexed="81"/>
            <rFont val="Tahoma"/>
            <family val="2"/>
          </rPr>
          <t>Philipse, H.J.F. (Erik):</t>
        </r>
        <r>
          <rPr>
            <sz val="9"/>
            <color indexed="81"/>
            <rFont val="Tahoma"/>
            <family val="2"/>
          </rPr>
          <t xml:space="preserve">
Recalulated Last Year data based on Current MAC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Philipse, H.J.F. (Erik)</author>
  </authors>
  <commentList>
    <comment ref="A2" authorId="0" shapeId="0" xr:uid="{D1474B25-1B7D-4520-BA51-FEDEEBC434A3}">
      <text>
        <r>
          <rPr>
            <b/>
            <sz val="9"/>
            <color indexed="81"/>
            <rFont val="Tahoma"/>
            <family val="2"/>
          </rPr>
          <t>Philipse, H.J.F. (Erik):</t>
        </r>
        <r>
          <rPr>
            <sz val="9"/>
            <color indexed="81"/>
            <rFont val="Tahoma"/>
            <family val="2"/>
          </rPr>
          <t xml:space="preserve">
Data loaded 19-01-2024
Data  from 1-12-2022 till 30-11-2023
https://app.powerbi.com/groups/me/apps/8a9317b9-2efa-4726-8e0c-710890ec2cf7/reports/ff92a9c4-c2e8-4dcd-8bc3-629e72e8ff87/ReportSection699ea60f6de0d4195eaa?experience=power-bi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tc={6C4935AF-A178-4370-A07C-C45AB8EC4BB3}</author>
    <author>tc={2CC4C3A0-BB4A-405F-88FA-4E4FFA59D6AE}</author>
    <author>tc={1895C375-8362-4F10-90F2-C67F93E27942}</author>
    <author>tc={CA254022-4A33-425A-8AF7-2CD45C3BDF66}</author>
    <author>tc={72DF95DE-47E1-4F45-B069-ABB2ED9F8D64}</author>
    <author>tc={5F5CCE76-9D29-44DF-BA6D-4B5F483C7634}</author>
    <author>tc={71CE2FA4-9687-468D-9725-5A9F656C864B}</author>
    <author>tc={35276679-F94B-4399-8B0A-14AEFBA15303}</author>
    <author>tc={4E6EA900-F86F-4BCB-87CC-E52C5D673AE7}</author>
    <author>tc={5DE37E66-3E2B-46E3-8185-93A60362CE01}</author>
    <author>tc={FE9AA8C1-3445-4DA9-9C69-59B274A0DD30}</author>
    <author>tc={CC38E76E-95D1-4A17-B6DF-4F07A8310C83}</author>
    <author>tc={D55060D9-0D72-45FC-9A60-706B7C6B4716}</author>
    <author>tc={0CB8D311-C5B8-4689-89D3-B973B26D39F6}</author>
    <author>tc={52E83AC4-F0D7-4960-A17B-534E14A4E51B}</author>
    <author>tc={13A13E7B-9D97-4AFC-B6DB-5BE467004543}</author>
    <author>tc={6119E888-1F30-42BE-BF8E-396FCDE8D93C}</author>
    <author>tc={8809EEAF-AC8C-465B-A14B-F6358C5F1E16}</author>
    <author>tc={BB8A55E3-6AC8-4461-856B-49BF895CA64C}</author>
    <author>tc={8F9B56EC-1889-4011-94E6-73F15DD395D1}</author>
    <author>tc={F5218106-48EE-4226-A585-67F151F8571F}</author>
    <author>tc={A0A5E962-83B9-485D-AAD5-5EA617125D10}</author>
    <author>tc={2FAD5C2B-FDE3-423B-963A-652BAED82AEE}</author>
    <author>tc={34608588-9761-4FBC-822C-ABC15E172AE2}</author>
    <author>tc={38FE5172-F147-4757-B104-52CBBA27235D}</author>
    <author>tc={EE514117-DA80-4738-BA8F-AACDFD350CD9}</author>
    <author>tc={3C4DFDC2-232C-4921-B654-6D2D46926588}</author>
    <author>tc={8927853B-C7D2-4A78-A756-7242DF5AA492}</author>
    <author>tc={1DECFB42-8E4D-4528-B3B1-7F4857240F86}</author>
    <author>tc={BE02F013-73BB-493C-BF04-7D01E5A3AE2F}</author>
    <author>tc={7882CD40-A9FB-42F4-AE03-38703BD38C76}</author>
    <author>tc={35D7C78D-B4F1-4E4D-9F57-534E17BB6CC8}</author>
    <author>tc={F1190746-31BF-40EB-AB15-BB34619D74E2}</author>
    <author>tc={18E6DB38-3B55-4BBC-9D01-E20E1D174ED1}</author>
    <author>tc={47BA6B0C-1981-469F-BA10-43B47FBAF8EE}</author>
    <author>tc={F5289CE9-DBE3-435F-9ACC-423DF5EB5A85}</author>
    <author>tc={B26FBA2A-00B1-42BF-A4AC-029640FC3943}</author>
    <author>tc={4283E2B2-A9E4-435A-9CC2-C77555AA3A8B}</author>
    <author>tc={A9AFF720-884C-4033-87AD-95CE46849B97}</author>
    <author>tc={F9DBB740-A3FD-4389-9227-BEC5526FDD17}</author>
    <author>tc={C8B79172-C351-4BAF-8721-642455633462}</author>
    <author>tc={69B906A8-DD51-4BF2-8D20-D8E88BA60E69}</author>
    <author>tc={0E53F9BC-3FCD-4408-B9FF-F37902A94E3D}</author>
    <author>tc={587878C4-FFA1-44DD-9CB6-29BE54D8BFFA}</author>
    <author>tc={B8731012-A6B4-4E73-8EFC-A1A5039B4457}</author>
    <author>tc={66646138-C965-4C8D-B5D8-BD70DF2CE0AF}</author>
    <author>tc={519E620B-61CF-4634-8AFE-778DC0352974}</author>
    <author>tc={457155C5-E68C-4099-9755-F88D80BDE360}</author>
    <author>tc={5B15DA05-7523-44ED-91EC-93D54F827E6F}</author>
    <author>tc={A3239576-0A1A-41E6-B408-7635FB4498FA}</author>
  </authors>
  <commentList>
    <comment ref="LA11" authorId="0" shapeId="0" xr:uid="{6C4935AF-A178-4370-A07C-C45AB8EC4BB3}">
      <text>
        <t>[Threaded comment]
Your version of Excel allows you to read this threaded comment; however, any edits to it will get removed if the file is opened in a newer version of Excel. Learn more: https://go.microsoft.com/fwlink/?linkid=870924
Comment:
    Ispezione interna R7</t>
      </text>
    </comment>
    <comment ref="JD13" authorId="1" shapeId="0" xr:uid="{2CC4C3A0-BB4A-405F-88FA-4E4FFA59D6AE}">
      <text>
        <t>[Threaded comment]
Your version of Excel allows you to read this threaded comment; however, any edits to it will get removed if the file is opened in a newer version of Excel. Learn more: https://go.microsoft.com/fwlink/?linkid=870924
Comment:
    Ispezione interna T7</t>
      </text>
    </comment>
    <comment ref="BB15" authorId="2" shapeId="0" xr:uid="{1895C375-8362-4F10-90F2-C67F93E27942}">
      <text>
        <t>[Threaded comment]
Your version of Excel allows you to read this threaded comment; however, any edits to it will get removed if the file is opened in a newer version of Excel. Learn more: https://go.microsoft.com/fwlink/?linkid=870924
Comment:
    R16 motor</t>
      </text>
    </comment>
    <comment ref="BC15" authorId="3" shapeId="0" xr:uid="{CA254022-4A33-425A-8AF7-2CD45C3BDF66}">
      <text>
        <t>[Threaded comment]
Your version of Excel allows you to read this threaded comment; however, any edits to it will get removed if the file is opened in a newer version of Excel. Learn more: https://go.microsoft.com/fwlink/?linkid=870924
Comment:
    R16 motor</t>
      </text>
    </comment>
    <comment ref="JD15" authorId="4" shapeId="0" xr:uid="{72DF95DE-47E1-4F45-B069-ABB2ED9F8D64}">
      <text>
        <t>[Threaded comment]
Your version of Excel allows you to read this threaded comment; however, any edits to it will get removed if the file is opened in a newer version of Excel. Learn more: https://go.microsoft.com/fwlink/?linkid=870924
Comment:
    Ispezione interna T7</t>
      </text>
    </comment>
    <comment ref="T17" authorId="5" shapeId="0" xr:uid="{5F5CCE76-9D29-44DF-BA6D-4B5F483C7634}">
      <text>
        <t>[Threaded comment]
Your version of Excel allows you to read this threaded comment; however, any edits to it will get removed if the file is opened in a newer version of Excel. Learn more: https://go.microsoft.com/fwlink/?linkid=870924
Comment:
    SD  Steam Reformer</t>
      </text>
    </comment>
    <comment ref="U17" authorId="6" shapeId="0" xr:uid="{71CE2FA4-9687-468D-9725-5A9F656C864B}">
      <text>
        <t>[Threaded comment]
Your version of Excel allows you to read this threaded comment; however, any edits to it will get removed if the file is opened in a newer version of Excel. Learn more: https://go.microsoft.com/fwlink/?linkid=870924
Comment:
    SD  Steam Reformer</t>
      </text>
    </comment>
    <comment ref="V17" authorId="7" shapeId="0" xr:uid="{35276679-F94B-4399-8B0A-14AEFBA15303}">
      <text>
        <t>[Threaded comment]
Your version of Excel allows you to read this threaded comment; however, any edits to it will get removed if the file is opened in a newer version of Excel. Learn more: https://go.microsoft.com/fwlink/?linkid=870924
Comment:
    SD  Steam Reformer</t>
      </text>
    </comment>
    <comment ref="W17" authorId="8" shapeId="0" xr:uid="{4E6EA900-F86F-4BCB-87CC-E52C5D673AE7}">
      <text>
        <t>[Threaded comment]
Your version of Excel allows you to read this threaded comment; however, any edits to it will get removed if the file is opened in a newer version of Excel. Learn more: https://go.microsoft.com/fwlink/?linkid=870924
Comment:
    SD  Steam Reformer</t>
      </text>
    </comment>
    <comment ref="AO17" authorId="9" shapeId="0" xr:uid="{5DE37E66-3E2B-46E3-8185-93A60362CE01}">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AP17" authorId="10" shapeId="0" xr:uid="{FE9AA8C1-3445-4DA9-9C69-59B274A0DD30}">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AQ17" authorId="11" shapeId="0" xr:uid="{CC38E76E-95D1-4A17-B6DF-4F07A8310C83}">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BJ17" authorId="12" shapeId="0" xr:uid="{D55060D9-0D72-45FC-9A60-706B7C6B4716}">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BK17" authorId="13" shapeId="0" xr:uid="{0CB8D311-C5B8-4689-89D3-B973B26D39F6}">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BL17" authorId="14" shapeId="0" xr:uid="{52E83AC4-F0D7-4960-A17B-534E14A4E51B}">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CZ17" authorId="15" shapeId="0" xr:uid="{13A13E7B-9D97-4AFC-B6DB-5BE467004543}">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A17" authorId="16" shapeId="0" xr:uid="{6119E888-1F30-42BE-BF8E-396FCDE8D93C}">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B17" authorId="17" shapeId="0" xr:uid="{8809EEAF-AC8C-465B-A14B-F6358C5F1E16}">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EX17" authorId="18" shapeId="0" xr:uid="{BB8A55E3-6AC8-4461-856B-49BF895CA64C}">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FD17" authorId="19" shapeId="0" xr:uid="{8F9B56EC-1889-4011-94E6-73F15DD395D1}">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KN17" authorId="20" shapeId="0" xr:uid="{F5218106-48EE-4226-A585-67F151F8571F}">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LB17" authorId="21" shapeId="0" xr:uid="{A0A5E962-83B9-485D-AAD5-5EA617125D10}">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T18" authorId="22" shapeId="0" xr:uid="{2FAD5C2B-FDE3-423B-963A-652BAED82AEE}">
      <text>
        <t>[Threaded comment]
Your version of Excel allows you to read this threaded comment; however, any edits to it will get removed if the file is opened in a newer version of Excel. Learn more: https://go.microsoft.com/fwlink/?linkid=870924
Comment:
    SD  Steam Reformer</t>
      </text>
    </comment>
    <comment ref="U18" authorId="23" shapeId="0" xr:uid="{34608588-9761-4FBC-822C-ABC15E172AE2}">
      <text>
        <t>[Threaded comment]
Your version of Excel allows you to read this threaded comment; however, any edits to it will get removed if the file is opened in a newer version of Excel. Learn more: https://go.microsoft.com/fwlink/?linkid=870924
Comment:
    SD  Steam Reformer</t>
      </text>
    </comment>
    <comment ref="V18" authorId="24" shapeId="0" xr:uid="{38FE5172-F147-4757-B104-52CBBA27235D}">
      <text>
        <t>[Threaded comment]
Your version of Excel allows you to read this threaded comment; however, any edits to it will get removed if the file is opened in a newer version of Excel. Learn more: https://go.microsoft.com/fwlink/?linkid=870924
Comment:
    SD  Steam Reformer</t>
      </text>
    </comment>
    <comment ref="W18" authorId="25" shapeId="0" xr:uid="{EE514117-DA80-4738-BA8F-AACDFD350CD9}">
      <text>
        <t>[Threaded comment]
Your version of Excel allows you to read this threaded comment; however, any edits to it will get removed if the file is opened in a newer version of Excel. Learn more: https://go.microsoft.com/fwlink/?linkid=870924
Comment:
    SD  Steam Reformer</t>
      </text>
    </comment>
    <comment ref="AO18" authorId="26" shapeId="0" xr:uid="{3C4DFDC2-232C-4921-B654-6D2D46926588}">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AP18" authorId="27" shapeId="0" xr:uid="{8927853B-C7D2-4A78-A756-7242DF5AA492}">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AQ18" authorId="28" shapeId="0" xr:uid="{1DECFB42-8E4D-4528-B3B1-7F4857240F86}">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BJ18" authorId="29" shapeId="0" xr:uid="{BE02F013-73BB-493C-BF04-7D01E5A3AE2F}">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BK18" authorId="30" shapeId="0" xr:uid="{7882CD40-A9FB-42F4-AE03-38703BD38C76}">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BL18" authorId="31" shapeId="0" xr:uid="{35D7C78D-B4F1-4E4D-9F57-534E17BB6CC8}">
      <text>
        <t>[Threaded comment]
Your version of Excel allows you to read this threaded comment; however, any edits to it will get removed if the file is opened in a newer version of Excel. Learn more: https://go.microsoft.com/fwlink/?linkid=870924
Comment:
    Shortage of hydrogen from Chlorate Plant</t>
      </text>
    </comment>
    <comment ref="CZ18" authorId="32" shapeId="0" xr:uid="{F1190746-31BF-40EB-AB15-BB34619D74E2}">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A18" authorId="33" shapeId="0" xr:uid="{18E6DB38-3B55-4BBC-9D01-E20E1D174ED1}">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B18" authorId="34" shapeId="0" xr:uid="{47BA6B0C-1981-469F-BA10-43B47FBAF8EE}">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CZ19" authorId="35" shapeId="0" xr:uid="{F5289CE9-DBE3-435F-9ACC-423DF5EB5A85}">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A19" authorId="36" shapeId="0" xr:uid="{B26FBA2A-00B1-42BF-A4AC-029640FC3943}">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B19" authorId="37" shapeId="0" xr:uid="{4283E2B2-A9E4-435A-9CC2-C77555AA3A8B}">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CZ20" authorId="38" shapeId="0" xr:uid="{A9AFF720-884C-4033-87AD-95CE46849B97}">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A20" authorId="39" shapeId="0" xr:uid="{F9DBB740-A3FD-4389-9227-BEC5526FDD17}">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B20" authorId="40" shapeId="0" xr:uid="{C8B79172-C351-4BAF-8721-642455633462}">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CZ21" authorId="41" shapeId="0" xr:uid="{69B906A8-DD51-4BF2-8D20-D8E88BA60E69}">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A21" authorId="42" shapeId="0" xr:uid="{0E53F9BC-3FCD-4408-B9FF-F37902A94E3D}">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DB21" authorId="43" shapeId="0" xr:uid="{587878C4-FFA1-44DD-9CB6-29BE54D8BFFA}">
      <text>
        <t>[Threaded comment]
Your version of Excel allows you to read this threaded comment; however, any edits to it will get removed if the file is opened in a newer version of Excel. Learn more: https://go.microsoft.com/fwlink/?linkid=870924
Comment:
    Shutdown due to replace Feed water tank Chlorate</t>
      </text>
    </comment>
    <comment ref="AB22" authorId="44" shapeId="0" xr:uid="{B8731012-A6B4-4E73-8EFC-A1A5039B4457}">
      <text>
        <t>[Threaded comment]
Your version of Excel allows you to read this threaded comment; however, any edits to it will get removed if the file is opened in a newer version of Excel. Learn more: https://go.microsoft.com/fwlink/?linkid=870924
Comment:
    Replace a cell one day
and remove new heat exchanger H409 in2X8 line A
Repair leaks</t>
      </text>
    </comment>
    <comment ref="BR22" authorId="45" shapeId="0" xr:uid="{66646138-C965-4C8D-B5D8-BD70DF2CE0AF}">
      <text>
        <t>[Threaded comment]
Your version of Excel allows you to read this threaded comment; however, any edits to it will get removed if the file is opened in a newer version of Excel. Learn more: https://go.microsoft.com/fwlink/?linkid=870924
Comment:
    Replace a cell one day.
Repair leaks.</t>
      </text>
    </comment>
    <comment ref="EJ22" authorId="46" shapeId="0" xr:uid="{519E620B-61CF-4634-8AFE-778DC0352974}">
      <text>
        <t>[Threaded comment]
Your version of Excel allows you to read this threaded comment; however, any edits to it will get removed if the file is opened in a newer version of Excel. Learn more: https://go.microsoft.com/fwlink/?linkid=870924
Comment:
    Replace a cell one day.
Restore flexs cells.
Repair leaks.</t>
      </text>
    </comment>
    <comment ref="AW23" authorId="47" shapeId="0" xr:uid="{457155C5-E68C-4099-9755-F88D80BDE360}">
      <text>
        <t>[Threaded comment]
Your version of Excel allows you to read this threaded comment; however, any edits to it will get removed if the file is opened in a newer version of Excel. Learn more: https://go.microsoft.com/fwlink/?linkid=870924
Comment:
    Replace a cell one day and remove new heat exchanger H419 in2X8 line B.
Repair leaks.</t>
      </text>
    </comment>
    <comment ref="DI23" authorId="48" shapeId="0" xr:uid="{5B15DA05-7523-44ED-91EC-93D54F827E6F}">
      <text>
        <t>[Threaded comment]
Your version of Excel allows you to read this threaded comment; however, any edits to it will get removed if the file is opened in a newer version of Excel. Learn more: https://go.microsoft.com/fwlink/?linkid=870924
Comment:
    Replace a cell, restored flexs cells, cleaning the H2 chimney and replace hydrogen chimney ball
Repair leaks.
Three days.
Not week 15, schedule shutdown week 16, because Alby also is shutdown week 15.
Repainting PT01.
With shutdown RTE for two days : from 15/04/2025 to 16/04/2025 for painting, phase 1.</t>
      </text>
    </comment>
    <comment ref="FE23" authorId="49" shapeId="0" xr:uid="{A3239576-0A1A-41E6-B408-7635FB4498FA}">
      <text>
        <t>[Threaded comment]
Your version of Excel allows you to read this threaded comment; however, any edits to it will get removed if the file is opened in a newer version of Excel. Learn more: https://go.microsoft.com/fwlink/?linkid=870924
Comment:
    Restore flexs cells or replace a cell one day.
Repair leaks.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tc={89C90D37-51E0-4736-A3A3-2C35C419C145}</author>
    <author>tc={16150FA8-D932-4658-BD72-A84F4FE387C0}</author>
  </authors>
  <commentList>
    <comment ref="KT21" authorId="0" shapeId="0" xr:uid="{89C90D37-51E0-4736-A3A3-2C35C419C145}">
      <text>
        <t>[Threaded comment]
Your version of Excel allows you to read this threaded comment; however, any edits to it will get removed if the file is opened in a newer version of Excel. Learn more: https://go.microsoft.com/fwlink/?linkid=870924
Comment:
    Increased TA due to replace steam jacket on 5515</t>
      </text>
    </comment>
    <comment ref="LY23" authorId="1" shapeId="0" xr:uid="{16150FA8-D932-4658-BD72-A84F4FE387C0}">
      <text>
        <t>[Threaded comment]
Your version of Excel allows you to read this threaded comment; however, any edits to it will get removed if the file is opened in a newer version of Excel. Learn more: https://go.microsoft.com/fwlink/?linkid=870924
Comment:
    Shifted to week 48.
Four days.
With shutdown RTE for Three days : from 24/112025 to 27/11/2025 for painting, phase 2.</t>
      </text>
    </comment>
  </commentList>
</comments>
</file>

<file path=xl/sharedStrings.xml><?xml version="1.0" encoding="utf-8"?>
<sst xmlns="http://schemas.openxmlformats.org/spreadsheetml/2006/main" count="16174" uniqueCount="1297">
  <si>
    <t>Category</t>
  </si>
  <si>
    <t>Operational Reliability</t>
  </si>
  <si>
    <t>Technology Reliability</t>
  </si>
  <si>
    <t>Material Reliability</t>
  </si>
  <si>
    <t>Logistics/Supply Reliability</t>
  </si>
  <si>
    <t>External Reliability</t>
  </si>
  <si>
    <t>Equipment Reliability</t>
  </si>
  <si>
    <t>Commercial Reliability</t>
  </si>
  <si>
    <t>Utilization</t>
  </si>
  <si>
    <t>Unit</t>
  </si>
  <si>
    <t>OEE</t>
  </si>
  <si>
    <t>Other Reliability</t>
  </si>
  <si>
    <t>1429 Stockvik</t>
  </si>
  <si>
    <t>MAC - Calender hours</t>
  </si>
  <si>
    <t>Available OEE - Scheduled hours</t>
  </si>
  <si>
    <t>Unspecified</t>
  </si>
  <si>
    <t>Undetected</t>
  </si>
  <si>
    <t>Equipment Reliability - Planned TA &amp; Planned SD</t>
  </si>
  <si>
    <t>Equipment Reliability - Equipment Failure</t>
  </si>
  <si>
    <t>Plant</t>
  </si>
  <si>
    <t>1800 Ambès</t>
  </si>
  <si>
    <t>(ABS) Cell Line A</t>
  </si>
  <si>
    <t>(ABS) Cell Line B</t>
  </si>
  <si>
    <t>1802 Alby</t>
  </si>
  <si>
    <t>(ABY) Batt 7</t>
  </si>
  <si>
    <t>(ABY) Batt 8</t>
  </si>
  <si>
    <t>(ABY) Batt 9</t>
  </si>
  <si>
    <t>(ABY) Crude HP VPN</t>
  </si>
  <si>
    <t>(ABY) Crude HP VPS</t>
  </si>
  <si>
    <t>1810 Bohus</t>
  </si>
  <si>
    <t>(BHS) 90 D5503</t>
  </si>
  <si>
    <t>(BHS) Crude HP</t>
  </si>
  <si>
    <t>(BHS) R5505</t>
  </si>
  <si>
    <t>(BHS) R5515</t>
  </si>
  <si>
    <t>CHE1 Herkenbosch</t>
  </si>
  <si>
    <t>(HKB) D2-2 R2</t>
  </si>
  <si>
    <t>(HKB) D2-4 R4</t>
  </si>
  <si>
    <t>(HKB) D2-7 R7</t>
  </si>
  <si>
    <t>(HKB) D4-2 AUM</t>
  </si>
  <si>
    <t>(HKB) D4-3 AUM</t>
  </si>
  <si>
    <t>(HKB) D5-2 AUM</t>
  </si>
  <si>
    <t>(HKB) D8-1 AUM</t>
  </si>
  <si>
    <t>COL1 Cologne</t>
  </si>
  <si>
    <t>(KLN) CS2</t>
  </si>
  <si>
    <t>(KLN) NaSCN U103</t>
  </si>
  <si>
    <t>(KLN) NaSH</t>
  </si>
  <si>
    <t>(KTP) V-24</t>
  </si>
  <si>
    <t>(KWC) AR11</t>
  </si>
  <si>
    <t>(KWC) AR21</t>
  </si>
  <si>
    <t>1834 Leverkusen</t>
  </si>
  <si>
    <t>1020 Mahad</t>
  </si>
  <si>
    <t>(MHD) MPP (R100.01)</t>
  </si>
  <si>
    <t>(MHD) MPP (R101)</t>
  </si>
  <si>
    <t>1130 Mons</t>
  </si>
  <si>
    <t>(MNS) Butanox (R11)</t>
  </si>
  <si>
    <t>(MNS) Butanox (R12)</t>
  </si>
  <si>
    <t>1430 Mons</t>
  </si>
  <si>
    <t>(MNS) Distillation</t>
  </si>
  <si>
    <t>(MNS) Hydro A</t>
  </si>
  <si>
    <t>(MNS) Hydro B</t>
  </si>
  <si>
    <t>(MNS) Nitrile</t>
  </si>
  <si>
    <t>(MNS) NP (R21)</t>
  </si>
  <si>
    <t>(MNS) NP (R31)</t>
  </si>
  <si>
    <t>(MNS) PE L5 (R51)</t>
  </si>
  <si>
    <t>(MNS) PE L5 (R52)</t>
  </si>
  <si>
    <t>(MNS) PE L6 (R61)</t>
  </si>
  <si>
    <t>(MNS) PE L6 (R62)</t>
  </si>
  <si>
    <t>(MNS) Perkadox (R25)</t>
  </si>
  <si>
    <t>(MNS) Suspensions (W0)</t>
  </si>
  <si>
    <t>(MNS) TMBH (R601)</t>
  </si>
  <si>
    <t>(MNS) Tx-B (R701)</t>
  </si>
  <si>
    <t>(OUL) Cell Line CR69</t>
  </si>
  <si>
    <t>(OUL) Cell Line CR80</t>
  </si>
  <si>
    <t>8163 Örnsköldsvik</t>
  </si>
  <si>
    <t>(OVK) CD01 R4</t>
  </si>
  <si>
    <t>(OVK) CD80 R1</t>
  </si>
  <si>
    <t>(OVK) CD80 R2</t>
  </si>
  <si>
    <t>(OVK) CD80 R5</t>
  </si>
  <si>
    <t>(OVK) CD96 R3</t>
  </si>
  <si>
    <t>1050 Rotterdam</t>
  </si>
  <si>
    <t>(RDM) U4500 Shift Summary</t>
  </si>
  <si>
    <t>1848 Rjukan</t>
  </si>
  <si>
    <t>(RKN) Crude HP</t>
  </si>
  <si>
    <t>(SKN) Hydro AU3</t>
  </si>
  <si>
    <t>(SKN) Hydro AU4</t>
  </si>
  <si>
    <t>(SKN) Hydro AU5</t>
  </si>
  <si>
    <t>(SKN) Multi R2</t>
  </si>
  <si>
    <t>(SKN) Nitrile R4</t>
  </si>
  <si>
    <t>(SKN) Quat R40</t>
  </si>
  <si>
    <t>1858 Stockvik</t>
  </si>
  <si>
    <t>(SND) Cell line K87 B411</t>
  </si>
  <si>
    <t>(SND) Cell line K97 B421</t>
  </si>
  <si>
    <t>(SND) CF</t>
  </si>
  <si>
    <t>(SND) DU1</t>
  </si>
  <si>
    <t>(SND) DU2</t>
  </si>
  <si>
    <t>(SND) DU21</t>
  </si>
  <si>
    <t>(SND) DU22</t>
  </si>
  <si>
    <t>(SND) PF1</t>
  </si>
  <si>
    <t>(SND) WE</t>
  </si>
  <si>
    <t>1428 Stenungsund</t>
  </si>
  <si>
    <t>EAS1 Stenungsund</t>
  </si>
  <si>
    <t>(SSD) EDA AUM</t>
  </si>
  <si>
    <t>(SSD) EMU REA 1</t>
  </si>
  <si>
    <t>(SSD) EMU REA 3</t>
  </si>
  <si>
    <t>(SSD) EMU REA 4</t>
  </si>
  <si>
    <t>(SSD) EMU REA 6</t>
  </si>
  <si>
    <t>(SSD) EO AUM</t>
  </si>
  <si>
    <t>(SSD) MEA AUM</t>
  </si>
  <si>
    <t>1869 Wurzen</t>
  </si>
  <si>
    <t>(WZN) R01</t>
  </si>
  <si>
    <t>(WZN) R02</t>
  </si>
  <si>
    <t>(WZN) R03</t>
  </si>
  <si>
    <t>(WZN) R04</t>
  </si>
  <si>
    <t>Grand Total</t>
  </si>
  <si>
    <t>(KTP) V-25</t>
  </si>
  <si>
    <t>Planned Maintenance</t>
  </si>
  <si>
    <t>Continuous</t>
  </si>
  <si>
    <t>Batch</t>
  </si>
  <si>
    <t xml:space="preserve">Current OEE Batch (Full year 2020) </t>
  </si>
  <si>
    <t xml:space="preserve">Percent point Improvement Target OEE (Full year 2021) </t>
  </si>
  <si>
    <t>&lt;50%</t>
  </si>
  <si>
    <t>50% - 60%</t>
  </si>
  <si>
    <t>60% - 70%</t>
  </si>
  <si>
    <t>70% - 75%</t>
  </si>
  <si>
    <t>75% - 80%</t>
  </si>
  <si>
    <t>80% - 85%</t>
  </si>
  <si>
    <t>&gt;85%</t>
  </si>
  <si>
    <t xml:space="preserve">Current OEE Continuous (Full year 2020)  </t>
  </si>
  <si>
    <t>Percent point Improvement Target (Full year 2021)</t>
  </si>
  <si>
    <t>50% - 70%</t>
  </si>
  <si>
    <t>70% - 80%</t>
  </si>
  <si>
    <t>80% - 90%</t>
  </si>
  <si>
    <t>90% - 95%</t>
  </si>
  <si>
    <t xml:space="preserve">&gt; 95 </t>
  </si>
  <si>
    <t>Min OEE</t>
  </si>
  <si>
    <t>Max OEE</t>
  </si>
  <si>
    <t>Target Improvement</t>
  </si>
  <si>
    <t>Batch Units</t>
  </si>
  <si>
    <t>Continuous Units</t>
  </si>
  <si>
    <t>Unit Type</t>
  </si>
  <si>
    <t>OEE target selection</t>
  </si>
  <si>
    <t>Summary</t>
  </si>
  <si>
    <t>Row Labels</t>
  </si>
  <si>
    <t>(APN) AZOS R1</t>
  </si>
  <si>
    <t>(APN) AZOS R2</t>
  </si>
  <si>
    <t>(APN) GB50 R4120</t>
  </si>
  <si>
    <t>(APN) LPP R201</t>
  </si>
  <si>
    <t>(APN) LPP R202</t>
  </si>
  <si>
    <t>(APN) LPP2 R310</t>
  </si>
  <si>
    <t>(APN) LPP3 R320</t>
  </si>
  <si>
    <t>(APN) LPP3 R330</t>
  </si>
  <si>
    <t>(APN) SPP1 R100</t>
  </si>
  <si>
    <t>(APN) SPP6 R200</t>
  </si>
  <si>
    <t>(APN) SPP7 R200</t>
  </si>
  <si>
    <t>(APN) SPP8 R201</t>
  </si>
  <si>
    <t>(AUG) GP Reactor 9 AUM</t>
  </si>
  <si>
    <t>(AUG) Jumbo Reactor 4400</t>
  </si>
  <si>
    <t>(AUG) Reactor 4100</t>
  </si>
  <si>
    <t>(AUG) Reactor 4200</t>
  </si>
  <si>
    <t>(AUG) Reactor 4300</t>
  </si>
  <si>
    <t>(BOX FAM1) A7841</t>
  </si>
  <si>
    <t>(BOX FAM1) C6821</t>
  </si>
  <si>
    <t>(BOX FAM1) C6851</t>
  </si>
  <si>
    <t>(BOX FAM1) C7821</t>
  </si>
  <si>
    <t>(BOX FAM2) R4301</t>
  </si>
  <si>
    <t>(BOX MPP) R211</t>
  </si>
  <si>
    <t>(BOX MPP) R221B</t>
  </si>
  <si>
    <t>(COL) Cell Line C85</t>
  </si>
  <si>
    <t>(COL) Cell Line C89</t>
  </si>
  <si>
    <t>(COL) Cell Line C91A1</t>
  </si>
  <si>
    <t>(COL) Cell Line C91A2</t>
  </si>
  <si>
    <t>(COL) Cell Line C91B1</t>
  </si>
  <si>
    <t>(COL) Cell Line C91B2</t>
  </si>
  <si>
    <t>(COL) Crude HP</t>
  </si>
  <si>
    <t>(CTT) B-100</t>
  </si>
  <si>
    <t>(CTT) B-101</t>
  </si>
  <si>
    <t>(CTT) B-126</t>
  </si>
  <si>
    <t>(CTT) B-128</t>
  </si>
  <si>
    <t>(CTT) B-137</t>
  </si>
  <si>
    <t>(CTT) B-149</t>
  </si>
  <si>
    <t>(CTT) B-601</t>
  </si>
  <si>
    <t>(CTT) Dryer</t>
  </si>
  <si>
    <t>(DPK) EASC_DEAC C-543</t>
  </si>
  <si>
    <t>(DPK) HALIDE-2 C-42</t>
  </si>
  <si>
    <t>(DPK) HPMO C-910</t>
  </si>
  <si>
    <t>(DPK) NTEAL Combined</t>
  </si>
  <si>
    <t>(DPK) NTEAL T-303</t>
  </si>
  <si>
    <t>(DPK) STEAL Combined</t>
  </si>
  <si>
    <t>(DPK) TMI R-980</t>
  </si>
  <si>
    <t>(DPK) TMI R-990</t>
  </si>
  <si>
    <t>(DPK) TRIALKYLS R-51</t>
  </si>
  <si>
    <t>(DPK) TRIALKYLS R-700</t>
  </si>
  <si>
    <t>(ELS) Cell Line 1</t>
  </si>
  <si>
    <t>(ELS) ClO2 Production</t>
  </si>
  <si>
    <t>(FOW) Spray Dryer</t>
  </si>
  <si>
    <t>(GRY) Jumbo Reactor R4001</t>
  </si>
  <si>
    <t>(GRY) Jumbo Reactor R4002</t>
  </si>
  <si>
    <t>(GRY) Jumbo Reactor R4003</t>
  </si>
  <si>
    <t>(GRY) Jumbo Reactor R4004</t>
  </si>
  <si>
    <t>(GUO) R4003</t>
  </si>
  <si>
    <t>(HOT) K201 Kettle</t>
  </si>
  <si>
    <t>(HOT) K600 Kettle</t>
  </si>
  <si>
    <t>(HOT) R300 Alkox Reactor</t>
  </si>
  <si>
    <t>(HOT) V500 Alkox Reactor</t>
  </si>
  <si>
    <t>(HOT) V600 Alkox Reactor</t>
  </si>
  <si>
    <t>(HOT) V700 Alkox Reactor</t>
  </si>
  <si>
    <t>(IMT) Cell Line 1</t>
  </si>
  <si>
    <t>(IMT) Cell Line 2</t>
  </si>
  <si>
    <t>(IMT) ClO2 Production</t>
  </si>
  <si>
    <t>(IVA) Amine Still</t>
  </si>
  <si>
    <t>(IVA) Hydro-Reactor 05-302</t>
  </si>
  <si>
    <t>(IVA) Multip. Dr Tank 74-302</t>
  </si>
  <si>
    <t>(IVA) Multip. Reactor 74-301</t>
  </si>
  <si>
    <t>(IVA) Nitrile</t>
  </si>
  <si>
    <t>(IVA) Quat-Reactor 73-301</t>
  </si>
  <si>
    <t>(IVA) Quat-Reactor 73-303</t>
  </si>
  <si>
    <t>(IVA) Quat-Reactor 73-304</t>
  </si>
  <si>
    <t>(IVA) Reactor R-301</t>
  </si>
  <si>
    <t>(JDI) Cell Line C09</t>
  </si>
  <si>
    <t>(JDI) Cell Line C94</t>
  </si>
  <si>
    <t>(LNE) Acid</t>
  </si>
  <si>
    <t>(LNE) CS2</t>
  </si>
  <si>
    <t>(LNE) NaSH</t>
  </si>
  <si>
    <t>(LPT) MEKP 47-R330</t>
  </si>
  <si>
    <t>(LPT) MPP 46-R300</t>
  </si>
  <si>
    <t>(LPT) PC 41-R300</t>
  </si>
  <si>
    <t>(LPT) PE 43-R300</t>
  </si>
  <si>
    <t>(LPT) TAHP 51-R320</t>
  </si>
  <si>
    <t>(MLE) Cell Line A</t>
  </si>
  <si>
    <t>(MLE) Cell Line B</t>
  </si>
  <si>
    <t>(MOG) Line 1 (EL)</t>
  </si>
  <si>
    <t>(MOG) Line 2 (EL)</t>
  </si>
  <si>
    <t>(MOG) Line 3 (EL)</t>
  </si>
  <si>
    <t>(MOG) Line 4 (EL)</t>
  </si>
  <si>
    <t>(MOG) Line 5 (EL)</t>
  </si>
  <si>
    <t>(MRS) Continuous Hydro OAM</t>
  </si>
  <si>
    <t>(MRS) Nitrile OAM</t>
  </si>
  <si>
    <t>(MRS) RX1 Batch Hydro</t>
  </si>
  <si>
    <t>(MRS) RX2 Batch Hydro</t>
  </si>
  <si>
    <t>(MRS) RX3 Batch Hydro</t>
  </si>
  <si>
    <t>(MRS) RX4 Batch Hydro</t>
  </si>
  <si>
    <t>(MRS) RX5 Batch Hydro</t>
  </si>
  <si>
    <t>(MRS) RX6 Batch Hydro</t>
  </si>
  <si>
    <t>(NIN CH) B4 RA0401</t>
  </si>
  <si>
    <t>(NIN CH) B4 RB0401</t>
  </si>
  <si>
    <t>(NIN CH) B8 Spray Dryer - Shift Prod</t>
  </si>
  <si>
    <t>(NIN PA) D9101</t>
  </si>
  <si>
    <t>(NIN) EDA OAM</t>
  </si>
  <si>
    <t>(NIN) EO OAM</t>
  </si>
  <si>
    <t>(NIN) Jet Reactor</t>
  </si>
  <si>
    <t>(NIN) MEA OAM</t>
  </si>
  <si>
    <t>(NIN) MPP Unit</t>
  </si>
  <si>
    <t>(NIN) PX14 Unit</t>
  </si>
  <si>
    <t>(NIN3) Final DCP AUM</t>
  </si>
  <si>
    <t>(RDE) DME AUM</t>
  </si>
  <si>
    <t>(RDJ) R5101</t>
  </si>
  <si>
    <t>(RDJ) R5102</t>
  </si>
  <si>
    <t>(SLS) FBD1: Res. Fluid Bed Sys.</t>
  </si>
  <si>
    <t>(SLS) LFD3: PQ-10 Dryer</t>
  </si>
  <si>
    <t>(SLS) MV2: MV Multip. Reactor</t>
  </si>
  <si>
    <t>(SLS) MV4: MV Multip. Reactor</t>
  </si>
  <si>
    <t>(SLS) R04: OAA Wash/Strip Reac.</t>
  </si>
  <si>
    <t>(SLS) S5V: SPS Sulf. Reactor</t>
  </si>
  <si>
    <t>(SLS) SD100: Amph. Spray Dryer</t>
  </si>
  <si>
    <t>(TCG) Jumbo 4000</t>
  </si>
  <si>
    <t>(TCG) Jumbo 4001</t>
  </si>
  <si>
    <t>(TCG) Jumbo 4002</t>
  </si>
  <si>
    <t>(TCG) Nyacol 4006</t>
  </si>
  <si>
    <t>(TLA) Cell Line 1</t>
  </si>
  <si>
    <t>(TLA) Cell Line 2</t>
  </si>
  <si>
    <t>(TLA) ClO2 Production</t>
  </si>
  <si>
    <t>1100 Los Reyes La Paz</t>
  </si>
  <si>
    <t>1804 Augusta</t>
  </si>
  <si>
    <t>1453 Boxing</t>
  </si>
  <si>
    <t>1813 Columbus</t>
  </si>
  <si>
    <t>1819 Columbus</t>
  </si>
  <si>
    <t>1393 Chattanooga</t>
  </si>
  <si>
    <t>1090 Battleground</t>
  </si>
  <si>
    <t>1822 Bahia</t>
  </si>
  <si>
    <t>1392 Fort Worth</t>
  </si>
  <si>
    <t>1826 Howard</t>
  </si>
  <si>
    <t>1824 Guangzhou</t>
  </si>
  <si>
    <t>1391 Houston</t>
  </si>
  <si>
    <t>1827 Imperatriz</t>
  </si>
  <si>
    <t>1375 Itupeva</t>
  </si>
  <si>
    <t>1110 Itupeva</t>
  </si>
  <si>
    <t>1828 Jundiai</t>
  </si>
  <si>
    <t>LM LeMoyne</t>
  </si>
  <si>
    <t>1080 Pasadena</t>
  </si>
  <si>
    <t>1840 Moses Lake</t>
  </si>
  <si>
    <t>1841 Magog</t>
  </si>
  <si>
    <t>1390 Morris</t>
  </si>
  <si>
    <t>1121 Ningbo</t>
  </si>
  <si>
    <t>1190 Ningbo</t>
  </si>
  <si>
    <t>1357 Ningbo</t>
  </si>
  <si>
    <t>1513 Ningbo</t>
  </si>
  <si>
    <t>1160 Ningbo</t>
  </si>
  <si>
    <t>1361 Ningbo</t>
  </si>
  <si>
    <t>1610 Rotterdam</t>
  </si>
  <si>
    <t>1847 Rio</t>
  </si>
  <si>
    <t>1394 Salisbury</t>
  </si>
  <si>
    <t>1860 Tachia</t>
  </si>
  <si>
    <t>1861 Tres Lagoas Jupia</t>
  </si>
  <si>
    <t>Fields to be changed</t>
  </si>
  <si>
    <t>Legenda</t>
  </si>
  <si>
    <t>Unallocated target</t>
  </si>
  <si>
    <t>Additional Instructions:</t>
  </si>
  <si>
    <t>1.2</t>
  </si>
  <si>
    <t>Manual OEE target setting</t>
  </si>
  <si>
    <t>Selected OEE target (used in table below)</t>
  </si>
  <si>
    <t>1.3</t>
  </si>
  <si>
    <t>Version</t>
  </si>
  <si>
    <t>Date</t>
  </si>
  <si>
    <t>Change</t>
  </si>
  <si>
    <t>First official release</t>
  </si>
  <si>
    <t>Added lines to separaly show TA and SD h of 2020 on top.</t>
  </si>
  <si>
    <t>1.4</t>
  </si>
  <si>
    <t>EMPTY</t>
  </si>
  <si>
    <t>Justification/Remarks</t>
  </si>
  <si>
    <t>By</t>
  </si>
  <si>
    <t>Erik Philipse</t>
  </si>
  <si>
    <t>Added Justification field and tab for non-OAM portal units (no data available)</t>
  </si>
  <si>
    <t>1.4b</t>
  </si>
  <si>
    <t>1.4c</t>
  </si>
  <si>
    <t>1.4d</t>
  </si>
  <si>
    <t>OEELastYear</t>
  </si>
  <si>
    <t>(SKN) Distillation D-D0101</t>
  </si>
  <si>
    <t>(SKN) Quat R25:1</t>
  </si>
  <si>
    <t>Added non-pacemakers for Stockvik</t>
  </si>
  <si>
    <t xml:space="preserve"> Empty</t>
  </si>
  <si>
    <t>Added MM KWC</t>
  </si>
  <si>
    <t>1.4e</t>
  </si>
  <si>
    <t>2.0</t>
  </si>
  <si>
    <t>Updated 2020 data for DPK Trialkyls R51 ans R070 and STEAL</t>
  </si>
  <si>
    <t>(AAN) L3-42T601 Continuous</t>
  </si>
  <si>
    <t>(AAN) L4-516101</t>
  </si>
  <si>
    <t>(AAN) L4-516201</t>
  </si>
  <si>
    <t>(AAN) L4-516301</t>
  </si>
  <si>
    <t>(AAN) L6-46T003 Continuous</t>
  </si>
  <si>
    <t>(AUG) Bindzil Reactor (T90) Combined</t>
  </si>
  <si>
    <t>(AUG) GP Reactor 10 AUM</t>
  </si>
  <si>
    <t>(AUG) GP Reactor 11 AUM</t>
  </si>
  <si>
    <t>(DPK) BEM R-800</t>
  </si>
  <si>
    <t>(DPK) HPMO C-1510</t>
  </si>
  <si>
    <t>(DPK) NTEAL R-11</t>
  </si>
  <si>
    <t>(DPK) NTEAL R-41</t>
  </si>
  <si>
    <t>(DPK) SRU R-1401/Settler</t>
  </si>
  <si>
    <t>(DPK) SRU R-1402/Settler</t>
  </si>
  <si>
    <t>(DPK) SRU R-1414</t>
  </si>
  <si>
    <t>(DPK) TMAL R-1203</t>
  </si>
  <si>
    <t>(DZL) MCA AUM</t>
  </si>
  <si>
    <t>(HKB) D3-1 R301</t>
  </si>
  <si>
    <t>(IVA) MEKP R-351</t>
  </si>
  <si>
    <t>(JRG) Quat Reactor 14R101</t>
  </si>
  <si>
    <t>(JXG) R1021B Reactor</t>
  </si>
  <si>
    <t>(JXG) R1021C Reactor</t>
  </si>
  <si>
    <t>(JXG) R1021D Reactor</t>
  </si>
  <si>
    <t>(KWC) MM OAM</t>
  </si>
  <si>
    <t>(LEV) CA24-RA241</t>
  </si>
  <si>
    <t>(LEV) CA24-RA242</t>
  </si>
  <si>
    <t>(LEV) CA24-RA243</t>
  </si>
  <si>
    <t>(LEV) CA40-RA401</t>
  </si>
  <si>
    <t>(LEV) CA60-RA601</t>
  </si>
  <si>
    <t>(LEV) CA60-RA602</t>
  </si>
  <si>
    <t>(LEV) CA60-RA603</t>
  </si>
  <si>
    <t>(NIN CH) B11 115E</t>
  </si>
  <si>
    <t>(NIN CH) B2</t>
  </si>
  <si>
    <t>(NIN CH) B3 RA0302</t>
  </si>
  <si>
    <t>(NIN) Artemis TBHP</t>
  </si>
  <si>
    <t>(SSD) Calcium AUM</t>
  </si>
  <si>
    <t>(SSD) STF Special D7810</t>
  </si>
  <si>
    <t>(TLG) ClO2 TL1</t>
  </si>
  <si>
    <t>(TLG) ClO2 TL2</t>
  </si>
  <si>
    <t>(TXG) MCA AUM</t>
  </si>
  <si>
    <t>Planned Turnaround (h)</t>
  </si>
  <si>
    <t>Planned Shutdown (h)</t>
  </si>
  <si>
    <t>OAU</t>
  </si>
  <si>
    <t>Commercial Loss</t>
  </si>
  <si>
    <t>Plan Factor</t>
  </si>
  <si>
    <t>ConstrainedUnit</t>
  </si>
  <si>
    <t>IsCriticalUnit</t>
  </si>
  <si>
    <t>IsSTIUnit</t>
  </si>
  <si>
    <t>1015 Kvarntorp</t>
  </si>
  <si>
    <t>Constrained Unit</t>
  </si>
  <si>
    <t>Yes</t>
  </si>
  <si>
    <t>No</t>
  </si>
  <si>
    <t>Non-Constrained Unit</t>
  </si>
  <si>
    <t>1170 Yamaguchi</t>
  </si>
  <si>
    <t>1445 Singapore</t>
  </si>
  <si>
    <t>1612 Delfzijl</t>
  </si>
  <si>
    <t>1614 Taixing</t>
  </si>
  <si>
    <t>1862 Tres Lagoas</t>
  </si>
  <si>
    <t>8160 Jiaxing</t>
  </si>
  <si>
    <t>8165 Arnhem</t>
  </si>
  <si>
    <t>8900 Äänekoski</t>
  </si>
  <si>
    <t>(JXG) R1021A Reactor</t>
  </si>
  <si>
    <t>1844 Oulu</t>
  </si>
  <si>
    <t>Sum OEE losses (exluding Planned Maintenance)</t>
  </si>
  <si>
    <t>Sum OEE losses (Including Planned Maintenance)</t>
  </si>
  <si>
    <t>2.1</t>
  </si>
  <si>
    <t>Update layout for 2022</t>
  </si>
  <si>
    <t>(SND) POL2</t>
  </si>
  <si>
    <t>(SND) POL3</t>
  </si>
  <si>
    <t>(SND) POL4</t>
  </si>
  <si>
    <t>(SND) POL5</t>
  </si>
  <si>
    <t>(SND) POL6</t>
  </si>
  <si>
    <t>(SND) POL7</t>
  </si>
  <si>
    <t>(SND) POL8</t>
  </si>
  <si>
    <t>(HKB) D3-2 R101</t>
  </si>
  <si>
    <t>(HKB) D3-3 R201</t>
  </si>
  <si>
    <t>Update with 2021 baseline data</t>
  </si>
  <si>
    <t>Loss Categories</t>
  </si>
  <si>
    <t>Update to 2023</t>
  </si>
  <si>
    <t>3.0</t>
  </si>
  <si>
    <t>3.1</t>
  </si>
  <si>
    <t>Solved protection Commercial loss (no-portal sheet). Added additional OEE data for other periods for HKB D2-7 and D6 filling.</t>
  </si>
  <si>
    <t>Updated intructions and added correction for Normalized OEE</t>
  </si>
  <si>
    <t>Sum of MACInHours</t>
  </si>
  <si>
    <t>Sum of ComercialLossInHours</t>
  </si>
  <si>
    <t>Sum of Planned Maintenance Hours</t>
  </si>
  <si>
    <t>Sum of Planned Shutdown Hours</t>
  </si>
  <si>
    <t>Sum of Planned Turnaround Hours</t>
  </si>
  <si>
    <t>Sum of AvailableInHours</t>
  </si>
  <si>
    <t>Sum of LossInHoursOEE</t>
  </si>
  <si>
    <t>Sum of ActualInHours</t>
  </si>
  <si>
    <t>PUDescC</t>
  </si>
  <si>
    <t>(ABY) Batt 7☆*</t>
  </si>
  <si>
    <t>(ABY) Batt 8☆*</t>
  </si>
  <si>
    <t>(ABY) Batt 9☆*</t>
  </si>
  <si>
    <t>(ABY) Crude HP VPN☆*</t>
  </si>
  <si>
    <t>(ABY) Crude HP VPS☆*</t>
  </si>
  <si>
    <t>(APN) LPP R201*</t>
  </si>
  <si>
    <t>(APN) LPP R202*</t>
  </si>
  <si>
    <t>(APN) LPP2 R310*</t>
  </si>
  <si>
    <t>(APN) LPP3 R320*</t>
  </si>
  <si>
    <t>(APN) LPP3 R330*</t>
  </si>
  <si>
    <t>(APN) SPP1 R100*</t>
  </si>
  <si>
    <t>(APN) SPP6 R200*</t>
  </si>
  <si>
    <t>(AUG) Reactor 4100*</t>
  </si>
  <si>
    <t>(AUG) Reactor 4200*</t>
  </si>
  <si>
    <t>(AUG) Reactor 4300*</t>
  </si>
  <si>
    <t>(BHS) 90 D5503☆*</t>
  </si>
  <si>
    <t>(BHS) R5505*</t>
  </si>
  <si>
    <t>(BHS) R5515*</t>
  </si>
  <si>
    <t>(BOX FAM1) A7841*</t>
  </si>
  <si>
    <t>(BOX FAM1) C6821*</t>
  </si>
  <si>
    <t>(BOX FAM1) C6851*</t>
  </si>
  <si>
    <t>(BOX FAM1) C7821*</t>
  </si>
  <si>
    <t>(BOX FAM2) R4301*</t>
  </si>
  <si>
    <t>(BOX MPP) R211*</t>
  </si>
  <si>
    <t>(BOX MPP) R221B*</t>
  </si>
  <si>
    <t>(CTT) B-100*</t>
  </si>
  <si>
    <t>(CTT) B-101*</t>
  </si>
  <si>
    <t>(CTT) B-126*</t>
  </si>
  <si>
    <t>(CTT) B-128*</t>
  </si>
  <si>
    <t>(CTT) B-137*</t>
  </si>
  <si>
    <t>(CTT) B-149*</t>
  </si>
  <si>
    <t>(CTT) B-601*</t>
  </si>
  <si>
    <t>(DPK) BEM R-800*</t>
  </si>
  <si>
    <t>(DPK) EASC_DEAC C-543*</t>
  </si>
  <si>
    <t>(DPK) HALIDE-2 C-42*</t>
  </si>
  <si>
    <t>(DPK) HPMO C-1510*</t>
  </si>
  <si>
    <t>(DPK) HPMO C-910☆*</t>
  </si>
  <si>
    <t>(DPK) NTEAL R-11*</t>
  </si>
  <si>
    <t>(DPK) NTEAL T-303*</t>
  </si>
  <si>
    <t>(DPK) SRU R-1401/Settler*</t>
  </si>
  <si>
    <t>(DPK) SRU R-1402/Settler*</t>
  </si>
  <si>
    <t>(DPK) SRU R-1414*</t>
  </si>
  <si>
    <t>(DPK) TMAL R-1203☆*</t>
  </si>
  <si>
    <t>(DPK) TMI R-980*</t>
  </si>
  <si>
    <t>(DPK) TMI R-990*</t>
  </si>
  <si>
    <t>(DPK) TRIALKYLS R-51*</t>
  </si>
  <si>
    <t>(ELS) Cell Line 1☆*</t>
  </si>
  <si>
    <t>(ELS) ClO2 Production*</t>
  </si>
  <si>
    <t>(GUO) R4003*</t>
  </si>
  <si>
    <t>(HKB) D2-3 R3</t>
  </si>
  <si>
    <t>(HKB) D5-1 AUM</t>
  </si>
  <si>
    <t>(HOT) K201 Kettle☆*</t>
  </si>
  <si>
    <t>(HOT) V500 Alkox Reactor*</t>
  </si>
  <si>
    <t>(HOT) V600 Alkox Reactor*</t>
  </si>
  <si>
    <t>(HOT) V700 Alkox Reactor*</t>
  </si>
  <si>
    <t>(IMT) Cell Line 1☆*</t>
  </si>
  <si>
    <t>(IMT) Cell Line 2☆*</t>
  </si>
  <si>
    <t>(IMT) ClO2 Production*</t>
  </si>
  <si>
    <t>(IVA) Amine Still*</t>
  </si>
  <si>
    <t>(IVA) Hydro-Reactor 05-302*</t>
  </si>
  <si>
    <t>(IVA) Multip. Dr Tank 74-302*</t>
  </si>
  <si>
    <t>(IVA) Multip. Reactor 74-301*</t>
  </si>
  <si>
    <t>(IVA) Nitrile*</t>
  </si>
  <si>
    <t>(IVA) Quat-Reactor 73-301*</t>
  </si>
  <si>
    <t>(IVA) Quat-Reactor 73-303*</t>
  </si>
  <si>
    <t>(IVA) Quat-Reactor 73-304*</t>
  </si>
  <si>
    <t>(JDI) Cell Line C09☆*</t>
  </si>
  <si>
    <t>(JDI) Cell Line C94☆*</t>
  </si>
  <si>
    <t>(JRG) Quat Reactor 14R101*</t>
  </si>
  <si>
    <t>(KLN) CS2*</t>
  </si>
  <si>
    <t>(KLN) NaSH*</t>
  </si>
  <si>
    <t>(KWC) AR21☆*</t>
  </si>
  <si>
    <t>(LEV) CA60-RA601*</t>
  </si>
  <si>
    <t>(LEV) CA60-RA602*</t>
  </si>
  <si>
    <t>(LEV) CA60-RA603*</t>
  </si>
  <si>
    <t>(LNE) Acid*</t>
  </si>
  <si>
    <t>(LNE) CS2*</t>
  </si>
  <si>
    <t>(LPT) PC 41-R300*</t>
  </si>
  <si>
    <t>(MNS) Distillation*</t>
  </si>
  <si>
    <t>(MNS) Hydro A*</t>
  </si>
  <si>
    <t>(MNS) Hydro B*</t>
  </si>
  <si>
    <t>(MNS) Nitrile*</t>
  </si>
  <si>
    <t>(MNS) Suspensions (W0)*</t>
  </si>
  <si>
    <t>(MRS) Nitrile OAM*</t>
  </si>
  <si>
    <t>(MRS) RX2 Batch Hydro*</t>
  </si>
  <si>
    <t>(MRS) RX3 Batch Hydro*</t>
  </si>
  <si>
    <t>(MRS) RX4 Batch Hydro*</t>
  </si>
  <si>
    <t>(MRS) RX5 Batch Hydro*</t>
  </si>
  <si>
    <t>(NIN CH) B2☆*</t>
  </si>
  <si>
    <t>(NIN CH) B6 Cryst - Shift Prod</t>
  </si>
  <si>
    <t>(NIN CH) B8 Spray Dryer - Shift Prod☆*</t>
  </si>
  <si>
    <t>(NIN PA) D9101☆*</t>
  </si>
  <si>
    <t>(NIN) Artemis TBHP*</t>
  </si>
  <si>
    <t>(NIN) EDA OAM☆*</t>
  </si>
  <si>
    <t>(NIN) MPP Unit☆*</t>
  </si>
  <si>
    <t>(OUL) Cell Line CR69☆*</t>
  </si>
  <si>
    <t>(OUL) Cell Line CR80☆*</t>
  </si>
  <si>
    <t>(RDE) DME AUM*</t>
  </si>
  <si>
    <t>(RKN) Crude HP☆*</t>
  </si>
  <si>
    <t>(SKN) Distillation D-D0101*</t>
  </si>
  <si>
    <t>(SKN) Nitrile R4*</t>
  </si>
  <si>
    <t>(SKN) Quat R40*</t>
  </si>
  <si>
    <t>(SLS) FBD1: Res. Fluid Bed Sys.*</t>
  </si>
  <si>
    <t>(SLS) LFD3: PQ-10 Dryer*</t>
  </si>
  <si>
    <t>(SLS) MV2: MV Multip. Reactor*</t>
  </si>
  <si>
    <t>(SLS) MV4: MV Multip. Reactor*</t>
  </si>
  <si>
    <t>(SLS) R04: OAA Wash/Strip Reac.*</t>
  </si>
  <si>
    <t>(SLS) S5V: SPS Sulf. Reactor*</t>
  </si>
  <si>
    <t>(SLS) SD100: Amph. Spray Dryer*</t>
  </si>
  <si>
    <t>(SND) Cell line K87 B411☆*</t>
  </si>
  <si>
    <t>(SND) Cell line K97 B421☆*</t>
  </si>
  <si>
    <t>(SND) CF*</t>
  </si>
  <si>
    <t>(SND) DU21☆*</t>
  </si>
  <si>
    <t>(SND) DU22☆*</t>
  </si>
  <si>
    <t>(SND) PF1*</t>
  </si>
  <si>
    <t>(SND) WE*</t>
  </si>
  <si>
    <t>(SSD) Calcium AUM*</t>
  </si>
  <si>
    <t>(SSD) EDA AUM☆*</t>
  </si>
  <si>
    <t>(SSD) EO AUM☆*</t>
  </si>
  <si>
    <t>(SSD) MEA AUM☆*</t>
  </si>
  <si>
    <t>(SSD) STF Special D7810*</t>
  </si>
  <si>
    <t>(TCG) Jumbo 4000*</t>
  </si>
  <si>
    <t>(TCG) Jumbo 4001*</t>
  </si>
  <si>
    <t>(TCG) Jumbo 4002*</t>
  </si>
  <si>
    <t>(TCG) Nyacol 4006*</t>
  </si>
  <si>
    <t>(TLA) Cell Line 1☆*</t>
  </si>
  <si>
    <t>(TLA) Cell Line 2☆*</t>
  </si>
  <si>
    <t>(TLA) ClO2 Production*</t>
  </si>
  <si>
    <t>(TLG) ClO2 TL1*</t>
  </si>
  <si>
    <t>(TLG) ClO2 TL2*</t>
  </si>
  <si>
    <t>(WZN) R01*</t>
  </si>
  <si>
    <t>(WZN) R02*</t>
  </si>
  <si>
    <t>(WZN) R03*</t>
  </si>
  <si>
    <t>(WZN) R04*</t>
  </si>
  <si>
    <t>LastYear Normalized OEE</t>
  </si>
  <si>
    <t>Sum of UndetectedInHours</t>
  </si>
  <si>
    <t>LastYear Normalized OAU</t>
  </si>
  <si>
    <t>LastYear Normalized Utilization</t>
  </si>
  <si>
    <t>Pacemaker Unit</t>
  </si>
  <si>
    <t>PaceMakerUnit</t>
  </si>
  <si>
    <t>(AUG) GP Reactor 10 AUM☆*</t>
  </si>
  <si>
    <t>(AUG) GP Reactor 11 AUM☆*</t>
  </si>
  <si>
    <t>(AUG) GP Reactor 9 AUM☆*</t>
  </si>
  <si>
    <t>(MRS) ARQ DEEMA 2</t>
  </si>
  <si>
    <t>(MRS) ARQ DEEMA 2*</t>
  </si>
  <si>
    <t>(MRS) ARQ DEQ</t>
  </si>
  <si>
    <t>(MRS) ARQ DEQ*</t>
  </si>
  <si>
    <t>(MRS) RX2 ARQ</t>
  </si>
  <si>
    <t>(MRS) RX2 ARQ*</t>
  </si>
  <si>
    <t>(MRS) RX3 ARQ</t>
  </si>
  <si>
    <t>(MRS) RX3 ARQ*</t>
  </si>
  <si>
    <t>(MRS) RX4 ARQ</t>
  </si>
  <si>
    <t>Is Outlier</t>
  </si>
  <si>
    <t>Count of id</t>
  </si>
  <si>
    <t>PS1 Greiz</t>
  </si>
  <si>
    <t>(GIZ) CR01</t>
  </si>
  <si>
    <t>(GIZ) CR02</t>
  </si>
  <si>
    <t>(GIZ) CR03</t>
  </si>
  <si>
    <t>(GIZ) CR04</t>
  </si>
  <si>
    <t>(GIZ) CR05</t>
  </si>
  <si>
    <t>(LEV) CA20-RA221</t>
  </si>
  <si>
    <t>(LEV) CA20-RA222</t>
  </si>
  <si>
    <t>(LEV) CA20-RA223</t>
  </si>
  <si>
    <t>(LEV) CA30-RA321</t>
  </si>
  <si>
    <t>(LEV) CA30-RA322</t>
  </si>
  <si>
    <t>(LEV) CA30-RA323</t>
  </si>
  <si>
    <t>(LEV) CA50-RA510</t>
  </si>
  <si>
    <t>(LEV) CA50-RA520</t>
  </si>
  <si>
    <t>(LEV) CA50-RA530</t>
  </si>
  <si>
    <t>1359 San Lorenzo</t>
  </si>
  <si>
    <t>(SLZ) CS2</t>
  </si>
  <si>
    <t>(SLZ) NaSH</t>
  </si>
  <si>
    <t>1061 Tianjin</t>
  </si>
  <si>
    <t>(TNG) MEKP Reactor</t>
  </si>
  <si>
    <t>(TNG) MPP1 Reactor R1310</t>
  </si>
  <si>
    <t>(TNG) MPP2 Reactor R2310</t>
  </si>
  <si>
    <t>(TNG) PD Reactor R5310</t>
  </si>
  <si>
    <t>(TNG) PD Reactor R5320</t>
  </si>
  <si>
    <t>Unit Name</t>
  </si>
  <si>
    <t>Input table from PowerBi</t>
  </si>
  <si>
    <t>Table OEE</t>
  </si>
  <si>
    <t>1880 Green Bay</t>
  </si>
  <si>
    <t>(GRB) BE01</t>
  </si>
  <si>
    <t>(GRB) BE01*</t>
  </si>
  <si>
    <t>(GRB) HEA01</t>
  </si>
  <si>
    <t>(GRB) HEA02</t>
  </si>
  <si>
    <t>(GRB) WE01</t>
  </si>
  <si>
    <t>(GRB) WE01*</t>
  </si>
  <si>
    <t>(GUO) R4001</t>
  </si>
  <si>
    <t>(GUO) R4001*</t>
  </si>
  <si>
    <t>(GUO) R4002</t>
  </si>
  <si>
    <t>(GUO) R4002*</t>
  </si>
  <si>
    <t>(HOT) R200 Alkox Reactor</t>
  </si>
  <si>
    <t>(HOT) R200 Alkox Reactor*</t>
  </si>
  <si>
    <t>1830 Jacareí</t>
  </si>
  <si>
    <t>(JRI) ClO2 Production</t>
  </si>
  <si>
    <t>(JRI) ClO2 Production*</t>
  </si>
  <si>
    <t>(LEV) CA50-RA510*</t>
  </si>
  <si>
    <t>(LEV) CA50-RA520*</t>
  </si>
  <si>
    <t>(LEV) CA50-RA530*</t>
  </si>
  <si>
    <t>(SLZ) Acid</t>
  </si>
  <si>
    <t>(SLZ) Acid*</t>
  </si>
  <si>
    <t>(SLZ) CS2*</t>
  </si>
  <si>
    <t>(TCG) Numbo 4007</t>
  </si>
  <si>
    <t>(TCG) Numbo 4007*</t>
  </si>
  <si>
    <t>(TNG) MEKP Reactor*</t>
  </si>
  <si>
    <t>(TNG) PD Reactor R5310*</t>
  </si>
  <si>
    <t>(TNG) PD Reactor R5320*</t>
  </si>
  <si>
    <t>(YAM) Unit5 V5501</t>
  </si>
  <si>
    <t>(YAM) Unit5 V5501*</t>
  </si>
  <si>
    <t>Expected Utilization from ISC EMEA Budget</t>
  </si>
  <si>
    <t>Calculated Target</t>
  </si>
  <si>
    <t>NormalizedOEE</t>
  </si>
  <si>
    <t>3.2</t>
  </si>
  <si>
    <t>Updated with the actual data 2022</t>
  </si>
  <si>
    <t>(ADA) Active</t>
  </si>
  <si>
    <t>(ADA) Antifouling</t>
  </si>
  <si>
    <t>(ADA) Dcloud</t>
  </si>
  <si>
    <t>(ADA) Distillation</t>
  </si>
  <si>
    <t>1150 Adria</t>
  </si>
  <si>
    <t>3.3</t>
  </si>
  <si>
    <t>Updated Normalized OEE 2022 based on status 20-01-2023 SAAG; Removed visual "constrained/unconstrained" 2023 cell in model (EMEA only)</t>
  </si>
  <si>
    <t>3,3a</t>
  </si>
  <si>
    <t>Added corrected SND DU units</t>
  </si>
  <si>
    <t>(SND) EA10</t>
  </si>
  <si>
    <t>(SND) EA12</t>
  </si>
  <si>
    <t>(SND) HEA_TEA</t>
  </si>
  <si>
    <t>(SND) DUT</t>
  </si>
  <si>
    <t>3,3c</t>
  </si>
  <si>
    <t>Added Augusta units from may-Dec</t>
  </si>
  <si>
    <t>3,3d</t>
  </si>
  <si>
    <t>Added CF and PF1-corrected expancel , Normalized OEE DU units corrected</t>
  </si>
  <si>
    <t>3,3e</t>
  </si>
  <si>
    <t>Added Adria including the TA data 2022 ("_TA" units)</t>
  </si>
  <si>
    <t>3,3f</t>
  </si>
  <si>
    <t>Replaced the Normalized OEE 20-01-2023 with the Normalized OEE of 06-02-2023 in the calculation sheet</t>
  </si>
  <si>
    <t>3,3g</t>
  </si>
  <si>
    <t>Corrected error on update Normalized OEE</t>
  </si>
  <si>
    <t>Exception hours</t>
  </si>
  <si>
    <t>Available running OEE - Running hours</t>
  </si>
  <si>
    <t>Running OEE</t>
  </si>
  <si>
    <t>Target increase added to OEE or Running OEE</t>
  </si>
  <si>
    <t>Overview KPI's</t>
  </si>
  <si>
    <t>Running OEE target</t>
  </si>
  <si>
    <t>Template Version:</t>
  </si>
  <si>
    <t>Reference data last update:</t>
  </si>
  <si>
    <t>Column</t>
  </si>
  <si>
    <t>Value</t>
  </si>
  <si>
    <t>B</t>
  </si>
  <si>
    <t>C</t>
  </si>
  <si>
    <t>D</t>
  </si>
  <si>
    <t>E</t>
  </si>
  <si>
    <t>F</t>
  </si>
  <si>
    <t>G</t>
  </si>
  <si>
    <t>Naming</t>
  </si>
  <si>
    <t>Loss Percentage_NJ</t>
  </si>
  <si>
    <t>Loss_Percentage_LJ</t>
  </si>
  <si>
    <t>Loss_Hours_LJ</t>
  </si>
  <si>
    <t>Normalized_LJ</t>
  </si>
  <si>
    <t>Target_NJ</t>
  </si>
  <si>
    <t>Actuals_LJ</t>
  </si>
  <si>
    <t>Loss_Hours_NJ</t>
  </si>
  <si>
    <t>OEE Improvement_Hours</t>
  </si>
  <si>
    <t>OEE_Improvement_Percentage</t>
  </si>
  <si>
    <t>Simple Attribute</t>
  </si>
  <si>
    <t>Attribute</t>
  </si>
  <si>
    <t>OEE Last Year</t>
  </si>
  <si>
    <t>Normalized OEE last year</t>
  </si>
  <si>
    <t xml:space="preserve">Expected Growth </t>
  </si>
  <si>
    <t>Hours exception included</t>
  </si>
  <si>
    <t>Increase %</t>
  </si>
  <si>
    <t>Planned TA</t>
  </si>
  <si>
    <t>Planned SD</t>
  </si>
  <si>
    <t>3. Check if OEE data (Column B) is correct.</t>
  </si>
  <si>
    <t>1. Select Unit to be reviewed from dropdown</t>
  </si>
  <si>
    <t>Template last update:</t>
  </si>
  <si>
    <t>MAC increase vs average MAC Last Year (Normalized)</t>
  </si>
  <si>
    <t>Extra loss hours in baseline due to MAC change</t>
  </si>
  <si>
    <t>Exception hours (loss excluded from OEE)</t>
  </si>
  <si>
    <t>Improvement target not assigned</t>
  </si>
  <si>
    <t>Remarks</t>
  </si>
  <si>
    <t>OEE target</t>
  </si>
  <si>
    <t>OEE improvement (pp %)</t>
  </si>
  <si>
    <t>This assumes additional loss due to MAC increase is evenly distibuted</t>
  </si>
  <si>
    <t>Include/exclude MAC change impact on target setting</t>
  </si>
  <si>
    <t>Target Setting Baseline</t>
  </si>
  <si>
    <t>Production hours on MAC (h) / OEE (%)</t>
  </si>
  <si>
    <t>,</t>
  </si>
  <si>
    <t>Correct Basline loss distibution for MAC improvement</t>
  </si>
  <si>
    <t>Planned Maintenance Increase</t>
  </si>
  <si>
    <t>Total Planned Maintenance (h)</t>
  </si>
  <si>
    <t>If there is substantial gain in any category, redistibution probably is not correct</t>
  </si>
  <si>
    <t>Running OEE LY &gt;100%</t>
  </si>
  <si>
    <t>Actuals_LJ_corrected</t>
  </si>
  <si>
    <t>Baseline target setting</t>
  </si>
  <si>
    <t>BLANK2</t>
  </si>
  <si>
    <t>BLANK1</t>
  </si>
  <si>
    <t>H</t>
  </si>
  <si>
    <t>I</t>
  </si>
  <si>
    <t>Corrected_loss_hours_LY</t>
  </si>
  <si>
    <t>Corrected_loss_percentage_LY</t>
  </si>
  <si>
    <t>If MAC changes LY or CY (2)</t>
  </si>
  <si>
    <t>5, Enter approved exception hours over last year to taken into baseline OEE, otherwise leave at"0"</t>
  </si>
  <si>
    <t>7. If different volume compared to this year is expected, enter expected Volume Growth in %, otherwise leave at "0,0%"</t>
  </si>
  <si>
    <t>D. Deviations from OEE playbook matrix needs to be approved by the RMD</t>
  </si>
  <si>
    <t>Table Normalized OEE</t>
  </si>
  <si>
    <t>Table categories</t>
  </si>
  <si>
    <t>Exception hours Last Year for baseline correction</t>
  </si>
  <si>
    <t>Manual input last year data</t>
  </si>
  <si>
    <t>Estimated production volume growth vs Last Year</t>
  </si>
  <si>
    <t>Targeted Improvements</t>
  </si>
  <si>
    <t>Corrected baseline for Target Setting</t>
  </si>
  <si>
    <t>13. Select to work with Playbook Target OEE improvement or a Manual entered value</t>
  </si>
  <si>
    <t>14. Manual entered OEE improvement (used if in step 4 manual is choosen)</t>
  </si>
  <si>
    <t>8, Volume change will impact the required hours running at MAC</t>
  </si>
  <si>
    <r>
      <t xml:space="preserve">12. Corrected baseline for target setting. Both, Exception hours and Including MAC change will adpat the baseline for targetsetting in columns </t>
    </r>
    <r>
      <rPr>
        <b/>
        <sz val="10"/>
        <color theme="1"/>
        <rFont val="Arial"/>
        <family val="2"/>
      </rPr>
      <t>D&amp;E</t>
    </r>
  </si>
  <si>
    <t>9,Cell shows the calculated MAC increase of current MAC vs the average MAC of last year</t>
  </si>
  <si>
    <t xml:space="preserve">10, Toggle to include or excluded the calculated the loss hours difference (actual vs normalized last year data) due to the MAC change. </t>
  </si>
  <si>
    <t>11. If MAC impact "included":  Toggle (Yes/No) to distribute additional loss hours according distribution Last Year.</t>
  </si>
  <si>
    <t>Impact exception and MAC change on baseline</t>
  </si>
  <si>
    <t>5. Manually enter the MAC change % vs average MAC of last year</t>
  </si>
  <si>
    <t>1. Enter the unit name</t>
  </si>
  <si>
    <t>2, Select Unit Type</t>
  </si>
  <si>
    <t>4. Check if OEE data (Column C) is correct.</t>
  </si>
  <si>
    <t>The rest can be proceeded in the same manner as decribed above.</t>
  </si>
  <si>
    <t>If  exception hours last Year to be corrected in baseline</t>
  </si>
  <si>
    <t>If substantial volume change expected vs Last Year</t>
  </si>
  <si>
    <t>If MAC changes during Last Year or before target setting (1)</t>
  </si>
  <si>
    <t>If wanted to deviate from Playbook Matrix improvement %</t>
  </si>
  <si>
    <t xml:space="preserve">      It can be that the expected improvement % from the playbook matrix is also adapted as the baseline OEE is changed. Either redistribute the delta or set target selection to manual to correct.</t>
  </si>
  <si>
    <t xml:space="preserve">      If toggle is set at  "No" additional loss hours due to MAC change are visble here</t>
  </si>
  <si>
    <r>
      <t xml:space="preserve">      "Exclude" when MAC change is purely due changed due to Process/installation change.</t>
    </r>
    <r>
      <rPr>
        <b/>
        <sz val="10"/>
        <color theme="1"/>
        <rFont val="Arial"/>
        <family val="2"/>
      </rPr>
      <t xml:space="preserve"> Advice leave on exclude till step 23</t>
    </r>
  </si>
  <si>
    <t xml:space="preserve">      If toggle is set at "Yes" hours are distributed and added to the Categories (Default value)</t>
  </si>
  <si>
    <t>Instructions</t>
  </si>
  <si>
    <r>
      <t xml:space="preserve">0. </t>
    </r>
    <r>
      <rPr>
        <b/>
        <sz val="10"/>
        <color theme="1"/>
        <rFont val="Arial"/>
        <family val="2"/>
      </rPr>
      <t>See separate additional instructions for "OEE target setting (manual)" below</t>
    </r>
  </si>
  <si>
    <t>0. If Units were not in OAM-portal last year or data needs to be manually corrected use the sheet "OEE target setting (manual)"</t>
  </si>
  <si>
    <t>0. If last year data is available and representative in OAM portal, use sheet "OEE target setting tool" (preloaded data)</t>
  </si>
  <si>
    <t>OAU_Remarks</t>
  </si>
  <si>
    <t>Baseline OEE setting</t>
  </si>
  <si>
    <t>(AAN) L4-516101*</t>
  </si>
  <si>
    <t>(AAN) L4-516201*</t>
  </si>
  <si>
    <t>(AAN) L4-516301*</t>
  </si>
  <si>
    <t>(ABS) Cell Line A*</t>
  </si>
  <si>
    <t>(ABS) Cell Line B*</t>
  </si>
  <si>
    <t>(APN) GB50 R4120*</t>
  </si>
  <si>
    <t>(APN) SPP7 R200*</t>
  </si>
  <si>
    <t>(APN) SPP8 R201*</t>
  </si>
  <si>
    <t>(AUG) Bindzil Reactor (T90) Combined*</t>
  </si>
  <si>
    <t>(AUG) Jumbo Reactor 4400*</t>
  </si>
  <si>
    <t>(CTT) Dryer*</t>
  </si>
  <si>
    <t>(DPK) NTEAL Combined*</t>
  </si>
  <si>
    <t>(DPK) STEAL Combined*</t>
  </si>
  <si>
    <t>(GIZ) CR01*</t>
  </si>
  <si>
    <t>(GIZ) CR02*</t>
  </si>
  <si>
    <t>(GIZ) CR03*</t>
  </si>
  <si>
    <t>(GIZ) CR04*</t>
  </si>
  <si>
    <t>(GIZ) CR05*</t>
  </si>
  <si>
    <t>(GRB) HEA01*</t>
  </si>
  <si>
    <t>(GRB) HEA02*</t>
  </si>
  <si>
    <t>(GRY) Jumbo Reactor R4001*</t>
  </si>
  <si>
    <t>(GRY) Jumbo Reactor R4002*</t>
  </si>
  <si>
    <t>(GRY) Jumbo Reactor R4003*</t>
  </si>
  <si>
    <t>(GRY) Jumbo Reactor R4004*</t>
  </si>
  <si>
    <t>(HKB) D2-2 R2*</t>
  </si>
  <si>
    <t>(HKB) D2-3 R3*</t>
  </si>
  <si>
    <t>(HKB) D2-4 R4*</t>
  </si>
  <si>
    <t>(HKB) D2-7 R7*</t>
  </si>
  <si>
    <t>(HKB) D3-1 R301*</t>
  </si>
  <si>
    <t>(HKB) D3-2 R101*</t>
  </si>
  <si>
    <t>(HKB) D3-3 R201*</t>
  </si>
  <si>
    <t>(HKB) D4-2 AUM*</t>
  </si>
  <si>
    <t>(HKB) D4-3 AUM*</t>
  </si>
  <si>
    <t>(HKB) D5-2 AUM*</t>
  </si>
  <si>
    <t>(HOT) K600 Kettle☆*</t>
  </si>
  <si>
    <t>(HOT) R300 Alkox Reactor*</t>
  </si>
  <si>
    <t>(IVA) MEKP R-351*</t>
  </si>
  <si>
    <t>(IVA) Reactor R-301*</t>
  </si>
  <si>
    <t>(KLN) NaSCN U103*</t>
  </si>
  <si>
    <t>1191 Woringen</t>
  </si>
  <si>
    <t>(KLS) NaCN OAM</t>
  </si>
  <si>
    <t>(KLS) NaCN OAM*</t>
  </si>
  <si>
    <t>(KTP) E-231 - X</t>
  </si>
  <si>
    <t>(KTP) S-3580 - Q</t>
  </si>
  <si>
    <t>(KTP) V-24*</t>
  </si>
  <si>
    <t>(KTP) V-25*</t>
  </si>
  <si>
    <t>(KWC) MM OAM*</t>
  </si>
  <si>
    <t>(LEV) CA20-RA221*</t>
  </si>
  <si>
    <t>(LEV) CA20-RA222*</t>
  </si>
  <si>
    <t>(LEV) CA20-RA223*</t>
  </si>
  <si>
    <t>(LEV) CA24-RA241*</t>
  </si>
  <si>
    <t>(LEV) CA24-RA242*</t>
  </si>
  <si>
    <t>(LEV) CA24-RA243*</t>
  </si>
  <si>
    <t>(LEV) CA30-RA321*</t>
  </si>
  <si>
    <t>(LEV) CA30-RA322*</t>
  </si>
  <si>
    <t>(LEV) CA30-RA323*</t>
  </si>
  <si>
    <t>(LEV) CA40-RA401*</t>
  </si>
  <si>
    <t>(LNE) NaSH*</t>
  </si>
  <si>
    <t>(LPT) MPP 46-R300*</t>
  </si>
  <si>
    <t>(LPT) PE 43-R300*</t>
  </si>
  <si>
    <t>(MNS) Butanox (R11)*</t>
  </si>
  <si>
    <t>(MNS) Butanox (R12)*</t>
  </si>
  <si>
    <t>(MNS) NP (R21)*</t>
  </si>
  <si>
    <t>(MNS) NP (R31)*</t>
  </si>
  <si>
    <t>(MNS) PE L5 (R51)*</t>
  </si>
  <si>
    <t>(MNS) PE L5 (R52)*</t>
  </si>
  <si>
    <t>(MNS) PE L6 (R61)*</t>
  </si>
  <si>
    <t>(MNS) PE L6 (R62)*</t>
  </si>
  <si>
    <t>(MNS) Perkadox (R25)*</t>
  </si>
  <si>
    <t>(MNS) TMBH (R601)*</t>
  </si>
  <si>
    <t>(MNS) Tx-B (R701)*</t>
  </si>
  <si>
    <t>(MRS) Continuous Hydro OAM*</t>
  </si>
  <si>
    <t>(MRS) RX1 Batch Hydro*</t>
  </si>
  <si>
    <t>(MRS) RX4 ARQ*</t>
  </si>
  <si>
    <t>(MRS) RX6 Batch Hydro*</t>
  </si>
  <si>
    <t>(NIN CH) B11 115E*</t>
  </si>
  <si>
    <t>(NIN CH) B3 RA0302*</t>
  </si>
  <si>
    <t>(NIN CH) B4 RA0401*</t>
  </si>
  <si>
    <t>(NIN CH) B4 RB0401*</t>
  </si>
  <si>
    <t>(NIN CH) B6 Cryst - Shift Prod☆*</t>
  </si>
  <si>
    <t>(OVK) CD01 R4*</t>
  </si>
  <si>
    <t>(OVK) CD80 R1*</t>
  </si>
  <si>
    <t>(OVK) CD80 R2*</t>
  </si>
  <si>
    <t>(OVK) CD80 R5*</t>
  </si>
  <si>
    <t>(OVK) CD96 R3*</t>
  </si>
  <si>
    <t>(RDM) U4500 Shift Summary*</t>
  </si>
  <si>
    <t>(SKN) Hydro AU3*</t>
  </si>
  <si>
    <t>(SKN) Hydro AU4*</t>
  </si>
  <si>
    <t>(SKN) Hydro AU5*</t>
  </si>
  <si>
    <t>(SKN) Multi R2*</t>
  </si>
  <si>
    <t>(SKN) Quat R25:1*</t>
  </si>
  <si>
    <t>(SLZ) NaSH*</t>
  </si>
  <si>
    <t>(SND) DUT*</t>
  </si>
  <si>
    <t>(SND) EA10*</t>
  </si>
  <si>
    <t>(SND) EA12*</t>
  </si>
  <si>
    <t>(SND) HEA_TEA*</t>
  </si>
  <si>
    <t>(SND) POL2*</t>
  </si>
  <si>
    <t>(SND) POL3*</t>
  </si>
  <si>
    <t>(SND) POL6*</t>
  </si>
  <si>
    <t>(SND) POL8*</t>
  </si>
  <si>
    <t>(SSD) EMU REA 1*</t>
  </si>
  <si>
    <t>(SSD) EMU REA 3*</t>
  </si>
  <si>
    <t>(SSD) EMU REA 4*</t>
  </si>
  <si>
    <t>(SSD) EMU REA 6*</t>
  </si>
  <si>
    <t>8177 Singapore</t>
  </si>
  <si>
    <t>(SSG) Jet Reactor</t>
  </si>
  <si>
    <t>(SSG) Jet Reactor*</t>
  </si>
  <si>
    <t>4,1a</t>
  </si>
  <si>
    <t>Table</t>
  </si>
  <si>
    <t>Template</t>
  </si>
  <si>
    <t>Settings</t>
  </si>
  <si>
    <t>Distribution</t>
  </si>
  <si>
    <t>Maintenance</t>
  </si>
  <si>
    <t>Summarytxt</t>
  </si>
  <si>
    <t>Actual_LJ</t>
  </si>
  <si>
    <t>Targets_NJ</t>
  </si>
  <si>
    <t>(YAM) Unit2 V2301</t>
  </si>
  <si>
    <t>(YAM) Unit2 V2401</t>
  </si>
  <si>
    <t>4.2</t>
  </si>
  <si>
    <t>Full update for 2024:
- exception correction
- MAC updates
- Running OEE improvement
Substantial layout changes
-Export columns (invisible)</t>
  </si>
  <si>
    <t>Final vesrion for role out: tweaking of layout and workflow</t>
  </si>
  <si>
    <t>Data  PowerBI 19-01-2024</t>
  </si>
  <si>
    <t>Site</t>
  </si>
  <si>
    <t>Batch 0r Continuous</t>
  </si>
  <si>
    <t>Constrained Unit 2023 (Preliminary)</t>
  </si>
  <si>
    <t>Distributed Turnaround (hrs) matching?</t>
  </si>
  <si>
    <t>JANUARY</t>
  </si>
  <si>
    <t>MARCH</t>
  </si>
  <si>
    <t>APRIL</t>
  </si>
  <si>
    <t>MAY</t>
  </si>
  <si>
    <t>JUNE</t>
  </si>
  <si>
    <t>JULY</t>
  </si>
  <si>
    <t>AUGUST</t>
  </si>
  <si>
    <t>SEPTEMBER</t>
  </si>
  <si>
    <t>OCTOBER</t>
  </si>
  <si>
    <t>NOVEMBER</t>
  </si>
  <si>
    <t>DECEMBER</t>
  </si>
  <si>
    <t>Reasons for exceeding Recommended Target</t>
  </si>
  <si>
    <t>Wk1</t>
  </si>
  <si>
    <t>Wk2</t>
  </si>
  <si>
    <t>Wk3</t>
  </si>
  <si>
    <t>Wk4</t>
  </si>
  <si>
    <t>Wk5</t>
  </si>
  <si>
    <t>Wk6</t>
  </si>
  <si>
    <t>Wk7</t>
  </si>
  <si>
    <t>Wk8</t>
  </si>
  <si>
    <t>Wk9</t>
  </si>
  <si>
    <t>Wk10</t>
  </si>
  <si>
    <t>Wk11</t>
  </si>
  <si>
    <t>Wk12</t>
  </si>
  <si>
    <t>Wk13</t>
  </si>
  <si>
    <t>Wk14</t>
  </si>
  <si>
    <t>Wk15</t>
  </si>
  <si>
    <t>Wk16</t>
  </si>
  <si>
    <t>Wk17</t>
  </si>
  <si>
    <t>Wk18</t>
  </si>
  <si>
    <t>Wk19</t>
  </si>
  <si>
    <t>Wk20</t>
  </si>
  <si>
    <t>Wk21</t>
  </si>
  <si>
    <t>Wk22</t>
  </si>
  <si>
    <t>Wk23</t>
  </si>
  <si>
    <t>Wk24</t>
  </si>
  <si>
    <t>Wk25</t>
  </si>
  <si>
    <t>Wk26</t>
  </si>
  <si>
    <t>Wk27</t>
  </si>
  <si>
    <t>Wk28</t>
  </si>
  <si>
    <t>Wk29</t>
  </si>
  <si>
    <t>Wk30</t>
  </si>
  <si>
    <t>Wk31</t>
  </si>
  <si>
    <t>Wk32</t>
  </si>
  <si>
    <t>Wk33</t>
  </si>
  <si>
    <t>Wk34</t>
  </si>
  <si>
    <t>Wk35</t>
  </si>
  <si>
    <t>Wk36</t>
  </si>
  <si>
    <t>Wk37</t>
  </si>
  <si>
    <t>Wk38</t>
  </si>
  <si>
    <t>Wk39</t>
  </si>
  <si>
    <t>Wk40</t>
  </si>
  <si>
    <t>Wk41</t>
  </si>
  <si>
    <t>Wk42</t>
  </si>
  <si>
    <t>Wk43</t>
  </si>
  <si>
    <t>Wk44</t>
  </si>
  <si>
    <t>Wk45</t>
  </si>
  <si>
    <t>Wk46</t>
  </si>
  <si>
    <t>Wk47</t>
  </si>
  <si>
    <t>Wk48</t>
  </si>
  <si>
    <t>Wk49</t>
  </si>
  <si>
    <t>Wk50</t>
  </si>
  <si>
    <t>Wk51</t>
  </si>
  <si>
    <t>Wk52</t>
  </si>
  <si>
    <t>Äänekoski</t>
  </si>
  <si>
    <t>Adria</t>
  </si>
  <si>
    <t>(ADR) Active</t>
  </si>
  <si>
    <t>(ADR) Antifouling</t>
  </si>
  <si>
    <t>(ADR) Dcloud</t>
  </si>
  <si>
    <t>(ADR) Ethapol 1000</t>
  </si>
  <si>
    <t>(ADR) Ethapol MPG</t>
  </si>
  <si>
    <t>(ADR) PVAC c</t>
  </si>
  <si>
    <t>(ADR) PVAC s</t>
  </si>
  <si>
    <t>Alby</t>
  </si>
  <si>
    <t>Ambes</t>
  </si>
  <si>
    <t>Arnhem</t>
  </si>
  <si>
    <t>Bohus</t>
  </si>
  <si>
    <t>Delfzijl</t>
  </si>
  <si>
    <t>Greiz</t>
  </si>
  <si>
    <t>Herkenbosch</t>
  </si>
  <si>
    <t>Cologne</t>
  </si>
  <si>
    <t>Kvarntorp</t>
  </si>
  <si>
    <t>Leverkusen</t>
  </si>
  <si>
    <t>Mons</t>
  </si>
  <si>
    <t> </t>
  </si>
  <si>
    <t>(MNS) NP (T65)</t>
  </si>
  <si>
    <t>Oulu</t>
  </si>
  <si>
    <t>Ornsköldsvik</t>
  </si>
  <si>
    <t>Rotterdam - DME</t>
  </si>
  <si>
    <t>Rotterdam - MAE</t>
  </si>
  <si>
    <t>(RDM) U4600 MPU</t>
  </si>
  <si>
    <t>N</t>
  </si>
  <si>
    <t>Rjukan</t>
  </si>
  <si>
    <t>Stenungsund</t>
  </si>
  <si>
    <t>Stockvik</t>
  </si>
  <si>
    <t>(SKN) Multi R3</t>
  </si>
  <si>
    <t>(SND) UF Slurry</t>
  </si>
  <si>
    <t>Wurzen</t>
  </si>
  <si>
    <t xml:space="preserve"> </t>
  </si>
  <si>
    <t>Worringen</t>
  </si>
  <si>
    <t>(KLS) Nitrile Reactor</t>
  </si>
  <si>
    <t>(KLS) NaCN</t>
  </si>
  <si>
    <t>Distributed Shutdown (hrs) matching?</t>
  </si>
  <si>
    <t>NJ_Maintenance_plan</t>
  </si>
  <si>
    <t>(ADR) Accelerants</t>
  </si>
  <si>
    <t>(ADR) Distillation</t>
  </si>
  <si>
    <t>Y</t>
  </si>
  <si>
    <t>4.3</t>
  </si>
  <si>
    <t>4.3b</t>
  </si>
  <si>
    <t>4.3a</t>
  </si>
  <si>
    <t>Updated two corrections to manual sheet (exception and utilization normalized</t>
  </si>
  <si>
    <t>Correct Baseline loss distibution for MAC improvement</t>
  </si>
  <si>
    <t>This assumes additional loss due to MAC increase is evenly distributed</t>
  </si>
  <si>
    <t>Correct for negative values when distributing additional loss hours due to MAC improvements. Keep negative value stable.</t>
  </si>
  <si>
    <t>4,3c</t>
  </si>
  <si>
    <t>Added hidden Advanced sheet and finetuning mac imprvement impact calculation when distibuting</t>
  </si>
  <si>
    <t>Updated normalized OEE table with actual PowerBi data</t>
  </si>
  <si>
    <t>4.3d</t>
  </si>
  <si>
    <t>Added SKN Multi R3, Quat R25:2; Quat R25:5, UF (no PM)</t>
  </si>
  <si>
    <t>2025 Target</t>
  </si>
  <si>
    <t>In Maintenance Plan 2025</t>
  </si>
  <si>
    <t>Targeted distribution 2025</t>
  </si>
  <si>
    <t>Target loss in Hours 2025</t>
  </si>
  <si>
    <t>OEE build up 2025</t>
  </si>
  <si>
    <t>Target 2025</t>
  </si>
  <si>
    <t>Target OEE Improvement 2025 (playbook)</t>
  </si>
  <si>
    <t>2024 Actuals</t>
  </si>
  <si>
    <t>Loss distribution 2024</t>
  </si>
  <si>
    <t>Loss in Hours 2024</t>
  </si>
  <si>
    <t>OEE losses 2024 (%)</t>
  </si>
  <si>
    <t>Corrected loss 2024 (h)</t>
  </si>
  <si>
    <t>Corrected loss 2024 (%)</t>
  </si>
  <si>
    <t>Actual 2024</t>
  </si>
  <si>
    <t>Actual 2024 incl Exceptions</t>
  </si>
  <si>
    <t>Normalized 2024</t>
  </si>
  <si>
    <t>% decrease</t>
  </si>
  <si>
    <t>Proposed improvements</t>
  </si>
  <si>
    <t>OEE vs Running OEE criteria</t>
  </si>
  <si>
    <t>Running OEE when:</t>
  </si>
  <si>
    <t>Volume deviation vs last year is more than</t>
  </si>
  <si>
    <t xml:space="preserve">Planned maintenance hours forecast vs last year differs more than </t>
  </si>
  <si>
    <t>Exception hour correction</t>
  </si>
  <si>
    <t>Unallocated MAC change impact</t>
  </si>
  <si>
    <t>Improvement value</t>
  </si>
  <si>
    <t>Loss reduction (h)</t>
  </si>
  <si>
    <t>Data from PowerBI report</t>
  </si>
  <si>
    <t>(AAN) L3-42T601 Continuous☆*</t>
  </si>
  <si>
    <t>(AAN) L6-46T003 Continuous☆*</t>
  </si>
  <si>
    <t>(APN) AZOS R1*</t>
  </si>
  <si>
    <t>(APN) AZOS R2*</t>
  </si>
  <si>
    <t>(BHS) Crude HP*</t>
  </si>
  <si>
    <t>(BOX FAM1) R6871</t>
  </si>
  <si>
    <t>(BOX FAM1) R6871*</t>
  </si>
  <si>
    <t>(COL) Cell Line C85*</t>
  </si>
  <si>
    <t>(COL) Cell Line C89*</t>
  </si>
  <si>
    <t>(COL) Cell Line C91A1*</t>
  </si>
  <si>
    <t>(COL) Cell Line C91A2*</t>
  </si>
  <si>
    <t>(COL) Cell Line C91B1*</t>
  </si>
  <si>
    <t>(COL) Cell Line C91B2*</t>
  </si>
  <si>
    <t>(COL) Crude HP*</t>
  </si>
  <si>
    <t>(DPK) NTEAL R-41☆*</t>
  </si>
  <si>
    <t>(DPK) TRIALKYLS R-700☆*</t>
  </si>
  <si>
    <t>(DZL) MCA AUM☆*</t>
  </si>
  <si>
    <t>(FOW) Spray Dryer*</t>
  </si>
  <si>
    <t>(GRB) DU31</t>
  </si>
  <si>
    <t>(GRB) DU31*</t>
  </si>
  <si>
    <t>(GRB) DUT2</t>
  </si>
  <si>
    <t>(GRB) DUT2*</t>
  </si>
  <si>
    <t>(GRB) POL11</t>
  </si>
  <si>
    <t>(GRB) POL11*</t>
  </si>
  <si>
    <t>(GRB) PV3</t>
  </si>
  <si>
    <t>(GRB) PV3*</t>
  </si>
  <si>
    <t>(HKB) D2-8 R11</t>
  </si>
  <si>
    <t>(HKB) D2-8 R11*</t>
  </si>
  <si>
    <t>(HKB) D2-9 R11</t>
  </si>
  <si>
    <t>(HKB) D2-9 R11☆*</t>
  </si>
  <si>
    <t>(HKB) D5-1 AUM*</t>
  </si>
  <si>
    <t>(HKB) D8-1 AUM*</t>
  </si>
  <si>
    <t>(HKB) M1-2 Granulation</t>
  </si>
  <si>
    <t>(HKB) M1-2 Granulation*</t>
  </si>
  <si>
    <t>(JDI) HEA</t>
  </si>
  <si>
    <t>(JDI) HEA*</t>
  </si>
  <si>
    <t>(KTP) E-231 - X☆*</t>
  </si>
  <si>
    <t>(KTP) S-3580 - Q☆*</t>
  </si>
  <si>
    <t>(KWC) AR11*</t>
  </si>
  <si>
    <t>(LPT) MEKP 47-R330*</t>
  </si>
  <si>
    <t>(LPT) TAHP 51-R320☆*</t>
  </si>
  <si>
    <t>(MLE) Cell Line A*</t>
  </si>
  <si>
    <t>(MLE) Cell Line B*</t>
  </si>
  <si>
    <t>(MOG) Line 1 (EL)*</t>
  </si>
  <si>
    <t>(MOG) Line 2 (EL)*</t>
  </si>
  <si>
    <t>(MOG) Line 3 (EL)*</t>
  </si>
  <si>
    <t>(MOG) Line 4 (EL)*</t>
  </si>
  <si>
    <t>(MOG) Line 5 (EL)*</t>
  </si>
  <si>
    <t>(NIN) EO OAM*</t>
  </si>
  <si>
    <t>(NIN) PX14 Unit☆*</t>
  </si>
  <si>
    <t>(RDJ) R5101*</t>
  </si>
  <si>
    <t>(RDJ) R5102*</t>
  </si>
  <si>
    <t>1831 Ribas do Rio Pardo</t>
  </si>
  <si>
    <t>(RIB) Cell Line 1</t>
  </si>
  <si>
    <t>(RIB) Cell Line 1*</t>
  </si>
  <si>
    <t>(RIB) Cell Line 2</t>
  </si>
  <si>
    <t>(RIB) Cell Line 2*</t>
  </si>
  <si>
    <t>(RIB) ClO2 Production</t>
  </si>
  <si>
    <t>(RIB) ClO2 Production*</t>
  </si>
  <si>
    <t>(RIB) Crude HP</t>
  </si>
  <si>
    <t>(RIB) Crude HP*</t>
  </si>
  <si>
    <t>(SND) DU1*</t>
  </si>
  <si>
    <t>(SND) DU2*</t>
  </si>
  <si>
    <t>(SND) POL4☆*</t>
  </si>
  <si>
    <t>(SND) POL5☆*</t>
  </si>
  <si>
    <t>(SND) POL7☆*</t>
  </si>
  <si>
    <t>(TNG) MPP1 Reactor R1310☆*</t>
  </si>
  <si>
    <t>(TNG) MPP2 Reactor R2310☆*</t>
  </si>
  <si>
    <t>(YAM) Unit2 V2301*</t>
  </si>
  <si>
    <t>(YAM) Unit2 V2401*</t>
  </si>
  <si>
    <t>Do not overwrite non-portal units (Blue) as these are entered manual</t>
  </si>
  <si>
    <t>Data from PowerBi Report</t>
  </si>
  <si>
    <t>Be awere to take last day as "1-1-currrent year" otherwise last Year data is from 2 years back!</t>
  </si>
  <si>
    <t>Data from PowerBi report</t>
  </si>
  <si>
    <t>2025 Recommended Target for Shutdown Performance (hrs)</t>
  </si>
  <si>
    <t>February</t>
  </si>
  <si>
    <t>13 days has been agreed with production</t>
  </si>
  <si>
    <t>Will be change to continuos process beginning of 2025 and  516101, 516201, 516301 join together</t>
  </si>
  <si>
    <t>15 days has been agreed with production</t>
  </si>
  <si>
    <t>Seveso inspections</t>
  </si>
  <si>
    <t>1 week SIL loop testing and deferred maintenance (not able to execute 2024 TA) in March (3 days needed for ramp down/start up), in June an adidtional stop week to execute backlog work and urgent repairs/improvements  (in 2024 8 days scheduled, in 2025 16 days)</t>
  </si>
  <si>
    <t>Extra hours for Shutdown activities due to higher demand. Additional shutdown week 10</t>
  </si>
  <si>
    <t>PLC Migration to DCS - R2 (672 hours)</t>
  </si>
  <si>
    <t>PLC Migration to DCS - R3 (672 hours)</t>
  </si>
  <si>
    <t>PLC Migration to DCS - Fyrol (672 hours), D8-1 unit is impacted since it cant produce without this PLC. how to deal with?</t>
  </si>
  <si>
    <t>Monthly Shutdown 42 hours for inspections, tests, cleaning and exchanging wear parts</t>
  </si>
  <si>
    <t>W42 extra long SD due to installation of new rectifier</t>
  </si>
  <si>
    <t xml:space="preserve"> 3 Separate SD during the year  6hr each with ramp-up/down</t>
  </si>
  <si>
    <t xml:space="preserve"> 3 Separate SD during the year 6hr each with ramp-up/down</t>
  </si>
  <si>
    <t>3 separate PM's + one service planned for 2025</t>
  </si>
  <si>
    <t>6 separate PM's 16h each + legal inspection</t>
  </si>
  <si>
    <t>8 Separate PM's 16h each + Legal inspection</t>
  </si>
  <si>
    <t>No legal inspection this year</t>
  </si>
  <si>
    <t>repair wastewater pit in June, cleaning of reactors in December - 2025</t>
  </si>
  <si>
    <t>2025 Recommended Target for Turnaround Performance (hrs)</t>
  </si>
  <si>
    <t>2025 Without TA after change from 12 months to 18 months intervall</t>
  </si>
  <si>
    <t>2 weeks TA&amp;project work (- 2,5 week for shutdown/ramp up (extensive cleaning and dezoning ATEX, more time needed for ramp up phase, as concluded from evaluation TA2024)</t>
  </si>
  <si>
    <t>Kromasil will replace the elvator this year.</t>
  </si>
  <si>
    <t>Longer turnaround due to complication maintenance operations (reactor exchange, replace MCA line)</t>
  </si>
  <si>
    <t>Yearly Turnaround during first week of Replacement PLC R2/6  (136hours) wk 19, March 48 h Cooltower maintenance</t>
  </si>
  <si>
    <t>Yearly Turnaround during first week of Replacement PLC R3  (136hours) wk 45, March 48 h Cooltower maintenance</t>
  </si>
  <si>
    <t>Nareactor included in 2025 + budgetted the lototo hours for shutting down and ramping up. March 48 h Cooltower maintenance</t>
  </si>
  <si>
    <t>Nareactor included in 2025 + budgetted the lototo hours for shutting down and ramping up, March 48 h Cooltower maintenance</t>
  </si>
  <si>
    <t>March 48 h Cooltower maintenance + Wk 23 3,5 days TA Reactors + Scrubber</t>
  </si>
  <si>
    <t>March 48 h Cooltower maintenance</t>
  </si>
  <si>
    <t>January, 3 days Prev. Maintenance Heat Ex H505, March 48 h Cooltower maintenance, Wk 37 yearly inspection Reactors + Centrifuge</t>
  </si>
  <si>
    <t>Wk 10 tm 14 Replacement PLC Fyrol --&gt; PPK is impacted (on shutdowns), yearly TA during Project shutdown, March 48 h Cooltower maintenance</t>
  </si>
  <si>
    <t>March 48 h Cooltower maintenance + wk 49 yearly maintenance reactor + Steam Boiler for this unit (4 days)</t>
  </si>
  <si>
    <t>March 48 h Cooltower maintenance, wk 49 yearly maintenance reactor R11  (5 days, in 2024 --&gt; 10 days!)</t>
  </si>
  <si>
    <t>Draft, not yet validated - 2Weeks for TA and 2x2 weeks on project driven for the chemical sewer perester</t>
  </si>
  <si>
    <t>Draft, not yet validated - 1 Week for TA and  3 weeks in September  on project driven for the PLC replacement project</t>
  </si>
  <si>
    <t>Draft, not yet validated - 2 Weeks for TA and  1 week in Septrmber on project driven for the PLC replacement project</t>
  </si>
  <si>
    <t>Not considered for the OEE</t>
  </si>
  <si>
    <t>Draft, not yet validated</t>
  </si>
  <si>
    <t>No turnaround at DME site in 2025</t>
  </si>
  <si>
    <t>The duration of the turnaround depends on the total chemical park turnaround and the availability of the ethylene supply</t>
  </si>
  <si>
    <t>One week TA in 2025</t>
  </si>
  <si>
    <t xml:space="preserve">2 Years TA including ramp down and ramp up, </t>
  </si>
  <si>
    <t>2 Years TA including ramp down and ramp up, still investigate correct number</t>
  </si>
  <si>
    <t>2 Years TA including ramp down and ramp up</t>
  </si>
  <si>
    <t>Not possible to separate units they are connected to eachother</t>
  </si>
  <si>
    <t>Poznan</t>
  </si>
  <si>
    <t>TR1250</t>
  </si>
  <si>
    <t>Wroclaw</t>
  </si>
  <si>
    <t>??</t>
  </si>
  <si>
    <t>(ADR) Ethapol 1000 slurry (DO NOT USE)</t>
  </si>
  <si>
    <t>(ADR) Ethapol 1000 essicatore</t>
  </si>
  <si>
    <t>(ADR) Inhibitor</t>
  </si>
  <si>
    <t>(ADR) Nouryact</t>
  </si>
  <si>
    <t>(RDM) MPU 4600</t>
  </si>
  <si>
    <t>OEE/Runnning OEE increase</t>
  </si>
  <si>
    <t>Automatic</t>
  </si>
  <si>
    <t>Playbook Matrix Value</t>
  </si>
  <si>
    <t>(Only change when aligned with OPEX)</t>
  </si>
  <si>
    <t>(SND) POL2 Excluded Period</t>
  </si>
  <si>
    <t>(SND) POL3 Excluded Period</t>
  </si>
  <si>
    <t>(SND) POL4 Excluded Period</t>
  </si>
  <si>
    <t>(SND) POL5 Excluded Period</t>
  </si>
  <si>
    <t>(SND) POL6 Excluded Period</t>
  </si>
  <si>
    <t>(SND) POL7 Excluded Period</t>
  </si>
  <si>
    <t>(SND) POL8 Excluded Period</t>
  </si>
  <si>
    <t>https://app.powerbi.com/Redirect?action=OpenReport&amp;appId=5fe9aec6-f99c-4cfa-93e3-39928864516f&amp;reportObjectId=649d7ded-6b6a-45a6-b356-ba0b8306dd53&amp;ctid=d34b221f-acd4-4e44-92f8-1215a965d42a&amp;reportPage=d03889429340802d51f7&amp;pbi_source=appShareLink&amp;portalSessionId=859e43d5-2d3b-432a-822d-62b92e358cd3</t>
  </si>
  <si>
    <t>https://app.powerbi.com/Redirect?action=OpenReport&amp;appId=5fe9aec6-f99c-4cfa-93e3-39928864516f&amp;reportObjectId=649d7ded-6b6a-45a6-b356-ba0b8306dd53&amp;ctid=d34b221f-acd4-4e44-92f8-1215a965d42a&amp;reportPage=1e3cdffded5beaf7aae6&amp;pbi_source=appShareLink&amp;portalSessionId=859e43d5-2d3b-432a-822d-62b92e358cd3</t>
  </si>
  <si>
    <t>https://app.powerbi.com/Redirect?action=OpenReport&amp;appId=5fe9aec6-f99c-4cfa-93e3-39928864516f&amp;reportObjectId=649d7ded-6b6a-45a6-b356-ba0b8306dd53&amp;ctid=d34b221f-acd4-4e44-92f8-1215a965d42a&amp;reportPage=d2a235ff63c1e1802f6b&amp;pbi_source=appShareLink&amp;portalSessionId=859e43d5-2d3b-432a-822d-62b92e358cd3</t>
  </si>
  <si>
    <t>Full update for 2025:
- Added selection for loss decrese in % or Loss decrease in h (addional column)
- Added automatic selection of OEE vs Running OEE increase
- Added Macros for copying and saving sheets</t>
  </si>
  <si>
    <t>Unit of Loss Decrease entry</t>
  </si>
  <si>
    <t>J</t>
  </si>
  <si>
    <t>OEE_Running OEE Override</t>
  </si>
  <si>
    <t>OEE_Improvement_Entry</t>
  </si>
  <si>
    <t>If there is gain in any category this value will be not be adapted, redistibution might not be fully correct</t>
  </si>
  <si>
    <t>TABLE NEEDS TO BE SORTED BY UNIT FOR UNIT-DROPDOWN IN TARGET SETTING SHEET</t>
  </si>
  <si>
    <t>Utilization&gt;100%; Volume does not fit capacity; Increase OEE improvement or reduce Growth expectation</t>
  </si>
  <si>
    <t>Exclude</t>
  </si>
  <si>
    <t>Automated Sheet</t>
  </si>
  <si>
    <t>Sheet used for target setting</t>
  </si>
  <si>
    <t>c</t>
  </si>
  <si>
    <t>Manual Sheet</t>
  </si>
  <si>
    <t>Applied filters:
StartTime is on or after January 1, 2024 and is before January 1, 2025
Region is Americas, APAC, or EMEA
IsSTIUnit is Yes
PaceMakerUnit is Pacemaker Unit</t>
  </si>
  <si>
    <t>SiteName</t>
  </si>
  <si>
    <t>LastYear Normalized OEE%</t>
  </si>
  <si>
    <t>OEE Target (50%STI)</t>
  </si>
  <si>
    <t>STI OEE Target Site Level</t>
  </si>
  <si>
    <t>OEE Target (200% STI)</t>
  </si>
  <si>
    <t>YTD OEE</t>
  </si>
  <si>
    <t>Loss Hours Exclusion</t>
  </si>
  <si>
    <t>YTD OEE Corrected</t>
  </si>
  <si>
    <t>STI OEE Outcome</t>
  </si>
  <si>
    <t>STI Outcome Unit Level Corrected</t>
  </si>
  <si>
    <t>STI Weight Site Level</t>
  </si>
  <si>
    <t>Unspecified Pct YTD Floor 1 digit</t>
  </si>
  <si>
    <t>Undetected Loss% YTD</t>
  </si>
  <si>
    <t>STI Qualifier</t>
  </si>
  <si>
    <t>STI Outcome Site Level</t>
  </si>
  <si>
    <t>STI Outcome Corrected Site Level</t>
  </si>
  <si>
    <t>Unit2</t>
  </si>
  <si>
    <t>Unit3</t>
  </si>
  <si>
    <t>Augusta</t>
  </si>
  <si>
    <t>Bahia</t>
  </si>
  <si>
    <t>Battleground</t>
  </si>
  <si>
    <t>Boxing</t>
  </si>
  <si>
    <t>Chattanooga</t>
  </si>
  <si>
    <t>Columbus</t>
  </si>
  <si>
    <t>Fort Worth</t>
  </si>
  <si>
    <t>Guangzhou</t>
  </si>
  <si>
    <t>Houston</t>
  </si>
  <si>
    <t>Howard</t>
  </si>
  <si>
    <t>Imperatriz</t>
  </si>
  <si>
    <t>Itupeva</t>
  </si>
  <si>
    <t>Jacarei</t>
  </si>
  <si>
    <t>Jiaxing</t>
  </si>
  <si>
    <t>(JXG) R1021A Reactor*</t>
  </si>
  <si>
    <t>(JXG) R1021B Reactor*</t>
  </si>
  <si>
    <t>(JXG) R1021C Reactor*</t>
  </si>
  <si>
    <t>(JXG) R1021D Reactor*</t>
  </si>
  <si>
    <t>Jundiai</t>
  </si>
  <si>
    <t>Jupia</t>
  </si>
  <si>
    <t>Köln</t>
  </si>
  <si>
    <t>Lemoyne</t>
  </si>
  <si>
    <t>Los Reyes La Paz</t>
  </si>
  <si>
    <t>Magog</t>
  </si>
  <si>
    <t>Mahad</t>
  </si>
  <si>
    <t>(MHD) MPP (R100.01)*</t>
  </si>
  <si>
    <t>(MHD) MPP (R101)*</t>
  </si>
  <si>
    <t>Morris</t>
  </si>
  <si>
    <t>Moses Lake</t>
  </si>
  <si>
    <t>Ningbo</t>
  </si>
  <si>
    <t>(NIN) Jet Reactor☆*</t>
  </si>
  <si>
    <t>(NIN) MEA OAM*</t>
  </si>
  <si>
    <t>(NIN3) Final DCP AUM*</t>
  </si>
  <si>
    <t>Pasadena</t>
  </si>
  <si>
    <t>Rio de Janeiro</t>
  </si>
  <si>
    <t>Salisbury</t>
  </si>
  <si>
    <t>San Lorenzo</t>
  </si>
  <si>
    <t>Sanyo Onoda (Asa)</t>
  </si>
  <si>
    <t>Singapore</t>
  </si>
  <si>
    <t>Tachia</t>
  </si>
  <si>
    <t>Taixing</t>
  </si>
  <si>
    <t>(TXG) MCA AUM☆*</t>
  </si>
  <si>
    <t>Tianjin</t>
  </si>
  <si>
    <t>Tres Lagoas</t>
  </si>
  <si>
    <t>Accelerants</t>
  </si>
  <si>
    <t>This is just a draft not yet set,</t>
  </si>
  <si>
    <t>And we are missing a mill after a mill breakdown, which in turn means that renovations take more time (36 hours) and it must be done continuously</t>
  </si>
  <si>
    <t>Draft, The TA is during week 41 with factory shutdown Thu-Sun week 40 and start-up weekend week 41</t>
  </si>
  <si>
    <t>Data from 21-01-2025</t>
  </si>
  <si>
    <t> 2025 EQ Reliability Target Setting - All EMEA Sites (1).xlsx</t>
  </si>
  <si>
    <t>(JXG) R1021E Reactor</t>
  </si>
  <si>
    <t>(JXG) R1021E Reactor*</t>
  </si>
  <si>
    <t>2025-01-21(normalized OEE)</t>
  </si>
  <si>
    <t>2. Data 2024 is automatically loaded (source SAAG January 2025)</t>
  </si>
  <si>
    <t>4. Enter amount of Planned Turnarround and Planned Shutdown hours for 2025. Take into account type of planned activities 2025 (vs 2024) and improvement target as aligned with AM. Cell H29 will reflect the expected hours 2024.</t>
  </si>
  <si>
    <t>6, See corrected OEE numbers and loss hours based on including exceptions</t>
  </si>
  <si>
    <t>15. Check: Utilization 2024 should never exceed 100%! This is based on OEE increase and expected volume increase (settings 4-16)</t>
  </si>
  <si>
    <r>
      <t xml:space="preserve">16.a You can choose to enter the proposed decreased in % or hrs </t>
    </r>
    <r>
      <rPr>
        <b/>
        <sz val="10"/>
        <color theme="1"/>
        <rFont val="Arial"/>
        <family val="2"/>
      </rPr>
      <t>(</t>
    </r>
    <r>
      <rPr>
        <sz val="10"/>
        <color theme="1"/>
        <rFont val="Arial"/>
        <family val="2"/>
      </rPr>
      <t>Column</t>
    </r>
    <r>
      <rPr>
        <b/>
        <sz val="10"/>
        <color theme="1"/>
        <rFont val="Arial"/>
        <family val="2"/>
      </rPr>
      <t xml:space="preserve"> F)</t>
    </r>
  </si>
  <si>
    <r>
      <t>16.b In Column</t>
    </r>
    <r>
      <rPr>
        <b/>
        <sz val="10"/>
        <color theme="1"/>
        <rFont val="Arial"/>
        <family val="2"/>
      </rPr>
      <t xml:space="preserve"> F </t>
    </r>
    <r>
      <rPr>
        <sz val="10"/>
        <color theme="1"/>
        <rFont val="Arial"/>
        <family val="2"/>
      </rPr>
      <t>%PP distribution of the envisaged improvements over the specific categories should be filled. Tip: If you want to enter in hours you can use the "goal seek" menu in Excel (using column F).</t>
    </r>
  </si>
  <si>
    <t>17. The yellow field show the un allocated improvement target still to be distributed.</t>
  </si>
  <si>
    <t>18. After the full allocation the not assigned improvement (yellow) should be 0. Itterate to reach challenging realistic OEE target.</t>
  </si>
  <si>
    <r>
      <t xml:space="preserve">19. Check in Column </t>
    </r>
    <r>
      <rPr>
        <b/>
        <sz val="10"/>
        <color theme="1"/>
        <rFont val="Arial"/>
        <family val="2"/>
      </rPr>
      <t>I&amp;J</t>
    </r>
    <r>
      <rPr>
        <sz val="10"/>
        <color theme="1"/>
        <rFont val="Arial"/>
        <family val="2"/>
      </rPr>
      <t xml:space="preserve"> the targeted OEE loss distibution for 2025</t>
    </r>
  </si>
  <si>
    <t>20. Column G show the envisaged improvements in hours</t>
  </si>
  <si>
    <t>21. When distributed, there is the option to now include the impact off the MAC change on expected loss for next year, by setting the toggle of 10 (row 8) on "Include"</t>
  </si>
  <si>
    <t>22. By default set the the toggle to distribute the impact across the categories on "yes". Optional: if you want to manually distribute the additional loss due to MAC change, you can set toggle 11 (row 9) on "No".</t>
  </si>
  <si>
    <t xml:space="preserve">      This does requir additional changes to distribution (16) to come a proper loss distribution. The OEE target is not being impacted by this toggle. Only the distribution is adapted.</t>
  </si>
  <si>
    <t>23. Check the final OEE target, Running OEE subtarget and expected Utilization and OAU in column F</t>
  </si>
  <si>
    <t>24. Add Justification or remarks when deviating from playbook, also to capture logic in OEE improvement distibution. Write down specific asumptions taken into consideration.</t>
  </si>
  <si>
    <r>
      <t xml:space="preserve">25. Summary line (line 54) to be copied </t>
    </r>
    <r>
      <rPr>
        <b/>
        <sz val="10"/>
        <color theme="1"/>
        <rFont val="Arial"/>
        <family val="2"/>
      </rPr>
      <t>as values</t>
    </r>
    <r>
      <rPr>
        <sz val="10"/>
        <color theme="1"/>
        <rFont val="Arial"/>
        <family val="2"/>
      </rPr>
      <t xml:space="preserve"> to Results tab (by using the copy botton at the top “copy results line to results sheet”.)</t>
    </r>
  </si>
  <si>
    <t>26. Create a copy of the Model sheet (by using the copy botton at the top ““save unit in separate sheet and clear this template sheet”)</t>
  </si>
  <si>
    <t>A. If the productmix is expected to be strongly different in 2025 take that into account for the target setting and distribution (14)</t>
  </si>
  <si>
    <t>B. The target for the Planned Maintenance is to be aligned with the AM team and should reflect the planning for 2025 (step 4)</t>
  </si>
  <si>
    <t>C. The improvements distributions should be reflected by actions taken into the SIP (step 16)</t>
  </si>
  <si>
    <t>Units that do not have 2024 baseline data in the OAM portal</t>
  </si>
  <si>
    <t>If no or incomplete data is available in the OAM portal for 2024, there the guidance is to use the Sheet "OEE target (manual)".</t>
  </si>
  <si>
    <t>In this slide first manually the baseline for 2024 needs to be entered, before setting the target for 2025</t>
  </si>
  <si>
    <t>3. Enter the reference data for 2024 in hours</t>
  </si>
  <si>
    <t>Minor changes, added tool for exception hour view but not populated.</t>
  </si>
  <si>
    <t>Minor changes, added clear button en check for performing macros</t>
  </si>
  <si>
    <t>Target OEE Improvement (playbook)</t>
  </si>
  <si>
    <t>Include</t>
  </si>
  <si>
    <t>Playbook Matrix value</t>
  </si>
  <si>
    <t>hours decrease</t>
  </si>
  <si>
    <t xml:space="preserve">There were typos in the MACs for R200 so the normalized OEE has not been updated in the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</si>
</sst>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0%"/>
    <numFmt numFmtId="166" formatCode="0.0"/>
    <numFmt numFmtId="167" formatCode="_ * #,##0.0_ ;_ * \-#,##0.0_ ;_ * &quot;-&quot;??_ ;_ @_ "/>
    <numFmt numFmtId="168" formatCode="&quot;TRUE&quot;;&quot;TRUE&quot;;&quot;FALSE&quot;"/>
    <numFmt numFmtId="169" formatCode="0.0\ %;\-0.0\ %;0.0\ %"/>
    <numFmt numFmtId="170" formatCode="yyyy/mm/dd;@"/>
    <numFmt numFmtId="171" formatCode="_ * #,##0_ ;_ * \-#,##0_ ;_ * &quot;-&quot;??_ ;_ @_ "/>
    <numFmt numFmtId="172" formatCode="_ * #,##0.0_ ;_ * \-#,##0.0_ ;_ * &quot;-&quot;?_ ;_ @_ "/>
    <numFmt numFmtId="173" formatCode="0\ %;\-0\ %;0\ %"/>
  </numFmts>
  <fonts count="3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color rgb="FF3F3F76"/>
      <name val="Arial"/>
      <family val="2"/>
    </font>
    <font>
      <b/>
      <sz val="10"/>
      <color theme="0"/>
      <name val="Arial"/>
      <family val="2"/>
    </font>
    <font>
      <b/>
      <sz val="10"/>
      <color theme="1"/>
      <name val="Arial"/>
      <family val="2"/>
    </font>
    <font>
      <sz val="10"/>
      <color theme="1"/>
      <name val="Arial"/>
      <family val="2"/>
    </font>
    <font>
      <b/>
      <u/>
      <sz val="10"/>
      <color theme="1"/>
      <name val="Arial"/>
      <family val="2"/>
    </font>
    <font>
      <b/>
      <sz val="11"/>
      <color theme="1"/>
      <name val="Calibri"/>
      <family val="2"/>
      <scheme val="minor"/>
    </font>
    <font>
      <b/>
      <sz val="14"/>
      <color rgb="FFFFFFFF"/>
      <name val="Arial"/>
      <family val="2"/>
    </font>
    <font>
      <sz val="14"/>
      <color rgb="FF000000"/>
      <name val="Arial"/>
      <family val="2"/>
    </font>
    <font>
      <i/>
      <sz val="10"/>
      <color theme="1"/>
      <name val="Arial"/>
      <family val="2"/>
    </font>
    <font>
      <sz val="10"/>
      <color rgb="FF006100"/>
      <name val="Arial"/>
      <family val="2"/>
    </font>
    <font>
      <b/>
      <i/>
      <sz val="10"/>
      <color theme="1"/>
      <name val="Arial"/>
      <family val="2"/>
    </font>
    <font>
      <b/>
      <i/>
      <u/>
      <sz val="10"/>
      <color theme="1"/>
      <name val="Arial"/>
      <family val="2"/>
    </font>
    <font>
      <sz val="10"/>
      <color theme="0"/>
      <name val="Arial"/>
      <family val="2"/>
    </font>
    <font>
      <sz val="9"/>
      <color indexed="81"/>
      <name val="Tahoma"/>
      <family val="2"/>
    </font>
    <font>
      <b/>
      <sz val="9"/>
      <color indexed="81"/>
      <name val="Tahoma"/>
      <family val="2"/>
    </font>
    <font>
      <b/>
      <sz val="11"/>
      <color rgb="FFFA7D00"/>
      <name val="Calibri"/>
      <family val="2"/>
      <scheme val="minor"/>
    </font>
    <font>
      <sz val="11"/>
      <name val="Calibri"/>
      <family val="2"/>
    </font>
    <font>
      <sz val="11"/>
      <name val="Calibri"/>
      <family val="2"/>
    </font>
    <font>
      <b/>
      <sz val="8"/>
      <color rgb="FFFF0000"/>
      <name val="Arial"/>
      <family val="2"/>
    </font>
    <font>
      <sz val="10"/>
      <name val="Arial"/>
      <family val="2"/>
    </font>
    <font>
      <sz val="10"/>
      <color rgb="FFFF0000"/>
      <name val="Arial"/>
      <family val="2"/>
    </font>
    <font>
      <sz val="11"/>
      <color rgb="FF3F3F76"/>
      <name val="Arial"/>
      <family val="2"/>
    </font>
    <font>
      <u/>
      <sz val="10"/>
      <color theme="10"/>
      <name val="Arial"/>
      <family val="2"/>
    </font>
    <font>
      <b/>
      <sz val="20"/>
      <color theme="0"/>
      <name val="Arial"/>
      <family val="2"/>
    </font>
    <font>
      <b/>
      <sz val="14"/>
      <color theme="1"/>
      <name val="Arial"/>
      <family val="2"/>
    </font>
    <font>
      <sz val="10"/>
      <color rgb="FF000000"/>
      <name val="Arial"/>
      <family val="2"/>
    </font>
    <font>
      <sz val="9"/>
      <color rgb="FF000000"/>
      <name val="Arial"/>
      <family val="2"/>
    </font>
    <font>
      <b/>
      <sz val="10"/>
      <color rgb="FFFF0000"/>
      <name val="Arial"/>
      <family val="2"/>
    </font>
    <font>
      <sz val="11"/>
      <color rgb="FF212529"/>
      <name val="-Apple-System"/>
      <charset val="1"/>
    </font>
    <font>
      <sz val="10"/>
      <color rgb="FF000000"/>
      <name val="Arial"/>
      <family val="2"/>
      <charset val="1"/>
    </font>
    <font>
      <b/>
      <sz val="11"/>
      <color rgb="FFFF0000"/>
      <name val="Arial"/>
      <family val="2"/>
    </font>
    <font>
      <u/>
      <sz val="10"/>
      <color rgb="FFFF0000"/>
      <name val="Arial"/>
      <family val="2"/>
    </font>
  </fonts>
  <fills count="38">
    <fill>
      <patternFill patternType="none"/>
    </fill>
    <fill>
      <patternFill patternType="gray125"/>
    </fill>
    <fill>
      <patternFill patternType="solid">
        <fgColor rgb="FFFFCC99"/>
      </patternFill>
    </fill>
    <fill>
      <patternFill patternType="solid">
        <fgColor theme="7"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9" tint="0.79998168889431442"/>
        <bgColor theme="4" tint="0.79998168889431442"/>
      </patternFill>
    </fill>
    <fill>
      <patternFill patternType="solid">
        <fgColor rgb="FFFF5300"/>
        <bgColor indexed="64"/>
      </patternFill>
    </fill>
    <fill>
      <patternFill patternType="solid">
        <fgColor theme="9"/>
        <bgColor theme="9"/>
      </patternFill>
    </fill>
    <fill>
      <patternFill patternType="solid">
        <fgColor rgb="FFFFFF00"/>
        <bgColor indexed="64"/>
      </patternFill>
    </fill>
    <fill>
      <patternFill patternType="solid">
        <fgColor rgb="FFFFFF00"/>
        <bgColor theme="4" tint="0.79998168889431442"/>
      </patternFill>
    </fill>
    <fill>
      <patternFill patternType="solid">
        <fgColor rgb="FFC6EFCE"/>
      </patternFill>
    </fill>
    <fill>
      <patternFill patternType="solid">
        <fgColor theme="7"/>
        <bgColor indexed="64"/>
      </patternFill>
    </fill>
    <fill>
      <patternFill patternType="solid">
        <fgColor rgb="FFFFFFCC"/>
      </patternFill>
    </fill>
    <fill>
      <patternFill patternType="solid">
        <fgColor theme="7"/>
        <bgColor theme="7"/>
      </patternFill>
    </fill>
    <fill>
      <patternFill patternType="solid">
        <fgColor theme="7" tint="0.79998168889431442"/>
        <bgColor theme="7" tint="0.79998168889431442"/>
      </patternFill>
    </fill>
    <fill>
      <patternFill patternType="solid">
        <fgColor rgb="FFF2F2F2"/>
      </patternFill>
    </fill>
    <fill>
      <patternFill patternType="solid">
        <fgColor theme="8"/>
        <bgColor indexed="64"/>
      </patternFill>
    </fill>
    <fill>
      <patternFill patternType="solid">
        <fgColor theme="7"/>
        <bgColor theme="4" tint="0.79998168889431442"/>
      </patternFill>
    </fill>
    <fill>
      <patternFill patternType="solid">
        <fgColor theme="7" tint="0.79998168889431442"/>
        <bgColor theme="4" tint="0.79998168889431442"/>
      </patternFill>
    </fill>
    <fill>
      <patternFill patternType="solid">
        <fgColor theme="9" tint="0.39997558519241921"/>
        <bgColor theme="4" tint="0.79998168889431442"/>
      </patternFill>
    </fill>
    <fill>
      <patternFill patternType="solid">
        <fgColor theme="4"/>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tint="-0.249977111117893"/>
        <bgColor theme="4"/>
      </patternFill>
    </fill>
    <fill>
      <patternFill patternType="solid">
        <fgColor theme="0" tint="-4.9989318521683403E-2"/>
        <bgColor indexed="64"/>
      </patternFill>
    </fill>
    <fill>
      <patternFill patternType="solid">
        <fgColor rgb="FFF2F2F2"/>
        <bgColor rgb="FF000000"/>
      </patternFill>
    </fill>
    <fill>
      <patternFill patternType="solid">
        <fgColor theme="7"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5"/>
        <bgColor indexed="64"/>
      </patternFill>
    </fill>
    <fill>
      <patternFill patternType="solid">
        <fgColor rgb="FFFFC000"/>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right/>
      <top style="medium">
        <color indexed="64"/>
      </top>
      <bottom style="medium">
        <color indexed="64"/>
      </bottom>
      <diagonal/>
    </border>
    <border>
      <left/>
      <right/>
      <top style="thin">
        <color theme="4" tint="0.39997558519241921"/>
      </top>
      <bottom/>
      <diagonal/>
    </border>
    <border>
      <left/>
      <right/>
      <top style="thin">
        <color theme="4" tint="0.39997558519241921"/>
      </top>
      <bottom style="medium">
        <color indexed="64"/>
      </bottom>
      <diagonal/>
    </border>
    <border>
      <left style="thin">
        <color rgb="FFFF5300"/>
      </left>
      <right/>
      <top style="thin">
        <color rgb="FFFF5300"/>
      </top>
      <bottom style="thin">
        <color rgb="FFFF5300"/>
      </bottom>
      <diagonal/>
    </border>
    <border>
      <left/>
      <right style="thin">
        <color rgb="FFFF5300"/>
      </right>
      <top style="thin">
        <color rgb="FFFF5300"/>
      </top>
      <bottom style="thin">
        <color rgb="FFFF5300"/>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top style="medium">
        <color indexed="64"/>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style="thin">
        <color theme="4" tint="0.39997558519241921"/>
      </top>
      <bottom style="thin">
        <color indexed="64"/>
      </bottom>
      <diagonal/>
    </border>
    <border>
      <left style="thin">
        <color theme="7" tint="0.39997558519241921"/>
      </left>
      <right/>
      <top style="thin">
        <color theme="7" tint="0.39997558519241921"/>
      </top>
      <bottom/>
      <diagonal/>
    </border>
    <border>
      <left/>
      <right/>
      <top style="thin">
        <color theme="7" tint="0.39997558519241921"/>
      </top>
      <bottom/>
      <diagonal/>
    </border>
    <border>
      <left/>
      <right/>
      <top style="thin">
        <color theme="4" tint="0.39997558519241921"/>
      </top>
      <bottom style="thin">
        <color theme="4" tint="0.39994506668294322"/>
      </bottom>
      <diagonal/>
    </border>
    <border>
      <left/>
      <right/>
      <top/>
      <bottom style="medium">
        <color rgb="FF000000"/>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medium">
        <color indexed="64"/>
      </left>
      <right/>
      <top style="thin">
        <color theme="4" tint="0.39997558519241921"/>
      </top>
      <bottom style="thin">
        <color theme="4" tint="0.39994506668294322"/>
      </bottom>
      <diagonal/>
    </border>
    <border>
      <left/>
      <right style="medium">
        <color indexed="64"/>
      </right>
      <top style="thin">
        <color theme="4" tint="0.39997558519241921"/>
      </top>
      <bottom style="thin">
        <color theme="4" tint="0.39994506668294322"/>
      </bottom>
      <diagonal/>
    </border>
    <border>
      <left style="medium">
        <color indexed="64"/>
      </left>
      <right/>
      <top style="thin">
        <color theme="4" tint="0.39994506668294322"/>
      </top>
      <bottom style="medium">
        <color indexed="64"/>
      </bottom>
      <diagonal/>
    </border>
    <border>
      <left style="medium">
        <color indexed="64"/>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4506668294322"/>
      </bottom>
      <diagonal/>
    </border>
    <border>
      <left style="thin">
        <color indexed="64"/>
      </left>
      <right/>
      <top/>
      <bottom/>
      <diagonal/>
    </border>
    <border>
      <left style="thin">
        <color indexed="64"/>
      </left>
      <right/>
      <top style="thin">
        <color theme="4" tint="0.39997558519241921"/>
      </top>
      <bottom style="medium">
        <color indexed="64"/>
      </bottom>
      <diagonal/>
    </border>
    <border>
      <left style="thin">
        <color indexed="64"/>
      </left>
      <right/>
      <top style="thin">
        <color theme="4" tint="0.39997558519241921"/>
      </top>
      <bottom style="thin">
        <color indexed="64"/>
      </bottom>
      <diagonal/>
    </border>
    <border>
      <left style="thin">
        <color indexed="64"/>
      </left>
      <right/>
      <top style="medium">
        <color indexed="64"/>
      </top>
      <bottom style="medium">
        <color indexed="64"/>
      </bottom>
      <diagonal/>
    </border>
    <border>
      <left/>
      <right style="thin">
        <color indexed="64"/>
      </right>
      <top/>
      <bottom style="medium">
        <color indexed="64"/>
      </bottom>
      <diagonal/>
    </border>
    <border>
      <left/>
      <right style="thin">
        <color indexed="64"/>
      </right>
      <top style="thin">
        <color theme="4" tint="0.39997558519241921"/>
      </top>
      <bottom/>
      <diagonal/>
    </border>
    <border>
      <left/>
      <right style="thin">
        <color indexed="64"/>
      </right>
      <top style="thin">
        <color theme="4" tint="0.39997558519241921"/>
      </top>
      <bottom style="thin">
        <color theme="4" tint="0.39994506668294322"/>
      </bottom>
      <diagonal/>
    </border>
    <border>
      <left/>
      <right style="thin">
        <color indexed="64"/>
      </right>
      <top/>
      <bottom/>
      <diagonal/>
    </border>
    <border>
      <left/>
      <right style="thin">
        <color indexed="64"/>
      </right>
      <top style="thin">
        <color theme="4" tint="0.39997558519241921"/>
      </top>
      <bottom style="medium">
        <color indexed="64"/>
      </bottom>
      <diagonal/>
    </border>
    <border>
      <left/>
      <right style="thin">
        <color indexed="64"/>
      </right>
      <top style="thin">
        <color theme="4" tint="0.39997558519241921"/>
      </top>
      <bottom style="thin">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rgb="FF7F7F7F"/>
      </right>
      <top style="thin">
        <color rgb="FF7F7F7F"/>
      </top>
      <bottom style="thin">
        <color rgb="FF7F7F7F"/>
      </bottom>
      <diagonal/>
    </border>
    <border>
      <left/>
      <right/>
      <top style="thin">
        <color rgb="FF7F7F7F"/>
      </top>
      <bottom style="thin">
        <color indexed="64"/>
      </bottom>
      <diagonal/>
    </border>
    <border>
      <left style="medium">
        <color indexed="64"/>
      </left>
      <right style="thin">
        <color indexed="64"/>
      </right>
      <top style="medium">
        <color indexed="64"/>
      </top>
      <bottom style="medium">
        <color indexed="64"/>
      </bottom>
      <diagonal/>
    </border>
    <border>
      <left/>
      <right style="thin">
        <color rgb="FFB2B2B2"/>
      </right>
      <top style="thin">
        <color rgb="FFB2B2B2"/>
      </top>
      <bottom style="thin">
        <color rgb="FFB2B2B2"/>
      </bottom>
      <diagonal/>
    </border>
    <border>
      <left style="medium">
        <color indexed="64"/>
      </left>
      <right style="thin">
        <color indexed="64"/>
      </right>
      <top style="medium">
        <color indexed="64"/>
      </top>
      <bottom/>
      <diagonal/>
    </border>
    <border>
      <left style="medium">
        <color indexed="64"/>
      </left>
      <right style="thin">
        <color indexed="64"/>
      </right>
      <top style="thin">
        <color theme="4" tint="0.39997558519241921"/>
      </top>
      <bottom/>
      <diagonal/>
    </border>
    <border>
      <left style="medium">
        <color indexed="64"/>
      </left>
      <right style="thin">
        <color indexed="64"/>
      </right>
      <top style="thin">
        <color theme="4" tint="0.39997558519241921"/>
      </top>
      <bottom style="thin">
        <color theme="4" tint="0.39994506668294322"/>
      </bottom>
      <diagonal/>
    </border>
    <border>
      <left style="medium">
        <color indexed="64"/>
      </left>
      <right style="thin">
        <color indexed="64"/>
      </right>
      <top style="thin">
        <color theme="4" tint="0.39994506668294322"/>
      </top>
      <bottom style="medium">
        <color indexed="64"/>
      </bottom>
      <diagonal/>
    </border>
    <border>
      <left style="medium">
        <color indexed="64"/>
      </left>
      <right style="thin">
        <color indexed="64"/>
      </right>
      <top/>
      <bottom/>
      <diagonal/>
    </border>
    <border>
      <left style="medium">
        <color indexed="64"/>
      </left>
      <right style="thin">
        <color indexed="64"/>
      </right>
      <top style="thin">
        <color theme="4" tint="0.39997558519241921"/>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rgb="FFB2B2B2"/>
      </left>
      <right style="thin">
        <color rgb="FFB2B2B2"/>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right style="thin">
        <color indexed="64"/>
      </right>
      <top style="thin">
        <color theme="4" tint="0.39997558519241921"/>
      </top>
      <bottom style="thin">
        <color theme="4" tint="0.39997558519241921"/>
      </bottom>
      <diagonal/>
    </border>
    <border>
      <left style="thin">
        <color indexed="64"/>
      </left>
      <right/>
      <top style="thin">
        <color theme="4" tint="0.39994506668294322"/>
      </top>
      <bottom style="medium">
        <color indexed="64"/>
      </bottom>
      <diagonal/>
    </border>
    <border>
      <left/>
      <right/>
      <top style="thin">
        <color theme="4" tint="0.39994506668294322"/>
      </top>
      <bottom style="medium">
        <color indexed="64"/>
      </bottom>
      <diagonal/>
    </border>
    <border>
      <left/>
      <right style="thin">
        <color indexed="64"/>
      </right>
      <top style="thin">
        <color theme="4" tint="0.39994506668294322"/>
      </top>
      <bottom style="medium">
        <color indexed="64"/>
      </bottom>
      <diagonal/>
    </border>
    <border>
      <left/>
      <right style="medium">
        <color indexed="64"/>
      </right>
      <top style="thin">
        <color theme="4" tint="0.39994506668294322"/>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rgb="FF7F7F7F"/>
      </left>
      <right style="medium">
        <color indexed="64"/>
      </right>
      <top/>
      <bottom style="thin">
        <color indexed="64"/>
      </bottom>
      <diagonal/>
    </border>
    <border>
      <left/>
      <right style="thin">
        <color indexed="64"/>
      </right>
      <top style="thin">
        <color rgb="FF7F7F7F"/>
      </top>
      <bottom style="thin">
        <color rgb="FF7F7F7F"/>
      </bottom>
      <diagonal/>
    </border>
  </borders>
  <cellStyleXfs count="14">
    <xf numFmtId="0" fontId="0" fillId="0" borderId="0"/>
    <xf numFmtId="0" fontId="6" fillId="2" borderId="1" applyNumberFormat="0" applyAlignment="0" applyProtection="0"/>
    <xf numFmtId="9" fontId="9" fillId="0" borderId="0" applyFont="0" applyFill="0" applyBorder="0" applyAlignment="0" applyProtection="0"/>
    <xf numFmtId="0" fontId="15" fillId="12" borderId="0" applyNumberFormat="0" applyBorder="0" applyAlignment="0" applyProtection="0"/>
    <xf numFmtId="0" fontId="9" fillId="14" borderId="19" applyNumberFormat="0" applyFont="0" applyAlignment="0" applyProtection="0"/>
    <xf numFmtId="164" fontId="9" fillId="0" borderId="0" applyFont="0" applyFill="0" applyBorder="0" applyAlignment="0" applyProtection="0"/>
    <xf numFmtId="0" fontId="4" fillId="0" borderId="0"/>
    <xf numFmtId="0" fontId="21" fillId="17" borderId="1" applyNumberFormat="0" applyAlignment="0" applyProtection="0"/>
    <xf numFmtId="0" fontId="3" fillId="0" borderId="0"/>
    <xf numFmtId="0" fontId="22" fillId="0" borderId="0"/>
    <xf numFmtId="9" fontId="23" fillId="0" borderId="0" applyFont="0" applyFill="0" applyBorder="0" applyAlignment="0" applyProtection="0"/>
    <xf numFmtId="0" fontId="28" fillId="0" borderId="0" applyNumberFormat="0" applyFill="0" applyBorder="0" applyAlignment="0" applyProtection="0"/>
    <xf numFmtId="0" fontId="2" fillId="0" borderId="0"/>
    <xf numFmtId="0" fontId="1" fillId="0" borderId="0"/>
  </cellStyleXfs>
  <cellXfs count="414">
    <xf numFmtId="0" fontId="0" fillId="0" borderId="0" xfId="0"/>
    <xf numFmtId="0" fontId="0" fillId="0" borderId="0" xfId="0" applyAlignment="1">
      <alignment horizontal="center"/>
    </xf>
    <xf numFmtId="0" fontId="0" fillId="0" borderId="0" xfId="0" applyAlignment="1">
      <alignment wrapText="1"/>
    </xf>
    <xf numFmtId="0" fontId="0" fillId="0" borderId="0" xfId="0" applyAlignment="1">
      <alignment horizontal="center" wrapText="1"/>
    </xf>
    <xf numFmtId="9" fontId="0" fillId="0" borderId="0" xfId="0" applyNumberFormat="1" applyAlignment="1">
      <alignment horizontal="center"/>
    </xf>
    <xf numFmtId="165" fontId="0" fillId="0" borderId="0" xfId="2" applyNumberFormat="1" applyFont="1"/>
    <xf numFmtId="165" fontId="0" fillId="0" borderId="0" xfId="0" applyNumberFormat="1"/>
    <xf numFmtId="1" fontId="0" fillId="0" borderId="0" xfId="0" applyNumberFormat="1"/>
    <xf numFmtId="3" fontId="0" fillId="5" borderId="3" xfId="0" applyNumberFormat="1" applyFont="1" applyFill="1" applyBorder="1"/>
    <xf numFmtId="165" fontId="0" fillId="5" borderId="3" xfId="0" applyNumberFormat="1" applyFont="1" applyFill="1" applyBorder="1"/>
    <xf numFmtId="3" fontId="0" fillId="0" borderId="3" xfId="0" applyNumberFormat="1" applyFont="1" applyBorder="1"/>
    <xf numFmtId="3" fontId="0" fillId="5" borderId="0" xfId="0" applyNumberFormat="1" applyFont="1" applyFill="1" applyBorder="1"/>
    <xf numFmtId="0" fontId="10" fillId="0" borderId="0" xfId="0" applyFont="1"/>
    <xf numFmtId="0" fontId="0" fillId="3" borderId="0" xfId="0" applyFont="1" applyFill="1" applyBorder="1"/>
    <xf numFmtId="165" fontId="0" fillId="5" borderId="0" xfId="0" applyNumberFormat="1" applyFont="1" applyFill="1" applyBorder="1"/>
    <xf numFmtId="3" fontId="0" fillId="0" borderId="4" xfId="0" applyNumberFormat="1" applyFont="1" applyBorder="1"/>
    <xf numFmtId="165" fontId="0" fillId="0" borderId="4" xfId="2" applyNumberFormat="1" applyFont="1" applyBorder="1"/>
    <xf numFmtId="165" fontId="0" fillId="0" borderId="4" xfId="0" applyNumberFormat="1" applyFont="1" applyBorder="1"/>
    <xf numFmtId="166" fontId="0" fillId="0" borderId="0" xfId="0" applyNumberFormat="1"/>
    <xf numFmtId="0" fontId="0" fillId="0" borderId="0" xfId="0" applyFill="1"/>
    <xf numFmtId="9" fontId="0" fillId="0" borderId="0" xfId="2" applyFont="1"/>
    <xf numFmtId="9" fontId="0" fillId="0" borderId="0" xfId="0" applyNumberFormat="1"/>
    <xf numFmtId="0" fontId="7" fillId="9" borderId="7" xfId="0" applyFont="1" applyFill="1" applyBorder="1"/>
    <xf numFmtId="0" fontId="7" fillId="9" borderId="8" xfId="0" applyFont="1" applyFill="1" applyBorder="1"/>
    <xf numFmtId="0" fontId="7" fillId="9" borderId="9" xfId="0" applyFont="1" applyFill="1" applyBorder="1"/>
    <xf numFmtId="0" fontId="12" fillId="8" borderId="5" xfId="0" applyFont="1" applyFill="1" applyBorder="1" applyAlignment="1">
      <alignment horizontal="center" vertical="center" wrapText="1" readingOrder="1"/>
    </xf>
    <xf numFmtId="0" fontId="12" fillId="8" borderId="6" xfId="0" applyFont="1" applyFill="1" applyBorder="1" applyAlignment="1">
      <alignment horizontal="center" vertical="center" wrapText="1" readingOrder="1"/>
    </xf>
    <xf numFmtId="0" fontId="13" fillId="0" borderId="5" xfId="0" applyFont="1" applyBorder="1" applyAlignment="1">
      <alignment horizontal="center" vertical="center" wrapText="1" readingOrder="1"/>
    </xf>
    <xf numFmtId="9" fontId="13" fillId="0" borderId="6" xfId="0" applyNumberFormat="1" applyFont="1" applyBorder="1" applyAlignment="1">
      <alignment horizontal="center" vertical="center" wrapText="1" readingOrder="1"/>
    </xf>
    <xf numFmtId="3" fontId="0" fillId="0" borderId="0" xfId="0" applyNumberFormat="1" applyAlignment="1">
      <alignment horizontal="right"/>
    </xf>
    <xf numFmtId="0" fontId="14" fillId="0" borderId="0" xfId="0" applyFont="1"/>
    <xf numFmtId="165" fontId="0" fillId="5" borderId="10" xfId="2" applyNumberFormat="1" applyFont="1" applyFill="1" applyBorder="1"/>
    <xf numFmtId="165" fontId="0" fillId="5" borderId="10" xfId="0" applyNumberFormat="1" applyFont="1" applyFill="1" applyBorder="1"/>
    <xf numFmtId="0" fontId="14" fillId="0" borderId="0" xfId="0" applyFont="1" applyAlignment="1">
      <alignment horizontal="left" wrapText="1"/>
    </xf>
    <xf numFmtId="0" fontId="14" fillId="0" borderId="0" xfId="0" applyFont="1" applyAlignment="1">
      <alignment horizontal="left" vertical="center" wrapText="1"/>
    </xf>
    <xf numFmtId="0" fontId="0" fillId="10" borderId="0" xfId="0" applyFill="1"/>
    <xf numFmtId="165" fontId="8" fillId="0" borderId="0" xfId="2" applyNumberFormat="1" applyFont="1"/>
    <xf numFmtId="0" fontId="14" fillId="0" borderId="0" xfId="0" applyFont="1" applyAlignment="1">
      <alignment horizontal="right"/>
    </xf>
    <xf numFmtId="0" fontId="6" fillId="2" borderId="1" xfId="1" applyProtection="1">
      <protection locked="0"/>
    </xf>
    <xf numFmtId="165" fontId="6" fillId="2" borderId="1" xfId="1" applyNumberFormat="1" applyAlignment="1" applyProtection="1">
      <alignment horizontal="right" wrapText="1"/>
      <protection locked="0"/>
    </xf>
    <xf numFmtId="0" fontId="14" fillId="0" borderId="0" xfId="0" applyFont="1" applyAlignment="1">
      <alignment horizontal="center"/>
    </xf>
    <xf numFmtId="14" fontId="14" fillId="0" borderId="0" xfId="0" applyNumberFormat="1" applyFont="1" applyAlignment="1">
      <alignment horizontal="center" wrapText="1"/>
    </xf>
    <xf numFmtId="1" fontId="6" fillId="2" borderId="1" xfId="1" applyNumberFormat="1" applyProtection="1">
      <protection locked="0"/>
    </xf>
    <xf numFmtId="0" fontId="14" fillId="0" borderId="0" xfId="0" applyFont="1" applyAlignment="1">
      <alignment horizontal="left"/>
    </xf>
    <xf numFmtId="0" fontId="14" fillId="0" borderId="0" xfId="0" applyFont="1" applyFill="1" applyBorder="1"/>
    <xf numFmtId="0" fontId="14" fillId="0" borderId="11" xfId="0" applyFont="1" applyFill="1" applyBorder="1"/>
    <xf numFmtId="1" fontId="0" fillId="0" borderId="11" xfId="0" applyNumberFormat="1" applyBorder="1"/>
    <xf numFmtId="14" fontId="0" fillId="0" borderId="0" xfId="0" applyNumberFormat="1"/>
    <xf numFmtId="0" fontId="8" fillId="13" borderId="0" xfId="0" applyFont="1" applyFill="1"/>
    <xf numFmtId="0" fontId="16" fillId="0" borderId="0" xfId="0" applyFont="1" applyAlignment="1">
      <alignment horizontal="center" wrapText="1"/>
    </xf>
    <xf numFmtId="1" fontId="0" fillId="14" borderId="19" xfId="4" applyNumberFormat="1" applyFont="1" applyProtection="1">
      <protection locked="0"/>
    </xf>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0" fillId="0" borderId="0" xfId="0" applyAlignment="1">
      <alignment horizontal="right"/>
    </xf>
    <xf numFmtId="166" fontId="0" fillId="0" borderId="0" xfId="0" applyNumberFormat="1" applyBorder="1"/>
    <xf numFmtId="0" fontId="0" fillId="0" borderId="0" xfId="0" applyFill="1" applyAlignment="1">
      <alignment horizontal="left"/>
    </xf>
    <xf numFmtId="0" fontId="17" fillId="0" borderId="0" xfId="0" applyFont="1" applyFill="1" applyBorder="1"/>
    <xf numFmtId="1" fontId="0" fillId="0" borderId="0" xfId="0" applyNumberFormat="1" applyAlignment="1">
      <alignment horizontal="right" wrapText="1"/>
    </xf>
    <xf numFmtId="0" fontId="18" fillId="0" borderId="0" xfId="0" applyFont="1"/>
    <xf numFmtId="165" fontId="0" fillId="0" borderId="0" xfId="2" applyNumberFormat="1" applyFont="1" applyProtection="1">
      <protection locked="0"/>
    </xf>
    <xf numFmtId="0" fontId="14" fillId="0" borderId="0" xfId="0" applyFont="1" applyAlignment="1">
      <alignment horizontal="right" wrapText="1"/>
    </xf>
    <xf numFmtId="0" fontId="0" fillId="0" borderId="0" xfId="0" applyProtection="1">
      <protection locked="0"/>
    </xf>
    <xf numFmtId="3" fontId="8" fillId="0" borderId="0" xfId="0" applyNumberFormat="1" applyFont="1" applyProtection="1"/>
    <xf numFmtId="0" fontId="0" fillId="0" borderId="0" xfId="0" applyProtection="1"/>
    <xf numFmtId="0" fontId="0" fillId="16" borderId="20" xfId="0" applyFont="1" applyFill="1" applyBorder="1"/>
    <xf numFmtId="167" fontId="0" fillId="0" borderId="0" xfId="5" applyNumberFormat="1" applyFont="1"/>
    <xf numFmtId="0" fontId="0" fillId="0" borderId="0" xfId="0" quotePrefix="1"/>
    <xf numFmtId="165" fontId="0" fillId="0" borderId="0" xfId="2" applyNumberFormat="1" applyFont="1" applyFill="1"/>
    <xf numFmtId="165" fontId="0" fillId="0" borderId="0" xfId="2" applyNumberFormat="1" applyFont="1" applyBorder="1"/>
    <xf numFmtId="167" fontId="0" fillId="0" borderId="0" xfId="5" applyNumberFormat="1" applyFont="1" applyFill="1"/>
    <xf numFmtId="165" fontId="0" fillId="0" borderId="3" xfId="0" applyNumberFormat="1" applyFont="1" applyBorder="1"/>
    <xf numFmtId="165" fontId="0" fillId="5" borderId="22" xfId="0" applyNumberFormat="1" applyFont="1" applyFill="1" applyBorder="1"/>
    <xf numFmtId="167" fontId="0" fillId="0" borderId="0" xfId="5" applyNumberFormat="1" applyFont="1" applyProtection="1">
      <protection locked="0"/>
    </xf>
    <xf numFmtId="0" fontId="7" fillId="15" borderId="23" xfId="0" applyFont="1" applyFill="1" applyBorder="1"/>
    <xf numFmtId="165" fontId="0" fillId="16" borderId="21" xfId="0" applyNumberFormat="1" applyFont="1" applyFill="1" applyBorder="1"/>
    <xf numFmtId="165" fontId="0" fillId="16" borderId="21" xfId="2" applyNumberFormat="1" applyFont="1" applyFill="1" applyBorder="1"/>
    <xf numFmtId="165" fontId="0" fillId="0" borderId="0" xfId="2" applyNumberFormat="1" applyFont="1" applyProtection="1"/>
    <xf numFmtId="0" fontId="0" fillId="18" borderId="0" xfId="8" applyFont="1" applyFill="1"/>
    <xf numFmtId="0" fontId="0" fillId="18" borderId="0" xfId="0" applyFill="1"/>
    <xf numFmtId="168" fontId="0" fillId="0" borderId="0" xfId="0" applyNumberFormat="1"/>
    <xf numFmtId="0" fontId="0" fillId="0" borderId="0" xfId="0" applyFill="1" applyBorder="1" applyAlignment="1">
      <alignment horizontal="left"/>
    </xf>
    <xf numFmtId="165" fontId="0" fillId="0" borderId="0" xfId="2" applyNumberFormat="1" applyFont="1" applyAlignment="1">
      <alignment wrapText="1"/>
    </xf>
    <xf numFmtId="2" fontId="0" fillId="0" borderId="0" xfId="0" applyNumberFormat="1" applyAlignment="1">
      <alignment vertical="top"/>
    </xf>
    <xf numFmtId="1" fontId="0" fillId="0" borderId="0" xfId="0" applyNumberFormat="1" applyAlignment="1">
      <alignment vertical="top" wrapText="1"/>
    </xf>
    <xf numFmtId="165" fontId="0" fillId="0" borderId="25" xfId="0" applyNumberFormat="1" applyFont="1" applyBorder="1"/>
    <xf numFmtId="3" fontId="0" fillId="19" borderId="3" xfId="0" applyNumberFormat="1" applyFont="1" applyFill="1" applyBorder="1"/>
    <xf numFmtId="0" fontId="0" fillId="0" borderId="17" xfId="0" applyBorder="1"/>
    <xf numFmtId="0" fontId="14" fillId="0" borderId="10" xfId="0" applyFont="1" applyBorder="1"/>
    <xf numFmtId="165" fontId="0" fillId="0" borderId="10" xfId="2" applyNumberFormat="1" applyFont="1" applyBorder="1"/>
    <xf numFmtId="0" fontId="14" fillId="0" borderId="0" xfId="0" applyFont="1" applyBorder="1"/>
    <xf numFmtId="0" fontId="18" fillId="0" borderId="0" xfId="0" applyFont="1" applyBorder="1"/>
    <xf numFmtId="170" fontId="14" fillId="0" borderId="0" xfId="0" applyNumberFormat="1" applyFont="1" applyAlignment="1">
      <alignment horizontal="center" wrapText="1"/>
    </xf>
    <xf numFmtId="170" fontId="14" fillId="0" borderId="0" xfId="0" applyNumberFormat="1" applyFont="1" applyAlignment="1">
      <alignment horizontal="center"/>
    </xf>
    <xf numFmtId="0" fontId="8" fillId="0" borderId="0" xfId="0" applyFont="1" applyProtection="1">
      <protection hidden="1"/>
    </xf>
    <xf numFmtId="0" fontId="0" fillId="0" borderId="0" xfId="0" applyProtection="1">
      <protection hidden="1"/>
    </xf>
    <xf numFmtId="0" fontId="0" fillId="0" borderId="0" xfId="0" applyFont="1" applyFill="1" applyProtection="1">
      <protection hidden="1"/>
    </xf>
    <xf numFmtId="164" fontId="0" fillId="16" borderId="21" xfId="5" applyFont="1" applyFill="1" applyBorder="1"/>
    <xf numFmtId="0" fontId="7" fillId="15" borderId="0" xfId="0" applyFont="1" applyFill="1" applyBorder="1" applyAlignment="1">
      <alignment horizontal="right"/>
    </xf>
    <xf numFmtId="0" fontId="7" fillId="15" borderId="24" xfId="0" applyFont="1" applyFill="1" applyBorder="1" applyAlignment="1">
      <alignment horizontal="right"/>
    </xf>
    <xf numFmtId="166" fontId="7" fillId="15" borderId="24" xfId="0" applyNumberFormat="1" applyFont="1" applyFill="1" applyBorder="1" applyAlignment="1">
      <alignment horizontal="right"/>
    </xf>
    <xf numFmtId="0" fontId="7" fillId="15" borderId="0" xfId="0" applyFont="1" applyFill="1" applyBorder="1" applyAlignment="1">
      <alignment horizontal="left"/>
    </xf>
    <xf numFmtId="171" fontId="0" fillId="16" borderId="21" xfId="5" applyNumberFormat="1" applyFont="1" applyFill="1" applyBorder="1"/>
    <xf numFmtId="166" fontId="7" fillId="15" borderId="24" xfId="0" applyNumberFormat="1" applyFont="1" applyFill="1" applyBorder="1" applyAlignment="1">
      <alignment horizontal="left"/>
    </xf>
    <xf numFmtId="165" fontId="0" fillId="16" borderId="21" xfId="2" applyNumberFormat="1" applyFont="1" applyFill="1" applyBorder="1" applyAlignment="1">
      <alignment horizontal="right"/>
    </xf>
    <xf numFmtId="165" fontId="26" fillId="0" borderId="0" xfId="2" applyNumberFormat="1" applyFont="1" applyBorder="1"/>
    <xf numFmtId="165" fontId="0" fillId="5" borderId="17" xfId="2" applyNumberFormat="1" applyFont="1" applyFill="1" applyBorder="1"/>
    <xf numFmtId="10" fontId="0" fillId="20" borderId="3" xfId="2" applyNumberFormat="1" applyFont="1" applyFill="1" applyBorder="1"/>
    <xf numFmtId="165" fontId="0" fillId="20" borderId="3" xfId="0" applyNumberFormat="1" applyFont="1" applyFill="1" applyBorder="1"/>
    <xf numFmtId="3" fontId="0" fillId="20" borderId="0" xfId="0" applyNumberFormat="1" applyFont="1" applyFill="1" applyBorder="1"/>
    <xf numFmtId="165" fontId="0" fillId="20" borderId="0" xfId="2" applyNumberFormat="1" applyFont="1" applyFill="1" applyBorder="1"/>
    <xf numFmtId="165" fontId="0" fillId="20" borderId="0" xfId="0" applyNumberFormat="1" applyFont="1" applyFill="1" applyBorder="1"/>
    <xf numFmtId="3" fontId="0" fillId="5" borderId="17" xfId="0" applyNumberFormat="1" applyFont="1" applyFill="1" applyBorder="1"/>
    <xf numFmtId="0" fontId="14" fillId="0" borderId="26" xfId="0" applyFont="1" applyBorder="1" applyAlignment="1">
      <alignment horizontal="center"/>
    </xf>
    <xf numFmtId="0" fontId="14" fillId="0" borderId="17" xfId="0" applyFont="1" applyBorder="1" applyAlignment="1">
      <alignment horizontal="center"/>
    </xf>
    <xf numFmtId="165" fontId="26" fillId="0" borderId="10" xfId="0" applyNumberFormat="1" applyFont="1" applyFill="1" applyBorder="1"/>
    <xf numFmtId="0" fontId="26" fillId="0" borderId="0" xfId="0" applyFont="1" applyBorder="1"/>
    <xf numFmtId="165" fontId="0" fillId="5" borderId="17" xfId="0" applyNumberFormat="1" applyFont="1" applyFill="1" applyBorder="1"/>
    <xf numFmtId="3" fontId="0" fillId="5" borderId="22" xfId="0" applyNumberFormat="1" applyFont="1" applyFill="1" applyBorder="1"/>
    <xf numFmtId="0" fontId="6" fillId="2" borderId="1" xfId="1" applyAlignment="1" applyProtection="1">
      <alignment horizontal="right"/>
      <protection locked="0"/>
    </xf>
    <xf numFmtId="0" fontId="0" fillId="0" borderId="0" xfId="0" applyFont="1" applyAlignment="1">
      <alignment horizontal="left"/>
    </xf>
    <xf numFmtId="164" fontId="18" fillId="0" borderId="0" xfId="5" applyFont="1"/>
    <xf numFmtId="0" fontId="27" fillId="2" borderId="1" xfId="1" applyFont="1" applyAlignment="1" applyProtection="1">
      <alignment horizontal="left" vertical="center"/>
      <protection locked="0"/>
    </xf>
    <xf numFmtId="165" fontId="25" fillId="0" borderId="0" xfId="2" applyNumberFormat="1" applyFont="1" applyBorder="1"/>
    <xf numFmtId="0" fontId="7" fillId="4" borderId="12" xfId="0" applyFont="1" applyFill="1" applyBorder="1"/>
    <xf numFmtId="0" fontId="0" fillId="3" borderId="27" xfId="0" applyFont="1" applyFill="1" applyBorder="1"/>
    <xf numFmtId="0" fontId="0" fillId="6" borderId="29" xfId="0" applyFont="1" applyFill="1" applyBorder="1"/>
    <xf numFmtId="3" fontId="0" fillId="19" borderId="31" xfId="0" applyNumberFormat="1" applyFont="1" applyFill="1" applyBorder="1"/>
    <xf numFmtId="0" fontId="0" fillId="3" borderId="14" xfId="0" applyFont="1" applyFill="1" applyBorder="1"/>
    <xf numFmtId="0" fontId="0" fillId="6" borderId="32" xfId="0" applyFont="1" applyFill="1" applyBorder="1"/>
    <xf numFmtId="0" fontId="0" fillId="6" borderId="27" xfId="0" applyFont="1" applyFill="1" applyBorder="1"/>
    <xf numFmtId="0" fontId="0" fillId="7" borderId="27" xfId="0" applyFont="1" applyFill="1" applyBorder="1"/>
    <xf numFmtId="3" fontId="0" fillId="19" borderId="27" xfId="0" applyNumberFormat="1" applyFont="1" applyFill="1" applyBorder="1"/>
    <xf numFmtId="0" fontId="0" fillId="21" borderId="27" xfId="0" applyFont="1" applyFill="1" applyBorder="1"/>
    <xf numFmtId="0" fontId="0" fillId="11" borderId="14" xfId="0" applyFont="1" applyFill="1" applyBorder="1"/>
    <xf numFmtId="0" fontId="0" fillId="5" borderId="35" xfId="0" applyFont="1" applyFill="1" applyBorder="1"/>
    <xf numFmtId="0" fontId="0" fillId="5" borderId="36" xfId="0" applyFont="1" applyFill="1" applyBorder="1"/>
    <xf numFmtId="0" fontId="0" fillId="3" borderId="36" xfId="0" applyFont="1" applyFill="1" applyBorder="1"/>
    <xf numFmtId="3" fontId="0" fillId="3" borderId="2" xfId="0" applyNumberFormat="1" applyFont="1" applyFill="1" applyBorder="1"/>
    <xf numFmtId="165" fontId="0" fillId="3" borderId="2" xfId="2" applyNumberFormat="1" applyFont="1" applyFill="1" applyBorder="1"/>
    <xf numFmtId="0" fontId="24" fillId="0" borderId="0" xfId="0" applyFont="1" applyAlignment="1">
      <alignment horizontal="center"/>
    </xf>
    <xf numFmtId="0" fontId="18" fillId="0" borderId="0" xfId="0" applyFont="1" applyFill="1" applyBorder="1"/>
    <xf numFmtId="0" fontId="0" fillId="26" borderId="0" xfId="0" applyFont="1" applyFill="1" applyBorder="1"/>
    <xf numFmtId="0" fontId="0" fillId="27" borderId="0" xfId="0" applyFont="1" applyFill="1" applyBorder="1"/>
    <xf numFmtId="0" fontId="0" fillId="23" borderId="0" xfId="0" applyFont="1" applyFill="1" applyBorder="1"/>
    <xf numFmtId="0" fontId="0" fillId="28" borderId="0" xfId="0" applyFont="1" applyFill="1" applyBorder="1" applyProtection="1">
      <protection hidden="1"/>
    </xf>
    <xf numFmtId="0" fontId="0" fillId="6" borderId="0" xfId="0" applyFont="1" applyFill="1" applyBorder="1"/>
    <xf numFmtId="0" fontId="0" fillId="23" borderId="0" xfId="0" applyFont="1" applyFill="1" applyBorder="1" applyAlignment="1">
      <alignment horizontal="left"/>
    </xf>
    <xf numFmtId="0" fontId="0" fillId="23" borderId="0" xfId="0" applyFont="1" applyFill="1" applyBorder="1" applyProtection="1">
      <protection hidden="1"/>
    </xf>
    <xf numFmtId="0" fontId="0" fillId="24" borderId="0" xfId="0" applyFont="1" applyFill="1" applyBorder="1" applyProtection="1">
      <protection hidden="1"/>
    </xf>
    <xf numFmtId="0" fontId="0" fillId="25" borderId="0" xfId="0" applyFont="1" applyFill="1" applyBorder="1"/>
    <xf numFmtId="0" fontId="0" fillId="3" borderId="0" xfId="0" applyFont="1" applyFill="1" applyBorder="1" applyProtection="1">
      <protection hidden="1"/>
    </xf>
    <xf numFmtId="0" fontId="0" fillId="26" borderId="0" xfId="0" applyFont="1" applyFill="1" applyBorder="1" applyProtection="1">
      <protection hidden="1"/>
    </xf>
    <xf numFmtId="0" fontId="0" fillId="27" borderId="0" xfId="0" applyFont="1" applyFill="1" applyBorder="1" applyProtection="1">
      <protection hidden="1"/>
    </xf>
    <xf numFmtId="0" fontId="0" fillId="0" borderId="0" xfId="0" applyFont="1" applyBorder="1"/>
    <xf numFmtId="0" fontId="8" fillId="0" borderId="0" xfId="0" applyFont="1" applyBorder="1" applyProtection="1">
      <protection hidden="1"/>
    </xf>
    <xf numFmtId="0" fontId="0" fillId="3" borderId="0" xfId="0" applyFill="1"/>
    <xf numFmtId="0" fontId="28" fillId="0" borderId="0" xfId="11"/>
    <xf numFmtId="3" fontId="0" fillId="20" borderId="46" xfId="0" applyNumberFormat="1" applyFont="1" applyFill="1" applyBorder="1" applyProtection="1">
      <protection locked="0"/>
    </xf>
    <xf numFmtId="3" fontId="0" fillId="0" borderId="47" xfId="0" applyNumberFormat="1" applyFont="1" applyBorder="1"/>
    <xf numFmtId="3" fontId="0" fillId="20" borderId="39" xfId="0" applyNumberFormat="1" applyFont="1" applyFill="1" applyBorder="1" applyProtection="1">
      <protection locked="0"/>
    </xf>
    <xf numFmtId="3" fontId="0" fillId="0" borderId="40" xfId="0" applyNumberFormat="1" applyFont="1" applyBorder="1"/>
    <xf numFmtId="3" fontId="0" fillId="20" borderId="41" xfId="0" applyNumberFormat="1" applyFont="1" applyFill="1" applyBorder="1"/>
    <xf numFmtId="165" fontId="0" fillId="20" borderId="48" xfId="2" applyNumberFormat="1" applyFont="1" applyFill="1" applyBorder="1"/>
    <xf numFmtId="3" fontId="0" fillId="0" borderId="42" xfId="0" applyNumberFormat="1" applyFont="1" applyBorder="1"/>
    <xf numFmtId="165" fontId="0" fillId="0" borderId="49" xfId="0" applyNumberFormat="1" applyFont="1" applyBorder="1"/>
    <xf numFmtId="3" fontId="0" fillId="0" borderId="39" xfId="0" applyNumberFormat="1" applyFont="1" applyBorder="1"/>
    <xf numFmtId="165" fontId="0" fillId="0" borderId="46" xfId="0" applyNumberFormat="1" applyFont="1" applyBorder="1"/>
    <xf numFmtId="3" fontId="0" fillId="5" borderId="39" xfId="0" applyNumberFormat="1" applyFont="1" applyFill="1" applyBorder="1"/>
    <xf numFmtId="165" fontId="0" fillId="5" borderId="46" xfId="0" applyNumberFormat="1" applyFont="1" applyFill="1" applyBorder="1"/>
    <xf numFmtId="3" fontId="0" fillId="19" borderId="39" xfId="0" applyNumberFormat="1" applyFont="1" applyFill="1" applyBorder="1"/>
    <xf numFmtId="1" fontId="0" fillId="0" borderId="41" xfId="0" applyNumberFormat="1" applyBorder="1"/>
    <xf numFmtId="3" fontId="0" fillId="5" borderId="43" xfId="0" applyNumberFormat="1" applyFont="1" applyFill="1" applyBorder="1"/>
    <xf numFmtId="3" fontId="0" fillId="5" borderId="52" xfId="0" applyNumberFormat="1" applyFont="1" applyFill="1" applyBorder="1"/>
    <xf numFmtId="3" fontId="0" fillId="5" borderId="38" xfId="0" applyNumberFormat="1" applyFont="1" applyFill="1" applyBorder="1"/>
    <xf numFmtId="165" fontId="0" fillId="5" borderId="45" xfId="2" applyNumberFormat="1" applyFont="1" applyFill="1" applyBorder="1"/>
    <xf numFmtId="3" fontId="0" fillId="5" borderId="41" xfId="0" applyNumberFormat="1" applyFont="1" applyFill="1" applyBorder="1"/>
    <xf numFmtId="165" fontId="0" fillId="5" borderId="48" xfId="2" applyNumberFormat="1" applyFont="1" applyFill="1" applyBorder="1"/>
    <xf numFmtId="3" fontId="0" fillId="3" borderId="44" xfId="0" applyNumberFormat="1" applyFont="1" applyFill="1" applyBorder="1"/>
    <xf numFmtId="165" fontId="0" fillId="3" borderId="51" xfId="2" applyNumberFormat="1" applyFont="1" applyFill="1" applyBorder="1"/>
    <xf numFmtId="0" fontId="7" fillId="4" borderId="41" xfId="0" applyFont="1" applyFill="1" applyBorder="1" applyAlignment="1">
      <alignment horizontal="right"/>
    </xf>
    <xf numFmtId="0" fontId="7" fillId="4" borderId="48" xfId="0" applyFont="1" applyFill="1" applyBorder="1" applyAlignment="1">
      <alignment horizontal="right"/>
    </xf>
    <xf numFmtId="0" fontId="7" fillId="30" borderId="41" xfId="0" applyFont="1" applyFill="1" applyBorder="1" applyAlignment="1">
      <alignment horizontal="right"/>
    </xf>
    <xf numFmtId="0" fontId="7" fillId="30" borderId="0" xfId="0" applyFont="1" applyFill="1" applyBorder="1" applyAlignment="1">
      <alignment horizontal="right"/>
    </xf>
    <xf numFmtId="3" fontId="0" fillId="11" borderId="43" xfId="0" applyNumberFormat="1" applyFont="1" applyFill="1" applyBorder="1"/>
    <xf numFmtId="165" fontId="0" fillId="5" borderId="50" xfId="0" applyNumberFormat="1" applyFont="1" applyFill="1" applyBorder="1"/>
    <xf numFmtId="165" fontId="6" fillId="10" borderId="57" xfId="2" applyNumberFormat="1" applyFont="1" applyFill="1" applyBorder="1" applyProtection="1">
      <protection locked="0"/>
    </xf>
    <xf numFmtId="3" fontId="0" fillId="28" borderId="43" xfId="0" applyNumberFormat="1" applyFont="1" applyFill="1" applyBorder="1"/>
    <xf numFmtId="0" fontId="0" fillId="14" borderId="19" xfId="4" applyFont="1" applyAlignment="1">
      <alignment horizontal="left"/>
    </xf>
    <xf numFmtId="3" fontId="6" fillId="2" borderId="56" xfId="1" applyNumberFormat="1" applyBorder="1" applyProtection="1">
      <protection locked="0"/>
    </xf>
    <xf numFmtId="1" fontId="0" fillId="14" borderId="59" xfId="4" applyNumberFormat="1" applyFont="1" applyBorder="1" applyProtection="1">
      <protection locked="0"/>
    </xf>
    <xf numFmtId="0" fontId="7" fillId="4" borderId="60" xfId="0" applyFont="1" applyFill="1" applyBorder="1"/>
    <xf numFmtId="0" fontId="0" fillId="3" borderId="61" xfId="0" applyFont="1" applyFill="1" applyBorder="1"/>
    <xf numFmtId="0" fontId="0" fillId="6" borderId="62" xfId="0" applyFont="1" applyFill="1" applyBorder="1"/>
    <xf numFmtId="3" fontId="0" fillId="19" borderId="63" xfId="0" applyNumberFormat="1" applyFont="1" applyFill="1" applyBorder="1"/>
    <xf numFmtId="0" fontId="0" fillId="3" borderId="64" xfId="0" applyFont="1" applyFill="1" applyBorder="1"/>
    <xf numFmtId="0" fontId="0" fillId="6" borderId="65" xfId="0" applyFont="1" applyFill="1" applyBorder="1"/>
    <xf numFmtId="0" fontId="0" fillId="6" borderId="61" xfId="0" applyFont="1" applyFill="1" applyBorder="1"/>
    <xf numFmtId="0" fontId="0" fillId="7" borderId="61" xfId="0" applyFont="1" applyFill="1" applyBorder="1"/>
    <xf numFmtId="3" fontId="0" fillId="19" borderId="61" xfId="0" applyNumberFormat="1" applyFont="1" applyFill="1" applyBorder="1"/>
    <xf numFmtId="0" fontId="0" fillId="21" borderId="61" xfId="0" applyFont="1" applyFill="1" applyBorder="1"/>
    <xf numFmtId="0" fontId="0" fillId="11" borderId="64" xfId="0" applyFont="1" applyFill="1" applyBorder="1"/>
    <xf numFmtId="0" fontId="0" fillId="5" borderId="66" xfId="0" applyFont="1" applyFill="1" applyBorder="1"/>
    <xf numFmtId="0" fontId="0" fillId="5" borderId="58" xfId="0" applyFont="1" applyFill="1" applyBorder="1"/>
    <xf numFmtId="0" fontId="0" fillId="3" borderId="58" xfId="0" applyFont="1" applyFill="1" applyBorder="1"/>
    <xf numFmtId="0" fontId="0" fillId="20" borderId="28" xfId="0" applyFont="1" applyFill="1" applyBorder="1"/>
    <xf numFmtId="165" fontId="0" fillId="0" borderId="30" xfId="0" applyNumberFormat="1" applyFont="1" applyBorder="1"/>
    <xf numFmtId="165" fontId="0" fillId="20" borderId="15" xfId="2" applyNumberFormat="1" applyFont="1" applyFill="1" applyBorder="1"/>
    <xf numFmtId="165" fontId="0" fillId="0" borderId="33" xfId="2" applyNumberFormat="1" applyFont="1" applyBorder="1"/>
    <xf numFmtId="0" fontId="0" fillId="20" borderId="15" xfId="0" applyFont="1" applyFill="1" applyBorder="1"/>
    <xf numFmtId="165" fontId="0" fillId="0" borderId="28" xfId="0" applyNumberFormat="1" applyFont="1" applyBorder="1"/>
    <xf numFmtId="165" fontId="0" fillId="5" borderId="28" xfId="0" applyNumberFormat="1" applyFont="1" applyFill="1" applyBorder="1"/>
    <xf numFmtId="165" fontId="0" fillId="5" borderId="34" xfId="0" applyNumberFormat="1" applyFont="1" applyFill="1" applyBorder="1"/>
    <xf numFmtId="165" fontId="0" fillId="5" borderId="18" xfId="2" applyNumberFormat="1" applyFont="1" applyFill="1" applyBorder="1"/>
    <xf numFmtId="165" fontId="0" fillId="5" borderId="13" xfId="2" applyNumberFormat="1" applyFont="1" applyFill="1" applyBorder="1"/>
    <xf numFmtId="165" fontId="0" fillId="3" borderId="37" xfId="2" applyNumberFormat="1" applyFont="1" applyFill="1" applyBorder="1"/>
    <xf numFmtId="0" fontId="7" fillId="4" borderId="67" xfId="0" applyFont="1" applyFill="1" applyBorder="1" applyAlignment="1">
      <alignment horizontal="right"/>
    </xf>
    <xf numFmtId="1" fontId="0" fillId="14" borderId="68" xfId="4" applyNumberFormat="1" applyFont="1" applyBorder="1" applyProtection="1">
      <protection locked="0"/>
    </xf>
    <xf numFmtId="1" fontId="6" fillId="2" borderId="69" xfId="1" applyNumberFormat="1" applyBorder="1" applyProtection="1">
      <protection locked="0"/>
    </xf>
    <xf numFmtId="165" fontId="6" fillId="2" borderId="1" xfId="1" applyNumberFormat="1" applyProtection="1">
      <protection locked="0"/>
    </xf>
    <xf numFmtId="1" fontId="0" fillId="21" borderId="3" xfId="0" applyNumberFormat="1" applyFont="1" applyFill="1" applyBorder="1"/>
    <xf numFmtId="165" fontId="0" fillId="0" borderId="70" xfId="0" applyNumberFormat="1" applyFont="1" applyBorder="1"/>
    <xf numFmtId="0" fontId="0" fillId="23" borderId="0" xfId="0" applyFill="1"/>
    <xf numFmtId="0" fontId="0" fillId="23" borderId="0" xfId="0" applyFont="1" applyFill="1" applyAlignment="1">
      <alignment horizontal="left" vertical="center" wrapText="1"/>
    </xf>
    <xf numFmtId="0" fontId="0" fillId="6" borderId="0" xfId="0" applyFont="1" applyFill="1"/>
    <xf numFmtId="0" fontId="0" fillId="6" borderId="0" xfId="0" applyFont="1" applyFill="1" applyAlignment="1">
      <alignment horizontal="left" wrapText="1"/>
    </xf>
    <xf numFmtId="0" fontId="0" fillId="0" borderId="0" xfId="0" applyAlignment="1">
      <alignment horizontal="left"/>
    </xf>
    <xf numFmtId="169" fontId="0" fillId="0" borderId="0" xfId="0" applyNumberFormat="1"/>
    <xf numFmtId="167" fontId="11" fillId="0" borderId="0" xfId="5" applyNumberFormat="1" applyFont="1" applyFill="1" applyBorder="1"/>
    <xf numFmtId="167" fontId="3" fillId="18" borderId="0" xfId="5" applyNumberFormat="1" applyFont="1" applyFill="1" applyBorder="1"/>
    <xf numFmtId="3" fontId="0" fillId="5" borderId="71" xfId="0" applyNumberFormat="1" applyFont="1" applyFill="1" applyBorder="1"/>
    <xf numFmtId="165" fontId="0" fillId="5" borderId="72" xfId="0" applyNumberFormat="1" applyFont="1" applyFill="1" applyBorder="1"/>
    <xf numFmtId="3" fontId="0" fillId="19" borderId="71" xfId="0" applyNumberFormat="1" applyFont="1" applyFill="1" applyBorder="1"/>
    <xf numFmtId="165" fontId="0" fillId="5" borderId="73" xfId="0" applyNumberFormat="1" applyFont="1" applyFill="1" applyBorder="1"/>
    <xf numFmtId="165" fontId="0" fillId="5" borderId="74" xfId="0" applyNumberFormat="1" applyFont="1" applyFill="1" applyBorder="1"/>
    <xf numFmtId="0" fontId="0" fillId="0" borderId="0" xfId="0" applyAlignment="1">
      <alignment horizontal="left" vertical="top"/>
    </xf>
    <xf numFmtId="14" fontId="0" fillId="0" borderId="0" xfId="0" applyNumberFormat="1" applyAlignment="1">
      <alignment horizontal="left" vertical="top"/>
    </xf>
    <xf numFmtId="0" fontId="0" fillId="0" borderId="0" xfId="0" applyAlignment="1">
      <alignment horizontal="left" vertical="top" wrapText="1"/>
    </xf>
    <xf numFmtId="3" fontId="6" fillId="2" borderId="1" xfId="1" applyNumberFormat="1" applyAlignment="1" applyProtection="1">
      <alignment horizontal="right"/>
      <protection locked="0"/>
    </xf>
    <xf numFmtId="0" fontId="18" fillId="22" borderId="53" xfId="0" applyFont="1" applyFill="1" applyBorder="1"/>
    <xf numFmtId="0" fontId="18" fillId="22" borderId="53" xfId="0" applyFont="1" applyFill="1" applyBorder="1" applyAlignment="1">
      <alignment horizontal="center"/>
    </xf>
    <xf numFmtId="1" fontId="0" fillId="6" borderId="53" xfId="0" applyNumberFormat="1" applyFill="1" applyBorder="1"/>
    <xf numFmtId="0" fontId="0" fillId="31" borderId="53" xfId="0" applyFill="1"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31" fillId="32" borderId="55" xfId="0" applyFont="1" applyFill="1" applyBorder="1"/>
    <xf numFmtId="0" fontId="31" fillId="0" borderId="55" xfId="0" applyFont="1" applyBorder="1"/>
    <xf numFmtId="0" fontId="31" fillId="32" borderId="52" xfId="0" applyFont="1" applyFill="1" applyBorder="1"/>
    <xf numFmtId="0" fontId="31" fillId="0" borderId="52" xfId="0" applyFont="1" applyBorder="1"/>
    <xf numFmtId="0" fontId="32" fillId="0" borderId="52" xfId="0" applyFont="1" applyBorder="1"/>
    <xf numFmtId="0" fontId="0" fillId="31" borderId="53" xfId="0" applyFill="1" applyBorder="1" applyAlignment="1">
      <alignment horizontal="center" vertical="center"/>
    </xf>
    <xf numFmtId="0" fontId="0" fillId="0" borderId="53" xfId="0" applyBorder="1" applyAlignment="1">
      <alignment horizontal="center" vertical="center"/>
    </xf>
    <xf numFmtId="0" fontId="18" fillId="22" borderId="0" xfId="0" applyFont="1" applyFill="1"/>
    <xf numFmtId="1" fontId="0" fillId="6" borderId="54" xfId="0" applyNumberFormat="1" applyFill="1" applyBorder="1"/>
    <xf numFmtId="0" fontId="0" fillId="0" borderId="53" xfId="0" applyBorder="1" applyAlignment="1" applyProtection="1">
      <alignment horizontal="center" vertical="center" wrapText="1"/>
      <protection locked="0"/>
    </xf>
    <xf numFmtId="0" fontId="18" fillId="22" borderId="55" xfId="0" applyFont="1" applyFill="1" applyBorder="1"/>
    <xf numFmtId="0" fontId="18" fillId="22" borderId="80" xfId="0" applyFont="1" applyFill="1" applyBorder="1"/>
    <xf numFmtId="0" fontId="18" fillId="22" borderId="78" xfId="0" applyFont="1" applyFill="1" applyBorder="1" applyAlignment="1">
      <alignment horizontal="center"/>
    </xf>
    <xf numFmtId="1" fontId="0" fillId="6" borderId="78" xfId="0" applyNumberFormat="1" applyFill="1" applyBorder="1"/>
    <xf numFmtId="1" fontId="0" fillId="6" borderId="75" xfId="0" applyNumberFormat="1" applyFill="1" applyBorder="1"/>
    <xf numFmtId="0" fontId="0" fillId="0" borderId="82" xfId="0" applyBorder="1" applyAlignment="1">
      <alignment horizontal="center"/>
    </xf>
    <xf numFmtId="0" fontId="8" fillId="0" borderId="0" xfId="0" applyFont="1" applyAlignment="1" applyProtection="1">
      <alignment horizontal="center"/>
      <protection hidden="1"/>
    </xf>
    <xf numFmtId="0" fontId="0" fillId="0" borderId="0" xfId="0" applyFont="1" applyAlignment="1">
      <alignment horizontal="center"/>
    </xf>
    <xf numFmtId="170" fontId="0" fillId="0" borderId="0" xfId="0" applyNumberFormat="1" applyFont="1" applyAlignment="1">
      <alignment horizontal="center" wrapText="1"/>
    </xf>
    <xf numFmtId="170" fontId="0" fillId="0" borderId="0" xfId="0" applyNumberFormat="1" applyFont="1" applyAlignment="1">
      <alignment horizontal="center"/>
    </xf>
    <xf numFmtId="165" fontId="0" fillId="0" borderId="0" xfId="0" applyNumberFormat="1" applyAlignment="1" applyProtection="1">
      <alignment horizontal="center"/>
      <protection hidden="1"/>
    </xf>
    <xf numFmtId="171" fontId="0" fillId="0" borderId="0" xfId="5" applyNumberFormat="1" applyFont="1" applyAlignment="1" applyProtection="1">
      <alignment horizontal="center"/>
      <protection hidden="1"/>
    </xf>
    <xf numFmtId="49" fontId="0" fillId="0" borderId="0" xfId="0" applyNumberFormat="1" applyAlignment="1" applyProtection="1">
      <alignment horizontal="center"/>
      <protection hidden="1"/>
    </xf>
    <xf numFmtId="3" fontId="0" fillId="0" borderId="0" xfId="0" applyNumberFormat="1" applyAlignment="1" applyProtection="1">
      <alignment horizontal="center"/>
      <protection hidden="1"/>
    </xf>
    <xf numFmtId="165" fontId="0" fillId="0" borderId="0" xfId="2" applyNumberFormat="1" applyFont="1" applyAlignment="1" applyProtection="1">
      <alignment horizontal="center"/>
      <protection hidden="1"/>
    </xf>
    <xf numFmtId="165" fontId="18" fillId="0" borderId="0" xfId="0" applyNumberFormat="1" applyFont="1" applyFill="1"/>
    <xf numFmtId="171" fontId="18" fillId="0" borderId="0" xfId="5" applyNumberFormat="1" applyFont="1"/>
    <xf numFmtId="0" fontId="26" fillId="0" borderId="0" xfId="0" applyFont="1"/>
    <xf numFmtId="0" fontId="0" fillId="33" borderId="0" xfId="0" applyFill="1"/>
    <xf numFmtId="164" fontId="6" fillId="2" borderId="1" xfId="5" applyFont="1" applyFill="1" applyBorder="1" applyProtection="1">
      <protection locked="0"/>
    </xf>
    <xf numFmtId="0" fontId="25" fillId="0" borderId="0" xfId="0" applyFont="1" applyBorder="1"/>
    <xf numFmtId="165" fontId="33" fillId="0" borderId="0" xfId="2" applyNumberFormat="1" applyFont="1" applyBorder="1"/>
    <xf numFmtId="165" fontId="33" fillId="0" borderId="10" xfId="0" applyNumberFormat="1" applyFont="1" applyFill="1" applyBorder="1"/>
    <xf numFmtId="0" fontId="8" fillId="0" borderId="0" xfId="0" applyFont="1"/>
    <xf numFmtId="165" fontId="0" fillId="0" borderId="0" xfId="2" applyNumberFormat="1" applyFont="1" applyAlignment="1">
      <alignment horizontal="right"/>
    </xf>
    <xf numFmtId="1" fontId="6" fillId="2" borderId="1" xfId="1" applyNumberFormat="1" applyAlignment="1" applyProtection="1">
      <alignment horizontal="center"/>
      <protection locked="0"/>
    </xf>
    <xf numFmtId="0" fontId="7" fillId="29" borderId="54" xfId="0" applyFont="1" applyFill="1" applyBorder="1" applyAlignment="1" applyProtection="1">
      <alignment wrapText="1"/>
    </xf>
    <xf numFmtId="3" fontId="0" fillId="20" borderId="3" xfId="0" applyNumberFormat="1" applyFont="1" applyFill="1" applyBorder="1" applyProtection="1"/>
    <xf numFmtId="3" fontId="0" fillId="0" borderId="25" xfId="0" applyNumberFormat="1" applyFont="1" applyBorder="1" applyProtection="1"/>
    <xf numFmtId="165" fontId="0" fillId="5" borderId="72" xfId="0" applyNumberFormat="1" applyFont="1" applyFill="1" applyBorder="1" applyProtection="1"/>
    <xf numFmtId="165" fontId="0" fillId="20" borderId="0" xfId="2" applyNumberFormat="1" applyFont="1" applyFill="1" applyBorder="1" applyProtection="1"/>
    <xf numFmtId="165" fontId="0" fillId="0" borderId="4" xfId="0" applyNumberFormat="1" applyFont="1" applyBorder="1" applyProtection="1"/>
    <xf numFmtId="165" fontId="0" fillId="0" borderId="0" xfId="0" applyNumberFormat="1" applyFont="1" applyBorder="1" applyProtection="1"/>
    <xf numFmtId="3" fontId="0" fillId="5" borderId="11" xfId="0" applyNumberFormat="1" applyFont="1" applyFill="1" applyBorder="1" applyProtection="1"/>
    <xf numFmtId="165" fontId="0" fillId="5" borderId="17" xfId="2" applyNumberFormat="1" applyFont="1" applyFill="1" applyBorder="1" applyProtection="1"/>
    <xf numFmtId="165" fontId="0" fillId="5" borderId="0" xfId="2" applyNumberFormat="1" applyFont="1" applyFill="1" applyBorder="1" applyProtection="1"/>
    <xf numFmtId="165" fontId="0" fillId="3" borderId="2" xfId="2" applyNumberFormat="1" applyFont="1" applyFill="1" applyBorder="1" applyProtection="1"/>
    <xf numFmtId="0" fontId="7" fillId="30" borderId="41" xfId="0" applyFont="1" applyFill="1" applyBorder="1" applyAlignment="1" applyProtection="1">
      <alignment horizontal="right"/>
    </xf>
    <xf numFmtId="3" fontId="0" fillId="20" borderId="39" xfId="0" applyNumberFormat="1" applyFont="1" applyFill="1" applyBorder="1" applyProtection="1"/>
    <xf numFmtId="165" fontId="0" fillId="20" borderId="3" xfId="0" applyNumberFormat="1" applyFont="1" applyFill="1" applyBorder="1" applyProtection="1"/>
    <xf numFmtId="3" fontId="0" fillId="0" borderId="40" xfId="0" applyNumberFormat="1" applyFont="1" applyBorder="1" applyProtection="1"/>
    <xf numFmtId="165" fontId="0" fillId="0" borderId="25" xfId="0" applyNumberFormat="1" applyFont="1" applyBorder="1" applyProtection="1"/>
    <xf numFmtId="3" fontId="0" fillId="5" borderId="71" xfId="0" applyNumberFormat="1" applyFont="1" applyFill="1" applyBorder="1" applyProtection="1"/>
    <xf numFmtId="3" fontId="0" fillId="20" borderId="41" xfId="0" applyNumberFormat="1" applyFont="1" applyFill="1" applyBorder="1" applyProtection="1"/>
    <xf numFmtId="165" fontId="0" fillId="20" borderId="0" xfId="0" applyNumberFormat="1" applyFont="1" applyFill="1" applyBorder="1" applyProtection="1"/>
    <xf numFmtId="3" fontId="0" fillId="0" borderId="42" xfId="0" applyNumberFormat="1" applyFont="1" applyBorder="1" applyProtection="1"/>
    <xf numFmtId="3" fontId="0" fillId="0" borderId="39" xfId="0" applyNumberFormat="1" applyFont="1" applyFill="1" applyBorder="1" applyProtection="1"/>
    <xf numFmtId="165" fontId="6" fillId="0" borderId="1" xfId="1" applyNumberFormat="1" applyFill="1" applyProtection="1"/>
    <xf numFmtId="3" fontId="0" fillId="5" borderId="39" xfId="0" applyNumberFormat="1" applyFont="1" applyFill="1" applyBorder="1" applyProtection="1"/>
    <xf numFmtId="3" fontId="0" fillId="0" borderId="39" xfId="0" applyNumberFormat="1" applyFont="1" applyBorder="1" applyProtection="1"/>
    <xf numFmtId="1" fontId="0" fillId="0" borderId="41" xfId="0" applyNumberFormat="1" applyBorder="1" applyProtection="1"/>
    <xf numFmtId="165" fontId="0" fillId="0" borderId="3" xfId="0" applyNumberFormat="1" applyFont="1" applyBorder="1" applyProtection="1"/>
    <xf numFmtId="3" fontId="0" fillId="28" borderId="43" xfId="0" applyNumberFormat="1" applyFont="1" applyFill="1" applyBorder="1" applyProtection="1"/>
    <xf numFmtId="165" fontId="6" fillId="10" borderId="57" xfId="2" applyNumberFormat="1" applyFont="1" applyFill="1" applyBorder="1" applyProtection="1"/>
    <xf numFmtId="3" fontId="0" fillId="5" borderId="38" xfId="0" applyNumberFormat="1" applyFont="1" applyFill="1" applyBorder="1" applyProtection="1"/>
    <xf numFmtId="165" fontId="0" fillId="5" borderId="17" xfId="0" applyNumberFormat="1" applyFont="1" applyFill="1" applyBorder="1" applyProtection="1"/>
    <xf numFmtId="3" fontId="0" fillId="5" borderId="41" xfId="0" applyNumberFormat="1" applyFont="1" applyFill="1" applyBorder="1" applyProtection="1"/>
    <xf numFmtId="165" fontId="0" fillId="5" borderId="10" xfId="0" applyNumberFormat="1" applyFont="1" applyFill="1" applyBorder="1" applyProtection="1"/>
    <xf numFmtId="3" fontId="0" fillId="3" borderId="44" xfId="0" applyNumberFormat="1" applyFont="1" applyFill="1" applyBorder="1" applyProtection="1"/>
    <xf numFmtId="9" fontId="6" fillId="2" borderId="1" xfId="1" applyNumberFormat="1"/>
    <xf numFmtId="0" fontId="6" fillId="2" borderId="53" xfId="1" applyBorder="1"/>
    <xf numFmtId="0" fontId="0" fillId="10" borderId="53" xfId="0" applyFill="1" applyBorder="1"/>
    <xf numFmtId="0" fontId="15" fillId="12" borderId="53" xfId="3" applyBorder="1"/>
    <xf numFmtId="165" fontId="26" fillId="17" borderId="53" xfId="7" applyNumberFormat="1" applyFont="1" applyBorder="1" applyAlignment="1"/>
    <xf numFmtId="3" fontId="0" fillId="19" borderId="53" xfId="0" applyNumberFormat="1" applyFont="1" applyFill="1" applyBorder="1"/>
    <xf numFmtId="1" fontId="0" fillId="21" borderId="53" xfId="0" applyNumberFormat="1" applyFont="1" applyFill="1" applyBorder="1"/>
    <xf numFmtId="3" fontId="0" fillId="25" borderId="53" xfId="0" applyNumberFormat="1" applyFont="1" applyFill="1" applyBorder="1" applyProtection="1"/>
    <xf numFmtId="0" fontId="7" fillId="15" borderId="23" xfId="0" applyFont="1" applyFill="1" applyBorder="1" applyProtection="1">
      <protection locked="0"/>
    </xf>
    <xf numFmtId="0" fontId="7" fillId="15" borderId="24" xfId="0" applyFont="1" applyFill="1" applyBorder="1" applyAlignment="1" applyProtection="1">
      <alignment horizontal="left"/>
      <protection locked="0"/>
    </xf>
    <xf numFmtId="166" fontId="7" fillId="15" borderId="24" xfId="0" applyNumberFormat="1" applyFont="1" applyFill="1" applyBorder="1" applyAlignment="1" applyProtection="1">
      <alignment horizontal="left"/>
      <protection locked="0"/>
    </xf>
    <xf numFmtId="0" fontId="7" fillId="15" borderId="0" xfId="0" applyFont="1" applyFill="1" applyBorder="1" applyAlignment="1" applyProtection="1">
      <alignment horizontal="left"/>
      <protection locked="0"/>
    </xf>
    <xf numFmtId="9" fontId="6" fillId="2" borderId="1" xfId="5" applyNumberFormat="1" applyFont="1" applyFill="1" applyBorder="1" applyProtection="1">
      <protection locked="0"/>
    </xf>
    <xf numFmtId="0" fontId="7" fillId="30" borderId="48" xfId="0" applyFont="1" applyFill="1" applyBorder="1" applyAlignment="1" applyProtection="1">
      <alignment horizontal="center"/>
    </xf>
    <xf numFmtId="165" fontId="6" fillId="0" borderId="83" xfId="1" applyNumberFormat="1" applyFill="1" applyBorder="1" applyProtection="1"/>
    <xf numFmtId="165" fontId="0" fillId="5" borderId="46" xfId="2" applyNumberFormat="1" applyFont="1" applyFill="1" applyBorder="1" applyProtection="1"/>
    <xf numFmtId="0" fontId="0" fillId="34" borderId="0" xfId="0" applyFill="1"/>
    <xf numFmtId="165" fontId="0" fillId="34" borderId="0" xfId="2" applyNumberFormat="1" applyFont="1" applyFill="1"/>
    <xf numFmtId="0" fontId="28" fillId="0" borderId="0" xfId="11" applyFill="1"/>
    <xf numFmtId="14" fontId="8" fillId="0" borderId="53" xfId="0" applyNumberFormat="1" applyFont="1" applyBorder="1" applyAlignment="1">
      <alignment horizontal="center" textRotation="90"/>
    </xf>
    <xf numFmtId="0" fontId="0" fillId="0" borderId="53" xfId="0" applyBorder="1"/>
    <xf numFmtId="0" fontId="0" fillId="0" borderId="53" xfId="0" applyBorder="1" applyAlignment="1">
      <alignment wrapText="1"/>
    </xf>
    <xf numFmtId="0" fontId="31" fillId="32" borderId="53" xfId="0" applyFont="1" applyFill="1" applyBorder="1" applyAlignment="1" applyProtection="1">
      <alignment horizontal="center" vertical="center"/>
      <protection locked="0"/>
    </xf>
    <xf numFmtId="0" fontId="31" fillId="32" borderId="55" xfId="0" applyFont="1" applyFill="1" applyBorder="1" applyAlignment="1" applyProtection="1">
      <alignment horizontal="center" vertical="center"/>
      <protection locked="0"/>
    </xf>
    <xf numFmtId="0" fontId="31" fillId="0" borderId="55" xfId="0" applyFont="1" applyBorder="1" applyAlignment="1" applyProtection="1">
      <alignment horizontal="center" vertical="center"/>
      <protection locked="0"/>
    </xf>
    <xf numFmtId="0" fontId="31" fillId="0" borderId="53" xfId="0" applyFont="1" applyBorder="1" applyAlignment="1" applyProtection="1">
      <alignment horizontal="center" vertical="center"/>
      <protection locked="0"/>
    </xf>
    <xf numFmtId="0" fontId="34" fillId="0" borderId="53" xfId="0" applyFont="1" applyBorder="1" applyAlignment="1" applyProtection="1">
      <alignment horizontal="center" vertical="center"/>
      <protection locked="0"/>
    </xf>
    <xf numFmtId="0" fontId="35" fillId="0" borderId="53" xfId="0" applyFont="1" applyBorder="1" applyAlignment="1" applyProtection="1">
      <alignment horizontal="center" vertical="center"/>
      <protection locked="0"/>
    </xf>
    <xf numFmtId="0" fontId="29" fillId="22" borderId="53" xfId="0" applyFont="1" applyFill="1" applyBorder="1" applyAlignment="1">
      <alignment vertical="center" wrapText="1"/>
    </xf>
    <xf numFmtId="0" fontId="7" fillId="22" borderId="53" xfId="0" applyFont="1" applyFill="1" applyBorder="1" applyAlignment="1">
      <alignment textRotation="90" wrapText="1"/>
    </xf>
    <xf numFmtId="0" fontId="8" fillId="6" borderId="53" xfId="0" applyFont="1" applyFill="1" applyBorder="1" applyAlignment="1">
      <alignment textRotation="90" wrapText="1"/>
    </xf>
    <xf numFmtId="0" fontId="8" fillId="6" borderId="41" xfId="0" applyFont="1" applyFill="1" applyBorder="1" applyAlignment="1">
      <alignment textRotation="90" wrapText="1"/>
    </xf>
    <xf numFmtId="0" fontId="7" fillId="22" borderId="77" xfId="0" applyFont="1" applyFill="1" applyBorder="1" applyAlignment="1">
      <alignment textRotation="90" wrapText="1"/>
    </xf>
    <xf numFmtId="0" fontId="29" fillId="22" borderId="55" xfId="0" applyFont="1" applyFill="1" applyBorder="1" applyAlignment="1">
      <alignment vertical="center" wrapText="1"/>
    </xf>
    <xf numFmtId="0" fontId="8" fillId="6" borderId="54" xfId="0" applyFont="1" applyFill="1" applyBorder="1" applyAlignment="1">
      <alignment textRotation="90" wrapText="1"/>
    </xf>
    <xf numFmtId="0" fontId="18" fillId="22" borderId="78" xfId="0" applyFont="1" applyFill="1" applyBorder="1"/>
    <xf numFmtId="0" fontId="33" fillId="6" borderId="77" xfId="0" applyFont="1" applyFill="1" applyBorder="1" applyAlignment="1">
      <alignment textRotation="90" wrapText="1"/>
    </xf>
    <xf numFmtId="0" fontId="33" fillId="6" borderId="79" xfId="0" applyFont="1" applyFill="1" applyBorder="1" applyAlignment="1">
      <alignment textRotation="90" wrapText="1"/>
    </xf>
    <xf numFmtId="166" fontId="0" fillId="0" borderId="0" xfId="0" applyNumberFormat="1" applyFill="1"/>
    <xf numFmtId="167" fontId="0" fillId="0" borderId="0" xfId="0" applyNumberFormat="1"/>
    <xf numFmtId="172" fontId="0" fillId="0" borderId="0" xfId="0" applyNumberFormat="1"/>
    <xf numFmtId="0" fontId="6" fillId="2" borderId="1" xfId="1" applyAlignment="1" applyProtection="1">
      <alignment horizontal="center" wrapText="1"/>
      <protection locked="0"/>
    </xf>
    <xf numFmtId="10" fontId="6" fillId="2" borderId="1" xfId="5" applyNumberFormat="1" applyFont="1" applyFill="1" applyBorder="1" applyProtection="1">
      <protection locked="0"/>
    </xf>
    <xf numFmtId="0" fontId="33" fillId="6" borderId="81" xfId="0" applyFont="1" applyFill="1" applyBorder="1" applyAlignment="1">
      <alignment textRotation="90" wrapText="1"/>
    </xf>
    <xf numFmtId="0" fontId="8" fillId="10" borderId="79" xfId="0" applyFont="1" applyFill="1" applyBorder="1" applyAlignment="1">
      <alignment textRotation="90" wrapText="1"/>
    </xf>
    <xf numFmtId="0" fontId="8" fillId="10" borderId="54" xfId="0" applyFont="1" applyFill="1" applyBorder="1" applyAlignment="1">
      <alignment textRotation="90" wrapText="1"/>
    </xf>
    <xf numFmtId="0" fontId="0" fillId="0" borderId="0" xfId="0" applyAlignment="1" applyProtection="1">
      <alignment horizontal="right"/>
    </xf>
    <xf numFmtId="0" fontId="14" fillId="0" borderId="0" xfId="0" applyFont="1" applyAlignment="1" applyProtection="1">
      <alignment horizontal="right"/>
    </xf>
    <xf numFmtId="14" fontId="14" fillId="0" borderId="0" xfId="0" applyNumberFormat="1" applyFont="1" applyAlignment="1" applyProtection="1">
      <alignment horizontal="center" wrapText="1"/>
    </xf>
    <xf numFmtId="0" fontId="26" fillId="0" borderId="0" xfId="0" applyFont="1" applyProtection="1">
      <protection hidden="1"/>
    </xf>
    <xf numFmtId="0" fontId="0" fillId="0" borderId="0" xfId="0" applyAlignment="1" applyProtection="1">
      <alignment horizontal="center" wrapText="1"/>
    </xf>
    <xf numFmtId="167" fontId="0" fillId="0" borderId="0" xfId="0" applyNumberFormat="1" applyFill="1"/>
    <xf numFmtId="172" fontId="0" fillId="0" borderId="0" xfId="0" applyNumberFormat="1" applyFill="1"/>
    <xf numFmtId="0" fontId="0" fillId="35" borderId="0" xfId="8" applyFont="1" applyFill="1"/>
    <xf numFmtId="0" fontId="0" fillId="35" borderId="0" xfId="0" applyFill="1"/>
    <xf numFmtId="169" fontId="0" fillId="0" borderId="0" xfId="0" applyNumberFormat="1" applyFill="1"/>
    <xf numFmtId="167" fontId="3" fillId="35" borderId="0" xfId="5" applyNumberFormat="1" applyFont="1" applyFill="1" applyBorder="1"/>
    <xf numFmtId="1" fontId="0" fillId="0" borderId="0" xfId="0" applyNumberFormat="1" applyAlignment="1">
      <alignment horizontal="center"/>
    </xf>
    <xf numFmtId="3" fontId="0" fillId="0" borderId="0" xfId="0" applyNumberFormat="1" applyAlignment="1">
      <alignment horizontal="center"/>
    </xf>
    <xf numFmtId="0" fontId="1" fillId="0" borderId="0" xfId="13"/>
    <xf numFmtId="0" fontId="1" fillId="36" borderId="0" xfId="13" applyFill="1"/>
    <xf numFmtId="169" fontId="1" fillId="0" borderId="0" xfId="13" applyNumberFormat="1"/>
    <xf numFmtId="3" fontId="1" fillId="0" borderId="0" xfId="13" applyNumberFormat="1"/>
    <xf numFmtId="173" fontId="1" fillId="0" borderId="0" xfId="13" applyNumberFormat="1"/>
    <xf numFmtId="0" fontId="18" fillId="22" borderId="52" xfId="0" applyFont="1" applyFill="1" applyBorder="1"/>
    <xf numFmtId="0" fontId="36" fillId="22" borderId="55" xfId="0" applyFont="1" applyFill="1" applyBorder="1" applyAlignment="1">
      <alignment vertical="center" wrapText="1"/>
    </xf>
    <xf numFmtId="0" fontId="37" fillId="0" borderId="0" xfId="11" applyFont="1" applyAlignment="1">
      <alignment wrapText="1"/>
    </xf>
    <xf numFmtId="0" fontId="37" fillId="0" borderId="0" xfId="11" applyFont="1" applyAlignment="1">
      <alignment vertical="center"/>
    </xf>
    <xf numFmtId="167" fontId="0" fillId="37" borderId="0" xfId="5" applyNumberFormat="1" applyFont="1" applyFill="1"/>
    <xf numFmtId="171" fontId="0" fillId="5" borderId="72" xfId="5" applyNumberFormat="1" applyFont="1" applyFill="1" applyBorder="1" applyProtection="1"/>
    <xf numFmtId="0" fontId="7" fillId="29" borderId="54" xfId="0" applyFont="1" applyFill="1" applyBorder="1" applyAlignment="1">
      <alignment horizontal="center" wrapText="1"/>
    </xf>
    <xf numFmtId="0" fontId="7" fillId="29" borderId="55" xfId="0" applyFont="1" applyFill="1" applyBorder="1" applyAlignment="1">
      <alignment horizontal="center" wrapText="1"/>
    </xf>
    <xf numFmtId="0" fontId="7" fillId="22" borderId="54" xfId="0" applyFont="1" applyFill="1" applyBorder="1" applyAlignment="1">
      <alignment horizontal="center"/>
    </xf>
    <xf numFmtId="0" fontId="7" fillId="22" borderId="55" xfId="0" applyFont="1" applyFill="1" applyBorder="1" applyAlignment="1">
      <alignment horizontal="center"/>
    </xf>
    <xf numFmtId="0" fontId="0" fillId="0" borderId="12"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16"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7" fillId="22" borderId="54" xfId="0" applyFont="1" applyFill="1" applyBorder="1" applyAlignment="1">
      <alignment horizontal="center" wrapText="1"/>
    </xf>
    <xf numFmtId="0" fontId="7" fillId="22" borderId="55" xfId="0" applyFont="1" applyFill="1" applyBorder="1" applyAlignment="1">
      <alignment horizontal="center" wrapText="1"/>
    </xf>
    <xf numFmtId="0" fontId="7" fillId="29" borderId="54" xfId="0" applyFont="1" applyFill="1" applyBorder="1" applyAlignment="1" applyProtection="1">
      <alignment horizontal="center" wrapText="1"/>
    </xf>
    <xf numFmtId="0" fontId="7" fillId="29" borderId="55" xfId="0" applyFont="1" applyFill="1" applyBorder="1" applyAlignment="1" applyProtection="1">
      <alignment horizontal="center" wrapText="1"/>
    </xf>
    <xf numFmtId="0" fontId="8" fillId="31" borderId="54" xfId="0" applyFont="1" applyFill="1" applyBorder="1" applyAlignment="1">
      <alignment horizontal="center" vertical="center"/>
    </xf>
    <xf numFmtId="0" fontId="8" fillId="31" borderId="76" xfId="0" applyFont="1" applyFill="1" applyBorder="1" applyAlignment="1">
      <alignment horizontal="center" vertical="center"/>
    </xf>
    <xf numFmtId="0" fontId="8" fillId="31" borderId="55" xfId="0" applyFont="1" applyFill="1" applyBorder="1" applyAlignment="1">
      <alignment horizontal="center" vertical="center"/>
    </xf>
    <xf numFmtId="0" fontId="8" fillId="31" borderId="79" xfId="0" applyFont="1" applyFill="1" applyBorder="1" applyAlignment="1">
      <alignment horizontal="center" vertical="center"/>
    </xf>
    <xf numFmtId="0" fontId="8" fillId="31" borderId="11" xfId="0" applyFont="1" applyFill="1" applyBorder="1" applyAlignment="1">
      <alignment horizontal="center" vertical="center"/>
    </xf>
    <xf numFmtId="0" fontId="8" fillId="31" borderId="52" xfId="0" applyFont="1" applyFill="1" applyBorder="1" applyAlignment="1">
      <alignment horizontal="center" vertical="center"/>
    </xf>
    <xf numFmtId="0" fontId="30" fillId="31" borderId="53" xfId="0" applyFont="1" applyFill="1" applyBorder="1" applyAlignment="1">
      <alignment horizontal="center" wrapText="1"/>
    </xf>
    <xf numFmtId="0" fontId="8" fillId="31" borderId="53" xfId="0" applyFont="1" applyFill="1" applyBorder="1" applyAlignment="1">
      <alignment horizontal="center"/>
    </xf>
    <xf numFmtId="0" fontId="8" fillId="0" borderId="54" xfId="0" applyFont="1" applyBorder="1" applyAlignment="1">
      <alignment horizontal="center"/>
    </xf>
    <xf numFmtId="0" fontId="8" fillId="0" borderId="76" xfId="0" applyFont="1" applyBorder="1" applyAlignment="1">
      <alignment horizontal="center"/>
    </xf>
    <xf numFmtId="0" fontId="8" fillId="0" borderId="55" xfId="0" applyFont="1" applyBorder="1" applyAlignment="1">
      <alignment horizontal="center"/>
    </xf>
    <xf numFmtId="0" fontId="8" fillId="31" borderId="54" xfId="0" applyFont="1" applyFill="1" applyBorder="1" applyAlignment="1">
      <alignment horizontal="center"/>
    </xf>
    <xf numFmtId="0" fontId="8" fillId="31" borderId="76" xfId="0" applyFont="1" applyFill="1" applyBorder="1" applyAlignment="1">
      <alignment horizontal="center"/>
    </xf>
    <xf numFmtId="0" fontId="8" fillId="31" borderId="55" xfId="0" applyFont="1" applyFill="1" applyBorder="1" applyAlignment="1">
      <alignment horizontal="center"/>
    </xf>
  </cellXfs>
  <cellStyles count="14">
    <cellStyle name="Calculation" xfId="7" builtinId="22"/>
    <cellStyle name="Comma" xfId="5" builtinId="3"/>
    <cellStyle name="Good" xfId="3" builtinId="26"/>
    <cellStyle name="Hyperlink" xfId="11" builtinId="8"/>
    <cellStyle name="Input" xfId="1" builtinId="20"/>
    <cellStyle name="Normal" xfId="0" builtinId="0"/>
    <cellStyle name="Normal 2" xfId="6" xr:uid="{8FCE373E-3CD1-416A-87F1-B33ECC5597D1}"/>
    <cellStyle name="Normal 2 2" xfId="8" xr:uid="{F6FF1BE1-3C40-454A-9768-BD768F3AFDF2}"/>
    <cellStyle name="Normal 3" xfId="9" xr:uid="{5E52A3E4-CAB0-4408-9CD5-5ABFE496FAEC}"/>
    <cellStyle name="Normal 4" xfId="12" xr:uid="{39C30912-8519-48C5-8921-14EE8D0441D2}"/>
    <cellStyle name="Normal 5" xfId="13" xr:uid="{A3370A3F-ECF6-46D5-9832-435E9976275B}"/>
    <cellStyle name="Note" xfId="4" builtinId="10"/>
    <cellStyle name="Percent" xfId="2" builtinId="5"/>
    <cellStyle name="Percent 2" xfId="10" xr:uid="{6392930D-A74E-4D27-BC46-53DE06722777}"/>
  </cellStyles>
  <dxfs count="449">
    <dxf>
      <numFmt numFmtId="13" formatCode="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0"/>
        <color theme="0"/>
        <name val="Arial"/>
        <family val="2"/>
        <scheme val="none"/>
      </font>
      <fill>
        <patternFill patternType="solid">
          <fgColor theme="9"/>
          <bgColor theme="9"/>
        </patternFill>
      </fill>
    </dxf>
    <dxf>
      <numFmt numFmtId="13" formatCode="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numFmt numFmtId="1" formatCode="0"/>
      <fill>
        <patternFill patternType="solid">
          <fgColor indexed="64"/>
          <bgColor theme="9" tint="0.79998168889431442"/>
        </patternFill>
      </fill>
      <border diagonalUp="0" diagonalDown="0">
        <left style="thin">
          <color indexed="64"/>
        </left>
        <right/>
        <top style="thin">
          <color indexed="64"/>
        </top>
        <bottom style="thin">
          <color indexed="64"/>
        </bottom>
        <vertical/>
        <horizontal/>
      </border>
    </dxf>
    <dxf>
      <numFmt numFmtId="1" formatCode="0"/>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0"/>
        <name val="Arial"/>
        <family val="2"/>
        <scheme val="none"/>
      </font>
      <fill>
        <patternFill patternType="solid">
          <fgColor indexed="64"/>
          <bgColor theme="4"/>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0"/>
        <name val="Arial"/>
        <family val="2"/>
        <scheme val="none"/>
      </font>
      <fill>
        <patternFill patternType="solid">
          <fgColor indexed="64"/>
          <bgColor theme="4"/>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0"/>
        <name val="Arial"/>
        <family val="2"/>
        <scheme val="none"/>
      </font>
      <fill>
        <patternFill patternType="solid">
          <fgColor indexed="64"/>
          <bgColor theme="4"/>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0"/>
        <name val="Arial"/>
        <family val="2"/>
        <scheme val="none"/>
      </font>
      <fill>
        <patternFill patternType="solid">
          <fgColor indexed="64"/>
          <bgColor theme="4"/>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rgb="FFFF0000"/>
      </font>
    </dxf>
    <dxf>
      <numFmt numFmtId="1" formatCode="0"/>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0"/>
        <name val="Arial"/>
        <family val="2"/>
        <scheme val="none"/>
      </font>
      <fill>
        <patternFill patternType="solid">
          <fgColor indexed="64"/>
          <bgColor theme="4"/>
        </patternFill>
      </fill>
    </dxf>
    <dxf>
      <font>
        <b val="0"/>
        <i val="0"/>
        <strike val="0"/>
        <condense val="0"/>
        <extend val="0"/>
        <outline val="0"/>
        <shadow val="0"/>
        <u val="none"/>
        <vertAlign val="baseline"/>
        <sz val="10"/>
        <color theme="0"/>
        <name val="Arial"/>
        <family val="2"/>
        <scheme val="none"/>
      </font>
      <fill>
        <patternFill patternType="solid">
          <fgColor indexed="64"/>
          <bgColor theme="4"/>
        </patternFill>
      </fill>
    </dxf>
    <dxf>
      <font>
        <b val="0"/>
        <i val="0"/>
        <strike val="0"/>
        <condense val="0"/>
        <extend val="0"/>
        <outline val="0"/>
        <shadow val="0"/>
        <u val="none"/>
        <vertAlign val="baseline"/>
        <sz val="10"/>
        <color theme="0"/>
        <name val="Arial"/>
        <family val="2"/>
        <scheme val="none"/>
      </font>
      <fill>
        <patternFill patternType="solid">
          <fgColor indexed="64"/>
          <bgColor theme="4"/>
        </patternFill>
      </fill>
    </dxf>
    <dxf>
      <font>
        <b val="0"/>
        <i val="0"/>
        <strike val="0"/>
        <condense val="0"/>
        <extend val="0"/>
        <outline val="0"/>
        <shadow val="0"/>
        <u val="none"/>
        <vertAlign val="baseline"/>
        <sz val="10"/>
        <color theme="0"/>
        <name val="Arial"/>
        <family val="2"/>
        <scheme val="none"/>
      </font>
      <fill>
        <patternFill patternType="solid">
          <fgColor indexed="64"/>
          <bgColor theme="4"/>
        </patternFill>
      </fill>
    </dxf>
    <dxf>
      <border outline="0">
        <top style="thin">
          <color indexed="64"/>
        </top>
      </border>
    </dxf>
    <dxf>
      <font>
        <b val="0"/>
        <i val="0"/>
        <strike val="0"/>
        <condense val="0"/>
        <extend val="0"/>
        <outline val="0"/>
        <shadow val="0"/>
        <u val="none"/>
        <vertAlign val="baseline"/>
        <sz val="10"/>
        <color theme="0"/>
        <name val="Arial"/>
        <family val="2"/>
        <scheme val="none"/>
      </font>
      <fill>
        <patternFill patternType="solid">
          <fgColor indexed="64"/>
          <bgColor theme="4"/>
        </patternFill>
      </fill>
    </dxf>
    <dxf>
      <font>
        <color rgb="FFFF0000"/>
      </font>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numFmt numFmtId="167" formatCode="_ * #,##0.0_ ;_ * \-#,##0.0_ ;_ * &quot;-&quot;??_ ;_ @_ "/>
      <fill>
        <patternFill patternType="none">
          <bgColor auto="1"/>
        </patternFill>
      </fill>
    </dxf>
    <dxf>
      <fill>
        <patternFill patternType="none">
          <bgColor auto="1"/>
        </patternFill>
      </fill>
      <alignment horizontal="left" vertical="bottom" textRotation="0" wrapText="0" indent="0" justifyLastLine="0" shrinkToFit="0" readingOrder="0"/>
    </dxf>
    <dxf>
      <fill>
        <patternFill patternType="solid">
          <fgColor rgb="FF5B9BD5"/>
          <bgColor rgb="FF000000"/>
        </patternFill>
      </fill>
    </dxf>
    <dxf>
      <fill>
        <patternFill patternType="none">
          <bgColor auto="1"/>
        </patternFill>
      </fill>
    </dxf>
    <dxf>
      <border outline="0">
        <bottom style="thin">
          <color theme="4" tint="0.39997558519241921"/>
        </bottom>
      </border>
    </dxf>
    <dxf>
      <numFmt numFmtId="165" formatCode="0.0%"/>
    </dxf>
    <dxf>
      <numFmt numFmtId="165" formatCode="0.0%"/>
    </dxf>
    <dxf>
      <numFmt numFmtId="165" formatCode="0.0%"/>
    </dxf>
    <dxf>
      <numFmt numFmtId="165" formatCode="0.0%"/>
    </dxf>
    <dxf>
      <fill>
        <patternFill patternType="solid">
          <fgColor rgb="FF9BC2E6"/>
          <bgColor rgb="FF000000"/>
        </patternFill>
      </fill>
    </dxf>
    <dxf>
      <fill>
        <patternFill patternType="none">
          <fgColor indexed="64"/>
          <bgColor auto="1"/>
        </patternFill>
      </fill>
    </dxf>
    <dxf>
      <numFmt numFmtId="166" formatCode="0.0"/>
    </dxf>
    <dxf>
      <numFmt numFmtId="166" formatCode="0.0"/>
    </dxf>
    <dxf>
      <numFmt numFmtId="166" formatCode="0.0"/>
    </dxf>
    <dxf>
      <font>
        <b val="0"/>
        <i val="0"/>
        <strike val="0"/>
        <condense val="0"/>
        <extend val="0"/>
        <outline val="0"/>
        <shadow val="0"/>
        <u val="none"/>
        <vertAlign val="baseline"/>
        <sz val="10"/>
        <color theme="1"/>
        <name val="Arial"/>
        <family val="2"/>
        <scheme val="none"/>
      </font>
      <numFmt numFmtId="167" formatCode="_ * #,##0.0_ ;_ * \-#,##0.0_ ;_ * &quot;-&quot;??_ ;_ @_ "/>
    </dxf>
    <dxf>
      <font>
        <b val="0"/>
        <i val="0"/>
        <strike val="0"/>
        <condense val="0"/>
        <extend val="0"/>
        <outline val="0"/>
        <shadow val="0"/>
        <u val="none"/>
        <vertAlign val="baseline"/>
        <sz val="10"/>
        <color theme="1"/>
        <name val="Arial"/>
        <family val="2"/>
        <scheme val="none"/>
      </font>
      <numFmt numFmtId="167" formatCode="_ * #,##0.0_ ;_ * \-#,##0.0_ ;_ * &quot;-&quot;??_ ;_ @_ "/>
    </dxf>
    <dxf>
      <numFmt numFmtId="167" formatCode="_ * #,##0.0_ ;_ * \-#,##0.0_ ;_ * &quot;-&quot;??_ ;_ @_ "/>
    </dxf>
    <dxf>
      <numFmt numFmtId="167" formatCode="_ * #,##0.0_ ;_ * \-#,##0.0_ ;_ * &quot;-&quot;??_ ;_ @_ "/>
    </dxf>
    <dxf>
      <numFmt numFmtId="167" formatCode="_ * #,##0.0_ ;_ * \-#,##0.0_ ;_ * &quot;-&quot;??_ ;_ @_ "/>
    </dxf>
    <dxf>
      <numFmt numFmtId="167" formatCode="_ * #,##0.0_ ;_ * \-#,##0.0_ ;_ * &quot;-&quot;??_ ;_ @_ "/>
    </dxf>
    <dxf>
      <numFmt numFmtId="167" formatCode="_ * #,##0.0_ ;_ * \-#,##0.0_ ;_ * &quot;-&quot;??_ ;_ @_ "/>
    </dxf>
    <dxf>
      <numFmt numFmtId="167" formatCode="_ * #,##0.0_ ;_ * \-#,##0.0_ ;_ * &quot;-&quot;??_ ;_ @_ "/>
    </dxf>
    <dxf>
      <numFmt numFmtId="167" formatCode="_ * #,##0.0_ ;_ * \-#,##0.0_ ;_ * &quot;-&quot;??_ ;_ @_ "/>
    </dxf>
    <dxf>
      <numFmt numFmtId="167" formatCode="_ * #,##0.0_ ;_ * \-#,##0.0_ ;_ * &quot;-&quot;??_ ;_ @_ "/>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fill>
        <patternFill patternType="none">
          <fgColor indexed="64"/>
          <bgColor auto="1"/>
        </patternFill>
      </fill>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auto="1"/>
      </font>
    </dxf>
    <dxf>
      <font>
        <strike val="0"/>
        <color theme="0"/>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theme="0"/>
      </font>
    </dxf>
    <dxf>
      <font>
        <strike val="0"/>
        <color auto="1"/>
      </font>
    </dxf>
    <dxf>
      <font>
        <strike val="0"/>
        <color theme="0"/>
      </font>
    </dxf>
    <dxf>
      <numFmt numFmtId="3" formatCode="#,##0"/>
    </dxf>
    <dxf>
      <numFmt numFmtId="165" formatCode="0.0%"/>
    </dxf>
    <dxf>
      <border>
        <bottom style="thin">
          <color auto="1"/>
        </bottom>
        <vertical/>
        <horizontal/>
      </border>
    </dxf>
    <dxf>
      <border>
        <bottom/>
        <vertical/>
        <horizontal/>
      </border>
    </dxf>
    <dxf>
      <font>
        <color theme="1"/>
      </font>
    </dxf>
    <dxf>
      <font>
        <color theme="0"/>
      </font>
    </dxf>
    <dxf>
      <fill>
        <patternFill>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rgb="FFFF0000"/>
      </font>
    </dxf>
    <dxf>
      <font>
        <color theme="0"/>
      </font>
    </dxf>
    <dxf>
      <font>
        <color auto="1"/>
      </font>
      <fill>
        <patternFill patternType="none">
          <bgColor auto="1"/>
        </patternFill>
      </fill>
    </dxf>
    <dxf>
      <font>
        <color theme="0"/>
      </font>
      <fill>
        <patternFill>
          <bgColor rgb="FFFF0000"/>
        </patternFill>
      </fill>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font>
        <color auto="1"/>
      </font>
    </dxf>
    <dxf>
      <font>
        <color theme="0"/>
      </font>
    </dxf>
    <dxf>
      <font>
        <color theme="0"/>
      </font>
    </dxf>
    <dxf>
      <font>
        <color auto="1"/>
      </font>
    </dxf>
    <dxf>
      <font>
        <color theme="0" tint="-0.14996795556505021"/>
      </font>
      <fill>
        <patternFill>
          <bgColor theme="0"/>
        </patternFill>
      </fill>
    </dxf>
    <dxf>
      <font>
        <color rgb="FFFF0000"/>
      </font>
      <fill>
        <patternFill patternType="none">
          <bgColor auto="1"/>
        </patternFill>
      </fill>
    </dxf>
    <dxf>
      <numFmt numFmtId="3" formatCode="#,##0"/>
    </dxf>
    <dxf>
      <numFmt numFmtId="165" formatCode="0.0%"/>
    </dxf>
    <dxf>
      <font>
        <b val="0"/>
        <i val="0"/>
      </font>
    </dxf>
    <dxf>
      <font>
        <b/>
        <i val="0"/>
      </font>
    </dxf>
    <dxf>
      <font>
        <b/>
        <i val="0"/>
      </font>
    </dxf>
    <dxf>
      <font>
        <b val="0"/>
        <i val="0"/>
      </font>
    </dxf>
    <dxf>
      <font>
        <b/>
        <i val="0"/>
      </font>
    </dxf>
    <dxf>
      <font>
        <b/>
        <i val="0"/>
      </font>
    </dxf>
    <dxf>
      <font>
        <color theme="0"/>
      </font>
    </dxf>
    <dxf>
      <font>
        <b val="0"/>
        <i val="0"/>
        <strike val="0"/>
        <condense val="0"/>
        <extend val="0"/>
        <outline val="0"/>
        <shadow val="0"/>
        <u val="none"/>
        <vertAlign val="baseline"/>
        <sz val="10"/>
        <color theme="0"/>
        <name val="Arial"/>
        <family val="2"/>
        <scheme val="none"/>
      </font>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val="0"/>
        <strike val="0"/>
        <condense val="0"/>
        <extend val="0"/>
        <outline val="0"/>
        <shadow val="0"/>
        <u val="none"/>
        <vertAlign val="baseline"/>
        <sz val="10"/>
        <color theme="1"/>
        <name val="Arial"/>
        <family val="2"/>
        <scheme val="none"/>
      </font>
      <numFmt numFmtId="165" formatCode="0.0%"/>
    </dxf>
    <dxf>
      <font>
        <b val="0"/>
        <i/>
        <strike val="0"/>
        <condense val="0"/>
        <extend val="0"/>
        <outline val="0"/>
        <shadow val="0"/>
        <u val="none"/>
        <vertAlign val="baseline"/>
        <sz val="10"/>
        <color theme="1"/>
        <name val="Arial"/>
        <family val="2"/>
        <scheme val="none"/>
      </font>
    </dxf>
    <dxf>
      <border outline="0">
        <bottom style="medium">
          <color rgb="FF000000"/>
        </bottom>
      </border>
    </dxf>
    <dxf>
      <font>
        <b val="0"/>
        <i/>
        <strike val="0"/>
        <condense val="0"/>
        <extend val="0"/>
        <outline val="0"/>
        <shadow val="0"/>
        <u val="none"/>
        <vertAlign val="baseline"/>
        <sz val="10"/>
        <color theme="1"/>
        <name val="Arial"/>
        <family val="2"/>
        <scheme val="none"/>
      </font>
      <alignment horizontal="right" vertical="bottom" textRotation="0" wrapText="0" indent="0" justifyLastLine="0" shrinkToFit="0" readingOrder="0"/>
    </dxf>
    <dxf>
      <font>
        <strike val="0"/>
        <color theme="0"/>
      </font>
    </dxf>
    <dxf>
      <font>
        <strike val="0"/>
        <color auto="1"/>
      </font>
    </dxf>
    <dxf>
      <font>
        <strike val="0"/>
        <color theme="0"/>
      </font>
    </dxf>
    <dxf>
      <numFmt numFmtId="3" formatCode="#,##0"/>
    </dxf>
    <dxf>
      <numFmt numFmtId="165" formatCode="0.0%"/>
    </dxf>
    <dxf>
      <fill>
        <patternFill patternType="solid">
          <bgColor theme="4" tint="0.79998168889431442"/>
        </patternFill>
      </fill>
      <border>
        <top style="thin">
          <color theme="4" tint="0.39994506668294322"/>
        </top>
        <bottom style="thin">
          <color theme="4" tint="0.39994506668294322"/>
        </bottom>
        <vertical/>
        <horizontal/>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ill>
        <patternFill patternType="solid">
          <bgColor theme="4" tint="0.79998168889431442"/>
        </patternFill>
      </fill>
      <border>
        <top style="thin">
          <color theme="4" tint="0.39994506668294322"/>
        </top>
        <bottom style="thin">
          <color theme="4" tint="0.39994506668294322"/>
        </bottom>
        <vertical/>
        <horizontal/>
      </border>
    </dxf>
    <dxf>
      <font>
        <color auto="1"/>
      </font>
      <fill>
        <patternFill>
          <bgColor theme="7" tint="0.59996337778862885"/>
        </patternFill>
      </fill>
      <border>
        <top style="thin">
          <color theme="0" tint="-0.499984740745262"/>
        </top>
        <bottom style="thin">
          <color theme="0" tint="-0.499984740745262"/>
        </bottom>
      </border>
    </dxf>
    <dxf>
      <font>
        <color theme="1"/>
      </font>
      <fill>
        <patternFill patternType="none">
          <bgColor auto="1"/>
        </patternFill>
      </fill>
    </dxf>
    <dxf>
      <font>
        <color auto="1"/>
      </font>
    </dxf>
    <dxf>
      <font>
        <color theme="0"/>
      </font>
      <fill>
        <patternFill patternType="none">
          <bgColor auto="1"/>
        </patternFill>
      </fill>
    </dxf>
    <dxf>
      <font>
        <color theme="0"/>
      </font>
    </dxf>
    <dxf>
      <font>
        <color theme="0"/>
      </font>
    </dxf>
    <dxf>
      <border>
        <bottom style="thin">
          <color auto="1"/>
        </bottom>
        <vertical/>
        <horizontal/>
      </border>
    </dxf>
    <dxf>
      <border>
        <bottom/>
        <vertical/>
        <horizontal/>
      </border>
    </dxf>
    <dxf>
      <font>
        <color theme="1"/>
      </font>
    </dxf>
    <dxf>
      <font>
        <color theme="0"/>
      </font>
    </dxf>
    <dxf>
      <font>
        <color auto="1"/>
      </font>
      <fill>
        <patternFill patternType="none">
          <bgColor auto="1"/>
        </patternFill>
      </fill>
    </dxf>
    <dxf>
      <font>
        <color theme="0"/>
      </font>
      <fill>
        <patternFill>
          <bgColor rgb="FFFF0000"/>
        </patternFill>
      </fill>
    </dxf>
    <dxf>
      <font>
        <color rgb="FFFF0000"/>
      </font>
    </dxf>
    <dxf>
      <font>
        <color theme="0"/>
      </font>
    </dxf>
    <dxf>
      <font>
        <color auto="1"/>
      </font>
    </dxf>
    <dxf>
      <font>
        <color theme="0"/>
      </font>
    </dxf>
    <dxf>
      <font>
        <color theme="0"/>
      </font>
    </dxf>
    <dxf>
      <font>
        <color auto="1"/>
      </font>
    </dxf>
    <dxf>
      <font>
        <color theme="0" tint="-0.14996795556505021"/>
      </font>
      <fill>
        <patternFill>
          <bgColor theme="0"/>
        </patternFill>
      </fill>
    </dxf>
    <dxf>
      <font>
        <b val="0"/>
        <i val="0"/>
      </font>
    </dxf>
    <dxf>
      <font>
        <b/>
        <i val="0"/>
      </font>
    </dxf>
    <dxf>
      <font>
        <b/>
        <i val="0"/>
      </font>
    </dxf>
    <dxf>
      <font>
        <b val="0"/>
        <i val="0"/>
      </font>
    </dxf>
    <dxf>
      <font>
        <b/>
        <i val="0"/>
      </font>
    </dxf>
    <dxf>
      <font>
        <b/>
        <i val="0"/>
      </font>
    </dxf>
    <dxf>
      <font>
        <color theme="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2" Type="http://schemas.openxmlformats.org/officeDocument/2006/relationships/image" Target="cid:image001.png@01DB6BDF.FCA5E090" TargetMode="External"/><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cid:image001.png@01DB6BDF.FCA5E090" TargetMode="External"/><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8</xdr:col>
      <xdr:colOff>21647</xdr:colOff>
      <xdr:row>115</xdr:row>
      <xdr:rowOff>0</xdr:rowOff>
    </xdr:from>
    <xdr:to>
      <xdr:col>8</xdr:col>
      <xdr:colOff>351558</xdr:colOff>
      <xdr:row>115</xdr:row>
      <xdr:rowOff>5194</xdr:rowOff>
    </xdr:to>
    <xdr:sp macro="" textlink="">
      <xdr:nvSpPr>
        <xdr:cNvPr id="2" name="Oval 1">
          <a:extLst>
            <a:ext uri="{FF2B5EF4-FFF2-40B4-BE49-F238E27FC236}">
              <a16:creationId xmlns:a16="http://schemas.microsoft.com/office/drawing/2014/main" id="{F95797F5-A232-4C0B-A0A5-48B017D28EF0}"/>
            </a:ext>
          </a:extLst>
        </xdr:cNvPr>
        <xdr:cNvSpPr/>
      </xdr:nvSpPr>
      <xdr:spPr>
        <a:xfrm>
          <a:off x="4612697" y="18621375"/>
          <a:ext cx="329911" cy="5194"/>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a:t>
          </a:r>
        </a:p>
      </xdr:txBody>
    </xdr:sp>
    <xdr:clientData/>
  </xdr:twoCellAnchor>
  <xdr:twoCellAnchor>
    <xdr:from>
      <xdr:col>1</xdr:col>
      <xdr:colOff>42334</xdr:colOff>
      <xdr:row>49</xdr:row>
      <xdr:rowOff>63499</xdr:rowOff>
    </xdr:from>
    <xdr:to>
      <xdr:col>30</xdr:col>
      <xdr:colOff>127000</xdr:colOff>
      <xdr:row>104</xdr:row>
      <xdr:rowOff>29631</xdr:rowOff>
    </xdr:to>
    <xdr:grpSp>
      <xdr:nvGrpSpPr>
        <xdr:cNvPr id="3" name="Group 2">
          <a:extLst>
            <a:ext uri="{FF2B5EF4-FFF2-40B4-BE49-F238E27FC236}">
              <a16:creationId xmlns:a16="http://schemas.microsoft.com/office/drawing/2014/main" id="{231D72EA-58F2-49A6-BD36-E03366F2E602}"/>
            </a:ext>
          </a:extLst>
        </xdr:cNvPr>
        <xdr:cNvGrpSpPr/>
      </xdr:nvGrpSpPr>
      <xdr:grpSpPr>
        <a:xfrm>
          <a:off x="366184" y="7997824"/>
          <a:ext cx="17763066" cy="8872007"/>
          <a:chOff x="842168" y="8705850"/>
          <a:chExt cx="17569283" cy="8548361"/>
        </a:xfrm>
      </xdr:grpSpPr>
      <xdr:pic>
        <xdr:nvPicPr>
          <xdr:cNvPr id="4" name="Picture 3">
            <a:extLst>
              <a:ext uri="{FF2B5EF4-FFF2-40B4-BE49-F238E27FC236}">
                <a16:creationId xmlns:a16="http://schemas.microsoft.com/office/drawing/2014/main" id="{9D4AD4E8-EA65-95DA-0441-CC5D79DDD2BB}"/>
              </a:ext>
            </a:extLst>
          </xdr:cNvPr>
          <xdr:cNvPicPr>
            <a:picLocks noChangeAspect="1"/>
          </xdr:cNvPicPr>
        </xdr:nvPicPr>
        <xdr:blipFill rotWithShape="1">
          <a:blip xmlns:r="http://schemas.openxmlformats.org/officeDocument/2006/relationships" r:embed="rId1"/>
          <a:srcRect l="269"/>
          <a:stretch/>
        </xdr:blipFill>
        <xdr:spPr>
          <a:xfrm>
            <a:off x="842168" y="8819823"/>
            <a:ext cx="17569283" cy="8434388"/>
          </a:xfrm>
          <a:prstGeom prst="rect">
            <a:avLst/>
          </a:prstGeom>
        </xdr:spPr>
      </xdr:pic>
      <xdr:sp macro="" textlink="">
        <xdr:nvSpPr>
          <xdr:cNvPr id="5" name="Oval 4">
            <a:extLst>
              <a:ext uri="{FF2B5EF4-FFF2-40B4-BE49-F238E27FC236}">
                <a16:creationId xmlns:a16="http://schemas.microsoft.com/office/drawing/2014/main" id="{4B237949-5837-1799-1364-80ADDB82EAA9}"/>
              </a:ext>
            </a:extLst>
          </xdr:cNvPr>
          <xdr:cNvSpPr/>
        </xdr:nvSpPr>
        <xdr:spPr>
          <a:xfrm>
            <a:off x="4619625" y="8705850"/>
            <a:ext cx="333375"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a:t>
            </a:r>
          </a:p>
        </xdr:txBody>
      </xdr:sp>
      <xdr:sp macro="" textlink="">
        <xdr:nvSpPr>
          <xdr:cNvPr id="6" name="Oval 5">
            <a:extLst>
              <a:ext uri="{FF2B5EF4-FFF2-40B4-BE49-F238E27FC236}">
                <a16:creationId xmlns:a16="http://schemas.microsoft.com/office/drawing/2014/main" id="{B68AD8C2-96CB-2A5A-47D2-9F87BAF8070D}"/>
              </a:ext>
            </a:extLst>
          </xdr:cNvPr>
          <xdr:cNvSpPr/>
        </xdr:nvSpPr>
        <xdr:spPr>
          <a:xfrm>
            <a:off x="4017519" y="15507479"/>
            <a:ext cx="333375"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3</a:t>
            </a:r>
          </a:p>
        </xdr:txBody>
      </xdr:sp>
      <xdr:sp macro="" textlink="">
        <xdr:nvSpPr>
          <xdr:cNvPr id="7" name="Oval 6">
            <a:extLst>
              <a:ext uri="{FF2B5EF4-FFF2-40B4-BE49-F238E27FC236}">
                <a16:creationId xmlns:a16="http://schemas.microsoft.com/office/drawing/2014/main" id="{6BEEE105-7C74-ADFC-CC11-674BDF77F6B6}"/>
              </a:ext>
            </a:extLst>
          </xdr:cNvPr>
          <xdr:cNvSpPr/>
        </xdr:nvSpPr>
        <xdr:spPr>
          <a:xfrm>
            <a:off x="4263474" y="13414853"/>
            <a:ext cx="330994" cy="333374"/>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a:t>
            </a:r>
          </a:p>
        </xdr:txBody>
      </xdr:sp>
      <xdr:sp macro="" textlink="">
        <xdr:nvSpPr>
          <xdr:cNvPr id="8" name="Oval 7">
            <a:extLst>
              <a:ext uri="{FF2B5EF4-FFF2-40B4-BE49-F238E27FC236}">
                <a16:creationId xmlns:a16="http://schemas.microsoft.com/office/drawing/2014/main" id="{D41F12B3-4186-7755-1410-C0006F1844DB}"/>
              </a:ext>
            </a:extLst>
          </xdr:cNvPr>
          <xdr:cNvSpPr/>
        </xdr:nvSpPr>
        <xdr:spPr>
          <a:xfrm>
            <a:off x="5615425" y="11253787"/>
            <a:ext cx="333716"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4</a:t>
            </a:r>
          </a:p>
        </xdr:txBody>
      </xdr:sp>
      <xdr:sp macro="" textlink="">
        <xdr:nvSpPr>
          <xdr:cNvPr id="9" name="Oval 8">
            <a:extLst>
              <a:ext uri="{FF2B5EF4-FFF2-40B4-BE49-F238E27FC236}">
                <a16:creationId xmlns:a16="http://schemas.microsoft.com/office/drawing/2014/main" id="{C621C481-F116-1177-7FF0-9A067F713F5A}"/>
              </a:ext>
            </a:extLst>
          </xdr:cNvPr>
          <xdr:cNvSpPr/>
        </xdr:nvSpPr>
        <xdr:spPr>
          <a:xfrm>
            <a:off x="6630049" y="12495068"/>
            <a:ext cx="336838" cy="333376"/>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6</a:t>
            </a:r>
          </a:p>
        </xdr:txBody>
      </xdr:sp>
      <xdr:sp macro="" textlink="">
        <xdr:nvSpPr>
          <xdr:cNvPr id="10" name="Oval 9">
            <a:extLst>
              <a:ext uri="{FF2B5EF4-FFF2-40B4-BE49-F238E27FC236}">
                <a16:creationId xmlns:a16="http://schemas.microsoft.com/office/drawing/2014/main" id="{A8CE0193-AECF-F63D-189E-B58043745A5F}"/>
              </a:ext>
            </a:extLst>
          </xdr:cNvPr>
          <xdr:cNvSpPr/>
        </xdr:nvSpPr>
        <xdr:spPr>
          <a:xfrm>
            <a:off x="3684876" y="9349220"/>
            <a:ext cx="334457"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7</a:t>
            </a:r>
          </a:p>
        </xdr:txBody>
      </xdr:sp>
      <xdr:sp macro="" textlink="">
        <xdr:nvSpPr>
          <xdr:cNvPr id="11" name="Oval 10">
            <a:extLst>
              <a:ext uri="{FF2B5EF4-FFF2-40B4-BE49-F238E27FC236}">
                <a16:creationId xmlns:a16="http://schemas.microsoft.com/office/drawing/2014/main" id="{5DC4D23D-C55C-1DD5-E253-A36D3DE140E8}"/>
              </a:ext>
            </a:extLst>
          </xdr:cNvPr>
          <xdr:cNvSpPr/>
        </xdr:nvSpPr>
        <xdr:spPr>
          <a:xfrm>
            <a:off x="3655438" y="9675668"/>
            <a:ext cx="404594" cy="31129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10</a:t>
            </a:r>
          </a:p>
        </xdr:txBody>
      </xdr:sp>
      <xdr:sp macro="" textlink="">
        <xdr:nvSpPr>
          <xdr:cNvPr id="12" name="Oval 11">
            <a:extLst>
              <a:ext uri="{FF2B5EF4-FFF2-40B4-BE49-F238E27FC236}">
                <a16:creationId xmlns:a16="http://schemas.microsoft.com/office/drawing/2014/main" id="{F9D6A587-DE79-ABBB-DBCF-6C05B4CB159F}"/>
              </a:ext>
            </a:extLst>
          </xdr:cNvPr>
          <xdr:cNvSpPr/>
        </xdr:nvSpPr>
        <xdr:spPr>
          <a:xfrm>
            <a:off x="13362276" y="14878483"/>
            <a:ext cx="334457"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8</a:t>
            </a:r>
          </a:p>
        </xdr:txBody>
      </xdr:sp>
      <xdr:sp macro="" textlink="">
        <xdr:nvSpPr>
          <xdr:cNvPr id="13" name="Oval 12">
            <a:extLst>
              <a:ext uri="{FF2B5EF4-FFF2-40B4-BE49-F238E27FC236}">
                <a16:creationId xmlns:a16="http://schemas.microsoft.com/office/drawing/2014/main" id="{C9311FEB-C157-600E-0759-C1E87EC6F29A}"/>
              </a:ext>
            </a:extLst>
          </xdr:cNvPr>
          <xdr:cNvSpPr/>
        </xdr:nvSpPr>
        <xdr:spPr>
          <a:xfrm>
            <a:off x="4206369" y="9544483"/>
            <a:ext cx="336839"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9</a:t>
            </a:r>
          </a:p>
        </xdr:txBody>
      </xdr:sp>
      <xdr:sp macro="" textlink="">
        <xdr:nvSpPr>
          <xdr:cNvPr id="14" name="Oval 13">
            <a:extLst>
              <a:ext uri="{FF2B5EF4-FFF2-40B4-BE49-F238E27FC236}">
                <a16:creationId xmlns:a16="http://schemas.microsoft.com/office/drawing/2014/main" id="{B98CF21A-7B91-DCA8-D72F-D23D0EBDEEC2}"/>
              </a:ext>
            </a:extLst>
          </xdr:cNvPr>
          <xdr:cNvSpPr/>
        </xdr:nvSpPr>
        <xdr:spPr>
          <a:xfrm>
            <a:off x="3795713" y="8863013"/>
            <a:ext cx="330993" cy="333374"/>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a:t>
            </a:r>
          </a:p>
        </xdr:txBody>
      </xdr:sp>
      <xdr:sp macro="" textlink="">
        <xdr:nvSpPr>
          <xdr:cNvPr id="15" name="Oval 14">
            <a:extLst>
              <a:ext uri="{FF2B5EF4-FFF2-40B4-BE49-F238E27FC236}">
                <a16:creationId xmlns:a16="http://schemas.microsoft.com/office/drawing/2014/main" id="{8BE13EAC-0946-116C-CBD2-ECF4336E9CEC}"/>
              </a:ext>
            </a:extLst>
          </xdr:cNvPr>
          <xdr:cNvSpPr/>
        </xdr:nvSpPr>
        <xdr:spPr>
          <a:xfrm>
            <a:off x="5319441" y="15463261"/>
            <a:ext cx="336838" cy="333376"/>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6</a:t>
            </a:r>
          </a:p>
        </xdr:txBody>
      </xdr:sp>
      <xdr:sp macro="" textlink="">
        <xdr:nvSpPr>
          <xdr:cNvPr id="16" name="Oval 15">
            <a:extLst>
              <a:ext uri="{FF2B5EF4-FFF2-40B4-BE49-F238E27FC236}">
                <a16:creationId xmlns:a16="http://schemas.microsoft.com/office/drawing/2014/main" id="{375EF124-B19A-3DAD-9BF8-A228D361F55E}"/>
              </a:ext>
            </a:extLst>
          </xdr:cNvPr>
          <xdr:cNvSpPr/>
        </xdr:nvSpPr>
        <xdr:spPr>
          <a:xfrm>
            <a:off x="5012750" y="9675668"/>
            <a:ext cx="404595" cy="31129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21</a:t>
            </a:r>
          </a:p>
          <a:p>
            <a:pPr algn="l"/>
            <a:endParaRPr lang="en-US" sz="800"/>
          </a:p>
        </xdr:txBody>
      </xdr:sp>
      <xdr:sp macro="" textlink="">
        <xdr:nvSpPr>
          <xdr:cNvPr id="17" name="Oval 16">
            <a:extLst>
              <a:ext uri="{FF2B5EF4-FFF2-40B4-BE49-F238E27FC236}">
                <a16:creationId xmlns:a16="http://schemas.microsoft.com/office/drawing/2014/main" id="{E006E970-4ED6-A972-4B19-CBD7272F51A3}"/>
              </a:ext>
            </a:extLst>
          </xdr:cNvPr>
          <xdr:cNvSpPr/>
        </xdr:nvSpPr>
        <xdr:spPr>
          <a:xfrm>
            <a:off x="13647163" y="14576281"/>
            <a:ext cx="404594"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18</a:t>
            </a:r>
          </a:p>
        </xdr:txBody>
      </xdr:sp>
      <xdr:sp macro="" textlink="">
        <xdr:nvSpPr>
          <xdr:cNvPr id="18" name="Oval 17">
            <a:extLst>
              <a:ext uri="{FF2B5EF4-FFF2-40B4-BE49-F238E27FC236}">
                <a16:creationId xmlns:a16="http://schemas.microsoft.com/office/drawing/2014/main" id="{2C17B376-8B29-6A81-9BD2-79D810F2E69F}"/>
              </a:ext>
            </a:extLst>
          </xdr:cNvPr>
          <xdr:cNvSpPr/>
        </xdr:nvSpPr>
        <xdr:spPr>
          <a:xfrm>
            <a:off x="13482569" y="13415631"/>
            <a:ext cx="404594"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19</a:t>
            </a:r>
          </a:p>
        </xdr:txBody>
      </xdr:sp>
      <xdr:sp macro="" textlink="">
        <xdr:nvSpPr>
          <xdr:cNvPr id="19" name="Oval 18">
            <a:extLst>
              <a:ext uri="{FF2B5EF4-FFF2-40B4-BE49-F238E27FC236}">
                <a16:creationId xmlns:a16="http://schemas.microsoft.com/office/drawing/2014/main" id="{DA84611C-EA6C-EDDC-2CD6-11D34B96B789}"/>
              </a:ext>
            </a:extLst>
          </xdr:cNvPr>
          <xdr:cNvSpPr/>
        </xdr:nvSpPr>
        <xdr:spPr>
          <a:xfrm>
            <a:off x="11940403" y="13437311"/>
            <a:ext cx="507208"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16B</a:t>
            </a:r>
          </a:p>
        </xdr:txBody>
      </xdr:sp>
      <xdr:sp macro="" textlink="">
        <xdr:nvSpPr>
          <xdr:cNvPr id="20" name="Oval 19">
            <a:extLst>
              <a:ext uri="{FF2B5EF4-FFF2-40B4-BE49-F238E27FC236}">
                <a16:creationId xmlns:a16="http://schemas.microsoft.com/office/drawing/2014/main" id="{50A66EEF-1BB8-9A25-660A-B1A395352C36}"/>
              </a:ext>
            </a:extLst>
          </xdr:cNvPr>
          <xdr:cNvSpPr/>
        </xdr:nvSpPr>
        <xdr:spPr>
          <a:xfrm>
            <a:off x="9396631" y="15538306"/>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15</a:t>
            </a:r>
          </a:p>
        </xdr:txBody>
      </xdr:sp>
      <xdr:sp macro="" textlink="">
        <xdr:nvSpPr>
          <xdr:cNvPr id="21" name="Oval 20">
            <a:extLst>
              <a:ext uri="{FF2B5EF4-FFF2-40B4-BE49-F238E27FC236}">
                <a16:creationId xmlns:a16="http://schemas.microsoft.com/office/drawing/2014/main" id="{6837FB4A-FC37-648D-4E28-ABECAFEF56C4}"/>
              </a:ext>
            </a:extLst>
          </xdr:cNvPr>
          <xdr:cNvSpPr/>
        </xdr:nvSpPr>
        <xdr:spPr>
          <a:xfrm>
            <a:off x="4005481" y="10428143"/>
            <a:ext cx="406976"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14</a:t>
            </a:r>
          </a:p>
        </xdr:txBody>
      </xdr:sp>
      <xdr:sp macro="" textlink="">
        <xdr:nvSpPr>
          <xdr:cNvPr id="22" name="Oval 21">
            <a:extLst>
              <a:ext uri="{FF2B5EF4-FFF2-40B4-BE49-F238E27FC236}">
                <a16:creationId xmlns:a16="http://schemas.microsoft.com/office/drawing/2014/main" id="{EFDC1671-076D-F68F-FF2F-2C835C8D8167}"/>
              </a:ext>
            </a:extLst>
          </xdr:cNvPr>
          <xdr:cNvSpPr/>
        </xdr:nvSpPr>
        <xdr:spPr>
          <a:xfrm>
            <a:off x="4698425" y="10075718"/>
            <a:ext cx="406976"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13</a:t>
            </a:r>
          </a:p>
        </xdr:txBody>
      </xdr:sp>
      <xdr:sp macro="" textlink="">
        <xdr:nvSpPr>
          <xdr:cNvPr id="23" name="Oval 22">
            <a:extLst>
              <a:ext uri="{FF2B5EF4-FFF2-40B4-BE49-F238E27FC236}">
                <a16:creationId xmlns:a16="http://schemas.microsoft.com/office/drawing/2014/main" id="{7C2C9F6E-99A6-F4AD-5031-ED5493DB79D0}"/>
              </a:ext>
            </a:extLst>
          </xdr:cNvPr>
          <xdr:cNvSpPr/>
        </xdr:nvSpPr>
        <xdr:spPr>
          <a:xfrm>
            <a:off x="12073331" y="14556355"/>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17</a:t>
            </a:r>
          </a:p>
        </xdr:txBody>
      </xdr:sp>
      <xdr:sp macro="" textlink="">
        <xdr:nvSpPr>
          <xdr:cNvPr id="24" name="Oval 23">
            <a:extLst>
              <a:ext uri="{FF2B5EF4-FFF2-40B4-BE49-F238E27FC236}">
                <a16:creationId xmlns:a16="http://schemas.microsoft.com/office/drawing/2014/main" id="{A24DCBD1-3BBF-CA7D-08FA-7C677310B4E4}"/>
              </a:ext>
            </a:extLst>
          </xdr:cNvPr>
          <xdr:cNvSpPr/>
        </xdr:nvSpPr>
        <xdr:spPr>
          <a:xfrm>
            <a:off x="14720410" y="13426033"/>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19</a:t>
            </a:r>
          </a:p>
        </xdr:txBody>
      </xdr:sp>
      <xdr:sp macro="" textlink="">
        <xdr:nvSpPr>
          <xdr:cNvPr id="25" name="Oval 24">
            <a:extLst>
              <a:ext uri="{FF2B5EF4-FFF2-40B4-BE49-F238E27FC236}">
                <a16:creationId xmlns:a16="http://schemas.microsoft.com/office/drawing/2014/main" id="{C1A5C6EE-4EAA-9A93-AF4D-C63826E269A3}"/>
              </a:ext>
            </a:extLst>
          </xdr:cNvPr>
          <xdr:cNvSpPr/>
        </xdr:nvSpPr>
        <xdr:spPr>
          <a:xfrm>
            <a:off x="10709109" y="13427287"/>
            <a:ext cx="406976" cy="311294"/>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20</a:t>
            </a:r>
          </a:p>
          <a:p>
            <a:pPr algn="l"/>
            <a:endParaRPr lang="en-US" sz="800"/>
          </a:p>
        </xdr:txBody>
      </xdr:sp>
      <xdr:sp macro="" textlink="">
        <xdr:nvSpPr>
          <xdr:cNvPr id="26" name="Oval 25">
            <a:extLst>
              <a:ext uri="{FF2B5EF4-FFF2-40B4-BE49-F238E27FC236}">
                <a16:creationId xmlns:a16="http://schemas.microsoft.com/office/drawing/2014/main" id="{26B7D6D4-82E4-488F-513C-9D913A9BE7DC}"/>
              </a:ext>
            </a:extLst>
          </xdr:cNvPr>
          <xdr:cNvSpPr/>
        </xdr:nvSpPr>
        <xdr:spPr>
          <a:xfrm>
            <a:off x="9396631" y="15281131"/>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23</a:t>
            </a:r>
          </a:p>
          <a:p>
            <a:pPr algn="l"/>
            <a:endParaRPr lang="en-US" sz="800"/>
          </a:p>
        </xdr:txBody>
      </xdr:sp>
      <xdr:sp macro="" textlink="">
        <xdr:nvSpPr>
          <xdr:cNvPr id="27" name="Oval 26">
            <a:extLst>
              <a:ext uri="{FF2B5EF4-FFF2-40B4-BE49-F238E27FC236}">
                <a16:creationId xmlns:a16="http://schemas.microsoft.com/office/drawing/2014/main" id="{C2BAA535-CBBB-55A8-DEB0-1CCB8A2E9399}"/>
              </a:ext>
            </a:extLst>
          </xdr:cNvPr>
          <xdr:cNvSpPr/>
        </xdr:nvSpPr>
        <xdr:spPr>
          <a:xfrm>
            <a:off x="7829769" y="10428143"/>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24</a:t>
            </a:r>
          </a:p>
        </xdr:txBody>
      </xdr:sp>
      <xdr:sp macro="" textlink="">
        <xdr:nvSpPr>
          <xdr:cNvPr id="28" name="Oval 27">
            <a:extLst>
              <a:ext uri="{FF2B5EF4-FFF2-40B4-BE49-F238E27FC236}">
                <a16:creationId xmlns:a16="http://schemas.microsoft.com/office/drawing/2014/main" id="{03EAFA64-4134-594D-374D-E32209C92449}"/>
              </a:ext>
            </a:extLst>
          </xdr:cNvPr>
          <xdr:cNvSpPr/>
        </xdr:nvSpPr>
        <xdr:spPr>
          <a:xfrm>
            <a:off x="1869501" y="16134874"/>
            <a:ext cx="404595" cy="325582"/>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25</a:t>
            </a:r>
          </a:p>
        </xdr:txBody>
      </xdr:sp>
      <xdr:sp macro="" textlink="">
        <xdr:nvSpPr>
          <xdr:cNvPr id="29" name="Oval 28">
            <a:extLst>
              <a:ext uri="{FF2B5EF4-FFF2-40B4-BE49-F238E27FC236}">
                <a16:creationId xmlns:a16="http://schemas.microsoft.com/office/drawing/2014/main" id="{546F4F56-75CE-3435-9AF1-BE5E1E4E4952}"/>
              </a:ext>
            </a:extLst>
          </xdr:cNvPr>
          <xdr:cNvSpPr/>
        </xdr:nvSpPr>
        <xdr:spPr>
          <a:xfrm>
            <a:off x="5397764" y="13436530"/>
            <a:ext cx="330994" cy="33337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3</a:t>
            </a:r>
          </a:p>
        </xdr:txBody>
      </xdr:sp>
      <xdr:sp macro="" textlink="">
        <xdr:nvSpPr>
          <xdr:cNvPr id="30" name="Oval 29">
            <a:extLst>
              <a:ext uri="{FF2B5EF4-FFF2-40B4-BE49-F238E27FC236}">
                <a16:creationId xmlns:a16="http://schemas.microsoft.com/office/drawing/2014/main" id="{442E1DFB-B9A6-143A-8169-AB4921F05F02}"/>
              </a:ext>
            </a:extLst>
          </xdr:cNvPr>
          <xdr:cNvSpPr/>
        </xdr:nvSpPr>
        <xdr:spPr>
          <a:xfrm>
            <a:off x="6749035" y="13435654"/>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12</a:t>
            </a:r>
          </a:p>
        </xdr:txBody>
      </xdr:sp>
      <xdr:sp macro="" textlink="">
        <xdr:nvSpPr>
          <xdr:cNvPr id="31" name="Oval 30">
            <a:extLst>
              <a:ext uri="{FF2B5EF4-FFF2-40B4-BE49-F238E27FC236}">
                <a16:creationId xmlns:a16="http://schemas.microsoft.com/office/drawing/2014/main" id="{A51DB7F8-B8B3-0883-6F48-C46ED2407BEC}"/>
              </a:ext>
            </a:extLst>
          </xdr:cNvPr>
          <xdr:cNvSpPr/>
        </xdr:nvSpPr>
        <xdr:spPr>
          <a:xfrm>
            <a:off x="7934897" y="13435653"/>
            <a:ext cx="404595"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12</a:t>
            </a:r>
          </a:p>
        </xdr:txBody>
      </xdr:sp>
      <xdr:sp macro="" textlink="">
        <xdr:nvSpPr>
          <xdr:cNvPr id="32" name="Oval 31">
            <a:extLst>
              <a:ext uri="{FF2B5EF4-FFF2-40B4-BE49-F238E27FC236}">
                <a16:creationId xmlns:a16="http://schemas.microsoft.com/office/drawing/2014/main" id="{3E6DBBB7-E21C-5138-9FCD-4BAAAD774F41}"/>
              </a:ext>
            </a:extLst>
          </xdr:cNvPr>
          <xdr:cNvSpPr/>
        </xdr:nvSpPr>
        <xdr:spPr>
          <a:xfrm>
            <a:off x="5379243" y="9872663"/>
            <a:ext cx="406976" cy="31605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22</a:t>
            </a:r>
          </a:p>
          <a:p>
            <a:pPr algn="l"/>
            <a:endParaRPr lang="en-US" sz="800"/>
          </a:p>
        </xdr:txBody>
      </xdr:sp>
      <xdr:sp macro="" textlink="">
        <xdr:nvSpPr>
          <xdr:cNvPr id="33" name="Oval 32">
            <a:extLst>
              <a:ext uri="{FF2B5EF4-FFF2-40B4-BE49-F238E27FC236}">
                <a16:creationId xmlns:a16="http://schemas.microsoft.com/office/drawing/2014/main" id="{21696B86-F48A-14FB-CE98-5BEBFFC2778D}"/>
              </a:ext>
            </a:extLst>
          </xdr:cNvPr>
          <xdr:cNvSpPr/>
        </xdr:nvSpPr>
        <xdr:spPr>
          <a:xfrm>
            <a:off x="13037343" y="9570460"/>
            <a:ext cx="408060" cy="325582"/>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25</a:t>
            </a:r>
          </a:p>
        </xdr:txBody>
      </xdr:sp>
      <xdr:sp macro="" textlink="">
        <xdr:nvSpPr>
          <xdr:cNvPr id="34" name="Oval 33">
            <a:extLst>
              <a:ext uri="{FF2B5EF4-FFF2-40B4-BE49-F238E27FC236}">
                <a16:creationId xmlns:a16="http://schemas.microsoft.com/office/drawing/2014/main" id="{9B3EA971-E19E-3606-D6A0-AF34DD60B0D5}"/>
              </a:ext>
            </a:extLst>
          </xdr:cNvPr>
          <xdr:cNvSpPr/>
        </xdr:nvSpPr>
        <xdr:spPr>
          <a:xfrm>
            <a:off x="12812207" y="8869074"/>
            <a:ext cx="408060" cy="325582"/>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26</a:t>
            </a:r>
          </a:p>
        </xdr:txBody>
      </xdr:sp>
    </xdr:grpSp>
    <xdr:clientData/>
  </xdr:twoCellAnchor>
  <xdr:twoCellAnchor>
    <xdr:from>
      <xdr:col>6</xdr:col>
      <xdr:colOff>402167</xdr:colOff>
      <xdr:row>52</xdr:row>
      <xdr:rowOff>63500</xdr:rowOff>
    </xdr:from>
    <xdr:to>
      <xdr:col>7</xdr:col>
      <xdr:colOff>121709</xdr:colOff>
      <xdr:row>54</xdr:row>
      <xdr:rowOff>79375</xdr:rowOff>
    </xdr:to>
    <xdr:sp macro="" textlink="">
      <xdr:nvSpPr>
        <xdr:cNvPr id="35" name="Oval 34">
          <a:extLst>
            <a:ext uri="{FF2B5EF4-FFF2-40B4-BE49-F238E27FC236}">
              <a16:creationId xmlns:a16="http://schemas.microsoft.com/office/drawing/2014/main" id="{6762A413-413B-4F9F-90BD-651E8072B975}"/>
            </a:ext>
          </a:extLst>
        </xdr:cNvPr>
        <xdr:cNvSpPr/>
      </xdr:nvSpPr>
      <xdr:spPr>
        <a:xfrm>
          <a:off x="3774017" y="8483600"/>
          <a:ext cx="329142" cy="339725"/>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5</a:t>
          </a:r>
        </a:p>
      </xdr:txBody>
    </xdr:sp>
    <xdr:clientData/>
  </xdr:twoCellAnchor>
  <xdr:twoCellAnchor>
    <xdr:from>
      <xdr:col>6</xdr:col>
      <xdr:colOff>211667</xdr:colOff>
      <xdr:row>57</xdr:row>
      <xdr:rowOff>10583</xdr:rowOff>
    </xdr:from>
    <xdr:to>
      <xdr:col>7</xdr:col>
      <xdr:colOff>4810</xdr:colOff>
      <xdr:row>59</xdr:row>
      <xdr:rowOff>9140</xdr:rowOff>
    </xdr:to>
    <xdr:sp macro="" textlink="">
      <xdr:nvSpPr>
        <xdr:cNvPr id="36" name="Oval 35">
          <a:extLst>
            <a:ext uri="{FF2B5EF4-FFF2-40B4-BE49-F238E27FC236}">
              <a16:creationId xmlns:a16="http://schemas.microsoft.com/office/drawing/2014/main" id="{DABAFC15-6E0D-4C5C-994A-46CB2E1AFC61}"/>
            </a:ext>
          </a:extLst>
        </xdr:cNvPr>
        <xdr:cNvSpPr/>
      </xdr:nvSpPr>
      <xdr:spPr>
        <a:xfrm>
          <a:off x="3583517" y="9240308"/>
          <a:ext cx="402743" cy="32240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11</a:t>
          </a:r>
        </a:p>
      </xdr:txBody>
    </xdr:sp>
    <xdr:clientData/>
  </xdr:twoCellAnchor>
  <xdr:twoCellAnchor>
    <xdr:from>
      <xdr:col>1</xdr:col>
      <xdr:colOff>105833</xdr:colOff>
      <xdr:row>114</xdr:row>
      <xdr:rowOff>158749</xdr:rowOff>
    </xdr:from>
    <xdr:to>
      <xdr:col>29</xdr:col>
      <xdr:colOff>105833</xdr:colOff>
      <xdr:row>161</xdr:row>
      <xdr:rowOff>105832</xdr:rowOff>
    </xdr:to>
    <xdr:grpSp>
      <xdr:nvGrpSpPr>
        <xdr:cNvPr id="37" name="Group 36">
          <a:extLst>
            <a:ext uri="{FF2B5EF4-FFF2-40B4-BE49-F238E27FC236}">
              <a16:creationId xmlns:a16="http://schemas.microsoft.com/office/drawing/2014/main" id="{CB2BECBC-0B1C-4C39-922D-1A290F9062B3}"/>
            </a:ext>
          </a:extLst>
        </xdr:cNvPr>
        <xdr:cNvGrpSpPr/>
      </xdr:nvGrpSpPr>
      <xdr:grpSpPr>
        <a:xfrm>
          <a:off x="429683" y="18618199"/>
          <a:ext cx="17068800" cy="7557558"/>
          <a:chOff x="295275" y="104775"/>
          <a:chExt cx="16466666" cy="7066670"/>
        </a:xfrm>
      </xdr:grpSpPr>
      <xdr:pic>
        <xdr:nvPicPr>
          <xdr:cNvPr id="38" name="Picture 37">
            <a:extLst>
              <a:ext uri="{FF2B5EF4-FFF2-40B4-BE49-F238E27FC236}">
                <a16:creationId xmlns:a16="http://schemas.microsoft.com/office/drawing/2014/main" id="{E96DF9A8-D3B4-0B5B-8AE4-8B232AABE644}"/>
              </a:ext>
            </a:extLst>
          </xdr:cNvPr>
          <xdr:cNvPicPr>
            <a:picLocks noChangeAspect="1"/>
          </xdr:cNvPicPr>
        </xdr:nvPicPr>
        <xdr:blipFill>
          <a:blip xmlns:r="http://schemas.openxmlformats.org/officeDocument/2006/relationships" r:embed="rId2"/>
          <a:stretch>
            <a:fillRect/>
          </a:stretch>
        </xdr:blipFill>
        <xdr:spPr>
          <a:xfrm>
            <a:off x="295275" y="133350"/>
            <a:ext cx="16466666" cy="7038095"/>
          </a:xfrm>
          <a:prstGeom prst="rect">
            <a:avLst/>
          </a:prstGeom>
        </xdr:spPr>
      </xdr:pic>
      <xdr:sp macro="" textlink="">
        <xdr:nvSpPr>
          <xdr:cNvPr id="39" name="Oval 38">
            <a:extLst>
              <a:ext uri="{FF2B5EF4-FFF2-40B4-BE49-F238E27FC236}">
                <a16:creationId xmlns:a16="http://schemas.microsoft.com/office/drawing/2014/main" id="{2A04E2D2-DC6B-1DDB-0523-0166273F695F}"/>
              </a:ext>
            </a:extLst>
          </xdr:cNvPr>
          <xdr:cNvSpPr/>
        </xdr:nvSpPr>
        <xdr:spPr>
          <a:xfrm>
            <a:off x="3315469" y="104775"/>
            <a:ext cx="333375" cy="317500"/>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a:t>
            </a:r>
          </a:p>
        </xdr:txBody>
      </xdr:sp>
      <xdr:sp macro="" textlink="">
        <xdr:nvSpPr>
          <xdr:cNvPr id="40" name="Oval 39">
            <a:extLst>
              <a:ext uri="{FF2B5EF4-FFF2-40B4-BE49-F238E27FC236}">
                <a16:creationId xmlns:a16="http://schemas.microsoft.com/office/drawing/2014/main" id="{C25D12BC-100D-285A-EDAE-7F557DE3AAF7}"/>
              </a:ext>
            </a:extLst>
          </xdr:cNvPr>
          <xdr:cNvSpPr/>
        </xdr:nvSpPr>
        <xdr:spPr>
          <a:xfrm>
            <a:off x="3396864" y="4564205"/>
            <a:ext cx="330683" cy="298451"/>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32</a:t>
            </a:r>
          </a:p>
        </xdr:txBody>
      </xdr:sp>
      <xdr:sp macro="" textlink="">
        <xdr:nvSpPr>
          <xdr:cNvPr id="41" name="Oval 40">
            <a:extLst>
              <a:ext uri="{FF2B5EF4-FFF2-40B4-BE49-F238E27FC236}">
                <a16:creationId xmlns:a16="http://schemas.microsoft.com/office/drawing/2014/main" id="{49912CD6-8EBC-F68A-942E-23E560BAF337}"/>
              </a:ext>
            </a:extLst>
          </xdr:cNvPr>
          <xdr:cNvSpPr/>
        </xdr:nvSpPr>
        <xdr:spPr>
          <a:xfrm>
            <a:off x="4427008" y="4556412"/>
            <a:ext cx="329911" cy="317500"/>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4</a:t>
            </a:r>
          </a:p>
        </xdr:txBody>
      </xdr:sp>
      <xdr:sp macro="" textlink="">
        <xdr:nvSpPr>
          <xdr:cNvPr id="42" name="Oval 41">
            <a:extLst>
              <a:ext uri="{FF2B5EF4-FFF2-40B4-BE49-F238E27FC236}">
                <a16:creationId xmlns:a16="http://schemas.microsoft.com/office/drawing/2014/main" id="{D03AE41D-B6F7-8A7B-4313-CDD3BADCA5F1}"/>
              </a:ext>
            </a:extLst>
          </xdr:cNvPr>
          <xdr:cNvSpPr/>
        </xdr:nvSpPr>
        <xdr:spPr>
          <a:xfrm>
            <a:off x="3282564" y="2376630"/>
            <a:ext cx="330683" cy="298451"/>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32</a:t>
            </a:r>
          </a:p>
        </xdr:txBody>
      </xdr:sp>
      <xdr:sp macro="" textlink="">
        <xdr:nvSpPr>
          <xdr:cNvPr id="43" name="Oval 42">
            <a:extLst>
              <a:ext uri="{FF2B5EF4-FFF2-40B4-BE49-F238E27FC236}">
                <a16:creationId xmlns:a16="http://schemas.microsoft.com/office/drawing/2014/main" id="{9E58B197-6AD1-E90C-6A78-2B6EFE63BB08}"/>
              </a:ext>
            </a:extLst>
          </xdr:cNvPr>
          <xdr:cNvSpPr/>
        </xdr:nvSpPr>
        <xdr:spPr>
          <a:xfrm>
            <a:off x="3132763" y="719281"/>
            <a:ext cx="333375" cy="317500"/>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5</a:t>
            </a:r>
          </a:p>
        </xdr:txBody>
      </xdr:sp>
      <xdr:sp macro="" textlink="">
        <xdr:nvSpPr>
          <xdr:cNvPr id="44" name="Oval 43">
            <a:extLst>
              <a:ext uri="{FF2B5EF4-FFF2-40B4-BE49-F238E27FC236}">
                <a16:creationId xmlns:a16="http://schemas.microsoft.com/office/drawing/2014/main" id="{38F1FF20-145A-D9CB-A36F-4DBB2DC9E1CC}"/>
              </a:ext>
            </a:extLst>
          </xdr:cNvPr>
          <xdr:cNvSpPr/>
        </xdr:nvSpPr>
        <xdr:spPr>
          <a:xfrm>
            <a:off x="2847975" y="314612"/>
            <a:ext cx="329911" cy="317500"/>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2</a:t>
            </a:r>
          </a:p>
        </xdr:txBody>
      </xdr:sp>
      <xdr:sp macro="" textlink="">
        <xdr:nvSpPr>
          <xdr:cNvPr id="45" name="Oval 44">
            <a:extLst>
              <a:ext uri="{FF2B5EF4-FFF2-40B4-BE49-F238E27FC236}">
                <a16:creationId xmlns:a16="http://schemas.microsoft.com/office/drawing/2014/main" id="{AD892C2F-970C-4616-6CFE-8F5A7CBFD9C7}"/>
              </a:ext>
            </a:extLst>
          </xdr:cNvPr>
          <xdr:cNvSpPr/>
        </xdr:nvSpPr>
        <xdr:spPr>
          <a:xfrm>
            <a:off x="8016489" y="1090755"/>
            <a:ext cx="330683" cy="298451"/>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32</a:t>
            </a:r>
          </a:p>
        </xdr:txBody>
      </xdr:sp>
      <xdr:sp macro="" textlink="">
        <xdr:nvSpPr>
          <xdr:cNvPr id="46" name="Oval 45">
            <a:extLst>
              <a:ext uri="{FF2B5EF4-FFF2-40B4-BE49-F238E27FC236}">
                <a16:creationId xmlns:a16="http://schemas.microsoft.com/office/drawing/2014/main" id="{A16A45AF-0988-A9B3-DEAA-B905FA8ABED7}"/>
              </a:ext>
            </a:extLst>
          </xdr:cNvPr>
          <xdr:cNvSpPr/>
        </xdr:nvSpPr>
        <xdr:spPr>
          <a:xfrm>
            <a:off x="3228975" y="6210300"/>
            <a:ext cx="329911" cy="317500"/>
          </a:xfrm>
          <a:prstGeom prst="ellipse">
            <a:avLst/>
          </a:prstGeom>
          <a:solidFill>
            <a:schemeClr val="accent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4</a:t>
            </a:r>
          </a:p>
        </xdr:txBody>
      </xdr:sp>
    </xdr:grpSp>
    <xdr:clientData/>
  </xdr:twoCellAnchor>
  <xdr:twoCellAnchor>
    <xdr:from>
      <xdr:col>11</xdr:col>
      <xdr:colOff>52916</xdr:colOff>
      <xdr:row>86</xdr:row>
      <xdr:rowOff>10583</xdr:rowOff>
    </xdr:from>
    <xdr:to>
      <xdr:col>11</xdr:col>
      <xdr:colOff>395823</xdr:colOff>
      <xdr:row>88</xdr:row>
      <xdr:rowOff>32271</xdr:rowOff>
    </xdr:to>
    <xdr:sp macro="" textlink="">
      <xdr:nvSpPr>
        <xdr:cNvPr id="47" name="Oval 46">
          <a:extLst>
            <a:ext uri="{FF2B5EF4-FFF2-40B4-BE49-F238E27FC236}">
              <a16:creationId xmlns:a16="http://schemas.microsoft.com/office/drawing/2014/main" id="{6B7304C3-5084-4517-A71D-45620F3DB2F1}"/>
            </a:ext>
          </a:extLst>
        </xdr:cNvPr>
        <xdr:cNvSpPr/>
      </xdr:nvSpPr>
      <xdr:spPr>
        <a:xfrm>
          <a:off x="6472766" y="13936133"/>
          <a:ext cx="342907" cy="345538"/>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6</a:t>
          </a:r>
        </a:p>
      </xdr:txBody>
    </xdr:sp>
    <xdr:clientData/>
  </xdr:twoCellAnchor>
  <xdr:twoCellAnchor>
    <xdr:from>
      <xdr:col>16</xdr:col>
      <xdr:colOff>14111</xdr:colOff>
      <xdr:row>70</xdr:row>
      <xdr:rowOff>28222</xdr:rowOff>
    </xdr:from>
    <xdr:to>
      <xdr:col>16</xdr:col>
      <xdr:colOff>524551</xdr:colOff>
      <xdr:row>72</xdr:row>
      <xdr:rowOff>32422</xdr:rowOff>
    </xdr:to>
    <xdr:sp macro="" textlink="">
      <xdr:nvSpPr>
        <xdr:cNvPr id="48" name="Oval 47">
          <a:extLst>
            <a:ext uri="{FF2B5EF4-FFF2-40B4-BE49-F238E27FC236}">
              <a16:creationId xmlns:a16="http://schemas.microsoft.com/office/drawing/2014/main" id="{5921DE49-EEE9-4272-AE50-38806AD52EDA}"/>
            </a:ext>
          </a:extLst>
        </xdr:cNvPr>
        <xdr:cNvSpPr/>
      </xdr:nvSpPr>
      <xdr:spPr>
        <a:xfrm>
          <a:off x="9481961" y="11362972"/>
          <a:ext cx="510440" cy="328050"/>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800"/>
            <a:t>16A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22</xdr:col>
      <xdr:colOff>152400</xdr:colOff>
      <xdr:row>61</xdr:row>
      <xdr:rowOff>85725</xdr:rowOff>
    </xdr:to>
    <xdr:pic>
      <xdr:nvPicPr>
        <xdr:cNvPr id="4" name="Picture 3">
          <a:extLst>
            <a:ext uri="{FF2B5EF4-FFF2-40B4-BE49-F238E27FC236}">
              <a16:creationId xmlns:a16="http://schemas.microsoft.com/office/drawing/2014/main" id="{4347D7AD-8DF2-AA78-C79E-58671CA15E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1925"/>
          <a:ext cx="12954000" cy="9801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38939" name="Button 27" descr="Copy Last Year loss data to manual target setting sheet. ONLY USE WHEN LAST YEARS BASELIE NEEDS MANUAL CORRECTION (BASELINE CORRECTION NEEDS OPEX INVOLVEMENT)" hidden="1">
              <a:extLst>
                <a:ext uri="{63B3BB69-23CF-44E3-9099-C40C66FF867C}">
                  <a14:compatExt spid="_x0000_s38939"/>
                </a:ext>
                <a:ext uri="{FF2B5EF4-FFF2-40B4-BE49-F238E27FC236}">
                  <a16:creationId xmlns:a16="http://schemas.microsoft.com/office/drawing/2014/main" id="{00000000-0008-0000-0200-00001B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38944" name="Button 32" hidden="1">
              <a:extLst>
                <a:ext uri="{63B3BB69-23CF-44E3-9099-C40C66FF867C}">
                  <a14:compatExt spid="_x0000_s38944"/>
                </a:ext>
                <a:ext uri="{FF2B5EF4-FFF2-40B4-BE49-F238E27FC236}">
                  <a16:creationId xmlns:a16="http://schemas.microsoft.com/office/drawing/2014/main" id="{00000000-0008-0000-0200-000020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38947" name="Button 35" hidden="1">
              <a:extLst>
                <a:ext uri="{63B3BB69-23CF-44E3-9099-C40C66FF867C}">
                  <a14:compatExt spid="_x0000_s38947"/>
                </a:ext>
                <a:ext uri="{FF2B5EF4-FFF2-40B4-BE49-F238E27FC236}">
                  <a16:creationId xmlns:a16="http://schemas.microsoft.com/office/drawing/2014/main" id="{00000000-0008-0000-0200-00002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38969" name="Button 57" hidden="1">
              <a:extLst>
                <a:ext uri="{63B3BB69-23CF-44E3-9099-C40C66FF867C}">
                  <a14:compatExt spid="_x0000_s38969"/>
                </a:ext>
                <a:ext uri="{FF2B5EF4-FFF2-40B4-BE49-F238E27FC236}">
                  <a16:creationId xmlns:a16="http://schemas.microsoft.com/office/drawing/2014/main" id="{00000000-0008-0000-0200-000039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0</xdr:row>
          <xdr:rowOff>95250</xdr:rowOff>
        </xdr:from>
        <xdr:to>
          <xdr:col>8</xdr:col>
          <xdr:colOff>1466850</xdr:colOff>
          <xdr:row>3</xdr:row>
          <xdr:rowOff>133350</xdr:rowOff>
        </xdr:to>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300-00002D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4</xdr:row>
          <xdr:rowOff>38100</xdr:rowOff>
        </xdr:from>
        <xdr:to>
          <xdr:col>8</xdr:col>
          <xdr:colOff>1466850</xdr:colOff>
          <xdr:row>7</xdr:row>
          <xdr:rowOff>95250</xdr:rowOff>
        </xdr:to>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300-00002E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1533525</xdr:colOff>
          <xdr:row>4</xdr:row>
          <xdr:rowOff>28575</xdr:rowOff>
        </xdr:from>
        <xdr:to>
          <xdr:col>9</xdr:col>
          <xdr:colOff>1314450</xdr:colOff>
          <xdr:row>7</xdr:row>
          <xdr:rowOff>85725</xdr:rowOff>
        </xdr:to>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300-00003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25953" name="Button 1" descr="Copy Last Year loss data to manual target setting sheet. ONLY USE WHEN LAST YEARS BASELIE NEEDS MANUAL CORRECTION (BASELINE CORRECTION NEEDS OPEX INVOLVEMENT)" hidden="1">
              <a:extLst>
                <a:ext uri="{63B3BB69-23CF-44E3-9099-C40C66FF867C}">
                  <a14:compatExt spid="_x0000_s125953"/>
                </a:ext>
                <a:ext uri="{FF2B5EF4-FFF2-40B4-BE49-F238E27FC236}">
                  <a16:creationId xmlns:a16="http://schemas.microsoft.com/office/drawing/2014/main" id="{00000000-0008-0000-05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5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5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5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24929" name="Button 1" descr="Copy Last Year loss data to manual target setting sheet. ONLY USE WHEN LAST YEARS BASELIE NEEDS MANUAL CORRECTION (BASELINE CORRECTION NEEDS OPEX INVOLVEMENT)"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19809" name="Button 1" descr="Copy Last Year loss data to manual target setting sheet. ONLY USE WHEN LAST YEARS BASELIE NEEDS MANUAL CORRECTION (BASELINE CORRECTION NEEDS OPEX INVOLVEMENT)" hidden="1">
              <a:extLst>
                <a:ext uri="{63B3BB69-23CF-44E3-9099-C40C66FF867C}">
                  <a14:compatExt spid="_x0000_s119809"/>
                </a:ext>
                <a:ext uri="{FF2B5EF4-FFF2-40B4-BE49-F238E27FC236}">
                  <a16:creationId xmlns:a16="http://schemas.microsoft.com/office/drawing/2014/main" id="{00000000-0008-0000-0700-000001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00000000-0008-0000-0700-000002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19811" name="Button 3" hidden="1">
              <a:extLst>
                <a:ext uri="{63B3BB69-23CF-44E3-9099-C40C66FF867C}">
                  <a14:compatExt spid="_x0000_s119811"/>
                </a:ext>
                <a:ext uri="{FF2B5EF4-FFF2-40B4-BE49-F238E27FC236}">
                  <a16:creationId xmlns:a16="http://schemas.microsoft.com/office/drawing/2014/main" id="{00000000-0008-0000-0700-000003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19812" name="Button 4" hidden="1">
              <a:extLst>
                <a:ext uri="{63B3BB69-23CF-44E3-9099-C40C66FF867C}">
                  <a14:compatExt spid="_x0000_s119812"/>
                </a:ext>
                <a:ext uri="{FF2B5EF4-FFF2-40B4-BE49-F238E27FC236}">
                  <a16:creationId xmlns:a16="http://schemas.microsoft.com/office/drawing/2014/main" id="{00000000-0008-0000-0700-000004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20833" name="Button 1" descr="Copy Last Year loss data to manual target setting sheet. ONLY USE WHEN LAST YEARS BASELIE NEEDS MANUAL CORRECTION (BASELINE CORRECTION NEEDS OPEX INVOLVEMENT)" hidden="1">
              <a:extLst>
                <a:ext uri="{63B3BB69-23CF-44E3-9099-C40C66FF867C}">
                  <a14:compatExt spid="_x0000_s120833"/>
                </a:ext>
                <a:ext uri="{FF2B5EF4-FFF2-40B4-BE49-F238E27FC236}">
                  <a16:creationId xmlns:a16="http://schemas.microsoft.com/office/drawing/2014/main" id="{00000000-0008-0000-0800-000001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0800-000002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800-000003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0800-000004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22881" name="Button 1" descr="Copy Last Year loss data to manual target setting sheet. ONLY USE WHEN LAST YEARS BASELIE NEEDS MANUAL CORRECTION (BASELINE CORRECTION NEEDS OPEX INVOLVEMENT)" hidden="1">
              <a:extLst>
                <a:ext uri="{63B3BB69-23CF-44E3-9099-C40C66FF867C}">
                  <a14:compatExt spid="_x0000_s122881"/>
                </a:ext>
                <a:ext uri="{FF2B5EF4-FFF2-40B4-BE49-F238E27FC236}">
                  <a16:creationId xmlns:a16="http://schemas.microsoft.com/office/drawing/2014/main" id="{00000000-0008-0000-09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9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9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9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21857" name="Button 1" descr="Copy Last Year loss data to manual target setting sheet. ONLY USE WHEN LAST YEARS BASELIE NEEDS MANUAL CORRECTION (BASELINE CORRECTION NEEDS OPEX INVOLVEMENT)" hidden="1">
              <a:extLst>
                <a:ext uri="{63B3BB69-23CF-44E3-9099-C40C66FF867C}">
                  <a14:compatExt spid="_x0000_s121857"/>
                </a:ext>
                <a:ext uri="{FF2B5EF4-FFF2-40B4-BE49-F238E27FC236}">
                  <a16:creationId xmlns:a16="http://schemas.microsoft.com/office/drawing/2014/main" id="{00000000-0008-0000-0A00-000001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0A00-000002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A00-000003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21860" name="Button 4" hidden="1">
              <a:extLst>
                <a:ext uri="{63B3BB69-23CF-44E3-9099-C40C66FF867C}">
                  <a14:compatExt spid="_x0000_s121860"/>
                </a:ext>
                <a:ext uri="{FF2B5EF4-FFF2-40B4-BE49-F238E27FC236}">
                  <a16:creationId xmlns:a16="http://schemas.microsoft.com/office/drawing/2014/main" id="{00000000-0008-0000-0A00-000004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0</xdr:row>
          <xdr:rowOff>28575</xdr:rowOff>
        </xdr:from>
        <xdr:to>
          <xdr:col>9</xdr:col>
          <xdr:colOff>1476375</xdr:colOff>
          <xdr:row>3</xdr:row>
          <xdr:rowOff>76200</xdr:rowOff>
        </xdr:to>
        <xdr:sp macro="" textlink="">
          <xdr:nvSpPr>
            <xdr:cNvPr id="123905" name="Button 1" descr="Copy Last Year loss data to manual target setting sheet. ONLY USE WHEN LAST YEARS BASELIE NEEDS MANUAL CORRECTION (BASELINE CORRECTION NEEDS OPEX INVOLVEMENT)" hidden="1">
              <a:extLst>
                <a:ext uri="{63B3BB69-23CF-44E3-9099-C40C66FF867C}">
                  <a14:compatExt spid="_x0000_s123905"/>
                </a:ext>
                <a:ext uri="{FF2B5EF4-FFF2-40B4-BE49-F238E27FC236}">
                  <a16:creationId xmlns:a16="http://schemas.microsoft.com/office/drawing/2014/main" id="{00000000-0008-0000-0B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loss data to manual sheet (only for baseline correction)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238125</xdr:colOff>
          <xdr:row>0</xdr:row>
          <xdr:rowOff>57150</xdr:rowOff>
        </xdr:from>
        <xdr:to>
          <xdr:col>9</xdr:col>
          <xdr:colOff>0</xdr:colOff>
          <xdr:row>3</xdr:row>
          <xdr:rowOff>95250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B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Save in separate sheet and clear this template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4</xdr:row>
          <xdr:rowOff>0</xdr:rowOff>
        </xdr:from>
        <xdr:to>
          <xdr:col>8</xdr:col>
          <xdr:colOff>1571625</xdr:colOff>
          <xdr:row>7</xdr:row>
          <xdr:rowOff>57150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B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results line to result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152400</xdr:rowOff>
        </xdr:from>
        <xdr:to>
          <xdr:col>9</xdr:col>
          <xdr:colOff>1476375</xdr:colOff>
          <xdr:row>7</xdr:row>
          <xdr:rowOff>47625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B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152400</xdr:colOff>
      <xdr:row>0</xdr:row>
      <xdr:rowOff>152400</xdr:rowOff>
    </xdr:to>
    <xdr:pic>
      <xdr:nvPicPr>
        <xdr:cNvPr id="2" name="Picture 4" descr="​xlsx icon">
          <a:extLst>
            <a:ext uri="{FF2B5EF4-FFF2-40B4-BE49-F238E27FC236}">
              <a16:creationId xmlns:a16="http://schemas.microsoft.com/office/drawing/2014/main" id="{19B85412-2955-48BC-9BA3-E20AAF305722}"/>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1009650" y="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152400</xdr:colOff>
      <xdr:row>1</xdr:row>
      <xdr:rowOff>152400</xdr:rowOff>
    </xdr:to>
    <xdr:pic>
      <xdr:nvPicPr>
        <xdr:cNvPr id="2" name="Picture 4" descr="​xlsx icon">
          <a:extLst>
            <a:ext uri="{FF2B5EF4-FFF2-40B4-BE49-F238E27FC236}">
              <a16:creationId xmlns:a16="http://schemas.microsoft.com/office/drawing/2014/main" id="{2A737DD1-C354-57CE-8673-38DCEDDFA09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2638425" y="1447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0</xdr:rowOff>
    </xdr:from>
    <xdr:to>
      <xdr:col>1</xdr:col>
      <xdr:colOff>152400</xdr:colOff>
      <xdr:row>0</xdr:row>
      <xdr:rowOff>152400</xdr:rowOff>
    </xdr:to>
    <xdr:pic>
      <xdr:nvPicPr>
        <xdr:cNvPr id="3" name="Picture 4" descr="​xlsx icon">
          <a:extLst>
            <a:ext uri="{FF2B5EF4-FFF2-40B4-BE49-F238E27FC236}">
              <a16:creationId xmlns:a16="http://schemas.microsoft.com/office/drawing/2014/main" id="{E30C89AC-5800-CE7A-A8F4-190E2E22783B}"/>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09650" y="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hilipse\AppData\Local\Microsoft\Windows\INetCache\Content.Outlook\2YB1QBKF\Copy%20of%20OEE%20Target%20setting%20model%202025%20-%20final.v2.xlsm" TargetMode="External"/><Relationship Id="rId1" Type="http://schemas.openxmlformats.org/officeDocument/2006/relationships/externalLinkPath" Target="file:///C:\Users\philipse\AppData\Local\Microsoft\Windows\INetCache\Content.Outlook\2YB1QBKF\Copy%20of%20OEE%20Target%20setting%20model%202025%20-%20final.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FlowChart"/>
      <sheetName val="OEE target setting Tool"/>
      <sheetName val="OEE target setting (manual)"/>
      <sheetName val="Results"/>
      <sheetName val="Version management"/>
      <sheetName val="Table OEE"/>
      <sheetName val="Table normalized OEE"/>
      <sheetName val="Table Categories"/>
      <sheetName val="EMEA SD plan"/>
      <sheetName val="EMEA TA plan"/>
      <sheetName val="Playbook Matrix"/>
      <sheetName val="Copy of OEE Target setting mode"/>
    </sheetNames>
    <sheetDataSet>
      <sheetData sheetId="0"/>
      <sheetData sheetId="1"/>
      <sheetData sheetId="2"/>
      <sheetData sheetId="3"/>
      <sheetData sheetId="4"/>
      <sheetData sheetId="5"/>
      <sheetData sheetId="6"/>
      <sheetData sheetId="7"/>
      <sheetData sheetId="8"/>
      <sheetData sheetId="9"/>
      <sheetData sheetId="10"/>
      <sheetData sheetId="11">
        <row r="26">
          <cell r="C26">
            <v>0.1</v>
          </cell>
        </row>
        <row r="27">
          <cell r="C27">
            <v>0.1</v>
          </cell>
        </row>
      </sheetData>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LEMAIRE, D.L. (David)" id="{39D85505-ACFA-444A-9143-8CB83888BACB}" userId="S::david.lemaire@nouryon.com::a69e37c4-0ce7-4981-9099-46d054f8dfd8" providerId="AD"/>
  <person displayName="Silfver, P.S. (Peter)" id="{8FC78694-A369-4167-8F96-586E2C4F9C4D}" userId="S::peter.silfver@nouryon.com::70018167-fa05-4685-b334-634fd09ede5e" providerId="AD"/>
  <person displayName="Zoletto, P. (Paolo)" id="{771D44C6-6D94-42FB-9136-7E00EF3951EF}" userId="S::zoletto.paolo@nouryon.com::3fcec510-f155-4ad5-ae97-1e853a7e7a1b" providerId="AD"/>
  <person displayName="Olofsson, B. (Börje)" id="{808AF86D-418A-4DAB-960E-84A00F863616}" userId="S::borje.olofsson@nouryon.com::ff13efd9-1d4b-4690-9557-00036263e7e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47F45E-8C15-4C4A-8463-1E1E51CD4374}" name="Table1012912" displayName="Table1012912" ref="A47:G51" totalsRowShown="0" headerRowDxfId="413" headerRowBorderDxfId="412">
  <autoFilter ref="A47:G51" xr:uid="{43306A0F-0621-41AC-BBEC-1F93CB244A26}"/>
  <tableColumns count="7">
    <tableColumn id="1" xr3:uid="{28A922A0-2978-4869-B326-88D038DAB9F9}" name="Overview KPI's" dataDxfId="411"/>
    <tableColumn id="2" xr3:uid="{5C34BE99-CCFA-4A34-895A-5DE4D5411E7A}" name="Actual 2024" dataDxfId="410" dataCellStyle="Percent"/>
    <tableColumn id="3" xr3:uid="{7A4956FF-0F62-47FA-89B5-9E93BFF56B95}" name="Actual 2024 incl Exceptions"/>
    <tableColumn id="8" xr3:uid="{93BD02B3-6D04-4C8D-B180-7E5919456324}" name="Normalized 2024"/>
    <tableColumn id="4" xr3:uid="{DFFA5511-3C3B-4462-919D-F9AD042E6109}" name="Target Setting Baseline" dataDxfId="409" dataCellStyle="Percent"/>
    <tableColumn id="5" xr3:uid="{C05BE7F0-6D68-4994-A8CE-B0142459C8C2}" name="Target 2025" dataDxfId="408" dataCellStyle="Percent"/>
    <tableColumn id="6" xr3:uid="{780B2366-587C-4837-AFFB-AD42263254B3}" name="Remarks" dataDxfId="407"/>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6AAC580-1AE4-4DAD-8B1E-6B820AAD7E31}" name="Table101291210" displayName="Table101291210" ref="A47:G51" totalsRowShown="0" headerRowDxfId="369" headerRowBorderDxfId="368">
  <autoFilter ref="A47:G51" xr:uid="{43306A0F-0621-41AC-BBEC-1F93CB244A26}"/>
  <tableColumns count="7">
    <tableColumn id="1" xr3:uid="{ACCABFEB-1E1E-4C09-B0B4-C9B81FDFF171}" name="Overview KPI's" dataDxfId="367"/>
    <tableColumn id="2" xr3:uid="{6207D4A8-234B-4531-85E2-6F10BEC099F9}" name="Actual 2024" dataDxfId="366" dataCellStyle="Percent"/>
    <tableColumn id="3" xr3:uid="{82DDFBF6-16BE-40D8-ACC4-6584FE1A7159}" name="Actual 2024 incl Exceptions"/>
    <tableColumn id="8" xr3:uid="{B6D4172D-B94E-4EC2-A6C7-FDEC41AF891C}" name="Normalized 2024"/>
    <tableColumn id="4" xr3:uid="{C1109388-4DB3-4457-8802-6F12F4BCE278}" name="Target Setting Baseline" dataDxfId="365" dataCellStyle="Percent"/>
    <tableColumn id="5" xr3:uid="{3F1C3BF4-486B-4D28-8AE5-3E51F735EBAB}" name="Target 2025" dataDxfId="364" dataCellStyle="Percent"/>
    <tableColumn id="6" xr3:uid="{FC4BB12F-2623-4C20-B0C9-0B2E59AE11C3}" name="Remarks" dataDxfId="363"/>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F5ED6AB-BD18-421A-B855-191A013D0261}" name="Table101291221" displayName="Table101291221" ref="A47:G51" totalsRowShown="0" headerRowDxfId="327" headerRowBorderDxfId="326">
  <autoFilter ref="A47:G51" xr:uid="{43306A0F-0621-41AC-BBEC-1F93CB244A26}"/>
  <tableColumns count="7">
    <tableColumn id="1" xr3:uid="{0F832DA2-3679-402C-BB7B-FFA3C0738E76}" name="Overview KPI's" dataDxfId="325"/>
    <tableColumn id="2" xr3:uid="{A853F507-23ED-46E1-ACB1-24624713B660}" name="Actual 2024" dataDxfId="324" dataCellStyle="Percent"/>
    <tableColumn id="3" xr3:uid="{B99078CA-A242-42AC-B2B9-6F5E99147EEF}" name="Actual 2024 incl Exceptions"/>
    <tableColumn id="8" xr3:uid="{840382B5-42C1-40F5-B449-B5E6B352DEA6}" name="Normalized 2024"/>
    <tableColumn id="4" xr3:uid="{B991F7CA-CA65-44BC-B009-A655CFF4B8BD}" name="Target Setting Baseline" dataDxfId="323" dataCellStyle="Percent"/>
    <tableColumn id="5" xr3:uid="{B3FDEDBE-7DFA-45C7-9FA1-9B3CEE5C0921}" name="Target 2025" dataDxfId="322" dataCellStyle="Percent"/>
    <tableColumn id="6" xr3:uid="{214548C9-C662-4FC1-8BE4-52D632B710BF}" name="Remarks" dataDxfId="321"/>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54CFCA0-BD26-4574-ADCD-CE8488858CC6}" name="Table101291220" displayName="Table101291220" ref="A47:G51" totalsRowShown="0" headerRowDxfId="285" headerRowBorderDxfId="284">
  <autoFilter ref="A47:G51" xr:uid="{43306A0F-0621-41AC-BBEC-1F93CB244A26}"/>
  <tableColumns count="7">
    <tableColumn id="1" xr3:uid="{0A7AEC88-E7C2-4718-864C-ED3F556FA410}" name="Overview KPI's" dataDxfId="283"/>
    <tableColumn id="2" xr3:uid="{190CB34A-B1C8-47AF-80DD-29C804A7FB90}" name="Actual 2024" dataDxfId="282" dataCellStyle="Percent"/>
    <tableColumn id="3" xr3:uid="{5466976E-ABBF-4C51-991D-2CF9847E1B2D}" name="Actual 2024 incl Exceptions"/>
    <tableColumn id="8" xr3:uid="{D21BD4EF-3BAF-4C0D-9D7F-51BBD1C34A73}" name="Normalized 2024"/>
    <tableColumn id="4" xr3:uid="{EFFF9B02-37DC-4E35-953F-770DC7D06CFC}" name="Target Setting Baseline" dataDxfId="281" dataCellStyle="Percent"/>
    <tableColumn id="5" xr3:uid="{4A1E1EAD-4FD2-4FEF-856B-5633644E0652}" name="Target 2025" dataDxfId="280" dataCellStyle="Percent"/>
    <tableColumn id="6" xr3:uid="{B3DCF8BB-62D0-4D9F-B912-E4C82AA68B05}" name="Remarks" dataDxfId="279"/>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B4325ED-C57B-44E4-89B1-901681696891}" name="Table101291215" displayName="Table101291215" ref="A47:G51" totalsRowShown="0" headerRowDxfId="243" headerRowBorderDxfId="242">
  <autoFilter ref="A47:G51" xr:uid="{43306A0F-0621-41AC-BBEC-1F93CB244A26}"/>
  <tableColumns count="7">
    <tableColumn id="1" xr3:uid="{2E9E6C18-44F1-4D04-8E31-F38EBD08897D}" name="Overview KPI's" dataDxfId="241"/>
    <tableColumn id="2" xr3:uid="{F5D42FCF-0FB2-4A6B-8E59-D83E987A6455}" name="Actual 2024" dataDxfId="240" dataCellStyle="Percent"/>
    <tableColumn id="3" xr3:uid="{8882424B-67C5-49BE-B57F-D06727512B1F}" name="Actual 2024 incl Exceptions"/>
    <tableColumn id="8" xr3:uid="{C4EE1042-CBB0-41DE-A022-768E2E42A73D}" name="Normalized 2024"/>
    <tableColumn id="4" xr3:uid="{58578600-42F5-41D6-B95C-7771AF87AD99}" name="Target Setting Baseline" dataDxfId="239" dataCellStyle="Percent"/>
    <tableColumn id="5" xr3:uid="{9A1FE7A3-BAAF-47B2-9081-917EB826DCA0}" name="Target 2025" dataDxfId="238" dataCellStyle="Percent"/>
    <tableColumn id="6" xr3:uid="{EE68A029-C043-41BD-9E94-C6AFAD731376}" name="Remarks" dataDxfId="237"/>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3AADC4D-F146-454F-9CEC-F26E65892163}" name="Table101291216" displayName="Table101291216" ref="A47:G51" totalsRowShown="0" headerRowDxfId="201" headerRowBorderDxfId="200">
  <autoFilter ref="A47:G51" xr:uid="{43306A0F-0621-41AC-BBEC-1F93CB244A26}"/>
  <tableColumns count="7">
    <tableColumn id="1" xr3:uid="{AE5A54BB-EEC0-430B-A141-1F328DC0C3A2}" name="Overview KPI's" dataDxfId="199"/>
    <tableColumn id="2" xr3:uid="{36F3769E-4B1F-4E11-A9E0-5008B358FDA7}" name="Actual 2024" dataDxfId="198" dataCellStyle="Percent"/>
    <tableColumn id="3" xr3:uid="{6F4F3528-BAE6-4F32-86DA-A1E173D3BC13}" name="Actual 2024 incl Exceptions"/>
    <tableColumn id="8" xr3:uid="{D9359F21-A273-45B5-9108-70ADE3280948}" name="Normalized 2024"/>
    <tableColumn id="4" xr3:uid="{42019556-E302-4054-9A6D-01D8BD569D63}" name="Target Setting Baseline" dataDxfId="197" dataCellStyle="Percent"/>
    <tableColumn id="5" xr3:uid="{4CB17D91-B843-404D-9F8E-68C279469EDB}" name="Target 2025" dataDxfId="196" dataCellStyle="Percent"/>
    <tableColumn id="6" xr3:uid="{25A1588C-54BC-44C2-9710-8100220262C0}" name="Remarks" dataDxfId="195"/>
  </tableColumns>
  <tableStyleInfo name="TableStyleLight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FB1256B-C3FE-44CE-A1BB-AD1E3897264B}" name="Table101291218" displayName="Table101291218" ref="A47:G51" totalsRowShown="0" headerRowDxfId="159" headerRowBorderDxfId="158">
  <autoFilter ref="A47:G51" xr:uid="{43306A0F-0621-41AC-BBEC-1F93CB244A26}"/>
  <tableColumns count="7">
    <tableColumn id="1" xr3:uid="{B865D099-B5E9-402A-A90B-8B0968D32A9B}" name="Overview KPI's" dataDxfId="157"/>
    <tableColumn id="2" xr3:uid="{0681385B-9017-41D3-8AC6-8C5DDB370A97}" name="Actual 2024" dataDxfId="156" dataCellStyle="Percent"/>
    <tableColumn id="3" xr3:uid="{D193665A-2A94-4038-8E71-8C6E7B6817E3}" name="Actual 2024 incl Exceptions"/>
    <tableColumn id="8" xr3:uid="{5F5C9139-2B6F-4917-9A48-F6B0A8791AE8}" name="Normalized 2024"/>
    <tableColumn id="4" xr3:uid="{A75040C6-2D15-4BE3-8792-946986C6FD10}" name="Target Setting Baseline" dataDxfId="155" dataCellStyle="Percent"/>
    <tableColumn id="5" xr3:uid="{85F617EC-044B-4B8D-B41A-F3065C438980}" name="Target 2025" dataDxfId="154" dataCellStyle="Percent"/>
    <tableColumn id="6" xr3:uid="{56594607-EE63-4A8D-B91D-5DBE090BA634}" name="Remarks" dataDxfId="153"/>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9B89E65-B2FB-43D4-8C28-BC77E1DF37BB}" name="Table101291217" displayName="Table101291217" ref="A47:G51" totalsRowShown="0" headerRowDxfId="117" headerRowBorderDxfId="116">
  <autoFilter ref="A47:G51" xr:uid="{43306A0F-0621-41AC-BBEC-1F93CB244A26}"/>
  <tableColumns count="7">
    <tableColumn id="1" xr3:uid="{23A27972-3A85-427E-BC89-3C8C23646B18}" name="Overview KPI's" dataDxfId="115"/>
    <tableColumn id="2" xr3:uid="{F9F7CD43-7F16-4AFE-B1E4-912EAAAD8E11}" name="Actual 2024" dataDxfId="114" dataCellStyle="Percent"/>
    <tableColumn id="3" xr3:uid="{59BF5B87-3424-4C8F-BA9B-B57E8DDDD79C}" name="Actual 2024 incl Exceptions"/>
    <tableColumn id="8" xr3:uid="{5D3073E5-621C-4A83-986F-F699CB7ED5E3}" name="Normalized 2024"/>
    <tableColumn id="4" xr3:uid="{C920BA30-40E4-4758-9924-56D6F74814B9}" name="Target Setting Baseline" dataDxfId="113" dataCellStyle="Percent"/>
    <tableColumn id="5" xr3:uid="{3E539250-636D-4F27-8B93-898B98EC32D4}" name="Target 2025" dataDxfId="112" dataCellStyle="Percent"/>
    <tableColumn id="6" xr3:uid="{A57D35BA-C76B-4CD7-AEF8-946A32483293}" name="Remarks" dataDxfId="111"/>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AC85829-C3FB-4D69-9683-B780C8E099C6}" name="Table101291219" displayName="Table101291219" ref="A47:G51" totalsRowShown="0" headerRowDxfId="75" headerRowBorderDxfId="74">
  <autoFilter ref="A47:G51" xr:uid="{43306A0F-0621-41AC-BBEC-1F93CB244A26}"/>
  <tableColumns count="7">
    <tableColumn id="1" xr3:uid="{23C5164F-AFEC-4E1E-9CB7-6EEE5298F8A1}" name="Overview KPI's" dataDxfId="73"/>
    <tableColumn id="2" xr3:uid="{FB87396E-FF7A-46B7-9316-37D5C0C5D926}" name="Actual 2024" dataDxfId="72" dataCellStyle="Percent"/>
    <tableColumn id="3" xr3:uid="{C992DB68-021F-4491-A582-D48FE2F562E9}" name="Actual 2024 incl Exceptions"/>
    <tableColumn id="8" xr3:uid="{51D3FA47-5066-405F-B0F8-C1E0442BDB12}" name="Normalized 2024"/>
    <tableColumn id="4" xr3:uid="{83CEC8B5-7C3E-4B52-8702-D5A86A284BF2}" name="Target Setting Baseline" dataDxfId="71" dataCellStyle="Percent"/>
    <tableColumn id="5" xr3:uid="{48AE9FAA-41FC-4C5D-9EB0-6BACFF5BB904}" name="Target 2025" dataDxfId="70" dataCellStyle="Percent"/>
    <tableColumn id="6" xr3:uid="{F73B7A30-D0AA-440D-98FA-745F6D82276A}" name="Remarks" dataDxfId="69"/>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5CCE973-DA1D-4EBB-ADFC-395E985817A5}" name="Table1" displayName="Table1" ref="A3:S216">
  <autoFilter ref="A3:S216" xr:uid="{00000000-0009-0000-0100-000001000000}"/>
  <tableColumns count="19">
    <tableColumn id="1" xr3:uid="{E44D069A-C6D7-4650-ACE2-8A04331A7FB9}" name="SiteName"/>
    <tableColumn id="2" xr3:uid="{8E3F97E8-F19D-4802-9CA6-E3EC8B60DEFE}" name="Unit"/>
    <tableColumn id="3" xr3:uid="{8F30FE09-8C7B-4089-B4D5-765AB521F148}" name="LastYear Normalized OEE%"/>
    <tableColumn id="4" xr3:uid="{F9F3CAA4-AFDA-4571-852F-CF84B4D03B21}" name="OEE Target (50%STI)"/>
    <tableColumn id="5" xr3:uid="{5F325416-EC27-4DE6-BBAE-644C43257C52}" name="STI OEE Target Site Level"/>
    <tableColumn id="6" xr3:uid="{B1C833A9-7CCD-44BE-8E27-E6274F534BB6}" name="OEE Target (200% STI)"/>
    <tableColumn id="7" xr3:uid="{B6E969E2-A0F6-40B2-8D02-6CF2280D7E88}" name="YTD OEE"/>
    <tableColumn id="8" xr3:uid="{F0E3A529-48A1-4EB0-AB6D-0D536237BB2E}" name="Loss Hours Exclusion"/>
    <tableColumn id="9" xr3:uid="{158A42A4-D3A7-4B38-8C1C-29039494A096}" name="YTD OEE Corrected"/>
    <tableColumn id="10" xr3:uid="{1A559809-1514-4963-98B1-6DCF1A30DC00}" name="STI OEE Outcome"/>
    <tableColumn id="11" xr3:uid="{A4EF3523-CDFB-467C-917D-7AC82BB33BE2}" name="STI Outcome Unit Level Corrected"/>
    <tableColumn id="12" xr3:uid="{D348499B-5727-45AF-AE8D-39D0768A4227}" name="STI Weight Site Level"/>
    <tableColumn id="13" xr3:uid="{8308A092-C8C3-4DCA-9BA1-28CE9817EC4C}" name="Unspecified Pct YTD Floor 1 digit"/>
    <tableColumn id="14" xr3:uid="{08FB3E33-9595-4BFE-8B59-BCF098606BDA}" name="Undetected Loss% YTD"/>
    <tableColumn id="15" xr3:uid="{B05B72EF-3696-49B0-A306-5461EF92B65F}" name="STI Qualifier"/>
    <tableColumn id="16" xr3:uid="{0D869953-8DDF-4D65-B51D-95318E7AEB69}" name="STI Outcome Site Level"/>
    <tableColumn id="17" xr3:uid="{0997263F-9C1F-4E54-B49A-173CB200B00B}" name="STI Outcome Corrected Site Level"/>
    <tableColumn id="18" xr3:uid="{E2583200-0063-4E0D-B101-B59517974C18}" name="Unit2">
      <calculatedColumnFormula>IF(RIGHT(Table1[[#This Row],[Unit]],1)="*",LEFT(Table1[[#This Row],[Unit]],LEN(Table1[[#This Row],[Unit]])-1),Table1[[#This Row],[Unit]])</calculatedColumnFormula>
    </tableColumn>
    <tableColumn id="19" xr3:uid="{DC9D1BA4-E5DF-4627-A817-B3C0FE5F7D91}" name="Unit3">
      <calculatedColumnFormula>IF(RIGHT(Table1[[#This Row],[Unit2]],1)="☆",LEFT(Table1[[#This Row],[Unit2]],LEN(Table1[[#This Row],[Unit2]])-1),Table1[[#This Row],[Unit2]])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8841848-ADD6-4ED8-A8AD-56A71A9717E0}" name="TableOEE" displayName="TableOEE" ref="A2:Z343" headerRowDxfId="68">
  <autoFilter ref="A2:Z343" xr:uid="{CB6D993B-15D1-474C-93D6-2BAF4063202A}"/>
  <sortState xmlns:xlrd2="http://schemas.microsoft.com/office/spreadsheetml/2017/richdata2" ref="A3:Z343">
    <sortCondition ref="B2:B343"/>
  </sortState>
  <tableColumns count="26">
    <tableColumn id="1" xr3:uid="{6173F179-2B44-4C7D-8500-F2C391FF95DF}" name="Plant"/>
    <tableColumn id="2" xr3:uid="{41BF72F3-D80A-4D7F-9A89-DE58655736EE}" name="Unit"/>
    <tableColumn id="3" xr3:uid="{7B97A345-7A15-44C0-99F3-702F6C3D3DF0}" name="Unit Type"/>
    <tableColumn id="5" xr3:uid="{B15205E3-DEE2-4743-86F1-5D37460DDBD5}" name="OAU" dataDxfId="67" dataCellStyle="Percent"/>
    <tableColumn id="6" xr3:uid="{B1B5D8EB-77F6-4EF2-8E01-DCA77C919D0D}" name="Utilization" dataDxfId="66" dataCellStyle="Percent"/>
    <tableColumn id="50" xr3:uid="{EECAEE2E-9B94-46B1-A6C8-22D1D704DBEA}" name="OEE" dataDxfId="65" dataCellStyle="Percent"/>
    <tableColumn id="49" xr3:uid="{E29BB1F9-22CC-41A5-965C-04A2D84BF67D}" name="OEELastYear" dataDxfId="64" dataCellStyle="Percent"/>
    <tableColumn id="48" xr3:uid="{1E370D1E-3709-4A7B-912D-EFEA9E2C8476}" name="LastYear Normalized OEE" dataDxfId="63" dataCellStyle="Percent"/>
    <tableColumn id="9" xr3:uid="{6363F0FD-CDC8-477F-8FA8-D85FC492D943}" name="Commercial Loss" dataDxfId="62" dataCellStyle="Percent"/>
    <tableColumn id="12" xr3:uid="{9F44C44F-604A-4A66-8EA1-9BF57219D8F1}" name="Plan Factor" dataDxfId="61" dataCellStyle="Percent"/>
    <tableColumn id="15" xr3:uid="{12B555F9-F38E-4B0E-BF11-A99FE6D7789D}" name="Sum of MACInHours" dataDxfId="60" dataCellStyle="Comma"/>
    <tableColumn id="16" xr3:uid="{7D4B56FA-C421-4013-B807-B9122BF74B07}" name="Sum of ComercialLossInHours" dataDxfId="59" dataCellStyle="Comma"/>
    <tableColumn id="17" xr3:uid="{B7C26E9A-B415-4F88-B016-623E8F33E14C}" name="Sum of Planned Maintenance Hours" dataDxfId="58" dataCellStyle="Comma"/>
    <tableColumn id="32" xr3:uid="{E3580D62-4B6F-4879-B26A-58B5EA7A6F28}" name="Sum of Planned Shutdown Hours" dataDxfId="57" dataCellStyle="Comma"/>
    <tableColumn id="31" xr3:uid="{B2B34008-910B-4D6A-B7C0-D9C8BC45CC91}" name="Sum of Planned Turnaround Hours" dataDxfId="56" dataCellStyle="Comma"/>
    <tableColumn id="30" xr3:uid="{FD18B833-14E2-45EA-B9B1-8EDA3240864B}" name="Sum of AvailableInHours" dataDxfId="55" dataCellStyle="Comma"/>
    <tableColumn id="29" xr3:uid="{D5505C63-71A2-4521-953E-5035E5144924}" name="Sum of LossInHoursOEE" dataDxfId="54" dataCellStyle="Comma"/>
    <tableColumn id="28" xr3:uid="{2EF72B9F-5B1F-4AD5-AFE4-B78A68E93F2D}" name="Sum of ActualInHours" dataDxfId="53" dataCellStyle="Comma"/>
    <tableColumn id="51" xr3:uid="{2798768F-AD3F-4206-8F1F-724992E83127}" name="Sum of UndetectedInHours" dataDxfId="52" dataCellStyle="Comma"/>
    <tableColumn id="52" xr3:uid="{C15B79CA-89A2-43CC-B063-8020C5F6B751}" name="PaceMakerUnit" dataDxfId="51" dataCellStyle="Comma"/>
    <tableColumn id="21" xr3:uid="{C832A74B-9D0E-40D3-ABE1-BCF25544E1CD}" name="ConstrainedUnit" dataDxfId="50"/>
    <tableColumn id="33" xr3:uid="{13C40C6A-7B43-4B31-8693-00F1D2324380}" name="IsCriticalUnit" dataDxfId="49"/>
    <tableColumn id="20" xr3:uid="{83C2D3B4-10DB-4117-B2A5-A60AC249AEFB}" name="IsSTIUnit" dataDxfId="48"/>
    <tableColumn id="39" xr3:uid="{4A9D26FC-D4AB-4680-8804-BB2FB0F7E772}" name="Is Outlier"/>
    <tableColumn id="54" xr3:uid="{13479CB0-41E2-4C90-840F-C4942FC708B4}" name="PUDescC"/>
    <tableColumn id="53" xr3:uid="{FE64D7A7-CC0E-4203-9409-B95C5CABF86D}" name="Count of id"/>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1F609E-2F1D-43F2-8B80-D71A2068A3C1}" name="TableOEEnormalized" displayName="TableOEEnormalized" ref="A2:G323" headerRowDxfId="47">
  <autoFilter ref="A2:G323" xr:uid="{CB6D993B-15D1-474C-93D6-2BAF4063202A}"/>
  <sortState xmlns:xlrd2="http://schemas.microsoft.com/office/spreadsheetml/2017/richdata2" ref="A3:G322">
    <sortCondition sortBy="cellColor" ref="B2:B322" dxfId="46"/>
  </sortState>
  <tableColumns count="7">
    <tableColumn id="1" xr3:uid="{4CFA049B-BE25-4577-A569-6DA63BCD08A5}" name="Plant"/>
    <tableColumn id="2" xr3:uid="{2C5EA053-0A4F-4AD8-AF88-676A6186A3FF}" name="Unit"/>
    <tableColumn id="3" xr3:uid="{1FC1477B-E5E3-4B5C-949D-0896157B7EDC}" name="Unit Type"/>
    <tableColumn id="4" xr3:uid="{541C6C2A-D5B2-4B56-907D-43235DF0C793}" name="LastYear Normalized OEE" dataDxfId="45" dataCellStyle="Percent"/>
    <tableColumn id="5" xr3:uid="{E132EB82-04DD-4257-B3A7-BB75E5DA56F9}" name="LastYear Normalized OAU" dataDxfId="44" dataCellStyle="Percent"/>
    <tableColumn id="6" xr3:uid="{F482A76E-B023-485C-938A-3D3834610CAE}" name="LastYear Normalized Utilization" dataDxfId="43" dataCellStyle="Percent"/>
    <tableColumn id="7" xr3:uid="{EE6B1829-D75B-4662-AF2A-0253254B8A42}" name="NormalizedOEE" dataDxfId="42" dataCellStyle="Perce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B21483-8E49-47CD-A323-240590E50D05}" name="TableCategories" displayName="TableCategories" ref="A2:K344" totalsRowShown="0" dataDxfId="40" headerRowBorderDxfId="41">
  <autoFilter ref="A2:K344" xr:uid="{20B60B72-0254-4CAA-9B49-F494CB381E96}"/>
  <sortState xmlns:xlrd2="http://schemas.microsoft.com/office/spreadsheetml/2017/richdata2" ref="A3:K334">
    <sortCondition sortBy="cellColor" ref="A2:A334" dxfId="39"/>
  </sortState>
  <tableColumns count="11">
    <tableColumn id="1" xr3:uid="{356F234C-69DC-4565-BC56-3557A807774B}" name="Row Labels" dataDxfId="38"/>
    <tableColumn id="2" xr3:uid="{F6234A36-4D4A-45EE-8450-EF589FAF6997}" name="Commercial Reliability" dataDxfId="37" dataCellStyle="Comma"/>
    <tableColumn id="3" xr3:uid="{B15AFA91-5D2E-4A64-BFB3-FA8614A3413E}" name="Equipment Reliability" dataDxfId="36" dataCellStyle="Comma"/>
    <tableColumn id="4" xr3:uid="{29AC8224-4BE6-48FA-8C9D-0F3E4D9CDD69}" name="External Reliability" dataDxfId="35" dataCellStyle="Comma"/>
    <tableColumn id="5" xr3:uid="{0D4FD7B2-B014-4C7E-B5E5-95C88D90FBE2}" name="Logistics/Supply Reliability" dataDxfId="34" dataCellStyle="Comma"/>
    <tableColumn id="6" xr3:uid="{08882708-C08B-4A18-B89D-D029ABAFDB8A}" name="Material Reliability" dataDxfId="33" dataCellStyle="Comma"/>
    <tableColumn id="7" xr3:uid="{981EDDCF-6B9B-46F4-B32A-92FE93841E96}" name="Operational Reliability" dataDxfId="32" dataCellStyle="Comma"/>
    <tableColumn id="8" xr3:uid="{C1801591-EE32-4CC9-AD75-1C11CD9E4FDB}" name="Other Reliability" dataDxfId="31" dataCellStyle="Comma"/>
    <tableColumn id="9" xr3:uid="{FA957278-6991-420D-927C-115B00833CFC}" name="Technology Reliability" dataDxfId="30" dataCellStyle="Comma"/>
    <tableColumn id="10" xr3:uid="{C0FE19CE-6DB6-4579-939C-D425C37F9E55}" name="Unspecified" dataDxfId="29" dataCellStyle="Comma"/>
    <tableColumn id="11" xr3:uid="{7150A543-B706-4AC1-937A-11F3C0B8FF47}" name="Grand Total" dataDxfId="28" dataCellStyle="Comma">
      <calculatedColumnFormula>SUM(TableCategories[[#This Row],[Commercial Reliability]:[Unspecified]])</calculatedColumnFormula>
    </tableColumn>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10D458A-B179-4A93-80F2-8CFA1CAF3F0B}" name="Table12" displayName="Table12" ref="A1:F149" totalsRowShown="0" dataDxfId="26" tableBorderDxfId="25">
  <autoFilter ref="A1:F149" xr:uid="{E10D458A-B179-4A93-80F2-8CFA1CAF3F0B}"/>
  <tableColumns count="6">
    <tableColumn id="1" xr3:uid="{3187394D-65A6-40D6-849A-FDE4FA934959}" name="Data from 21-01-2025" dataDxfId="24"/>
    <tableColumn id="2" xr3:uid="{E7A1148D-0F94-408E-8B2B-1A95FED4B07F}" name=" 2025 EQ Reliability Target Setting - All EMEA Sites (1).xlsx" dataDxfId="23"/>
    <tableColumn id="3" xr3:uid="{D597D634-AB70-4EF1-8025-88EE2E05F8F4}" name="Batch 0r Continuous" dataDxfId="22"/>
    <tableColumn id="4" xr3:uid="{CFDB1E7E-AB92-4C7F-AC55-B1DF5CBD850E}" name="Constrained Unit 2023 (Preliminary)" dataDxfId="21"/>
    <tableColumn id="5" xr3:uid="{6FE97157-D39C-4A67-80FD-D3C0116BBC1E}" name="2025 Recommended Target for Shutdown Performance (hrs)" dataDxfId="20"/>
    <tableColumn id="6" xr3:uid="{50F72749-04CF-4D47-9026-ED7604499EF1}" name="Distributed Shutdown (hrs) matching?" dataDxfId="19"/>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227A445-1907-4B5E-B2D1-F032CB6BCFE8}" name="Table13" displayName="Table13" ref="A1:F149" totalsRowShown="0" headerRowBorderDxfId="17" tableBorderDxfId="16" totalsRowBorderDxfId="15">
  <autoFilter ref="A1:F149" xr:uid="{3227A445-1907-4B5E-B2D1-F032CB6BCFE8}"/>
  <tableColumns count="6">
    <tableColumn id="1" xr3:uid="{D5065CD6-606A-4048-894C-BF354907DDA1}" name="Data from 21-01-2025" dataDxfId="14"/>
    <tableColumn id="2" xr3:uid="{C4D55232-B36A-4AB2-8464-8003BF32DB87}" name=" 2025 EQ Reliability Target Setting - All EMEA Sites (1).xlsx" dataDxfId="13"/>
    <tableColumn id="3" xr3:uid="{C69BB2D5-EE42-4E54-8A26-DFB89BEAC79A}" name="Batch 0r Continuous" dataDxfId="12"/>
    <tableColumn id="4" xr3:uid="{F295325A-E923-4DDC-BA94-966DA80C47E4}" name="Constrained Unit 2023 (Preliminary)" dataDxfId="11"/>
    <tableColumn id="5" xr3:uid="{E3BEBDBA-1502-401F-8BD5-3AA8E6DF71C7}" name="2025 Recommended Target for Turnaround Performance (hrs)" dataDxfId="10"/>
    <tableColumn id="6" xr3:uid="{B508BC31-E450-47CE-B92C-15210E6D5FB7}" name="Distributed Turnaround (hrs) matching?" dataDxfId="9"/>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DFA523E-D9DA-4790-A234-50F2DE178CD1}" name="BatchMatrix" displayName="BatchMatrix" ref="A13:C20" totalsRowShown="0">
  <autoFilter ref="A13:C20" xr:uid="{9020C533-E3F1-4FE0-B3FB-DA5136985232}"/>
  <tableColumns count="3">
    <tableColumn id="1" xr3:uid="{EC0385DC-0B57-486E-A9EF-49E5E34DFB2D}" name="Min OEE" dataDxfId="8" dataCellStyle="Percent"/>
    <tableColumn id="2" xr3:uid="{B9714DAC-444A-47F9-9502-67450AC63B1C}" name="Max OEE" dataDxfId="7" dataCellStyle="Percent"/>
    <tableColumn id="3" xr3:uid="{640566A0-ECD8-4197-BC44-FB896C4008CD}" name="Target Improvement" dataDxfId="6">
      <calculatedColumnFormula>B4</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012802F-C549-4226-A146-093B79DE9822}" name="ContinousMatrix" displayName="ContinousMatrix" ref="E13:G19" totalsRowShown="0" headerRowDxfId="5" headerRowBorderDxfId="4" tableBorderDxfId="3">
  <autoFilter ref="E13:G19" xr:uid="{E721B33B-0A6F-446D-A80B-DD8FC819B7B3}"/>
  <tableColumns count="3">
    <tableColumn id="1" xr3:uid="{E28E00F5-B8C6-4CCA-9E11-0389E1360E97}" name="Min OEE" dataDxfId="2" dataCellStyle="Percent"/>
    <tableColumn id="2" xr3:uid="{9A5B329A-F89B-439C-A53F-65DE5F2E1C38}" name="Max OEE" dataDxfId="1" dataCellStyle="Percent"/>
    <tableColumn id="3" xr3:uid="{2F53973B-E71D-434A-AAB8-D7178070B32A}" name="Target Improvement" dataDxfId="0">
      <calculatedColumnFormula>F4</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A11" dT="2024-12-19T10:06:38.18" personId="{771D44C6-6D94-42FB-9136-7E00EF3951EF}" id="{6C4935AF-A178-4370-A07C-C45AB8EC4BB3}">
    <text>Ispezione interna R7</text>
  </threadedComment>
  <threadedComment ref="JD13" dT="2024-12-19T10:03:29.23" personId="{771D44C6-6D94-42FB-9136-7E00EF3951EF}" id="{2CC4C3A0-BB4A-405F-88FA-4E4FFA59D6AE}">
    <text>Ispezione interna T7</text>
  </threadedComment>
  <threadedComment ref="BB15" dT="2024-12-19T09:58:58.93" personId="{771D44C6-6D94-42FB-9136-7E00EF3951EF}" id="{1895C375-8362-4F10-90F2-C67F93E27942}">
    <text>R16 motor</text>
  </threadedComment>
  <threadedComment ref="BC15" dT="2024-12-19T09:59:08.44" personId="{771D44C6-6D94-42FB-9136-7E00EF3951EF}" id="{CA254022-4A33-425A-8AF7-2CD45C3BDF66}">
    <text>R16 motor</text>
  </threadedComment>
  <threadedComment ref="JD15" dT="2024-12-19T10:03:35.87" personId="{771D44C6-6D94-42FB-9136-7E00EF3951EF}" id="{72DF95DE-47E1-4F45-B069-ABB2ED9F8D64}">
    <text>Ispezione interna T7</text>
  </threadedComment>
  <threadedComment ref="T17" dT="2024-12-10T08:48:12.12" personId="{8FC78694-A369-4167-8F96-586E2C4F9C4D}" id="{5F5CCE76-9D29-44DF-BA6D-4B5F483C7634}">
    <text>SD  Steam Reformer</text>
  </threadedComment>
  <threadedComment ref="U17" dT="2024-12-10T08:48:12.12" personId="{8FC78694-A369-4167-8F96-586E2C4F9C4D}" id="{71CE2FA4-9687-468D-9725-5A9F656C864B}">
    <text>SD  Steam Reformer</text>
  </threadedComment>
  <threadedComment ref="V17" dT="2024-12-10T08:48:12.12" personId="{8FC78694-A369-4167-8F96-586E2C4F9C4D}" id="{35276679-F94B-4399-8B0A-14AEFBA15303}">
    <text>SD  Steam Reformer</text>
  </threadedComment>
  <threadedComment ref="W17" dT="2024-12-10T08:48:12.12" personId="{8FC78694-A369-4167-8F96-586E2C4F9C4D}" id="{4E6EA900-F86F-4BCB-87CC-E52C5D673AE7}">
    <text>SD  Steam Reformer</text>
  </threadedComment>
  <threadedComment ref="AO17" dT="2024-12-10T08:16:07.92" personId="{8FC78694-A369-4167-8F96-586E2C4F9C4D}" id="{5DE37E66-3E2B-46E3-8185-93A60362CE01}">
    <text>Shortage of hydrogen from Chlorate Plant</text>
  </threadedComment>
  <threadedComment ref="AP17" dT="2024-12-10T08:16:15.48" personId="{8FC78694-A369-4167-8F96-586E2C4F9C4D}" id="{FE9AA8C1-3445-4DA9-9C69-59B274A0DD30}">
    <text>Shortage of hydrogen from Chlorate Plant</text>
  </threadedComment>
  <threadedComment ref="AQ17" dT="2024-12-10T08:16:23.42" personId="{8FC78694-A369-4167-8F96-586E2C4F9C4D}" id="{CC38E76E-95D1-4A17-B6DF-4F07A8310C83}">
    <text>Shortage of hydrogen from Chlorate Plant</text>
  </threadedComment>
  <threadedComment ref="BJ17" dT="2024-12-10T08:16:07.92" personId="{8FC78694-A369-4167-8F96-586E2C4F9C4D}" id="{D55060D9-0D72-45FC-9A60-706B7C6B4716}">
    <text>Shortage of hydrogen from Chlorate Plant</text>
  </threadedComment>
  <threadedComment ref="BK17" dT="2024-12-10T08:16:15.48" personId="{8FC78694-A369-4167-8F96-586E2C4F9C4D}" id="{0CB8D311-C5B8-4689-89D3-B973B26D39F6}">
    <text>Shortage of hydrogen from Chlorate Plant</text>
  </threadedComment>
  <threadedComment ref="BL17" dT="2024-12-10T08:16:23.42" personId="{8FC78694-A369-4167-8F96-586E2C4F9C4D}" id="{52E83AC4-F0D7-4960-A17B-534E14A4E51B}">
    <text>Shortage of hydrogen from Chlorate Plant</text>
  </threadedComment>
  <threadedComment ref="CZ17" dT="2024-12-10T08:51:39.16" personId="{8FC78694-A369-4167-8F96-586E2C4F9C4D}" id="{13A13E7B-9D97-4AFC-B6DB-5BE467004543}">
    <text>Shutdown due to replace Feed water tank Chlorate</text>
  </threadedComment>
  <threadedComment ref="DA17" dT="2024-12-10T08:51:39.16" personId="{8FC78694-A369-4167-8F96-586E2C4F9C4D}" id="{6119E888-1F30-42BE-BF8E-396FCDE8D93C}">
    <text>Shutdown due to replace Feed water tank Chlorate</text>
  </threadedComment>
  <threadedComment ref="DB17" dT="2024-12-10T08:51:39.16" personId="{8FC78694-A369-4167-8F96-586E2C4F9C4D}" id="{8809EEAF-AC8C-465B-A14B-F6358C5F1E16}">
    <text>Shutdown due to replace Feed water tank Chlorate</text>
  </threadedComment>
  <threadedComment ref="EX17" dT="2024-12-10T08:20:24.04" personId="{8FC78694-A369-4167-8F96-586E2C4F9C4D}" id="{BB8A55E3-6AC8-4461-856B-49BF895CA64C}">
    <text>Shortage of hydrogen from Chlorate Plant</text>
  </threadedComment>
  <threadedComment ref="FD17" dT="2024-12-10T08:20:32.78" personId="{8FC78694-A369-4167-8F96-586E2C4F9C4D}" id="{8F9B56EC-1889-4011-94E6-73F15DD395D1}">
    <text>Shortage of hydrogen from Chlorate Plant</text>
  </threadedComment>
  <threadedComment ref="KN17" dT="2024-12-10T08:21:21.47" personId="{8FC78694-A369-4167-8F96-586E2C4F9C4D}" id="{F5218106-48EE-4226-A585-67F151F8571F}">
    <text>Shortage of hydrogen from Chlorate Plant</text>
  </threadedComment>
  <threadedComment ref="LB17" dT="2024-12-10T08:21:36.84" personId="{8FC78694-A369-4167-8F96-586E2C4F9C4D}" id="{A0A5E962-83B9-485D-AAD5-5EA617125D10}">
    <text>Shortage of hydrogen from Chlorate Plant</text>
  </threadedComment>
  <threadedComment ref="T18" dT="2024-12-10T08:48:12.12" personId="{8FC78694-A369-4167-8F96-586E2C4F9C4D}" id="{2FAD5C2B-FDE3-423B-963A-652BAED82AEE}">
    <text>SD  Steam Reformer</text>
  </threadedComment>
  <threadedComment ref="U18" dT="2024-12-10T08:48:12.12" personId="{8FC78694-A369-4167-8F96-586E2C4F9C4D}" id="{34608588-9761-4FBC-822C-ABC15E172AE2}">
    <text>SD  Steam Reformer</text>
  </threadedComment>
  <threadedComment ref="V18" dT="2024-12-10T08:48:12.12" personId="{8FC78694-A369-4167-8F96-586E2C4F9C4D}" id="{38FE5172-F147-4757-B104-52CBBA27235D}">
    <text>SD  Steam Reformer</text>
  </threadedComment>
  <threadedComment ref="W18" dT="2024-12-10T08:48:12.12" personId="{8FC78694-A369-4167-8F96-586E2C4F9C4D}" id="{EE514117-DA80-4738-BA8F-AACDFD350CD9}">
    <text>SD  Steam Reformer</text>
  </threadedComment>
  <threadedComment ref="AO18" dT="2024-12-10T08:16:07.92" personId="{8FC78694-A369-4167-8F96-586E2C4F9C4D}" id="{3C4DFDC2-232C-4921-B654-6D2D46926588}">
    <text>Shortage of hydrogen from Chlorate Plant</text>
  </threadedComment>
  <threadedComment ref="AP18" dT="2024-12-10T08:16:07.92" personId="{8FC78694-A369-4167-8F96-586E2C4F9C4D}" id="{8927853B-C7D2-4A78-A756-7242DF5AA492}">
    <text>Shortage of hydrogen from Chlorate Plant</text>
  </threadedComment>
  <threadedComment ref="AQ18" dT="2024-12-10T08:16:07.92" personId="{8FC78694-A369-4167-8F96-586E2C4F9C4D}" id="{1DECFB42-8E4D-4528-B3B1-7F4857240F86}">
    <text>Shortage of hydrogen from Chlorate Plant</text>
  </threadedComment>
  <threadedComment ref="BJ18" dT="2024-12-10T08:16:07.92" personId="{8FC78694-A369-4167-8F96-586E2C4F9C4D}" id="{BE02F013-73BB-493C-BF04-7D01E5A3AE2F}">
    <text>Shortage of hydrogen from Chlorate Plant</text>
  </threadedComment>
  <threadedComment ref="BK18" dT="2024-12-10T08:16:15.48" personId="{8FC78694-A369-4167-8F96-586E2C4F9C4D}" id="{7882CD40-A9FB-42F4-AE03-38703BD38C76}">
    <text>Shortage of hydrogen from Chlorate Plant</text>
  </threadedComment>
  <threadedComment ref="BL18" dT="2024-12-10T08:16:23.42" personId="{8FC78694-A369-4167-8F96-586E2C4F9C4D}" id="{35D7C78D-B4F1-4E4D-9F57-534E17BB6CC8}">
    <text>Shortage of hydrogen from Chlorate Plant</text>
  </threadedComment>
  <threadedComment ref="CZ18" dT="2024-12-10T08:51:39.16" personId="{8FC78694-A369-4167-8F96-586E2C4F9C4D}" id="{F1190746-31BF-40EB-AB15-BB34619D74E2}">
    <text>Shutdown due to replace Feed water tank Chlorate</text>
  </threadedComment>
  <threadedComment ref="DA18" dT="2024-12-10T08:51:39.16" personId="{8FC78694-A369-4167-8F96-586E2C4F9C4D}" id="{18E6DB38-3B55-4BBC-9D01-E20E1D174ED1}">
    <text>Shutdown due to replace Feed water tank Chlorate</text>
  </threadedComment>
  <threadedComment ref="DB18" dT="2024-12-10T08:51:39.16" personId="{8FC78694-A369-4167-8F96-586E2C4F9C4D}" id="{47BA6B0C-1981-469F-BA10-43B47FBAF8EE}">
    <text>Shutdown due to replace Feed water tank Chlorate</text>
  </threadedComment>
  <threadedComment ref="CZ19" dT="2024-12-10T08:51:39.16" personId="{8FC78694-A369-4167-8F96-586E2C4F9C4D}" id="{F5289CE9-DBE3-435F-9ACC-423DF5EB5A85}">
    <text>Shutdown due to replace Feed water tank Chlorate</text>
  </threadedComment>
  <threadedComment ref="DA19" dT="2024-12-10T08:51:39.16" personId="{8FC78694-A369-4167-8F96-586E2C4F9C4D}" id="{B26FBA2A-00B1-42BF-A4AC-029640FC3943}">
    <text>Shutdown due to replace Feed water tank Chlorate</text>
  </threadedComment>
  <threadedComment ref="DB19" dT="2024-12-10T08:51:39.16" personId="{8FC78694-A369-4167-8F96-586E2C4F9C4D}" id="{4283E2B2-A9E4-435A-9CC2-C77555AA3A8B}">
    <text>Shutdown due to replace Feed water tank Chlorate</text>
  </threadedComment>
  <threadedComment ref="CZ20" dT="2024-12-10T08:51:39.16" personId="{8FC78694-A369-4167-8F96-586E2C4F9C4D}" id="{A9AFF720-884C-4033-87AD-95CE46849B97}">
    <text>Shutdown due to replace Feed water tank Chlorate</text>
  </threadedComment>
  <threadedComment ref="DA20" dT="2024-12-10T08:51:39.16" personId="{8FC78694-A369-4167-8F96-586E2C4F9C4D}" id="{F9DBB740-A3FD-4389-9227-BEC5526FDD17}">
    <text>Shutdown due to replace Feed water tank Chlorate</text>
  </threadedComment>
  <threadedComment ref="DB20" dT="2024-12-10T08:51:39.16" personId="{8FC78694-A369-4167-8F96-586E2C4F9C4D}" id="{C8B79172-C351-4BAF-8721-642455633462}">
    <text>Shutdown due to replace Feed water tank Chlorate</text>
  </threadedComment>
  <threadedComment ref="CZ21" dT="2024-12-10T08:51:39.16" personId="{8FC78694-A369-4167-8F96-586E2C4F9C4D}" id="{69B906A8-DD51-4BF2-8D20-D8E88BA60E69}">
    <text>Shutdown due to replace Feed water tank Chlorate</text>
  </threadedComment>
  <threadedComment ref="DA21" dT="2024-12-10T08:51:39.16" personId="{8FC78694-A369-4167-8F96-586E2C4F9C4D}" id="{0E53F9BC-3FCD-4408-B9FF-F37902A94E3D}">
    <text>Shutdown due to replace Feed water tank Chlorate</text>
  </threadedComment>
  <threadedComment ref="DB21" dT="2024-12-10T08:51:39.16" personId="{8FC78694-A369-4167-8F96-586E2C4F9C4D}" id="{587878C4-FFA1-44DD-9CB6-29BE54D8BFFA}">
    <text>Shutdown due to replace Feed water tank Chlorate</text>
  </threadedComment>
  <threadedComment ref="AB22" dT="2024-12-23T13:27:24.33" personId="{39D85505-ACFA-444A-9143-8CB83888BACB}" id="{B8731012-A6B4-4E73-8EFC-A1A5039B4457}">
    <text>Replace a cell one day
and remove new heat exchanger H409 in2X8 line A
Repair leaks</text>
  </threadedComment>
  <threadedComment ref="BR22" dT="2024-12-23T13:29:04.12" personId="{39D85505-ACFA-444A-9143-8CB83888BACB}" id="{66646138-C965-4C8D-B5D8-BD70DF2CE0AF}">
    <text>Replace a cell one day.
Repair leaks.</text>
  </threadedComment>
  <threadedComment ref="EJ22" dT="2024-12-23T13:38:50.89" personId="{39D85505-ACFA-444A-9143-8CB83888BACB}" id="{519E620B-61CF-4634-8AFE-778DC0352974}">
    <text>Replace a cell one day.
Restore flexs cells.
Repair leaks.</text>
  </threadedComment>
  <threadedComment ref="AW23" dT="2024-12-23T13:27:57.70" personId="{39D85505-ACFA-444A-9143-8CB83888BACB}" id="{457155C5-E68C-4099-9755-F88D80BDE360}">
    <text>Replace a cell one day and remove new heat exchanger H419 in2X8 line B.
Repair leaks.</text>
  </threadedComment>
  <threadedComment ref="DI23" dT="2024-12-23T13:32:06.87" personId="{39D85505-ACFA-444A-9143-8CB83888BACB}" id="{5B15DA05-7523-44ED-91EC-93D54F827E6F}">
    <text>Replace a cell, restored flexs cells, cleaning the H2 chimney and replace hydrogen chimney ball
Repair leaks.
Three days.
Not week 15, schedule shutdown week 16, because Alby also is shutdown week 15.
Repainting PT01.
With shutdown RTE for two days : from 15/04/2025 to 16/04/2025 for painting, phase 1.</text>
  </threadedComment>
  <threadedComment ref="FE23" dT="2024-12-23T13:41:10.48" personId="{39D85505-ACFA-444A-9143-8CB83888BACB}" id="{A3239576-0A1A-41E6-B408-7635FB4498FA}">
    <text>Restore flexs cells or replace a cell one day.
Repair leaks.</text>
  </threadedComment>
</ThreadedComments>
</file>

<file path=xl/threadedComments/threadedComment2.xml><?xml version="1.0" encoding="utf-8"?>
<ThreadedComments xmlns="http://schemas.microsoft.com/office/spreadsheetml/2018/threadedcomments" xmlns:x="http://schemas.openxmlformats.org/spreadsheetml/2006/main">
  <threadedComment ref="KT21" dT="2023-01-30T15:24:25.96" personId="{808AF86D-418A-4DAB-960E-84A00F863616}" id="{89C90D37-51E0-4736-A3A3-2C35C419C145}">
    <text>Increased TA due to replace steam jacket on 5515</text>
  </threadedComment>
  <threadedComment ref="LY23" dT="2024-12-23T13:52:35.66" personId="{39D85505-ACFA-444A-9143-8CB83888BACB}" id="{16150FA8-D932-4658-BD72-A84F4FE387C0}">
    <text>Shifted to week 48.
Four days.
With shutdown RTE for Three days : from 24/112025 to 27/11/2025 for painting, phase 2.</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8.vml"/><Relationship Id="rId7" Type="http://schemas.openxmlformats.org/officeDocument/2006/relationships/ctrlProp" Target="../ctrlProps/ctrlProp31.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ctrlProp" Target="../ctrlProps/ctrlProp35.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 Id="rId9"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hyperlink" Target="https://app.powerbi.com/Redirect?action=OpenReport&amp;appId=5fe9aec6-f99c-4cfa-93e3-39928864516f&amp;reportObjectId=649d7ded-6b6a-45a6-b356-ba0b8306dd53&amp;ctid=d34b221f-acd4-4e44-92f8-1215a965d42a&amp;reportPage=d2a235ff63c1e1802f6b&amp;pbi_source=appShareLink&amp;portalSessionId=859e43d5-2d3b-432a-822d-62b92e358cd3" TargetMode="External"/><Relationship Id="rId2" Type="http://schemas.openxmlformats.org/officeDocument/2006/relationships/hyperlink" Target="https://app.powerbi.com/Redirect?action=OpenReport&amp;appId=5fe9aec6-f99c-4cfa-93e3-39928864516f&amp;reportObjectId=649d7ded-6b6a-45a6-b356-ba0b8306dd53&amp;ctid=d34b221f-acd4-4e44-92f8-1215a965d42a&amp;reportPage=1e3cdffded5beaf7aae6&amp;pbi_source=appShareLink&amp;portalSessionId=859e43d5-2d3b-432a-822d-62b92e358cd3" TargetMode="External"/><Relationship Id="rId1" Type="http://schemas.openxmlformats.org/officeDocument/2006/relationships/hyperlink" Target="https://app.powerbi.com/Redirect?action=OpenReport&amp;appId=5fe9aec6-f99c-4cfa-93e3-39928864516f&amp;reportObjectId=649d7ded-6b6a-45a6-b356-ba0b8306dd53&amp;ctid=d34b221f-acd4-4e44-92f8-1215a965d42a&amp;reportPage=d03889429340802d51f7&amp;pbi_source=appShareLink&amp;portalSessionId=859e43d5-2d3b-432a-822d-62b92e358cd3" TargetMode="External"/></Relationships>
</file>

<file path=xl/worksheets/_rels/sheet1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10.vml"/><Relationship Id="rId1" Type="http://schemas.openxmlformats.org/officeDocument/2006/relationships/hyperlink" Target="https://app.powerbi.com/Redirect?action=OpenReport&amp;appId=5fe9aec6-f99c-4cfa-93e3-39928864516f&amp;reportObjectId=649d7ded-6b6a-45a6-b356-ba0b8306dd53&amp;ctid=d34b221f-acd4-4e44-92f8-1215a965d42a&amp;reportPage=d2a235ff63c1e1802f6b&amp;pbi_source=appShareLink&amp;portalSessionId=859e43d5-2d3b-432a-822d-62b92e358cd3" TargetMode="Externa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app.powerbi.com/Redirect?action=OpenReport&amp;appId=5fe9aec6-f99c-4cfa-93e3-39928864516f&amp;reportObjectId=649d7ded-6b6a-45a6-b356-ba0b8306dd53&amp;ctid=d34b221f-acd4-4e44-92f8-1215a965d42a&amp;reportPage=1e3cdffded5beaf7aae6&amp;pbi_source=appShareLink&amp;portalSessionId=859e43d5-2d3b-432a-822d-62b92e358cd3" TargetMode="Externa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printerSettings" Target="../printerSettings/printerSettings11.bin"/><Relationship Id="rId1" Type="http://schemas.openxmlformats.org/officeDocument/2006/relationships/hyperlink" Target="https://app.powerbi.com/Redirect?action=OpenReport&amp;appId=5fe9aec6-f99c-4cfa-93e3-39928864516f&amp;reportObjectId=649d7ded-6b6a-45a6-b356-ba0b8306dd53&amp;ctid=d34b221f-acd4-4e44-92f8-1215a965d42a&amp;reportPage=d03889429340802d51f7&amp;pbi_source=appShareLink&amp;portalSessionId=859e43d5-2d3b-432a-822d-62b92e358cd3"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hyperlink" Target="file:///C:\:x:\r\sites\SC00035T12607\Maintenance%20%20Reliability\M&amp;R%20Objectives,%20KPI's%20&amp;%20Targets\2025\2025%20EQ%20Reliability%20Target%20Setting%20-%20All%20EMEA%20Sites%20(1).xlsx" TargetMode="External"/><Relationship Id="rId6" Type="http://schemas.microsoft.com/office/2017/10/relationships/threadedComment" Target="../threadedComments/threadedComment1.xml"/><Relationship Id="rId5" Type="http://schemas.openxmlformats.org/officeDocument/2006/relationships/comments" Target="../comments11.xml"/><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hyperlink" Target="file:///C:\:x:\r\sites\SC00035T12607\Maintenance%20%20Reliability\M&amp;R%20Objectives,%20KPI's%20&amp;%20Targets\2025\2025%20EQ%20Reliability%20Target%20Setting%20-%20All%20EMEA%20Sites%20(1).xlsx" TargetMode="External"/><Relationship Id="rId6" Type="http://schemas.microsoft.com/office/2017/10/relationships/threadedComment" Target="../threadedComments/threadedComment2.xml"/><Relationship Id="rId5" Type="http://schemas.openxmlformats.org/officeDocument/2006/relationships/comments" Target="../comments12.xml"/><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12E76-29BE-43B8-98A7-4146B0320837}">
  <sheetPr codeName="Sheet1">
    <tabColor rgb="FFFFFF00"/>
    <pageSetUpPr fitToPage="1"/>
  </sheetPr>
  <dimension ref="B2:T114"/>
  <sheetViews>
    <sheetView showGridLines="0" zoomScaleNormal="100" workbookViewId="0">
      <selection activeCell="B16" sqref="B16"/>
    </sheetView>
  </sheetViews>
  <sheetFormatPr defaultRowHeight="12.75"/>
  <cols>
    <col min="1" max="1" width="4.85546875" customWidth="1"/>
  </cols>
  <sheetData>
    <row r="2" spans="2:20">
      <c r="B2" s="12" t="s">
        <v>759</v>
      </c>
    </row>
    <row r="3" spans="2:20">
      <c r="B3" t="s">
        <v>762</v>
      </c>
    </row>
    <row r="4" spans="2:20">
      <c r="B4" t="s">
        <v>761</v>
      </c>
    </row>
    <row r="5" spans="2:20">
      <c r="B5" t="s">
        <v>760</v>
      </c>
    </row>
    <row r="6" spans="2:20">
      <c r="B6" t="s">
        <v>700</v>
      </c>
    </row>
    <row r="7" spans="2:20">
      <c r="B7" t="s">
        <v>1266</v>
      </c>
    </row>
    <row r="8" spans="2:20">
      <c r="B8" t="s">
        <v>699</v>
      </c>
    </row>
    <row r="9" spans="2:20">
      <c r="B9" t="s">
        <v>1267</v>
      </c>
    </row>
    <row r="10" spans="2:20">
      <c r="B10" s="222" t="s">
        <v>751</v>
      </c>
      <c r="C10" s="222"/>
      <c r="D10" s="222"/>
      <c r="E10" s="222"/>
      <c r="F10" s="222"/>
      <c r="G10" s="222"/>
    </row>
    <row r="11" spans="2:20">
      <c r="C11" s="156" t="s">
        <v>728</v>
      </c>
      <c r="D11" s="156"/>
      <c r="E11" s="156"/>
      <c r="F11" s="156"/>
      <c r="G11" s="156"/>
      <c r="H11" s="156"/>
      <c r="I11" s="156"/>
      <c r="J11" s="156"/>
      <c r="K11" s="156"/>
      <c r="L11" s="156"/>
      <c r="M11" s="156"/>
      <c r="N11" s="156"/>
      <c r="O11" s="156"/>
      <c r="P11" s="156"/>
      <c r="Q11" s="156"/>
      <c r="R11" s="156"/>
      <c r="S11" s="156"/>
      <c r="T11" s="156"/>
    </row>
    <row r="12" spans="2:20">
      <c r="C12" s="156" t="s">
        <v>1268</v>
      </c>
      <c r="D12" s="156"/>
      <c r="E12" s="156"/>
      <c r="F12" s="156"/>
      <c r="G12" s="156"/>
      <c r="H12" s="156"/>
      <c r="I12" s="156"/>
      <c r="J12" s="156"/>
      <c r="K12" s="156"/>
      <c r="L12" s="156"/>
      <c r="M12" s="156"/>
      <c r="N12" s="156"/>
      <c r="O12" s="156"/>
      <c r="P12" s="156"/>
      <c r="Q12" s="156"/>
      <c r="R12" s="156"/>
      <c r="S12" s="156"/>
      <c r="T12" s="156"/>
    </row>
    <row r="13" spans="2:20">
      <c r="B13" s="35" t="s">
        <v>752</v>
      </c>
      <c r="C13" s="35"/>
      <c r="D13" s="35"/>
      <c r="E13" s="35"/>
      <c r="F13" s="35"/>
      <c r="G13" s="35"/>
    </row>
    <row r="14" spans="2:20">
      <c r="C14" s="156" t="s">
        <v>729</v>
      </c>
      <c r="D14" s="156"/>
      <c r="E14" s="156"/>
      <c r="F14" s="156"/>
      <c r="G14" s="156"/>
      <c r="H14" s="156"/>
      <c r="I14" s="156"/>
      <c r="J14" s="156"/>
      <c r="K14" s="156"/>
      <c r="L14" s="156"/>
      <c r="M14" s="156"/>
      <c r="N14" s="156"/>
      <c r="O14" s="156"/>
      <c r="P14" s="156"/>
      <c r="Q14" s="156"/>
      <c r="R14" s="156"/>
      <c r="S14" s="156"/>
      <c r="T14" s="156"/>
    </row>
    <row r="15" spans="2:20">
      <c r="C15" s="156" t="s">
        <v>740</v>
      </c>
      <c r="D15" s="156"/>
      <c r="E15" s="156"/>
      <c r="F15" s="156"/>
      <c r="G15" s="156"/>
      <c r="H15" s="156"/>
      <c r="I15" s="156"/>
      <c r="J15" s="156"/>
      <c r="K15" s="156"/>
      <c r="L15" s="156"/>
      <c r="M15" s="156"/>
      <c r="N15" s="156"/>
      <c r="O15" s="156"/>
      <c r="P15" s="156"/>
      <c r="Q15" s="156"/>
      <c r="R15" s="156"/>
      <c r="S15" s="156"/>
      <c r="T15" s="156"/>
    </row>
    <row r="16" spans="2:20">
      <c r="B16" s="272" t="s">
        <v>753</v>
      </c>
      <c r="C16" s="272"/>
      <c r="D16" s="272"/>
      <c r="E16" s="272"/>
      <c r="F16" s="272"/>
      <c r="G16" s="272"/>
    </row>
    <row r="17" spans="2:20">
      <c r="C17" s="156" t="s">
        <v>742</v>
      </c>
      <c r="D17" s="156"/>
      <c r="E17" s="156"/>
      <c r="F17" s="156"/>
      <c r="G17" s="156"/>
      <c r="H17" s="156"/>
      <c r="I17" s="156"/>
      <c r="J17" s="156"/>
      <c r="K17" s="156"/>
      <c r="L17" s="156"/>
      <c r="M17" s="156"/>
      <c r="N17" s="156"/>
      <c r="O17" s="156"/>
      <c r="P17" s="156"/>
      <c r="Q17" s="156"/>
      <c r="R17" s="156"/>
      <c r="S17" s="156"/>
      <c r="T17" s="156"/>
    </row>
    <row r="18" spans="2:20">
      <c r="C18" s="156" t="s">
        <v>743</v>
      </c>
      <c r="D18" s="156"/>
      <c r="E18" s="156"/>
      <c r="F18" s="156"/>
      <c r="G18" s="156"/>
      <c r="H18" s="156"/>
      <c r="I18" s="156"/>
      <c r="J18" s="156"/>
      <c r="K18" s="156"/>
      <c r="L18" s="156"/>
      <c r="M18" s="156"/>
      <c r="N18" s="156"/>
      <c r="O18" s="156"/>
      <c r="P18" s="156"/>
      <c r="Q18" s="156"/>
      <c r="R18" s="156"/>
      <c r="S18" s="156"/>
      <c r="T18" s="156"/>
    </row>
    <row r="19" spans="2:20">
      <c r="C19" s="156" t="s">
        <v>757</v>
      </c>
      <c r="D19" s="156"/>
      <c r="E19" s="156"/>
      <c r="F19" s="156"/>
      <c r="G19" s="156"/>
      <c r="H19" s="156"/>
      <c r="I19" s="156"/>
      <c r="J19" s="156"/>
      <c r="K19" s="156"/>
      <c r="L19" s="156"/>
      <c r="M19" s="156"/>
      <c r="N19" s="156"/>
      <c r="O19" s="156"/>
      <c r="P19" s="156"/>
      <c r="Q19" s="156"/>
      <c r="R19" s="156"/>
      <c r="S19" s="156"/>
      <c r="T19" s="156"/>
    </row>
    <row r="20" spans="2:20">
      <c r="C20" s="156" t="s">
        <v>744</v>
      </c>
      <c r="D20" s="156"/>
      <c r="E20" s="156"/>
      <c r="F20" s="156"/>
      <c r="G20" s="156"/>
      <c r="H20" s="156"/>
      <c r="I20" s="156"/>
      <c r="J20" s="156"/>
      <c r="K20" s="156"/>
      <c r="L20" s="156"/>
      <c r="M20" s="156"/>
      <c r="N20" s="156"/>
      <c r="O20" s="156"/>
      <c r="P20" s="156"/>
      <c r="Q20" s="156"/>
      <c r="R20" s="156"/>
      <c r="S20" s="156"/>
      <c r="T20" s="156"/>
    </row>
    <row r="21" spans="2:20">
      <c r="C21" s="156" t="s">
        <v>756</v>
      </c>
      <c r="D21" s="156"/>
      <c r="E21" s="156"/>
      <c r="F21" s="156"/>
      <c r="G21" s="156"/>
      <c r="H21" s="156"/>
      <c r="I21" s="156"/>
      <c r="J21" s="156"/>
      <c r="K21" s="156"/>
      <c r="L21" s="156"/>
      <c r="M21" s="156"/>
      <c r="N21" s="156"/>
      <c r="O21" s="156"/>
      <c r="P21" s="156"/>
      <c r="Q21" s="156"/>
      <c r="R21" s="156"/>
      <c r="S21" s="156"/>
      <c r="T21" s="156"/>
    </row>
    <row r="22" spans="2:20">
      <c r="C22" s="156" t="s">
        <v>758</v>
      </c>
      <c r="D22" s="156"/>
      <c r="E22" s="156"/>
      <c r="F22" s="156"/>
      <c r="G22" s="156"/>
      <c r="H22" s="156"/>
      <c r="I22" s="156"/>
      <c r="J22" s="156"/>
      <c r="K22" s="156"/>
      <c r="L22" s="156"/>
      <c r="M22" s="156"/>
      <c r="N22" s="156"/>
      <c r="O22" s="156"/>
      <c r="P22" s="156"/>
      <c r="Q22" s="156"/>
      <c r="R22" s="156"/>
      <c r="S22" s="156"/>
      <c r="T22" s="156"/>
    </row>
    <row r="23" spans="2:20">
      <c r="B23" s="35" t="s">
        <v>745</v>
      </c>
      <c r="C23" s="35"/>
      <c r="D23" s="35"/>
      <c r="E23" s="35"/>
      <c r="F23" s="35"/>
      <c r="G23" s="35"/>
      <c r="H23" s="156"/>
      <c r="I23" s="156"/>
      <c r="J23" s="156"/>
      <c r="K23" s="156"/>
      <c r="L23" s="156"/>
      <c r="M23" s="156"/>
      <c r="N23" s="156"/>
      <c r="O23" s="156"/>
      <c r="P23" s="156"/>
      <c r="Q23" s="156"/>
      <c r="R23" s="156"/>
      <c r="S23" s="156"/>
      <c r="T23" s="156"/>
    </row>
    <row r="24" spans="2:20">
      <c r="C24" s="156" t="s">
        <v>741</v>
      </c>
      <c r="D24" s="156"/>
      <c r="E24" s="156"/>
      <c r="F24" s="156"/>
      <c r="G24" s="156"/>
      <c r="H24" s="156"/>
      <c r="I24" s="156"/>
      <c r="J24" s="156"/>
      <c r="K24" s="156"/>
      <c r="L24" s="156"/>
      <c r="M24" s="156"/>
      <c r="N24" s="156"/>
      <c r="O24" s="156"/>
      <c r="P24" s="156"/>
      <c r="Q24" s="156"/>
      <c r="R24" s="156"/>
      <c r="S24" s="156"/>
      <c r="T24" s="156"/>
    </row>
    <row r="25" spans="2:20">
      <c r="B25" s="35" t="s">
        <v>754</v>
      </c>
      <c r="C25" s="35"/>
      <c r="D25" s="35"/>
      <c r="E25" s="35"/>
      <c r="F25" s="35"/>
      <c r="G25" s="35"/>
    </row>
    <row r="26" spans="2:20">
      <c r="C26" s="156" t="s">
        <v>738</v>
      </c>
      <c r="D26" s="156"/>
      <c r="E26" s="156"/>
      <c r="F26" s="156"/>
      <c r="G26" s="156"/>
      <c r="H26" s="156"/>
      <c r="I26" s="156"/>
      <c r="J26" s="156"/>
      <c r="K26" s="156"/>
      <c r="L26" s="156"/>
      <c r="M26" s="156"/>
      <c r="N26" s="156"/>
      <c r="O26" s="156"/>
      <c r="P26" s="156"/>
      <c r="Q26" s="156"/>
      <c r="R26" s="156"/>
      <c r="S26" s="156"/>
      <c r="T26" s="156"/>
    </row>
    <row r="27" spans="2:20">
      <c r="C27" s="156" t="s">
        <v>739</v>
      </c>
      <c r="D27" s="156"/>
      <c r="E27" s="156"/>
      <c r="F27" s="156"/>
      <c r="G27" s="156"/>
      <c r="H27" s="156"/>
      <c r="I27" s="156"/>
      <c r="J27" s="156"/>
      <c r="K27" s="156"/>
      <c r="L27" s="156"/>
      <c r="M27" s="156"/>
      <c r="N27" s="156"/>
      <c r="O27" s="156"/>
      <c r="P27" s="156"/>
      <c r="Q27" s="156"/>
      <c r="R27" s="156"/>
      <c r="S27" s="156"/>
      <c r="T27" s="156"/>
    </row>
    <row r="28" spans="2:20">
      <c r="B28" t="s">
        <v>1269</v>
      </c>
    </row>
    <row r="29" spans="2:20">
      <c r="B29" t="s">
        <v>1270</v>
      </c>
    </row>
    <row r="30" spans="2:20">
      <c r="B30" t="s">
        <v>1271</v>
      </c>
    </row>
    <row r="31" spans="2:20">
      <c r="B31" t="s">
        <v>1272</v>
      </c>
    </row>
    <row r="32" spans="2:20">
      <c r="B32" t="s">
        <v>1273</v>
      </c>
    </row>
    <row r="33" spans="2:20">
      <c r="B33" t="s">
        <v>1274</v>
      </c>
    </row>
    <row r="34" spans="2:20">
      <c r="B34" t="s">
        <v>1275</v>
      </c>
    </row>
    <row r="35" spans="2:20">
      <c r="B35" s="35" t="s">
        <v>727</v>
      </c>
      <c r="C35" s="35"/>
      <c r="D35" s="35"/>
      <c r="E35" s="35"/>
      <c r="F35" s="35"/>
      <c r="G35" s="35"/>
    </row>
    <row r="36" spans="2:20">
      <c r="C36" s="156" t="s">
        <v>1276</v>
      </c>
      <c r="D36" s="156"/>
      <c r="E36" s="156"/>
      <c r="F36" s="156"/>
      <c r="G36" s="156"/>
      <c r="H36" s="156"/>
      <c r="I36" s="156"/>
      <c r="J36" s="156"/>
      <c r="K36" s="156"/>
      <c r="L36" s="156"/>
      <c r="M36" s="156"/>
      <c r="N36" s="156"/>
      <c r="O36" s="156"/>
      <c r="P36" s="156"/>
      <c r="Q36" s="156"/>
      <c r="R36" s="156"/>
      <c r="S36" s="156"/>
      <c r="T36" s="156"/>
    </row>
    <row r="37" spans="2:20">
      <c r="C37" s="156" t="s">
        <v>755</v>
      </c>
      <c r="D37" s="156"/>
      <c r="E37" s="156"/>
      <c r="F37" s="156"/>
      <c r="G37" s="156"/>
      <c r="H37" s="156"/>
      <c r="I37" s="156"/>
      <c r="J37" s="156"/>
      <c r="K37" s="156"/>
      <c r="L37" s="156"/>
      <c r="M37" s="156"/>
      <c r="N37" s="156"/>
      <c r="O37" s="156"/>
      <c r="P37" s="156"/>
      <c r="Q37" s="156"/>
      <c r="R37" s="156"/>
      <c r="S37" s="156"/>
      <c r="T37" s="156"/>
    </row>
    <row r="38" spans="2:20">
      <c r="C38" s="156" t="s">
        <v>1277</v>
      </c>
      <c r="D38" s="156"/>
      <c r="E38" s="156"/>
      <c r="F38" s="156"/>
      <c r="G38" s="156"/>
      <c r="H38" s="156"/>
      <c r="I38" s="156"/>
      <c r="J38" s="156"/>
      <c r="K38" s="156"/>
      <c r="L38" s="156"/>
      <c r="M38" s="156"/>
      <c r="N38" s="156"/>
      <c r="O38" s="156"/>
      <c r="P38" s="156"/>
      <c r="Q38" s="156"/>
      <c r="R38" s="156"/>
      <c r="S38" s="156"/>
      <c r="T38" s="156"/>
    </row>
    <row r="39" spans="2:20">
      <c r="C39" s="156" t="s">
        <v>1278</v>
      </c>
      <c r="D39" s="156"/>
      <c r="E39" s="156"/>
      <c r="F39" s="156"/>
      <c r="G39" s="156"/>
      <c r="H39" s="156"/>
      <c r="I39" s="156"/>
      <c r="J39" s="156"/>
      <c r="K39" s="156"/>
      <c r="L39" s="156"/>
      <c r="M39" s="156"/>
      <c r="N39" s="156"/>
      <c r="O39" s="156"/>
      <c r="P39" s="156"/>
      <c r="Q39" s="156"/>
      <c r="R39" s="156"/>
      <c r="S39" s="156"/>
      <c r="T39" s="156"/>
    </row>
    <row r="40" spans="2:20">
      <c r="B40" t="s">
        <v>1279</v>
      </c>
    </row>
    <row r="41" spans="2:20">
      <c r="B41" t="s">
        <v>1280</v>
      </c>
    </row>
    <row r="42" spans="2:20">
      <c r="B42" t="s">
        <v>1281</v>
      </c>
    </row>
    <row r="43" spans="2:20">
      <c r="B43" t="s">
        <v>1282</v>
      </c>
    </row>
    <row r="45" spans="2:20">
      <c r="B45" t="s">
        <v>306</v>
      </c>
    </row>
    <row r="46" spans="2:20">
      <c r="B46" t="s">
        <v>1283</v>
      </c>
    </row>
    <row r="47" spans="2:20">
      <c r="B47" t="s">
        <v>1284</v>
      </c>
    </row>
    <row r="48" spans="2:20">
      <c r="B48" t="s">
        <v>1285</v>
      </c>
    </row>
    <row r="49" spans="2:2">
      <c r="B49" t="s">
        <v>730</v>
      </c>
    </row>
    <row r="106" spans="2:2">
      <c r="B106" s="12" t="s">
        <v>1286</v>
      </c>
    </row>
    <row r="107" spans="2:2">
      <c r="B107" t="s">
        <v>1287</v>
      </c>
    </row>
    <row r="108" spans="2:2">
      <c r="B108" t="s">
        <v>1288</v>
      </c>
    </row>
    <row r="109" spans="2:2">
      <c r="B109" t="s">
        <v>747</v>
      </c>
    </row>
    <row r="110" spans="2:2">
      <c r="B110" t="s">
        <v>748</v>
      </c>
    </row>
    <row r="111" spans="2:2">
      <c r="B111" t="s">
        <v>1289</v>
      </c>
    </row>
    <row r="112" spans="2:2">
      <c r="B112" t="s">
        <v>749</v>
      </c>
    </row>
    <row r="113" spans="2:2">
      <c r="B113" t="s">
        <v>746</v>
      </c>
    </row>
    <row r="114" spans="2:2">
      <c r="B114" t="s">
        <v>750</v>
      </c>
    </row>
  </sheetData>
  <pageMargins left="0.7" right="0.7" top="0.75" bottom="0.75" header="0.3" footer="0.3"/>
  <pageSetup paperSize="9" scale="53" fitToHeight="0" orientation="landscape" r:id="rId1"/>
  <rowBreaks count="2" manualBreakCount="2">
    <brk id="49" max="16383" man="1"/>
    <brk id="103" max="16383" man="1"/>
  </rowBreaks>
  <colBreaks count="1" manualBreakCount="1">
    <brk id="1"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DE91-9F33-4EFE-ABE9-F211C210C9AB}">
  <sheetPr codeName="Sheet2"/>
  <dimension ref="A1"/>
  <sheetViews>
    <sheetView showGridLines="0" zoomScaleNormal="100" workbookViewId="0">
      <selection activeCell="AC20" sqref="AC20"/>
    </sheetView>
  </sheetViews>
  <sheetFormatPr defaultColWidth="9.140625" defaultRowHeight="12.75"/>
  <cols>
    <col min="1" max="16384" width="9.140625" style="62"/>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545EC-22ED-4B78-A18A-261CB0BD243E}">
  <sheetPr codeName="Sheet3">
    <tabColor rgb="FF92D050"/>
  </sheetPr>
  <dimension ref="A1:AI248"/>
  <sheetViews>
    <sheetView showGridLines="0" zoomScaleNormal="100" workbookViewId="0">
      <selection activeCell="B9" sqref="B9"/>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329</v>
      </c>
      <c r="E2" s="314" t="s">
        <v>303</v>
      </c>
      <c r="G2" s="37" t="s">
        <v>670</v>
      </c>
      <c r="H2" s="40">
        <v>5.3</v>
      </c>
      <c r="O2" s="94" t="s">
        <v>679</v>
      </c>
      <c r="P2" s="94"/>
      <c r="Q2" s="145" t="s">
        <v>670</v>
      </c>
      <c r="R2" s="96" t="str">
        <f t="shared" ref="R2:R65" si="0">IF(ISBLANK(P2),Q2,_xlfn.CONCAT(Q2,"_",P2))</f>
        <v>Template Version:</v>
      </c>
      <c r="S2" s="261">
        <f>H2</f>
        <v>5.3</v>
      </c>
      <c r="T2" t="str">
        <f>$B$2</f>
        <v xml:space="preserve"> Empty</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 xml:space="preserve"> Empty</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 xml:space="preserve"> Empty</v>
      </c>
      <c r="U4" t="s">
        <v>874</v>
      </c>
    </row>
    <row r="5" spans="1:21">
      <c r="A5" s="34" t="s">
        <v>733</v>
      </c>
      <c r="B5" s="42">
        <v>0</v>
      </c>
      <c r="C5" t="str">
        <f>IFERROR(INDEX(Table1[Loss Hours Exclusion],MATCH('OEE target setting Tool'!B2,Table1[Unit3],0)),"")</f>
        <v/>
      </c>
      <c r="E5" s="317" t="s">
        <v>637</v>
      </c>
      <c r="F5" s="64"/>
      <c r="G5" s="360"/>
      <c r="H5" s="361"/>
      <c r="O5" s="95" t="s">
        <v>674</v>
      </c>
      <c r="P5" s="95"/>
      <c r="Q5" s="146" t="s">
        <v>604</v>
      </c>
      <c r="R5" s="96" t="str">
        <f t="shared" si="0"/>
        <v>Unit Name</v>
      </c>
      <c r="S5" s="264" t="str">
        <f>B2</f>
        <v xml:space="preserve"> Empty</v>
      </c>
      <c r="T5" t="str">
        <f t="shared" si="1"/>
        <v xml:space="preserve"> Empty</v>
      </c>
      <c r="U5" t="s">
        <v>875</v>
      </c>
    </row>
    <row r="6" spans="1:21">
      <c r="A6" s="34" t="s">
        <v>735</v>
      </c>
      <c r="B6" s="219">
        <v>0</v>
      </c>
      <c r="C6" s="270">
        <f>SUMIF(B31:B39,"&gt;0",B31:B39)</f>
        <v>0</v>
      </c>
      <c r="D6" s="270">
        <f>SUMIF(B31:B39,"&lt;0",B31:B39)</f>
        <v>0</v>
      </c>
      <c r="E6" s="318" t="s">
        <v>1032</v>
      </c>
      <c r="F6" s="64"/>
      <c r="G6" s="360"/>
      <c r="H6" s="361"/>
      <c r="O6" s="95" t="s">
        <v>674</v>
      </c>
      <c r="P6" s="95"/>
      <c r="Q6" s="146" t="s">
        <v>139</v>
      </c>
      <c r="R6" s="96" t="str">
        <f t="shared" si="0"/>
        <v>Unit Type</v>
      </c>
      <c r="S6" s="264" t="str">
        <f t="shared" ref="S6" si="2">B3</f>
        <v>Batch</v>
      </c>
      <c r="T6" t="str">
        <f t="shared" si="1"/>
        <v xml:space="preserve"> Empty</v>
      </c>
      <c r="U6" t="s">
        <v>875</v>
      </c>
    </row>
    <row r="7" spans="1:21">
      <c r="A7" t="s">
        <v>702</v>
      </c>
      <c r="B7" s="6">
        <f>IFERROR(B48/D48-1,0)</f>
        <v>0</v>
      </c>
      <c r="C7" s="121">
        <f>IF(B8="Include",B45*B7/(1+B7),0)</f>
        <v>0</v>
      </c>
      <c r="D7" s="59">
        <f>IFERROR(C6/(C6-D6),0)</f>
        <v>0</v>
      </c>
      <c r="E7" s="319" t="s">
        <v>1033</v>
      </c>
      <c r="F7" s="64"/>
      <c r="G7" s="362" t="str">
        <f ca="1">IF(ISREF(INDIRECT("'"&amp;B2&amp;"'"&amp;"!A1")),"Already separate sheet present for this unit","")</f>
        <v/>
      </c>
      <c r="H7" s="64"/>
      <c r="O7" s="95" t="s">
        <v>674</v>
      </c>
      <c r="P7" s="95"/>
      <c r="Q7" s="223" t="s">
        <v>733</v>
      </c>
      <c r="R7" s="96" t="str">
        <f t="shared" si="0"/>
        <v>Exception hours Last Year for baseline correction</v>
      </c>
      <c r="S7" s="264">
        <f>B5</f>
        <v>0</v>
      </c>
      <c r="T7" t="str">
        <f t="shared" si="1"/>
        <v xml:space="preserve"> Empty</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 xml:space="preserve"> Empty</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0</v>
      </c>
      <c r="T9" t="str">
        <f t="shared" si="1"/>
        <v xml:space="preserve"> Empty</v>
      </c>
      <c r="U9" t="s">
        <v>875</v>
      </c>
    </row>
    <row r="10" spans="1:21">
      <c r="A10" s="141" t="s">
        <v>718</v>
      </c>
      <c r="B10" s="59" t="str">
        <f>IF(MIN(C31:C39)&lt;-1%,"Gain","No Gain")</f>
        <v>No 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 xml:space="preserve"> Empty</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 xml:space="preserve"> Empty</v>
      </c>
      <c r="U11" t="s">
        <v>875</v>
      </c>
    </row>
    <row r="12" spans="1:21">
      <c r="A12" s="30" t="s">
        <v>1016</v>
      </c>
      <c r="B12" s="5">
        <f>IF($B$3="Batch",INDEX(BatchMatrix[Target Improvement],MATCH(E48,BatchMatrix[Min OEE],1)),IF($B$3="Continuous",INDEX(ContinousMatrix[Target Improvement],MATCH(E48,ContinousMatrix[Min OEE],1)),""))</f>
        <v>0.01</v>
      </c>
      <c r="C12" s="3"/>
      <c r="E12" s="387"/>
      <c r="F12" s="388"/>
      <c r="G12" s="388"/>
      <c r="H12" s="388"/>
      <c r="I12" s="389"/>
      <c r="O12" s="95" t="s">
        <v>674</v>
      </c>
      <c r="P12" s="95"/>
      <c r="Q12" s="222" t="s">
        <v>718</v>
      </c>
      <c r="R12" s="96" t="str">
        <f t="shared" si="0"/>
        <v>Running OEE LY &gt;100%</v>
      </c>
      <c r="S12" s="264" t="str">
        <f t="shared" si="3"/>
        <v>No Gain</v>
      </c>
      <c r="T12" t="str">
        <f t="shared" si="1"/>
        <v xml:space="preserve"> Empty</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 xml:space="preserve"> Empty</v>
      </c>
      <c r="U13" t="s">
        <v>875</v>
      </c>
    </row>
    <row r="14" spans="1:21">
      <c r="A14" s="33" t="s">
        <v>309</v>
      </c>
      <c r="B14" s="36">
        <f>IF(B11="Manual OEE target",B13,IF(B11="Playbook Matrix value",B12,""))</f>
        <v>0.01</v>
      </c>
      <c r="C14" s="3"/>
      <c r="E14" s="390"/>
      <c r="F14" s="391"/>
      <c r="G14" s="391"/>
      <c r="H14" s="391"/>
      <c r="I14" s="392"/>
      <c r="O14" s="95" t="s">
        <v>674</v>
      </c>
      <c r="P14" s="95"/>
      <c r="Q14" s="224" t="s">
        <v>1292</v>
      </c>
      <c r="R14" s="96" t="str">
        <f t="shared" si="0"/>
        <v>Target OEE Improvement (playbook)</v>
      </c>
      <c r="S14" s="264">
        <f t="shared" si="3"/>
        <v>0.01</v>
      </c>
      <c r="T14" t="str">
        <f t="shared" si="1"/>
        <v xml:space="preserve"> Empty</v>
      </c>
      <c r="U14" t="s">
        <v>875</v>
      </c>
    </row>
    <row r="15" spans="1:21">
      <c r="A15" s="33" t="s">
        <v>667</v>
      </c>
      <c r="B15" s="278" t="str">
        <f>IF(B60="Automatic",IF(OR(ABS(C21)&gt;RunningOEE_criteriaPM,ABS($B$6)&gt;RunningOEE_criteriaVolume),"Running OEE", "OEE"),IF(B60="Force Running OEE","Running OEE", "OEE"))</f>
        <v>OEE</v>
      </c>
      <c r="C15" s="140" t="str">
        <f>IF(D15="Running OEE","Advice: switch to Running OEE",IF(D15="OEE", "Advice: switch to OEE",""))</f>
        <v>Advice: switch to OEE</v>
      </c>
      <c r="D15" s="59" t="str">
        <f>IF(OR(ABS(C21)&gt;RunningOEE_criteriaPM,ABS($B$6)&gt;RunningOEE_criteriaVolume),"Running OEE", "OEE")</f>
        <v>OEE</v>
      </c>
      <c r="E15" s="390"/>
      <c r="F15" s="391"/>
      <c r="G15" s="391"/>
      <c r="H15" s="391"/>
      <c r="I15" s="392"/>
      <c r="O15" s="95" t="s">
        <v>674</v>
      </c>
      <c r="P15" s="95"/>
      <c r="Q15" s="224" t="s">
        <v>308</v>
      </c>
      <c r="R15" s="96" t="str">
        <f t="shared" si="0"/>
        <v>Manual OEE target setting</v>
      </c>
      <c r="S15" s="264">
        <f>B13</f>
        <v>0</v>
      </c>
      <c r="T15" t="str">
        <f t="shared" si="1"/>
        <v xml:space="preserve"> Empty</v>
      </c>
      <c r="U15" t="s">
        <v>875</v>
      </c>
    </row>
    <row r="16" spans="1:21">
      <c r="E16" s="390"/>
      <c r="F16" s="391"/>
      <c r="G16" s="391"/>
      <c r="H16" s="391"/>
      <c r="I16" s="392"/>
      <c r="O16" s="95" t="s">
        <v>674</v>
      </c>
      <c r="P16" s="95"/>
      <c r="Q16" s="225" t="s">
        <v>309</v>
      </c>
      <c r="R16" s="96" t="str">
        <f t="shared" si="0"/>
        <v>Selected OEE target (used in table below)</v>
      </c>
      <c r="S16" s="264">
        <f t="shared" si="3"/>
        <v>0.01</v>
      </c>
      <c r="T16" t="str">
        <f t="shared" si="1"/>
        <v xml:space="preserve"> Empty</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OEE</v>
      </c>
      <c r="T17" t="str">
        <f t="shared" si="1"/>
        <v xml:space="preserve"> Empty</v>
      </c>
      <c r="U17" t="s">
        <v>875</v>
      </c>
    </row>
    <row r="18" spans="1:21">
      <c r="A18" s="44" t="s">
        <v>374</v>
      </c>
      <c r="B18" s="7">
        <f>INDEX(TableOEE[Sum of Planned Turnaround Hours],MATCH($B$2,TableOEE[Unit],0))</f>
        <v>0</v>
      </c>
      <c r="C18" s="42">
        <v>0</v>
      </c>
      <c r="D18" s="1" t="str">
        <f>IFERROR(INDEX(Table13[Distributed Turnaround (hrs) matching?],MATCH('OEE target setting Tool'!B2,Table13[ 2025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 xml:space="preserve"> Empty</v>
      </c>
      <c r="U18" t="s">
        <v>877</v>
      </c>
    </row>
    <row r="19" spans="1:21">
      <c r="A19" s="45" t="s">
        <v>375</v>
      </c>
      <c r="B19" s="46">
        <f>INDEX(TableOEE[Sum of Planned Shutdown Hours],MATCH($B$2,TableOEE[Unit],0))</f>
        <v>0</v>
      </c>
      <c r="C19" s="42">
        <v>0</v>
      </c>
      <c r="D19" s="259" t="str">
        <f>IFERROR(INDEX(Table12[Distributed Shutdown (hrs) matching?],MATCH('OEE target setting Tool'!B2,Table12[ 2025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0</v>
      </c>
      <c r="T19" t="str">
        <f t="shared" si="1"/>
        <v xml:space="preserve"> Empty</v>
      </c>
      <c r="U19" t="s">
        <v>877</v>
      </c>
    </row>
    <row r="20" spans="1:21">
      <c r="A20" s="30" t="s">
        <v>716</v>
      </c>
      <c r="B20" s="7">
        <f>INDEX(TableOEE[Sum of Planned Maintenance Hours],MATCH($B$2,TableOEE[Unit],0))</f>
        <v>0</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0</v>
      </c>
      <c r="T20" t="str">
        <f t="shared" si="1"/>
        <v xml:space="preserve"> Empty</v>
      </c>
      <c r="U20" t="s">
        <v>877</v>
      </c>
    </row>
    <row r="21" spans="1:21" ht="13.5" thickBot="1">
      <c r="A21" s="43" t="s">
        <v>715</v>
      </c>
      <c r="B21" s="7">
        <f>C20-B20</f>
        <v>0</v>
      </c>
      <c r="C21" s="5">
        <f>IF(B20&gt;0,C20/B20-1,0)</f>
        <v>0</v>
      </c>
      <c r="D21" s="269"/>
      <c r="E21" s="393"/>
      <c r="F21" s="394"/>
      <c r="G21" s="394"/>
      <c r="H21" s="394"/>
      <c r="I21" s="395"/>
      <c r="O21" s="95" t="s">
        <v>674</v>
      </c>
      <c r="P21" s="95" t="s">
        <v>879</v>
      </c>
      <c r="Q21" s="147" t="s">
        <v>715</v>
      </c>
      <c r="R21" s="96" t="str">
        <f t="shared" si="0"/>
        <v>Planned Maintenance Increase_Actual_LJ</v>
      </c>
      <c r="S21" s="265">
        <f>B21</f>
        <v>0</v>
      </c>
      <c r="T21" t="str">
        <f t="shared" si="1"/>
        <v xml:space="preserve"> Empty</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 xml:space="preserve"> Empty</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 xml:space="preserve"> Empty</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 xml:space="preserve"> Empty</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 xml:space="preserve"> Empty</v>
      </c>
      <c r="U25" t="s">
        <v>877</v>
      </c>
    </row>
    <row r="26" spans="1:21">
      <c r="A26" s="126" t="s">
        <v>7</v>
      </c>
      <c r="B26" s="161">
        <f>INDEX(TableOEE[Sum of ComercialLossInHours],MATCH($B$2,TableOEE[Unit],0))</f>
        <v>0</v>
      </c>
      <c r="C26" s="85"/>
      <c r="D26" s="161">
        <f>B26</f>
        <v>0</v>
      </c>
      <c r="E26" s="159"/>
      <c r="F26" s="282"/>
      <c r="G26" s="294">
        <f>IFERROR(-(I26-D26),"")</f>
        <v>-86.73267326732639</v>
      </c>
      <c r="H26" s="295"/>
      <c r="I26" s="161">
        <f>I25-I28</f>
        <v>86.73267326732639</v>
      </c>
      <c r="J26" s="206"/>
      <c r="O26" s="95" t="s">
        <v>675</v>
      </c>
      <c r="P26" s="95" t="s">
        <v>685</v>
      </c>
      <c r="Q26" s="147" t="s">
        <v>715</v>
      </c>
      <c r="R26" s="96" t="str">
        <f t="shared" si="0"/>
        <v>Planned Maintenance Increase_Target_NJ</v>
      </c>
      <c r="S26" s="264">
        <f>C21</f>
        <v>0</v>
      </c>
      <c r="T26" t="str">
        <f t="shared" si="1"/>
        <v xml:space="preserve"> Empty</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f>E12</f>
        <v>0</v>
      </c>
      <c r="T27" t="str">
        <f t="shared" si="1"/>
        <v xml:space="preserve"> Empty</v>
      </c>
      <c r="U27" t="s">
        <v>706</v>
      </c>
    </row>
    <row r="28" spans="1:21">
      <c r="A28" s="128" t="s">
        <v>14</v>
      </c>
      <c r="B28" s="162">
        <f>INDEX(TableOEE[Sum of AvailableInHours],MATCH($B$2,TableOEE[Unit],0))+B40</f>
        <v>8784</v>
      </c>
      <c r="C28" s="110">
        <f>IFERROR($B28/$B$28,)</f>
        <v>1</v>
      </c>
      <c r="D28" s="162">
        <f>D25-D26-D27</f>
        <v>8784</v>
      </c>
      <c r="E28" s="163">
        <v>1</v>
      </c>
      <c r="F28" s="284"/>
      <c r="G28" s="297">
        <f>D28-I28</f>
        <v>110.73267326732639</v>
      </c>
      <c r="H28" s="298"/>
      <c r="I28" s="162">
        <f>IFERROR(IF(B15="OEE",I45/F48,I30+I29),0)</f>
        <v>8673.2673267326736</v>
      </c>
      <c r="J28" s="207">
        <v>1</v>
      </c>
      <c r="O28" s="95" t="s">
        <v>674</v>
      </c>
      <c r="P28" s="95" t="s">
        <v>686</v>
      </c>
      <c r="Q28" s="150" t="s">
        <v>10</v>
      </c>
      <c r="R28" s="96" t="str">
        <f t="shared" si="0"/>
        <v>OEE_Actuals_LJ</v>
      </c>
      <c r="S28" s="264">
        <f>B48</f>
        <v>1</v>
      </c>
      <c r="T28" t="str">
        <f t="shared" si="1"/>
        <v xml:space="preserve"> Empty</v>
      </c>
      <c r="U28" t="s">
        <v>141</v>
      </c>
    </row>
    <row r="29" spans="1:21" ht="13.5" thickBot="1">
      <c r="A29" s="129" t="s">
        <v>17</v>
      </c>
      <c r="B29" s="164">
        <f>INDEX(TableOEE[Sum of Planned Maintenance Hours],MATCH($B$2,TableOEE[Unit],0))</f>
        <v>0</v>
      </c>
      <c r="C29" s="16">
        <f>IFERROR($B29/$B$28,)</f>
        <v>0</v>
      </c>
      <c r="D29" s="164">
        <f>B29</f>
        <v>0</v>
      </c>
      <c r="E29" s="165">
        <f>D29/$D$28</f>
        <v>0</v>
      </c>
      <c r="F29" s="285"/>
      <c r="G29" s="299">
        <f>-(I29-D29)</f>
        <v>0</v>
      </c>
      <c r="H29" s="285">
        <f>IFERROR($C29-$J29,)</f>
        <v>0</v>
      </c>
      <c r="I29" s="164">
        <f>C20</f>
        <v>0</v>
      </c>
      <c r="J29" s="208">
        <f>IFERROR(I29/I28,)</f>
        <v>0</v>
      </c>
      <c r="O29" s="95" t="s">
        <v>674</v>
      </c>
      <c r="P29" s="95" t="s">
        <v>686</v>
      </c>
      <c r="Q29" s="150" t="s">
        <v>666</v>
      </c>
      <c r="R29" s="96" t="str">
        <f t="shared" si="0"/>
        <v>Running OEE_Actuals_LJ</v>
      </c>
      <c r="S29" s="264">
        <f t="shared" ref="S29:S31" si="4">B49</f>
        <v>1</v>
      </c>
      <c r="T29" t="str">
        <f t="shared" si="1"/>
        <v xml:space="preserve"> Empty</v>
      </c>
      <c r="U29" t="s">
        <v>141</v>
      </c>
    </row>
    <row r="30" spans="1:21">
      <c r="A30" s="128" t="s">
        <v>665</v>
      </c>
      <c r="B30" s="162">
        <f>B28-B29</f>
        <v>8784</v>
      </c>
      <c r="C30" s="110">
        <f>B30/B28</f>
        <v>1</v>
      </c>
      <c r="D30" s="162">
        <f>D28-D29</f>
        <v>8784</v>
      </c>
      <c r="E30" s="163">
        <f>D30/D28</f>
        <v>1</v>
      </c>
      <c r="F30" s="284"/>
      <c r="G30" s="297">
        <f>D30-I30</f>
        <v>110.73267326732639</v>
      </c>
      <c r="H30" s="298"/>
      <c r="I30" s="162">
        <f>IF(B15="OEE",I28-I29,I45/F49)</f>
        <v>8673.2673267326736</v>
      </c>
      <c r="J30" s="209"/>
      <c r="O30" s="95" t="s">
        <v>674</v>
      </c>
      <c r="P30" s="95" t="s">
        <v>686</v>
      </c>
      <c r="Q30" s="150" t="s">
        <v>8</v>
      </c>
      <c r="R30" s="96" t="str">
        <f t="shared" si="0"/>
        <v>Utilization_Actuals_LJ</v>
      </c>
      <c r="S30" s="264">
        <f t="shared" si="4"/>
        <v>1</v>
      </c>
      <c r="T30" t="str">
        <f t="shared" si="1"/>
        <v xml:space="preserve"> Empty</v>
      </c>
      <c r="U30" t="s">
        <v>141</v>
      </c>
    </row>
    <row r="31" spans="1:21">
      <c r="A31" s="130" t="s">
        <v>18</v>
      </c>
      <c r="B31" s="166">
        <f>INDEX(TableCategories[Equipment Reliability],MATCH($B$2,TableCategories[Row Labels],0))-B29</f>
        <v>0</v>
      </c>
      <c r="C31" s="71">
        <f t="shared" ref="C31:C39" si="5">IFERROR($B31/$B$28,)</f>
        <v>0</v>
      </c>
      <c r="D31" s="166">
        <f>IFERROR(IF($B$8="Exclude",B31,IF($B$9="No",B31,IF(B31&lt;0,B31+$C$7*(1-$D$7)*B31/$D$6,B31+(($C$7*$D$7)*B31/$C$6)))),0)</f>
        <v>0</v>
      </c>
      <c r="E31" s="167">
        <f>D31/$D$28</f>
        <v>0</v>
      </c>
      <c r="F31" s="325">
        <v>0</v>
      </c>
      <c r="G31" s="166">
        <f>IF($F$24="% decrease",D31-I31,F31)</f>
        <v>0</v>
      </c>
      <c r="H31" s="327">
        <f t="shared" ref="H31:H39" si="6">IF($F$24="% decrease",$F31,$E31-$J31)</f>
        <v>0</v>
      </c>
      <c r="I31" s="166">
        <f>IF($F$24="% decrease",J31*$I$28,$D31-$G31)</f>
        <v>0</v>
      </c>
      <c r="J31" s="210">
        <f t="shared" ref="J31:J39" si="7">IF($F$24="% decrease",$E31-$H31,I31/I$28)</f>
        <v>0</v>
      </c>
      <c r="O31" s="95" t="s">
        <v>674</v>
      </c>
      <c r="P31" s="95" t="s">
        <v>686</v>
      </c>
      <c r="Q31" s="150" t="s">
        <v>376</v>
      </c>
      <c r="R31" s="96" t="str">
        <f t="shared" si="0"/>
        <v>OAU_Actuals_LJ</v>
      </c>
      <c r="S31" s="264">
        <f t="shared" si="4"/>
        <v>1</v>
      </c>
      <c r="T31" t="str">
        <f t="shared" si="1"/>
        <v xml:space="preserve"> Empty</v>
      </c>
      <c r="U31" t="s">
        <v>141</v>
      </c>
    </row>
    <row r="32" spans="1:21">
      <c r="A32" s="131" t="s">
        <v>1</v>
      </c>
      <c r="B32" s="168">
        <f>INDEX(TableCategories[Operational Reliability],MATCH($B$2,TableCategories[Row Labels],0))</f>
        <v>0</v>
      </c>
      <c r="C32" s="9">
        <f t="shared" si="5"/>
        <v>0</v>
      </c>
      <c r="D32" s="168">
        <f t="shared" ref="D32:D39" si="8">IFERROR(IF($B$8="Exclude",B32,IF($B$9="No",B32,IF(B32&lt;0,B32+$C$7*(1-$D$7)*B32/$D$6,B32+(($C$7*$D$7)*B32/$C$6)))),0)</f>
        <v>0</v>
      </c>
      <c r="E32" s="169">
        <f t="shared" ref="E32:E41" si="9">D32/$D$28</f>
        <v>0</v>
      </c>
      <c r="F32" s="325">
        <v>0</v>
      </c>
      <c r="G32" s="168">
        <f t="shared" ref="G32:G41" si="10">IF($F$24="% decrease",D32-I32,F32)</f>
        <v>0</v>
      </c>
      <c r="H32" s="327">
        <f t="shared" si="6"/>
        <v>0</v>
      </c>
      <c r="I32" s="168">
        <f t="shared" ref="I32:I41" si="11">IF($F$24="% decrease",J32*$I$28,$D32-$G32)</f>
        <v>0</v>
      </c>
      <c r="J32" s="211">
        <f t="shared" si="7"/>
        <v>0</v>
      </c>
      <c r="O32" s="95" t="s">
        <v>675</v>
      </c>
      <c r="P32" s="95" t="s">
        <v>719</v>
      </c>
      <c r="Q32" s="13" t="s">
        <v>10</v>
      </c>
      <c r="R32" s="96" t="str">
        <f t="shared" si="0"/>
        <v>OEE_Actuals_LJ_corrected</v>
      </c>
      <c r="S32" s="264">
        <f>C48</f>
        <v>1</v>
      </c>
      <c r="T32" t="str">
        <f t="shared" si="1"/>
        <v xml:space="preserve"> Empty</v>
      </c>
      <c r="U32" t="s">
        <v>141</v>
      </c>
    </row>
    <row r="33" spans="1:21">
      <c r="A33" s="130" t="s">
        <v>2</v>
      </c>
      <c r="B33" s="166">
        <f>INDEX(TableCategories[Technology Reliability],MATCH($B$2,TableCategories[Row Labels],0))</f>
        <v>0</v>
      </c>
      <c r="C33" s="71">
        <f t="shared" si="5"/>
        <v>0</v>
      </c>
      <c r="D33" s="166">
        <f t="shared" si="8"/>
        <v>0</v>
      </c>
      <c r="E33" s="167">
        <f t="shared" si="9"/>
        <v>0</v>
      </c>
      <c r="F33" s="355">
        <v>0</v>
      </c>
      <c r="G33" s="166">
        <f t="shared" si="10"/>
        <v>0</v>
      </c>
      <c r="H33" s="327">
        <f t="shared" si="6"/>
        <v>0</v>
      </c>
      <c r="I33" s="166">
        <f t="shared" si="11"/>
        <v>0</v>
      </c>
      <c r="J33" s="210">
        <f t="shared" si="7"/>
        <v>0</v>
      </c>
      <c r="O33" s="95" t="s">
        <v>675</v>
      </c>
      <c r="P33" s="95" t="s">
        <v>719</v>
      </c>
      <c r="Q33" s="13" t="s">
        <v>666</v>
      </c>
      <c r="R33" s="96" t="str">
        <f t="shared" si="0"/>
        <v>Running OEE_Actuals_LJ_corrected</v>
      </c>
      <c r="S33" s="264">
        <f>C49</f>
        <v>1</v>
      </c>
      <c r="T33" t="str">
        <f t="shared" si="1"/>
        <v xml:space="preserve"> Empty</v>
      </c>
      <c r="U33" t="s">
        <v>141</v>
      </c>
    </row>
    <row r="34" spans="1:21">
      <c r="A34" s="131" t="s">
        <v>3</v>
      </c>
      <c r="B34" s="168">
        <f>INDEX(TableCategories[Material Reliability],MATCH($B$2,TableCategories[Row Labels],0))</f>
        <v>0</v>
      </c>
      <c r="C34" s="9">
        <f t="shared" si="5"/>
        <v>0</v>
      </c>
      <c r="D34" s="168">
        <f t="shared" si="8"/>
        <v>0</v>
      </c>
      <c r="E34" s="169">
        <f t="shared" si="9"/>
        <v>0</v>
      </c>
      <c r="F34" s="273">
        <v>0</v>
      </c>
      <c r="G34" s="168">
        <f t="shared" si="10"/>
        <v>0</v>
      </c>
      <c r="H34" s="327">
        <f t="shared" si="6"/>
        <v>0</v>
      </c>
      <c r="I34" s="168">
        <f t="shared" si="11"/>
        <v>0</v>
      </c>
      <c r="J34" s="211">
        <f t="shared" si="7"/>
        <v>0</v>
      </c>
      <c r="O34" s="95" t="s">
        <v>675</v>
      </c>
      <c r="P34" s="95" t="s">
        <v>719</v>
      </c>
      <c r="Q34" s="13" t="s">
        <v>8</v>
      </c>
      <c r="R34" s="96" t="str">
        <f t="shared" si="0"/>
        <v>Utilization_Actuals_LJ_corrected</v>
      </c>
      <c r="S34" s="264">
        <f>C50</f>
        <v>1</v>
      </c>
      <c r="T34" t="str">
        <f t="shared" si="1"/>
        <v xml:space="preserve"> Empty</v>
      </c>
      <c r="U34" t="s">
        <v>141</v>
      </c>
    </row>
    <row r="35" spans="1:21">
      <c r="A35" s="130" t="s">
        <v>4</v>
      </c>
      <c r="B35" s="166">
        <f>INDEX(TableCategories[Logistics/Supply Reliability],MATCH($B$2,TableCategories[Row Labels],0))</f>
        <v>0</v>
      </c>
      <c r="C35" s="71">
        <f t="shared" si="5"/>
        <v>0</v>
      </c>
      <c r="D35" s="166">
        <f t="shared" si="8"/>
        <v>0</v>
      </c>
      <c r="E35" s="167">
        <f t="shared" si="9"/>
        <v>0</v>
      </c>
      <c r="F35" s="325">
        <v>0</v>
      </c>
      <c r="G35" s="166">
        <f t="shared" si="10"/>
        <v>0</v>
      </c>
      <c r="H35" s="327">
        <f t="shared" si="6"/>
        <v>0</v>
      </c>
      <c r="I35" s="166">
        <f t="shared" si="11"/>
        <v>0</v>
      </c>
      <c r="J35" s="210">
        <f t="shared" si="7"/>
        <v>0</v>
      </c>
      <c r="O35" s="95" t="s">
        <v>675</v>
      </c>
      <c r="P35" s="95" t="s">
        <v>719</v>
      </c>
      <c r="Q35" s="13" t="s">
        <v>376</v>
      </c>
      <c r="R35" s="96" t="str">
        <f t="shared" si="0"/>
        <v>OAU_Actuals_LJ_corrected</v>
      </c>
      <c r="S35" s="264">
        <f>C51</f>
        <v>1</v>
      </c>
      <c r="T35" t="str">
        <f t="shared" si="1"/>
        <v xml:space="preserve"> Empty</v>
      </c>
      <c r="U35" t="s">
        <v>141</v>
      </c>
    </row>
    <row r="36" spans="1:21">
      <c r="A36" s="131" t="s">
        <v>5</v>
      </c>
      <c r="B36" s="168">
        <f>INDEX(TableCategories[External Reliability],MATCH($B$2,TableCategories[Row Labels],0))</f>
        <v>0</v>
      </c>
      <c r="C36" s="9">
        <f t="shared" si="5"/>
        <v>0</v>
      </c>
      <c r="D36" s="168">
        <f t="shared" si="8"/>
        <v>0</v>
      </c>
      <c r="E36" s="169">
        <f t="shared" si="9"/>
        <v>0</v>
      </c>
      <c r="F36" s="355">
        <v>0</v>
      </c>
      <c r="G36" s="168">
        <f t="shared" si="10"/>
        <v>0</v>
      </c>
      <c r="H36" s="327">
        <f t="shared" si="6"/>
        <v>0</v>
      </c>
      <c r="I36" s="168">
        <f t="shared" si="11"/>
        <v>0</v>
      </c>
      <c r="J36" s="211">
        <f t="shared" si="7"/>
        <v>0</v>
      </c>
      <c r="O36" s="95" t="s">
        <v>676</v>
      </c>
      <c r="P36" s="95" t="s">
        <v>684</v>
      </c>
      <c r="Q36" s="150" t="s">
        <v>10</v>
      </c>
      <c r="R36" s="96" t="str">
        <f t="shared" si="0"/>
        <v>OEE_Normalized_LJ</v>
      </c>
      <c r="S36" s="264">
        <f>D48</f>
        <v>1</v>
      </c>
      <c r="T36" t="str">
        <f t="shared" si="1"/>
        <v xml:space="preserve"> Empty</v>
      </c>
      <c r="U36" t="s">
        <v>141</v>
      </c>
    </row>
    <row r="37" spans="1:21">
      <c r="A37" s="130" t="s">
        <v>11</v>
      </c>
      <c r="B37" s="166">
        <f>INDEX(TableCategories[Other Reliability],MATCH($B$2,TableCategories[Row Labels],0))</f>
        <v>0</v>
      </c>
      <c r="C37" s="71">
        <f t="shared" si="5"/>
        <v>0</v>
      </c>
      <c r="D37" s="166">
        <f t="shared" si="8"/>
        <v>0</v>
      </c>
      <c r="E37" s="167">
        <f t="shared" si="9"/>
        <v>0</v>
      </c>
      <c r="F37" s="325">
        <v>0</v>
      </c>
      <c r="G37" s="166">
        <f t="shared" si="10"/>
        <v>0</v>
      </c>
      <c r="H37" s="327">
        <f t="shared" si="6"/>
        <v>0</v>
      </c>
      <c r="I37" s="166">
        <f t="shared" si="11"/>
        <v>0</v>
      </c>
      <c r="J37" s="210">
        <f t="shared" si="7"/>
        <v>0</v>
      </c>
      <c r="O37" s="95" t="s">
        <v>676</v>
      </c>
      <c r="P37" s="95" t="s">
        <v>684</v>
      </c>
      <c r="Q37" s="150" t="s">
        <v>666</v>
      </c>
      <c r="R37" s="96" t="str">
        <f t="shared" si="0"/>
        <v>Running OEE_Normalized_LJ</v>
      </c>
      <c r="S37" s="264">
        <f>D49</f>
        <v>1</v>
      </c>
      <c r="T37" t="str">
        <f t="shared" si="1"/>
        <v xml:space="preserve"> Empty</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1</v>
      </c>
      <c r="T38" t="str">
        <f t="shared" si="1"/>
        <v xml:space="preserve"> Empty</v>
      </c>
      <c r="U38" t="s">
        <v>141</v>
      </c>
    </row>
    <row r="39" spans="1:21">
      <c r="A39" s="131" t="s">
        <v>16</v>
      </c>
      <c r="B39" s="166">
        <f>INDEX(TableOEE[Sum of UndetectedInHours],MATCH($B$2,TableOEE[Unit],0))</f>
        <v>0</v>
      </c>
      <c r="C39" s="71">
        <f t="shared" si="5"/>
        <v>0</v>
      </c>
      <c r="D39" s="166">
        <f t="shared" si="8"/>
        <v>0</v>
      </c>
      <c r="E39" s="167">
        <f t="shared" si="9"/>
        <v>0</v>
      </c>
      <c r="F39" s="355">
        <v>0</v>
      </c>
      <c r="G39" s="166">
        <f t="shared" si="10"/>
        <v>0</v>
      </c>
      <c r="H39" s="327">
        <f t="shared" si="6"/>
        <v>0</v>
      </c>
      <c r="I39" s="166">
        <f t="shared" si="11"/>
        <v>0</v>
      </c>
      <c r="J39" s="210">
        <f t="shared" si="7"/>
        <v>0</v>
      </c>
      <c r="O39" s="95" t="s">
        <v>676</v>
      </c>
      <c r="P39" s="95" t="s">
        <v>684</v>
      </c>
      <c r="Q39" s="150" t="s">
        <v>376</v>
      </c>
      <c r="R39" s="96" t="str">
        <f t="shared" si="0"/>
        <v>OAU_Normalized_LJ</v>
      </c>
      <c r="S39" s="264">
        <f>D51</f>
        <v>1</v>
      </c>
      <c r="T39" t="str">
        <f t="shared" si="1"/>
        <v xml:space="preserve"> Empty</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1</v>
      </c>
      <c r="T40" t="str">
        <f t="shared" si="1"/>
        <v xml:space="preserve"> Empty</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1</v>
      </c>
      <c r="T41" t="str">
        <f t="shared" si="1"/>
        <v xml:space="preserve"> Empty</v>
      </c>
      <c r="U41" t="s">
        <v>141</v>
      </c>
    </row>
    <row r="42" spans="1:21" ht="13.5" thickBot="1">
      <c r="A42" s="134" t="s">
        <v>705</v>
      </c>
      <c r="B42" s="172"/>
      <c r="C42" s="72"/>
      <c r="D42" s="172">
        <f>D30-D31-D32-D33-D34-D35-D36-D37-D38-D39-D40-D41-D45</f>
        <v>0</v>
      </c>
      <c r="E42" s="173"/>
      <c r="F42" s="287"/>
      <c r="G42" s="306"/>
      <c r="H42" s="307">
        <f>IFERROR(I42/I28,0)</f>
        <v>9.9999999999999603E-3</v>
      </c>
      <c r="I42" s="184">
        <f>-(I43-I31-I32-I33-I34-I35-I36-I37-I38-I39-I41-I40)</f>
        <v>86.73267326732639</v>
      </c>
      <c r="J42" s="212">
        <f>-H42</f>
        <v>-9.9999999999999603E-3</v>
      </c>
      <c r="O42" s="95" t="s">
        <v>677</v>
      </c>
      <c r="P42" s="95" t="s">
        <v>720</v>
      </c>
      <c r="Q42" s="13" t="s">
        <v>8</v>
      </c>
      <c r="R42" s="96" t="str">
        <f t="shared" si="0"/>
        <v>Utilization_Baseline target setting</v>
      </c>
      <c r="S42" s="264">
        <f>E50</f>
        <v>1</v>
      </c>
      <c r="T42" t="str">
        <f t="shared" si="1"/>
        <v xml:space="preserve"> Empty</v>
      </c>
      <c r="U42" t="s">
        <v>141</v>
      </c>
    </row>
    <row r="43" spans="1:21" ht="13.5" hidden="1" thickBot="1">
      <c r="A43" s="135" t="s">
        <v>397</v>
      </c>
      <c r="B43" s="174">
        <f>SUBTOTAL(109,B31:B40)</f>
        <v>0</v>
      </c>
      <c r="C43" s="106">
        <f>IFERROR($B43/$B$28,)</f>
        <v>0</v>
      </c>
      <c r="D43" s="174">
        <f>SUBTOTAL(109,D31:D41)</f>
        <v>0</v>
      </c>
      <c r="E43" s="175">
        <f>D43/D28</f>
        <v>0</v>
      </c>
      <c r="F43" s="288"/>
      <c r="G43" s="308">
        <f>I43-D43</f>
        <v>-86.73267326732639</v>
      </c>
      <c r="H43" s="309">
        <f>E43-J43</f>
        <v>9.9999999999999603E-3</v>
      </c>
      <c r="I43" s="174">
        <f>I30-I45</f>
        <v>-86.73267326732639</v>
      </c>
      <c r="J43" s="213">
        <f>SUM(J31:J42)</f>
        <v>-9.9999999999999603E-3</v>
      </c>
      <c r="O43" s="95" t="s">
        <v>677</v>
      </c>
      <c r="P43" s="95"/>
      <c r="Q43" s="13" t="s">
        <v>722</v>
      </c>
      <c r="R43" s="96" t="str">
        <f t="shared" si="0"/>
        <v>BLANK1</v>
      </c>
      <c r="S43" s="264"/>
      <c r="T43" t="str">
        <f t="shared" si="1"/>
        <v xml:space="preserve"> Empty</v>
      </c>
      <c r="U43" t="s">
        <v>141</v>
      </c>
    </row>
    <row r="44" spans="1:21" ht="13.5" hidden="1" thickBot="1">
      <c r="A44" s="136" t="s">
        <v>398</v>
      </c>
      <c r="B44" s="176">
        <f>B43+B29</f>
        <v>0</v>
      </c>
      <c r="C44" s="31">
        <f>IFERROR($B44/$B$28,)</f>
        <v>0</v>
      </c>
      <c r="D44" s="176">
        <f>D43+D29</f>
        <v>0</v>
      </c>
      <c r="E44" s="177">
        <f>D44/D28</f>
        <v>0</v>
      </c>
      <c r="F44" s="289"/>
      <c r="G44" s="310">
        <f>I44-D44</f>
        <v>-86.73267326732639</v>
      </c>
      <c r="H44" s="311">
        <f>IFERROR(E44-J44,)</f>
        <v>1.0000000000000009E-2</v>
      </c>
      <c r="I44" s="176">
        <f>I28-I45</f>
        <v>-86.73267326732639</v>
      </c>
      <c r="J44" s="214">
        <f>IFERROR(1-J45,)</f>
        <v>-1.0000000000000009E-2</v>
      </c>
      <c r="O44" s="95" t="s">
        <v>677</v>
      </c>
      <c r="P44" s="95"/>
      <c r="Q44" s="151" t="s">
        <v>721</v>
      </c>
      <c r="R44" s="96" t="str">
        <f t="shared" si="0"/>
        <v>BLANK2</v>
      </c>
      <c r="S44" s="264"/>
      <c r="T44" t="str">
        <f t="shared" si="1"/>
        <v xml:space="preserve"> Empty</v>
      </c>
      <c r="U44" t="s">
        <v>141</v>
      </c>
    </row>
    <row r="45" spans="1:21" ht="13.5" thickBot="1">
      <c r="A45" s="137" t="s">
        <v>712</v>
      </c>
      <c r="B45" s="178">
        <f>INDEX(TableOEE[Sum of ActualInHours],MATCH($B$2,TableOEE[Unit],0))</f>
        <v>8784</v>
      </c>
      <c r="C45" s="139">
        <f>IFERROR($B45/$B$28,)</f>
        <v>1</v>
      </c>
      <c r="D45" s="178">
        <f>IF(B8="Include",B45/(1+B7),B45)</f>
        <v>8784</v>
      </c>
      <c r="E45" s="179">
        <f>D45/D28</f>
        <v>1</v>
      </c>
      <c r="F45" s="290"/>
      <c r="G45" s="312">
        <f>I45-D45</f>
        <v>-24</v>
      </c>
      <c r="H45" s="290">
        <f>H43+H29+H42+H41</f>
        <v>1.9999999999999921E-2</v>
      </c>
      <c r="I45" s="178">
        <f>D45*(1+B6)*I25/B25</f>
        <v>8760</v>
      </c>
      <c r="J45" s="215">
        <f>F48</f>
        <v>1.01</v>
      </c>
      <c r="O45" s="95" t="s">
        <v>677</v>
      </c>
      <c r="P45" s="95" t="s">
        <v>720</v>
      </c>
      <c r="Q45" s="13" t="s">
        <v>376</v>
      </c>
      <c r="R45" s="96" t="str">
        <f t="shared" si="0"/>
        <v>OAU_Baseline target setting</v>
      </c>
      <c r="S45" s="264">
        <f>E51</f>
        <v>1</v>
      </c>
      <c r="T45" t="str">
        <f t="shared" si="1"/>
        <v xml:space="preserve"> Empty</v>
      </c>
      <c r="U45" t="s">
        <v>141</v>
      </c>
    </row>
    <row r="46" spans="1:21">
      <c r="F46" t="s">
        <v>713</v>
      </c>
      <c r="O46" s="95" t="s">
        <v>678</v>
      </c>
      <c r="P46" s="95" t="s">
        <v>880</v>
      </c>
      <c r="Q46" s="150" t="s">
        <v>10</v>
      </c>
      <c r="R46" s="96" t="str">
        <f t="shared" si="0"/>
        <v>OEE_Targets_NJ</v>
      </c>
      <c r="S46" s="264">
        <f>F48</f>
        <v>1.01</v>
      </c>
      <c r="T46" t="str">
        <f t="shared" si="1"/>
        <v xml:space="preserve"> Empty</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1.01</v>
      </c>
      <c r="T47" t="str">
        <f t="shared" si="1"/>
        <v xml:space="preserve"> Empty</v>
      </c>
      <c r="U47" t="s">
        <v>141</v>
      </c>
    </row>
    <row r="48" spans="1:21">
      <c r="A48" s="88" t="s">
        <v>10</v>
      </c>
      <c r="B48" s="89">
        <f>IFERROR(B45/(B28-B40),)</f>
        <v>1</v>
      </c>
      <c r="C48" s="69">
        <f>IFERROR(B45/(B28-B5),)</f>
        <v>1</v>
      </c>
      <c r="D48" s="89">
        <f>IFERROR(IF(INDEX(TableOEEnormalized[LastYear Normalized OEE],MATCH($B$2,TableOEEnormalized[Unit],0))&gt;0,
        INDEX(TableOEEnormalized[LastYear Normalized OEE],MATCH($B$2,TableOEEnormalized[Unit],0)),""),Table1012912[[#This Row],[Actual 2024]])</f>
        <v>1</v>
      </c>
      <c r="E48" s="69">
        <f>IF(B8="Include",C48/(1+B7),C48)</f>
        <v>1</v>
      </c>
      <c r="F48" s="275">
        <f>IFERROR(IF(B15="OEE", E48+B14,I45/I28),)</f>
        <v>1.01</v>
      </c>
      <c r="G48" s="276" t="s">
        <v>707</v>
      </c>
      <c r="O48" s="95" t="s">
        <v>678</v>
      </c>
      <c r="P48" s="95" t="s">
        <v>880</v>
      </c>
      <c r="Q48" s="150" t="s">
        <v>8</v>
      </c>
      <c r="R48" s="96" t="str">
        <f t="shared" si="0"/>
        <v>Utilization_Targets_NJ</v>
      </c>
      <c r="S48" s="264">
        <f>F50</f>
        <v>0.99009900990099009</v>
      </c>
      <c r="T48" t="str">
        <f t="shared" si="1"/>
        <v xml:space="preserve"> Empty</v>
      </c>
      <c r="U48" t="s">
        <v>141</v>
      </c>
    </row>
    <row r="49" spans="1:35">
      <c r="A49" s="90" t="s">
        <v>666</v>
      </c>
      <c r="B49" s="69">
        <f>IFERROR(B45/(B30-B40),)</f>
        <v>1</v>
      </c>
      <c r="C49" s="69">
        <f>IFERROR(B45/(B30-B5),)</f>
        <v>1</v>
      </c>
      <c r="D49" s="123">
        <f>IFERROR(B45/(1+B7)/(B28-B29),)</f>
        <v>1</v>
      </c>
      <c r="E49" s="69">
        <f>IFERROR(D45/(D30),)</f>
        <v>1</v>
      </c>
      <c r="F49" s="123">
        <f>IFERROR(IF(B15="OEE",(I45/I30),E49+B14),)</f>
        <v>1.01</v>
      </c>
      <c r="G49" s="274" t="s">
        <v>669</v>
      </c>
      <c r="O49" s="95" t="s">
        <v>678</v>
      </c>
      <c r="P49" s="95" t="s">
        <v>880</v>
      </c>
      <c r="Q49" s="150" t="s">
        <v>376</v>
      </c>
      <c r="R49" s="96" t="str">
        <f t="shared" si="0"/>
        <v>OAU_Targets_NJ</v>
      </c>
      <c r="S49" s="264">
        <f>F51</f>
        <v>1</v>
      </c>
      <c r="T49" t="str">
        <f t="shared" si="1"/>
        <v xml:space="preserve"> Empty</v>
      </c>
      <c r="U49" t="s">
        <v>141</v>
      </c>
    </row>
    <row r="50" spans="1:35">
      <c r="A50" s="90" t="s">
        <v>8</v>
      </c>
      <c r="B50" s="5">
        <f>IFERROR((B28+B27)/(B25),)</f>
        <v>1</v>
      </c>
      <c r="C50" s="69">
        <f>IFERROR((B28-B5)/B25,)</f>
        <v>1</v>
      </c>
      <c r="D50" s="123">
        <f>IFERROR(IF(INDEX(TableOEEnormalized[LastYear Normalized Utilization],MATCH($B$2,TableOEEnormalized[Unit],0))&gt;0,
      INDEX(TableOEEnormalized[LastYear Normalized Utilization],MATCH($B$2,TableOEEnormalized[Unit],0)),""),Table1012912[[#This Row],[Actual 2024]])</f>
        <v>1</v>
      </c>
      <c r="E50" s="69">
        <f>IFERROR(D28/D25,)</f>
        <v>1</v>
      </c>
      <c r="F50" s="69">
        <f>IFERROR(I28/I25,)</f>
        <v>0.99009900990099009</v>
      </c>
      <c r="G50" s="91" t="s">
        <v>1188</v>
      </c>
      <c r="O50" s="95" t="s">
        <v>679</v>
      </c>
      <c r="P50" s="95" t="s">
        <v>706</v>
      </c>
      <c r="Q50" s="13" t="s">
        <v>10</v>
      </c>
      <c r="R50" s="96" t="str">
        <f t="shared" si="0"/>
        <v>OEE_Remarks</v>
      </c>
      <c r="S50" s="264" t="str">
        <f>G48</f>
        <v>OEE target</v>
      </c>
      <c r="T50" t="str">
        <f t="shared" si="1"/>
        <v xml:space="preserve"> Empty</v>
      </c>
      <c r="U50" t="s">
        <v>878</v>
      </c>
    </row>
    <row r="51" spans="1:35">
      <c r="A51" s="90" t="s">
        <v>376</v>
      </c>
      <c r="B51" s="69">
        <f>IFERROR(B45/B25,)</f>
        <v>1</v>
      </c>
      <c r="C51" s="6">
        <f>Table1012912[[#This Row],[Actual 2024]]</f>
        <v>1</v>
      </c>
      <c r="D51" s="123">
        <f>IFERROR(IF(INDEX(TableOEEnormalized[LastYear Normalized OAU],MATCH($B$2,TableOEEnormalized[Unit],0))&gt;0,
   INDEX(TableOEEnormalized[LastYear Normalized OAU],MATCH($B$2,TableOEEnormalized[Unit],0)),""),Table1012912[[#This Row],[Actual 2024]])</f>
        <v>1</v>
      </c>
      <c r="E51" s="5">
        <f>D45/D25</f>
        <v>1</v>
      </c>
      <c r="F51" s="69">
        <f>I45/I25</f>
        <v>1</v>
      </c>
      <c r="G51" s="91"/>
      <c r="O51" s="95" t="s">
        <v>679</v>
      </c>
      <c r="P51" s="95" t="s">
        <v>706</v>
      </c>
      <c r="Q51" s="13" t="s">
        <v>666</v>
      </c>
      <c r="R51" s="96" t="str">
        <f t="shared" si="0"/>
        <v>Running OEE_Remarks</v>
      </c>
      <c r="S51" s="264" t="str">
        <f>G49</f>
        <v>Running OEE target</v>
      </c>
      <c r="T51" t="str">
        <f t="shared" si="1"/>
        <v xml:space="preserve"> Empty</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 xml:space="preserve"> Empty</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 xml:space="preserve"> Empty</v>
      </c>
      <c r="U53" t="s">
        <v>878</v>
      </c>
    </row>
    <row r="54" spans="1:35">
      <c r="A54" s="65" t="str">
        <f>B2</f>
        <v xml:space="preserve"> Empty</v>
      </c>
      <c r="B54" s="75">
        <f>B48</f>
        <v>1</v>
      </c>
      <c r="C54" s="75">
        <f>D48</f>
        <v>1</v>
      </c>
      <c r="D54" s="75">
        <f>E48</f>
        <v>1</v>
      </c>
      <c r="E54" s="75">
        <f>F48</f>
        <v>1.01</v>
      </c>
      <c r="F54" s="76">
        <f>B6</f>
        <v>0</v>
      </c>
      <c r="G54" s="97">
        <f>B5</f>
        <v>0</v>
      </c>
      <c r="H54" s="76">
        <f>B14</f>
        <v>0.01</v>
      </c>
      <c r="I54" s="76" t="str">
        <f>B11</f>
        <v>Playbook Matrix Value</v>
      </c>
      <c r="J54" s="76" t="str">
        <f>B15</f>
        <v>OEE</v>
      </c>
      <c r="K54" s="102">
        <f>C18</f>
        <v>0</v>
      </c>
      <c r="L54" s="102">
        <f>C19</f>
        <v>0</v>
      </c>
      <c r="M54" s="104">
        <f>F49</f>
        <v>1.01</v>
      </c>
      <c r="O54" s="95" t="s">
        <v>674</v>
      </c>
      <c r="P54" s="95" t="s">
        <v>683</v>
      </c>
      <c r="Q54" s="142" t="s">
        <v>13</v>
      </c>
      <c r="R54" s="96" t="str">
        <f t="shared" si="0"/>
        <v>MAC - Calender hours_Loss_Hours_LJ</v>
      </c>
      <c r="S54" s="267">
        <f>B25</f>
        <v>8784</v>
      </c>
      <c r="T54" t="str">
        <f t="shared" si="1"/>
        <v xml:space="preserve"> Empty</v>
      </c>
      <c r="U54" t="s">
        <v>876</v>
      </c>
    </row>
    <row r="55" spans="1:35">
      <c r="O55" s="95" t="s">
        <v>674</v>
      </c>
      <c r="P55" s="95" t="s">
        <v>683</v>
      </c>
      <c r="Q55" s="152" t="s">
        <v>7</v>
      </c>
      <c r="R55" s="96" t="str">
        <f t="shared" si="0"/>
        <v>Commercial Reliability_Loss_Hours_LJ</v>
      </c>
      <c r="S55" s="267">
        <f t="shared" ref="S55:S74" si="12">B26</f>
        <v>0</v>
      </c>
      <c r="T55" t="str">
        <f t="shared" si="1"/>
        <v xml:space="preserve"> Empty</v>
      </c>
      <c r="U55" t="s">
        <v>876</v>
      </c>
    </row>
    <row r="56" spans="1:35">
      <c r="D56" s="5"/>
      <c r="O56" s="95" t="s">
        <v>674</v>
      </c>
      <c r="P56" s="95" t="s">
        <v>683</v>
      </c>
      <c r="Q56" s="152" t="s">
        <v>704</v>
      </c>
      <c r="R56" s="96" t="str">
        <f t="shared" si="0"/>
        <v>Exception hours (loss excluded from OEE)_Loss_Hours_LJ</v>
      </c>
      <c r="S56" s="267">
        <f t="shared" si="12"/>
        <v>0</v>
      </c>
      <c r="T56" t="str">
        <f t="shared" si="1"/>
        <v xml:space="preserve"> Empty</v>
      </c>
      <c r="U56" t="s">
        <v>876</v>
      </c>
    </row>
    <row r="57" spans="1:35">
      <c r="D57" s="5"/>
      <c r="F57" s="54"/>
      <c r="O57" s="95" t="s">
        <v>674</v>
      </c>
      <c r="P57" s="95" t="s">
        <v>683</v>
      </c>
      <c r="Q57" s="152" t="s">
        <v>14</v>
      </c>
      <c r="R57" s="96" t="str">
        <f t="shared" si="0"/>
        <v>Available OEE - Scheduled hours_Loss_Hours_LJ</v>
      </c>
      <c r="S57" s="267">
        <f t="shared" si="12"/>
        <v>8784</v>
      </c>
      <c r="T57" t="str">
        <f t="shared" si="1"/>
        <v xml:space="preserve"> Empty</v>
      </c>
      <c r="U57" t="s">
        <v>876</v>
      </c>
    </row>
    <row r="58" spans="1:35">
      <c r="B58" s="83"/>
      <c r="C58" s="51"/>
      <c r="O58" s="95" t="s">
        <v>674</v>
      </c>
      <c r="P58" s="95" t="s">
        <v>683</v>
      </c>
      <c r="Q58" s="152" t="s">
        <v>17</v>
      </c>
      <c r="R58" s="96" t="str">
        <f t="shared" si="0"/>
        <v>Equipment Reliability - Planned TA &amp; Planned SD_Loss_Hours_LJ</v>
      </c>
      <c r="S58" s="267">
        <f t="shared" si="12"/>
        <v>0</v>
      </c>
      <c r="T58" t="str">
        <f t="shared" si="1"/>
        <v xml:space="preserve"> Empty</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8784</v>
      </c>
      <c r="T59" t="str">
        <f t="shared" si="1"/>
        <v xml:space="preserve"> Empty</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0</v>
      </c>
      <c r="T60" t="str">
        <f t="shared" si="1"/>
        <v xml:space="preserve"> Empty</v>
      </c>
      <c r="U60" t="s">
        <v>876</v>
      </c>
    </row>
    <row r="61" spans="1:35">
      <c r="B61" s="53"/>
      <c r="C61" s="53"/>
      <c r="O61" s="95" t="s">
        <v>674</v>
      </c>
      <c r="P61" s="95" t="s">
        <v>683</v>
      </c>
      <c r="Q61" s="152" t="s">
        <v>1</v>
      </c>
      <c r="R61" s="96" t="str">
        <f t="shared" si="0"/>
        <v>Operational Reliability_Loss_Hours_LJ</v>
      </c>
      <c r="S61" s="267">
        <f t="shared" si="12"/>
        <v>0</v>
      </c>
      <c r="T61" t="str">
        <f t="shared" si="1"/>
        <v xml:space="preserve"> Empty</v>
      </c>
      <c r="U61" t="s">
        <v>876</v>
      </c>
    </row>
    <row r="62" spans="1:35">
      <c r="B62" s="53"/>
      <c r="C62" s="53"/>
      <c r="I62" s="6"/>
      <c r="J62" s="6"/>
      <c r="K62" s="6"/>
      <c r="L62" s="6"/>
      <c r="M62" s="6"/>
      <c r="O62" s="95" t="s">
        <v>674</v>
      </c>
      <c r="P62" s="95" t="s">
        <v>683</v>
      </c>
      <c r="Q62" s="152" t="s">
        <v>2</v>
      </c>
      <c r="R62" s="96" t="str">
        <f t="shared" si="0"/>
        <v>Technology Reliability_Loss_Hours_LJ</v>
      </c>
      <c r="S62" s="267">
        <f t="shared" si="12"/>
        <v>0</v>
      </c>
      <c r="T62" t="str">
        <f t="shared" si="1"/>
        <v xml:space="preserve"> Empty</v>
      </c>
      <c r="U62" t="s">
        <v>876</v>
      </c>
    </row>
    <row r="63" spans="1:35">
      <c r="B63" s="82"/>
      <c r="C63" s="2"/>
      <c r="O63" s="95" t="s">
        <v>674</v>
      </c>
      <c r="P63" s="95" t="s">
        <v>683</v>
      </c>
      <c r="Q63" s="152" t="s">
        <v>3</v>
      </c>
      <c r="R63" s="96" t="str">
        <f t="shared" si="0"/>
        <v>Material Reliability_Loss_Hours_LJ</v>
      </c>
      <c r="S63" s="267">
        <f t="shared" si="12"/>
        <v>0</v>
      </c>
      <c r="T63" t="str">
        <f t="shared" si="1"/>
        <v xml:space="preserve"> Empty</v>
      </c>
      <c r="U63" t="s">
        <v>876</v>
      </c>
    </row>
    <row r="64" spans="1:35">
      <c r="B64" s="5"/>
      <c r="O64" s="95" t="s">
        <v>674</v>
      </c>
      <c r="P64" s="95" t="s">
        <v>683</v>
      </c>
      <c r="Q64" s="152" t="s">
        <v>4</v>
      </c>
      <c r="R64" s="96" t="str">
        <f t="shared" si="0"/>
        <v>Logistics/Supply Reliability_Loss_Hours_LJ</v>
      </c>
      <c r="S64" s="267">
        <f t="shared" si="12"/>
        <v>0</v>
      </c>
      <c r="T64" t="str">
        <f t="shared" si="1"/>
        <v xml:space="preserve"> Empty</v>
      </c>
      <c r="U64" t="s">
        <v>876</v>
      </c>
    </row>
    <row r="65" spans="15:35">
      <c r="O65" s="95" t="s">
        <v>674</v>
      </c>
      <c r="P65" s="95" t="s">
        <v>683</v>
      </c>
      <c r="Q65" s="152" t="s">
        <v>5</v>
      </c>
      <c r="R65" s="96" t="str">
        <f t="shared" si="0"/>
        <v>External Reliability_Loss_Hours_LJ</v>
      </c>
      <c r="S65" s="267">
        <f t="shared" si="12"/>
        <v>0</v>
      </c>
      <c r="T65" t="str">
        <f t="shared" si="1"/>
        <v xml:space="preserve"> Empty</v>
      </c>
      <c r="U65" t="s">
        <v>876</v>
      </c>
    </row>
    <row r="66" spans="15:35">
      <c r="O66" s="95" t="s">
        <v>674</v>
      </c>
      <c r="P66" s="95" t="s">
        <v>683</v>
      </c>
      <c r="Q66" s="152" t="s">
        <v>11</v>
      </c>
      <c r="R66" s="96" t="str">
        <f t="shared" ref="R66:R129" si="13">IF(ISBLANK(P66),Q66,_xlfn.CONCAT(Q66,"_",P66))</f>
        <v>Other Reliability_Loss_Hours_LJ</v>
      </c>
      <c r="S66" s="267">
        <f t="shared" si="12"/>
        <v>0</v>
      </c>
      <c r="T66" t="str">
        <f t="shared" si="1"/>
        <v xml:space="preserve"> Empty</v>
      </c>
      <c r="U66" t="s">
        <v>876</v>
      </c>
    </row>
    <row r="67" spans="15:35">
      <c r="O67" s="95" t="s">
        <v>674</v>
      </c>
      <c r="P67" s="95" t="s">
        <v>683</v>
      </c>
      <c r="Q67" s="152" t="s">
        <v>15</v>
      </c>
      <c r="R67" s="96" t="str">
        <f t="shared" si="13"/>
        <v>Unspecified_Loss_Hours_LJ</v>
      </c>
      <c r="S67" s="267">
        <f t="shared" si="12"/>
        <v>0</v>
      </c>
      <c r="T67" t="str">
        <f t="shared" ref="T67:T130" si="14">$B$2</f>
        <v xml:space="preserve"> Empty</v>
      </c>
      <c r="U67" t="s">
        <v>876</v>
      </c>
    </row>
    <row r="68" spans="15:35">
      <c r="O68" s="95" t="s">
        <v>674</v>
      </c>
      <c r="P68" s="95" t="s">
        <v>683</v>
      </c>
      <c r="Q68" s="152" t="s">
        <v>16</v>
      </c>
      <c r="R68" s="96" t="str">
        <f t="shared" si="13"/>
        <v>Undetected_Loss_Hours_LJ</v>
      </c>
      <c r="S68" s="267">
        <f t="shared" si="12"/>
        <v>0</v>
      </c>
      <c r="T68" t="str">
        <f t="shared" si="14"/>
        <v xml:space="preserve"> Empty</v>
      </c>
      <c r="U68" t="s">
        <v>876</v>
      </c>
      <c r="AH68" s="6"/>
      <c r="AI68" s="6"/>
    </row>
    <row r="69" spans="15:35">
      <c r="O69" s="95" t="s">
        <v>674</v>
      </c>
      <c r="P69" s="95" t="s">
        <v>683</v>
      </c>
      <c r="Q69" s="152" t="s">
        <v>664</v>
      </c>
      <c r="R69" s="96" t="str">
        <f t="shared" si="13"/>
        <v>Exception hours_Loss_Hours_LJ</v>
      </c>
      <c r="S69" s="267">
        <f t="shared" si="12"/>
        <v>0</v>
      </c>
      <c r="T69" t="str">
        <f t="shared" si="14"/>
        <v xml:space="preserve"> Empty</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 xml:space="preserve"> Empty</v>
      </c>
      <c r="U70" t="s">
        <v>876</v>
      </c>
      <c r="AH70" s="6"/>
      <c r="AI70" s="6"/>
    </row>
    <row r="71" spans="15:35">
      <c r="O71" s="95" t="s">
        <v>674</v>
      </c>
      <c r="P71" s="95" t="s">
        <v>683</v>
      </c>
      <c r="Q71" s="152" t="s">
        <v>705</v>
      </c>
      <c r="R71" s="96" t="str">
        <f t="shared" si="13"/>
        <v>Improvement target not assigned_Loss_Hours_LJ</v>
      </c>
      <c r="S71" s="267">
        <f t="shared" si="12"/>
        <v>0</v>
      </c>
      <c r="T71" t="str">
        <f t="shared" si="14"/>
        <v xml:space="preserve"> Empty</v>
      </c>
      <c r="U71" t="s">
        <v>876</v>
      </c>
    </row>
    <row r="72" spans="15:35">
      <c r="O72" s="95" t="s">
        <v>674</v>
      </c>
      <c r="P72" s="95" t="s">
        <v>683</v>
      </c>
      <c r="Q72" s="152" t="s">
        <v>397</v>
      </c>
      <c r="R72" s="96" t="str">
        <f t="shared" si="13"/>
        <v>Sum OEE losses (exluding Planned Maintenance)_Loss_Hours_LJ</v>
      </c>
      <c r="S72" s="267">
        <f t="shared" si="12"/>
        <v>0</v>
      </c>
      <c r="T72" t="str">
        <f t="shared" si="14"/>
        <v xml:space="preserve"> Empty</v>
      </c>
      <c r="U72" t="s">
        <v>876</v>
      </c>
    </row>
    <row r="73" spans="15:35">
      <c r="O73" s="95" t="s">
        <v>675</v>
      </c>
      <c r="P73" s="95" t="s">
        <v>683</v>
      </c>
      <c r="Q73" s="152" t="s">
        <v>398</v>
      </c>
      <c r="R73" s="96" t="str">
        <f t="shared" si="13"/>
        <v>Sum OEE losses (Including Planned Maintenance)_Loss_Hours_LJ</v>
      </c>
      <c r="S73" s="267">
        <f t="shared" si="12"/>
        <v>0</v>
      </c>
      <c r="T73" t="str">
        <f t="shared" si="14"/>
        <v xml:space="preserve"> Empty</v>
      </c>
      <c r="U73" t="s">
        <v>876</v>
      </c>
    </row>
    <row r="74" spans="15:35">
      <c r="O74" s="95" t="s">
        <v>675</v>
      </c>
      <c r="P74" s="95" t="s">
        <v>683</v>
      </c>
      <c r="Q74" s="152" t="s">
        <v>712</v>
      </c>
      <c r="R74" s="96" t="str">
        <f t="shared" si="13"/>
        <v>Production hours on MAC (h) / OEE (%)_Loss_Hours_LJ</v>
      </c>
      <c r="S74" s="267">
        <f t="shared" si="12"/>
        <v>8784</v>
      </c>
      <c r="T74" t="str">
        <f t="shared" si="14"/>
        <v xml:space="preserve"> Empty</v>
      </c>
      <c r="U74" t="s">
        <v>876</v>
      </c>
    </row>
    <row r="75" spans="15:35">
      <c r="O75" s="95" t="s">
        <v>675</v>
      </c>
      <c r="P75" s="95" t="s">
        <v>682</v>
      </c>
      <c r="Q75" s="143" t="s">
        <v>13</v>
      </c>
      <c r="R75" s="96" t="str">
        <f t="shared" si="13"/>
        <v>MAC - Calender hours_Loss_Percentage_LJ</v>
      </c>
      <c r="S75" s="268">
        <f>C25</f>
        <v>0</v>
      </c>
      <c r="T75" t="str">
        <f t="shared" si="14"/>
        <v xml:space="preserve"> Empty</v>
      </c>
      <c r="U75" t="s">
        <v>876</v>
      </c>
    </row>
    <row r="76" spans="15:35">
      <c r="O76" s="95" t="s">
        <v>675</v>
      </c>
      <c r="P76" s="95" t="s">
        <v>682</v>
      </c>
      <c r="Q76" s="153" t="s">
        <v>7</v>
      </c>
      <c r="R76" s="96" t="str">
        <f t="shared" si="13"/>
        <v>Commercial Reliability_Loss_Percentage_LJ</v>
      </c>
      <c r="S76" s="268">
        <f t="shared" ref="S76:S95" si="15">C26</f>
        <v>0</v>
      </c>
      <c r="T76" t="str">
        <f t="shared" si="14"/>
        <v xml:space="preserve"> Empty</v>
      </c>
      <c r="U76" t="s">
        <v>876</v>
      </c>
    </row>
    <row r="77" spans="15:35">
      <c r="O77" s="95" t="s">
        <v>675</v>
      </c>
      <c r="P77" s="95" t="s">
        <v>682</v>
      </c>
      <c r="Q77" s="153" t="s">
        <v>704</v>
      </c>
      <c r="R77" s="96" t="str">
        <f t="shared" si="13"/>
        <v>Exception hours (loss excluded from OEE)_Loss_Percentage_LJ</v>
      </c>
      <c r="S77" s="268">
        <f t="shared" si="15"/>
        <v>0</v>
      </c>
      <c r="T77" t="str">
        <f t="shared" si="14"/>
        <v xml:space="preserve"> Empty</v>
      </c>
      <c r="U77" t="s">
        <v>876</v>
      </c>
    </row>
    <row r="78" spans="15:35">
      <c r="O78" s="95" t="s">
        <v>675</v>
      </c>
      <c r="P78" s="95" t="s">
        <v>682</v>
      </c>
      <c r="Q78" s="153" t="s">
        <v>14</v>
      </c>
      <c r="R78" s="96" t="str">
        <f t="shared" si="13"/>
        <v>Available OEE - Scheduled hours_Loss_Percentage_LJ</v>
      </c>
      <c r="S78" s="268">
        <f t="shared" si="15"/>
        <v>1</v>
      </c>
      <c r="T78" t="str">
        <f t="shared" si="14"/>
        <v xml:space="preserve"> Empty</v>
      </c>
      <c r="U78" t="s">
        <v>876</v>
      </c>
    </row>
    <row r="79" spans="15:35">
      <c r="O79" s="95" t="s">
        <v>675</v>
      </c>
      <c r="P79" s="95" t="s">
        <v>682</v>
      </c>
      <c r="Q79" s="153" t="s">
        <v>17</v>
      </c>
      <c r="R79" s="96" t="str">
        <f t="shared" si="13"/>
        <v>Equipment Reliability - Planned TA &amp; Planned SD_Loss_Percentage_LJ</v>
      </c>
      <c r="S79" s="268">
        <f t="shared" si="15"/>
        <v>0</v>
      </c>
      <c r="T79" t="str">
        <f t="shared" si="14"/>
        <v xml:space="preserve"> Empty</v>
      </c>
      <c r="U79" t="s">
        <v>876</v>
      </c>
    </row>
    <row r="80" spans="15:35">
      <c r="O80" s="95" t="s">
        <v>675</v>
      </c>
      <c r="P80" s="95" t="s">
        <v>682</v>
      </c>
      <c r="Q80" s="153" t="s">
        <v>665</v>
      </c>
      <c r="R80" s="96" t="str">
        <f t="shared" si="13"/>
        <v>Available running OEE - Running hours_Loss_Percentage_LJ</v>
      </c>
      <c r="S80" s="268">
        <f t="shared" si="15"/>
        <v>1</v>
      </c>
      <c r="T80" t="str">
        <f t="shared" si="14"/>
        <v xml:space="preserve"> Empty</v>
      </c>
      <c r="U80" t="s">
        <v>876</v>
      </c>
    </row>
    <row r="81" spans="15:21">
      <c r="O81" s="95" t="s">
        <v>675</v>
      </c>
      <c r="P81" s="95" t="s">
        <v>682</v>
      </c>
      <c r="Q81" s="153" t="s">
        <v>18</v>
      </c>
      <c r="R81" s="96" t="str">
        <f t="shared" si="13"/>
        <v>Equipment Reliability - Equipment Failure_Loss_Percentage_LJ</v>
      </c>
      <c r="S81" s="268">
        <f t="shared" si="15"/>
        <v>0</v>
      </c>
      <c r="T81" t="str">
        <f t="shared" si="14"/>
        <v xml:space="preserve"> Empty</v>
      </c>
      <c r="U81" t="s">
        <v>876</v>
      </c>
    </row>
    <row r="82" spans="15:21">
      <c r="O82" s="95" t="s">
        <v>675</v>
      </c>
      <c r="P82" s="95" t="s">
        <v>682</v>
      </c>
      <c r="Q82" s="153" t="s">
        <v>1</v>
      </c>
      <c r="R82" s="96" t="str">
        <f t="shared" si="13"/>
        <v>Operational Reliability_Loss_Percentage_LJ</v>
      </c>
      <c r="S82" s="268">
        <f t="shared" si="15"/>
        <v>0</v>
      </c>
      <c r="T82" t="str">
        <f t="shared" si="14"/>
        <v xml:space="preserve"> Empty</v>
      </c>
      <c r="U82" t="s">
        <v>876</v>
      </c>
    </row>
    <row r="83" spans="15:21">
      <c r="O83" s="95" t="s">
        <v>675</v>
      </c>
      <c r="P83" s="95" t="s">
        <v>682</v>
      </c>
      <c r="Q83" s="153" t="s">
        <v>2</v>
      </c>
      <c r="R83" s="96" t="str">
        <f t="shared" si="13"/>
        <v>Technology Reliability_Loss_Percentage_LJ</v>
      </c>
      <c r="S83" s="268">
        <f t="shared" si="15"/>
        <v>0</v>
      </c>
      <c r="T83" t="str">
        <f t="shared" si="14"/>
        <v xml:space="preserve"> Empty</v>
      </c>
      <c r="U83" t="s">
        <v>876</v>
      </c>
    </row>
    <row r="84" spans="15:21">
      <c r="O84" s="95" t="s">
        <v>675</v>
      </c>
      <c r="P84" s="95" t="s">
        <v>682</v>
      </c>
      <c r="Q84" s="153" t="s">
        <v>3</v>
      </c>
      <c r="R84" s="96" t="str">
        <f t="shared" si="13"/>
        <v>Material Reliability_Loss_Percentage_LJ</v>
      </c>
      <c r="S84" s="268">
        <f t="shared" si="15"/>
        <v>0</v>
      </c>
      <c r="T84" t="str">
        <f t="shared" si="14"/>
        <v xml:space="preserve"> Empty</v>
      </c>
      <c r="U84" t="s">
        <v>876</v>
      </c>
    </row>
    <row r="85" spans="15:21">
      <c r="O85" s="95" t="s">
        <v>675</v>
      </c>
      <c r="P85" s="95" t="s">
        <v>682</v>
      </c>
      <c r="Q85" s="153" t="s">
        <v>4</v>
      </c>
      <c r="R85" s="96" t="str">
        <f t="shared" si="13"/>
        <v>Logistics/Supply Reliability_Loss_Percentage_LJ</v>
      </c>
      <c r="S85" s="268">
        <f t="shared" si="15"/>
        <v>0</v>
      </c>
      <c r="T85" t="str">
        <f t="shared" si="14"/>
        <v xml:space="preserve"> Empty</v>
      </c>
      <c r="U85" t="s">
        <v>876</v>
      </c>
    </row>
    <row r="86" spans="15:21">
      <c r="O86" s="95" t="s">
        <v>675</v>
      </c>
      <c r="P86" s="95" t="s">
        <v>682</v>
      </c>
      <c r="Q86" s="153" t="s">
        <v>5</v>
      </c>
      <c r="R86" s="96" t="str">
        <f t="shared" si="13"/>
        <v>External Reliability_Loss_Percentage_LJ</v>
      </c>
      <c r="S86" s="268">
        <f t="shared" si="15"/>
        <v>0</v>
      </c>
      <c r="T86" t="str">
        <f t="shared" si="14"/>
        <v xml:space="preserve"> Empty</v>
      </c>
      <c r="U86" t="s">
        <v>876</v>
      </c>
    </row>
    <row r="87" spans="15:21">
      <c r="O87" s="95" t="s">
        <v>675</v>
      </c>
      <c r="P87" s="95" t="s">
        <v>682</v>
      </c>
      <c r="Q87" s="153" t="s">
        <v>11</v>
      </c>
      <c r="R87" s="96" t="str">
        <f t="shared" si="13"/>
        <v>Other Reliability_Loss_Percentage_LJ</v>
      </c>
      <c r="S87" s="268">
        <f t="shared" si="15"/>
        <v>0</v>
      </c>
      <c r="T87" t="str">
        <f t="shared" si="14"/>
        <v xml:space="preserve"> Empty</v>
      </c>
      <c r="U87" t="s">
        <v>876</v>
      </c>
    </row>
    <row r="88" spans="15:21">
      <c r="O88" s="95" t="s">
        <v>675</v>
      </c>
      <c r="P88" s="95" t="s">
        <v>682</v>
      </c>
      <c r="Q88" s="153" t="s">
        <v>15</v>
      </c>
      <c r="R88" s="96" t="str">
        <f t="shared" si="13"/>
        <v>Unspecified_Loss_Percentage_LJ</v>
      </c>
      <c r="S88" s="268">
        <f t="shared" si="15"/>
        <v>0</v>
      </c>
      <c r="T88" t="str">
        <f t="shared" si="14"/>
        <v xml:space="preserve"> Empty</v>
      </c>
      <c r="U88" t="s">
        <v>876</v>
      </c>
    </row>
    <row r="89" spans="15:21">
      <c r="O89" s="95" t="s">
        <v>675</v>
      </c>
      <c r="P89" s="95" t="s">
        <v>682</v>
      </c>
      <c r="Q89" s="153" t="s">
        <v>16</v>
      </c>
      <c r="R89" s="96" t="str">
        <f t="shared" si="13"/>
        <v>Undetected_Loss_Percentage_LJ</v>
      </c>
      <c r="S89" s="268">
        <f t="shared" si="15"/>
        <v>0</v>
      </c>
      <c r="T89" t="str">
        <f t="shared" si="14"/>
        <v xml:space="preserve"> Empty</v>
      </c>
      <c r="U89" t="s">
        <v>876</v>
      </c>
    </row>
    <row r="90" spans="15:21">
      <c r="O90" s="95" t="s">
        <v>675</v>
      </c>
      <c r="P90" s="95" t="s">
        <v>682</v>
      </c>
      <c r="Q90" s="153" t="s">
        <v>664</v>
      </c>
      <c r="R90" s="96" t="str">
        <f t="shared" si="13"/>
        <v>Exception hours_Loss_Percentage_LJ</v>
      </c>
      <c r="S90" s="268">
        <f t="shared" si="15"/>
        <v>0</v>
      </c>
      <c r="T90" t="str">
        <f t="shared" si="14"/>
        <v xml:space="preserve"> Empty</v>
      </c>
      <c r="U90" t="s">
        <v>876</v>
      </c>
    </row>
    <row r="91" spans="15:21">
      <c r="O91" s="95" t="s">
        <v>675</v>
      </c>
      <c r="P91" s="95" t="s">
        <v>682</v>
      </c>
      <c r="Q91" s="153" t="s">
        <v>703</v>
      </c>
      <c r="R91" s="96" t="str">
        <f t="shared" si="13"/>
        <v>Extra loss hours in baseline due to MAC change_Loss_Percentage_LJ</v>
      </c>
      <c r="S91" s="268">
        <f t="shared" si="15"/>
        <v>0</v>
      </c>
      <c r="T91" t="str">
        <f t="shared" si="14"/>
        <v xml:space="preserve"> Empty</v>
      </c>
      <c r="U91" t="s">
        <v>876</v>
      </c>
    </row>
    <row r="92" spans="15:21">
      <c r="O92" s="95" t="s">
        <v>675</v>
      </c>
      <c r="P92" s="95" t="s">
        <v>682</v>
      </c>
      <c r="Q92" s="153" t="s">
        <v>705</v>
      </c>
      <c r="R92" s="96" t="str">
        <f t="shared" si="13"/>
        <v>Improvement target not assigned_Loss_Percentage_LJ</v>
      </c>
      <c r="S92" s="268">
        <f t="shared" si="15"/>
        <v>0</v>
      </c>
      <c r="T92" t="str">
        <f t="shared" si="14"/>
        <v xml:space="preserve"> Empty</v>
      </c>
      <c r="U92" t="s">
        <v>876</v>
      </c>
    </row>
    <row r="93" spans="15:21">
      <c r="O93" s="95" t="s">
        <v>675</v>
      </c>
      <c r="P93" s="95" t="s">
        <v>682</v>
      </c>
      <c r="Q93" s="153" t="s">
        <v>397</v>
      </c>
      <c r="R93" s="96" t="str">
        <f t="shared" si="13"/>
        <v>Sum OEE losses (exluding Planned Maintenance)_Loss_Percentage_LJ</v>
      </c>
      <c r="S93" s="268">
        <f t="shared" si="15"/>
        <v>0</v>
      </c>
      <c r="T93" t="str">
        <f t="shared" si="14"/>
        <v xml:space="preserve"> Empty</v>
      </c>
      <c r="U93" t="s">
        <v>876</v>
      </c>
    </row>
    <row r="94" spans="15:21">
      <c r="O94" s="95" t="s">
        <v>675</v>
      </c>
      <c r="P94" s="95" t="s">
        <v>682</v>
      </c>
      <c r="Q94" s="153" t="s">
        <v>398</v>
      </c>
      <c r="R94" s="96" t="str">
        <f t="shared" si="13"/>
        <v>Sum OEE losses (Including Planned Maintenance)_Loss_Percentage_LJ</v>
      </c>
      <c r="S94" s="268">
        <f t="shared" si="15"/>
        <v>0</v>
      </c>
      <c r="T94" t="str">
        <f t="shared" si="14"/>
        <v xml:space="preserve"> Empty</v>
      </c>
      <c r="U94" t="s">
        <v>876</v>
      </c>
    </row>
    <row r="95" spans="15:21">
      <c r="O95" s="95" t="s">
        <v>675</v>
      </c>
      <c r="P95" s="95" t="s">
        <v>682</v>
      </c>
      <c r="Q95" s="153" t="s">
        <v>712</v>
      </c>
      <c r="R95" s="96" t="str">
        <f t="shared" si="13"/>
        <v>Production hours on MAC (h) / OEE (%)_Loss_Percentage_LJ</v>
      </c>
      <c r="S95" s="268">
        <f t="shared" si="15"/>
        <v>1</v>
      </c>
      <c r="T95" t="str">
        <f t="shared" si="14"/>
        <v xml:space="preserve"> Empty</v>
      </c>
      <c r="U95" t="s">
        <v>876</v>
      </c>
    </row>
    <row r="96" spans="15:21">
      <c r="O96" s="95" t="s">
        <v>676</v>
      </c>
      <c r="P96" s="95" t="s">
        <v>725</v>
      </c>
      <c r="Q96" s="142" t="s">
        <v>13</v>
      </c>
      <c r="R96" s="96" t="str">
        <f t="shared" si="13"/>
        <v>MAC - Calender hours_Corrected_loss_hours_LY</v>
      </c>
      <c r="S96" s="265">
        <f>D25</f>
        <v>8784</v>
      </c>
      <c r="T96" t="str">
        <f t="shared" si="14"/>
        <v xml:space="preserve"> Empty</v>
      </c>
      <c r="U96" t="s">
        <v>876</v>
      </c>
    </row>
    <row r="97" spans="15:21">
      <c r="O97" s="95" t="s">
        <v>676</v>
      </c>
      <c r="P97" s="95" t="s">
        <v>725</v>
      </c>
      <c r="Q97" s="152" t="s">
        <v>7</v>
      </c>
      <c r="R97" s="96" t="str">
        <f t="shared" si="13"/>
        <v>Commercial Reliability_Corrected_loss_hours_LY</v>
      </c>
      <c r="S97" s="265">
        <f t="shared" ref="S97:S116" si="16">D26</f>
        <v>0</v>
      </c>
      <c r="T97" t="str">
        <f t="shared" si="14"/>
        <v xml:space="preserve"> Empty</v>
      </c>
      <c r="U97" t="s">
        <v>876</v>
      </c>
    </row>
    <row r="98" spans="15:21">
      <c r="O98" s="95" t="s">
        <v>676</v>
      </c>
      <c r="P98" s="95" t="s">
        <v>725</v>
      </c>
      <c r="Q98" s="152" t="s">
        <v>704</v>
      </c>
      <c r="R98" s="96" t="str">
        <f t="shared" si="13"/>
        <v>Exception hours (loss excluded from OEE)_Corrected_loss_hours_LY</v>
      </c>
      <c r="S98" s="265">
        <f t="shared" si="16"/>
        <v>0</v>
      </c>
      <c r="T98" t="str">
        <f t="shared" si="14"/>
        <v xml:space="preserve"> Empty</v>
      </c>
      <c r="U98" t="s">
        <v>876</v>
      </c>
    </row>
    <row r="99" spans="15:21">
      <c r="O99" s="95" t="s">
        <v>676</v>
      </c>
      <c r="P99" s="95" t="s">
        <v>725</v>
      </c>
      <c r="Q99" s="152" t="s">
        <v>14</v>
      </c>
      <c r="R99" s="96" t="str">
        <f t="shared" si="13"/>
        <v>Available OEE - Scheduled hours_Corrected_loss_hours_LY</v>
      </c>
      <c r="S99" s="265">
        <f t="shared" si="16"/>
        <v>8784</v>
      </c>
      <c r="T99" t="str">
        <f t="shared" si="14"/>
        <v xml:space="preserve"> Empty</v>
      </c>
      <c r="U99" t="s">
        <v>876</v>
      </c>
    </row>
    <row r="100" spans="15:21">
      <c r="O100" s="95" t="s">
        <v>676</v>
      </c>
      <c r="P100" s="95" t="s">
        <v>725</v>
      </c>
      <c r="Q100" s="152" t="s">
        <v>17</v>
      </c>
      <c r="R100" s="96" t="str">
        <f t="shared" si="13"/>
        <v>Equipment Reliability - Planned TA &amp; Planned SD_Corrected_loss_hours_LY</v>
      </c>
      <c r="S100" s="265">
        <f t="shared" si="16"/>
        <v>0</v>
      </c>
      <c r="T100" t="str">
        <f t="shared" si="14"/>
        <v xml:space="preserve"> Empty</v>
      </c>
      <c r="U100" t="s">
        <v>876</v>
      </c>
    </row>
    <row r="101" spans="15:21">
      <c r="O101" s="95" t="s">
        <v>676</v>
      </c>
      <c r="P101" s="95" t="s">
        <v>725</v>
      </c>
      <c r="Q101" s="152" t="s">
        <v>665</v>
      </c>
      <c r="R101" s="96" t="str">
        <f t="shared" si="13"/>
        <v>Available running OEE - Running hours_Corrected_loss_hours_LY</v>
      </c>
      <c r="S101" s="265">
        <f t="shared" si="16"/>
        <v>8784</v>
      </c>
      <c r="T101" t="str">
        <f t="shared" si="14"/>
        <v xml:space="preserve"> Empty</v>
      </c>
      <c r="U101" t="s">
        <v>876</v>
      </c>
    </row>
    <row r="102" spans="15:21">
      <c r="O102" s="95" t="s">
        <v>676</v>
      </c>
      <c r="P102" s="95" t="s">
        <v>725</v>
      </c>
      <c r="Q102" s="152" t="s">
        <v>18</v>
      </c>
      <c r="R102" s="96" t="str">
        <f t="shared" si="13"/>
        <v>Equipment Reliability - Equipment Failure_Corrected_loss_hours_LY</v>
      </c>
      <c r="S102" s="265">
        <f t="shared" si="16"/>
        <v>0</v>
      </c>
      <c r="T102" t="str">
        <f t="shared" si="14"/>
        <v xml:space="preserve"> Empty</v>
      </c>
      <c r="U102" t="s">
        <v>876</v>
      </c>
    </row>
    <row r="103" spans="15:21">
      <c r="O103" s="95" t="s">
        <v>676</v>
      </c>
      <c r="P103" s="95" t="s">
        <v>725</v>
      </c>
      <c r="Q103" s="152" t="s">
        <v>1</v>
      </c>
      <c r="R103" s="96" t="str">
        <f t="shared" si="13"/>
        <v>Operational Reliability_Corrected_loss_hours_LY</v>
      </c>
      <c r="S103" s="265">
        <f t="shared" si="16"/>
        <v>0</v>
      </c>
      <c r="T103" t="str">
        <f t="shared" si="14"/>
        <v xml:space="preserve"> Empty</v>
      </c>
      <c r="U103" t="s">
        <v>876</v>
      </c>
    </row>
    <row r="104" spans="15:21">
      <c r="O104" s="95" t="s">
        <v>676</v>
      </c>
      <c r="P104" s="95" t="s">
        <v>725</v>
      </c>
      <c r="Q104" s="152" t="s">
        <v>2</v>
      </c>
      <c r="R104" s="96" t="str">
        <f t="shared" si="13"/>
        <v>Technology Reliability_Corrected_loss_hours_LY</v>
      </c>
      <c r="S104" s="265">
        <f t="shared" si="16"/>
        <v>0</v>
      </c>
      <c r="T104" t="str">
        <f t="shared" si="14"/>
        <v xml:space="preserve"> Empty</v>
      </c>
      <c r="U104" t="s">
        <v>876</v>
      </c>
    </row>
    <row r="105" spans="15:21">
      <c r="O105" s="95" t="s">
        <v>676</v>
      </c>
      <c r="P105" s="95" t="s">
        <v>725</v>
      </c>
      <c r="Q105" s="152" t="s">
        <v>3</v>
      </c>
      <c r="R105" s="96" t="str">
        <f t="shared" si="13"/>
        <v>Material Reliability_Corrected_loss_hours_LY</v>
      </c>
      <c r="S105" s="265">
        <f t="shared" si="16"/>
        <v>0</v>
      </c>
      <c r="T105" t="str">
        <f t="shared" si="14"/>
        <v xml:space="preserve"> Empty</v>
      </c>
      <c r="U105" t="s">
        <v>876</v>
      </c>
    </row>
    <row r="106" spans="15:21">
      <c r="O106" s="95" t="s">
        <v>676</v>
      </c>
      <c r="P106" s="95" t="s">
        <v>725</v>
      </c>
      <c r="Q106" s="152" t="s">
        <v>4</v>
      </c>
      <c r="R106" s="96" t="str">
        <f t="shared" si="13"/>
        <v>Logistics/Supply Reliability_Corrected_loss_hours_LY</v>
      </c>
      <c r="S106" s="265">
        <f t="shared" si="16"/>
        <v>0</v>
      </c>
      <c r="T106" t="str">
        <f t="shared" si="14"/>
        <v xml:space="preserve"> Empty</v>
      </c>
      <c r="U106" t="s">
        <v>876</v>
      </c>
    </row>
    <row r="107" spans="15:21">
      <c r="O107" s="95" t="s">
        <v>676</v>
      </c>
      <c r="P107" s="95" t="s">
        <v>725</v>
      </c>
      <c r="Q107" s="152" t="s">
        <v>5</v>
      </c>
      <c r="R107" s="96" t="str">
        <f t="shared" si="13"/>
        <v>External Reliability_Corrected_loss_hours_LY</v>
      </c>
      <c r="S107" s="265">
        <f t="shared" si="16"/>
        <v>0</v>
      </c>
      <c r="T107" t="str">
        <f t="shared" si="14"/>
        <v xml:space="preserve"> Empty</v>
      </c>
      <c r="U107" t="s">
        <v>876</v>
      </c>
    </row>
    <row r="108" spans="15:21">
      <c r="O108" s="95" t="s">
        <v>676</v>
      </c>
      <c r="P108" s="95" t="s">
        <v>725</v>
      </c>
      <c r="Q108" s="152" t="s">
        <v>11</v>
      </c>
      <c r="R108" s="96" t="str">
        <f t="shared" si="13"/>
        <v>Other Reliability_Corrected_loss_hours_LY</v>
      </c>
      <c r="S108" s="265">
        <f t="shared" si="16"/>
        <v>0</v>
      </c>
      <c r="T108" t="str">
        <f t="shared" si="14"/>
        <v xml:space="preserve"> Empty</v>
      </c>
      <c r="U108" t="s">
        <v>876</v>
      </c>
    </row>
    <row r="109" spans="15:21">
      <c r="O109" s="95" t="s">
        <v>676</v>
      </c>
      <c r="P109" s="95" t="s">
        <v>725</v>
      </c>
      <c r="Q109" s="152" t="s">
        <v>15</v>
      </c>
      <c r="R109" s="96" t="str">
        <f t="shared" si="13"/>
        <v>Unspecified_Corrected_loss_hours_LY</v>
      </c>
      <c r="S109" s="265">
        <f t="shared" si="16"/>
        <v>0</v>
      </c>
      <c r="T109" t="str">
        <f t="shared" si="14"/>
        <v xml:space="preserve"> Empty</v>
      </c>
      <c r="U109" t="s">
        <v>876</v>
      </c>
    </row>
    <row r="110" spans="15:21">
      <c r="O110" s="95" t="s">
        <v>676</v>
      </c>
      <c r="P110" s="95" t="s">
        <v>725</v>
      </c>
      <c r="Q110" s="152" t="s">
        <v>16</v>
      </c>
      <c r="R110" s="96" t="str">
        <f t="shared" si="13"/>
        <v>Undetected_Corrected_loss_hours_LY</v>
      </c>
      <c r="S110" s="265">
        <f t="shared" si="16"/>
        <v>0</v>
      </c>
      <c r="T110" t="str">
        <f t="shared" si="14"/>
        <v xml:space="preserve"> Empty</v>
      </c>
      <c r="U110" t="s">
        <v>876</v>
      </c>
    </row>
    <row r="111" spans="15:21">
      <c r="O111" s="95" t="s">
        <v>676</v>
      </c>
      <c r="P111" s="95" t="s">
        <v>725</v>
      </c>
      <c r="Q111" s="152" t="s">
        <v>664</v>
      </c>
      <c r="R111" s="96" t="str">
        <f t="shared" si="13"/>
        <v>Exception hours_Corrected_loss_hours_LY</v>
      </c>
      <c r="S111" s="265">
        <f t="shared" si="16"/>
        <v>0</v>
      </c>
      <c r="T111" t="str">
        <f t="shared" si="14"/>
        <v xml:space="preserve"> Empty</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 xml:space="preserve"> Empty</v>
      </c>
      <c r="U112" t="s">
        <v>876</v>
      </c>
    </row>
    <row r="113" spans="15:21">
      <c r="O113" s="95" t="s">
        <v>676</v>
      </c>
      <c r="P113" s="95" t="s">
        <v>725</v>
      </c>
      <c r="Q113" s="152" t="s">
        <v>705</v>
      </c>
      <c r="R113" s="96" t="str">
        <f t="shared" si="13"/>
        <v>Improvement target not assigned_Corrected_loss_hours_LY</v>
      </c>
      <c r="S113" s="265">
        <f t="shared" si="16"/>
        <v>0</v>
      </c>
      <c r="T113" t="str">
        <f t="shared" si="14"/>
        <v xml:space="preserve"> Empty</v>
      </c>
      <c r="U113" t="s">
        <v>876</v>
      </c>
    </row>
    <row r="114" spans="15:21">
      <c r="O114" s="95" t="s">
        <v>676</v>
      </c>
      <c r="P114" s="95" t="s">
        <v>725</v>
      </c>
      <c r="Q114" s="152" t="s">
        <v>397</v>
      </c>
      <c r="R114" s="96" t="str">
        <f t="shared" si="13"/>
        <v>Sum OEE losses (exluding Planned Maintenance)_Corrected_loss_hours_LY</v>
      </c>
      <c r="S114" s="265">
        <f t="shared" si="16"/>
        <v>0</v>
      </c>
      <c r="T114" t="str">
        <f t="shared" si="14"/>
        <v xml:space="preserve"> Empty</v>
      </c>
      <c r="U114" t="s">
        <v>876</v>
      </c>
    </row>
    <row r="115" spans="15:21">
      <c r="O115" s="95" t="s">
        <v>676</v>
      </c>
      <c r="P115" s="95" t="s">
        <v>725</v>
      </c>
      <c r="Q115" s="152" t="s">
        <v>398</v>
      </c>
      <c r="R115" s="96" t="str">
        <f t="shared" si="13"/>
        <v>Sum OEE losses (Including Planned Maintenance)_Corrected_loss_hours_LY</v>
      </c>
      <c r="S115" s="265">
        <f t="shared" si="16"/>
        <v>0</v>
      </c>
      <c r="T115" t="str">
        <f t="shared" si="14"/>
        <v xml:space="preserve"> Empty</v>
      </c>
      <c r="U115" t="s">
        <v>876</v>
      </c>
    </row>
    <row r="116" spans="15:21">
      <c r="O116" s="95" t="s">
        <v>676</v>
      </c>
      <c r="P116" s="95" t="s">
        <v>725</v>
      </c>
      <c r="Q116" s="152" t="s">
        <v>712</v>
      </c>
      <c r="R116" s="96" t="str">
        <f t="shared" si="13"/>
        <v>Production hours on MAC (h) / OEE (%)_Corrected_loss_hours_LY</v>
      </c>
      <c r="S116" s="265">
        <f t="shared" si="16"/>
        <v>8784</v>
      </c>
      <c r="T116" t="str">
        <f t="shared" si="14"/>
        <v xml:space="preserve"> Empty</v>
      </c>
      <c r="U116" t="s">
        <v>876</v>
      </c>
    </row>
    <row r="117" spans="15:21">
      <c r="O117" s="95" t="s">
        <v>677</v>
      </c>
      <c r="P117" s="95" t="s">
        <v>726</v>
      </c>
      <c r="Q117" s="143" t="s">
        <v>13</v>
      </c>
      <c r="R117" s="96" t="str">
        <f t="shared" si="13"/>
        <v>MAC - Calender hours_Corrected_loss_percentage_LY</v>
      </c>
      <c r="S117" s="264">
        <f>E25</f>
        <v>0</v>
      </c>
      <c r="T117" t="str">
        <f t="shared" si="14"/>
        <v xml:space="preserve"> Empty</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 xml:space="preserve"> Empty</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 xml:space="preserve"> Empty</v>
      </c>
      <c r="U119" t="s">
        <v>876</v>
      </c>
    </row>
    <row r="120" spans="15:21">
      <c r="O120" s="95" t="s">
        <v>677</v>
      </c>
      <c r="P120" s="95" t="s">
        <v>726</v>
      </c>
      <c r="Q120" s="153" t="s">
        <v>14</v>
      </c>
      <c r="R120" s="96" t="str">
        <f t="shared" si="13"/>
        <v>Available OEE - Scheduled hours_Corrected_loss_percentage_LY</v>
      </c>
      <c r="S120" s="264">
        <f t="shared" si="17"/>
        <v>1</v>
      </c>
      <c r="T120" t="str">
        <f t="shared" si="14"/>
        <v xml:space="preserve"> Empty</v>
      </c>
      <c r="U120" t="s">
        <v>876</v>
      </c>
    </row>
    <row r="121" spans="15:21">
      <c r="O121" s="95" t="s">
        <v>677</v>
      </c>
      <c r="P121" s="95" t="s">
        <v>726</v>
      </c>
      <c r="Q121" s="153" t="s">
        <v>17</v>
      </c>
      <c r="R121" s="96" t="str">
        <f t="shared" si="13"/>
        <v>Equipment Reliability - Planned TA &amp; Planned SD_Corrected_loss_percentage_LY</v>
      </c>
      <c r="S121" s="264">
        <f t="shared" si="17"/>
        <v>0</v>
      </c>
      <c r="T121" t="str">
        <f t="shared" si="14"/>
        <v xml:space="preserve"> Empty</v>
      </c>
      <c r="U121" t="s">
        <v>876</v>
      </c>
    </row>
    <row r="122" spans="15:21">
      <c r="O122" s="95" t="s">
        <v>677</v>
      </c>
      <c r="P122" s="95" t="s">
        <v>726</v>
      </c>
      <c r="Q122" s="153" t="s">
        <v>665</v>
      </c>
      <c r="R122" s="96" t="str">
        <f t="shared" si="13"/>
        <v>Available running OEE - Running hours_Corrected_loss_percentage_LY</v>
      </c>
      <c r="S122" s="264">
        <f t="shared" si="17"/>
        <v>1</v>
      </c>
      <c r="T122" t="str">
        <f t="shared" si="14"/>
        <v xml:space="preserve"> Empty</v>
      </c>
      <c r="U122" t="s">
        <v>876</v>
      </c>
    </row>
    <row r="123" spans="15:21">
      <c r="O123" s="95" t="s">
        <v>677</v>
      </c>
      <c r="P123" s="95" t="s">
        <v>726</v>
      </c>
      <c r="Q123" s="153" t="s">
        <v>18</v>
      </c>
      <c r="R123" s="96" t="str">
        <f t="shared" si="13"/>
        <v>Equipment Reliability - Equipment Failure_Corrected_loss_percentage_LY</v>
      </c>
      <c r="S123" s="264">
        <f t="shared" si="17"/>
        <v>0</v>
      </c>
      <c r="T123" t="str">
        <f t="shared" si="14"/>
        <v xml:space="preserve"> Empty</v>
      </c>
      <c r="U123" t="s">
        <v>876</v>
      </c>
    </row>
    <row r="124" spans="15:21">
      <c r="O124" s="95" t="s">
        <v>677</v>
      </c>
      <c r="P124" s="95" t="s">
        <v>726</v>
      </c>
      <c r="Q124" s="153" t="s">
        <v>1</v>
      </c>
      <c r="R124" s="96" t="str">
        <f t="shared" si="13"/>
        <v>Operational Reliability_Corrected_loss_percentage_LY</v>
      </c>
      <c r="S124" s="264">
        <f t="shared" si="17"/>
        <v>0</v>
      </c>
      <c r="T124" t="str">
        <f t="shared" si="14"/>
        <v xml:space="preserve"> Empty</v>
      </c>
      <c r="U124" t="s">
        <v>876</v>
      </c>
    </row>
    <row r="125" spans="15:21">
      <c r="O125" s="95" t="s">
        <v>677</v>
      </c>
      <c r="P125" s="95" t="s">
        <v>726</v>
      </c>
      <c r="Q125" s="153" t="s">
        <v>2</v>
      </c>
      <c r="R125" s="96" t="str">
        <f t="shared" si="13"/>
        <v>Technology Reliability_Corrected_loss_percentage_LY</v>
      </c>
      <c r="S125" s="264">
        <f t="shared" si="17"/>
        <v>0</v>
      </c>
      <c r="T125" t="str">
        <f t="shared" si="14"/>
        <v xml:space="preserve"> Empty</v>
      </c>
      <c r="U125" t="s">
        <v>876</v>
      </c>
    </row>
    <row r="126" spans="15:21">
      <c r="O126" s="95" t="s">
        <v>677</v>
      </c>
      <c r="P126" s="95" t="s">
        <v>726</v>
      </c>
      <c r="Q126" s="153" t="s">
        <v>3</v>
      </c>
      <c r="R126" s="96" t="str">
        <f t="shared" si="13"/>
        <v>Material Reliability_Corrected_loss_percentage_LY</v>
      </c>
      <c r="S126" s="264">
        <f t="shared" si="17"/>
        <v>0</v>
      </c>
      <c r="T126" t="str">
        <f t="shared" si="14"/>
        <v xml:space="preserve"> Empty</v>
      </c>
      <c r="U126" t="s">
        <v>876</v>
      </c>
    </row>
    <row r="127" spans="15:21">
      <c r="O127" s="95" t="s">
        <v>677</v>
      </c>
      <c r="P127" s="95" t="s">
        <v>726</v>
      </c>
      <c r="Q127" s="153" t="s">
        <v>4</v>
      </c>
      <c r="R127" s="96" t="str">
        <f t="shared" si="13"/>
        <v>Logistics/Supply Reliability_Corrected_loss_percentage_LY</v>
      </c>
      <c r="S127" s="264">
        <f t="shared" si="17"/>
        <v>0</v>
      </c>
      <c r="T127" t="str">
        <f t="shared" si="14"/>
        <v xml:space="preserve"> Empty</v>
      </c>
      <c r="U127" t="s">
        <v>876</v>
      </c>
    </row>
    <row r="128" spans="15:21">
      <c r="O128" s="95" t="s">
        <v>677</v>
      </c>
      <c r="P128" s="95" t="s">
        <v>726</v>
      </c>
      <c r="Q128" s="153" t="s">
        <v>5</v>
      </c>
      <c r="R128" s="96" t="str">
        <f t="shared" si="13"/>
        <v>External Reliability_Corrected_loss_percentage_LY</v>
      </c>
      <c r="S128" s="264">
        <f t="shared" si="17"/>
        <v>0</v>
      </c>
      <c r="T128" t="str">
        <f t="shared" si="14"/>
        <v xml:space="preserve"> Empty</v>
      </c>
      <c r="U128" t="s">
        <v>876</v>
      </c>
    </row>
    <row r="129" spans="15:21">
      <c r="O129" s="95" t="s">
        <v>677</v>
      </c>
      <c r="P129" s="95" t="s">
        <v>726</v>
      </c>
      <c r="Q129" s="153" t="s">
        <v>11</v>
      </c>
      <c r="R129" s="96" t="str">
        <f t="shared" si="13"/>
        <v>Other Reliability_Corrected_loss_percentage_LY</v>
      </c>
      <c r="S129" s="264">
        <f t="shared" si="17"/>
        <v>0</v>
      </c>
      <c r="T129" t="str">
        <f t="shared" si="14"/>
        <v xml:space="preserve"> Empty</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 xml:space="preserve"> Empty</v>
      </c>
      <c r="U130" t="s">
        <v>876</v>
      </c>
    </row>
    <row r="131" spans="15:21">
      <c r="O131" s="95" t="s">
        <v>677</v>
      </c>
      <c r="P131" s="95" t="s">
        <v>726</v>
      </c>
      <c r="Q131" s="153" t="s">
        <v>16</v>
      </c>
      <c r="R131" s="96" t="str">
        <f t="shared" si="18"/>
        <v>Undetected_Corrected_loss_percentage_LY</v>
      </c>
      <c r="S131" s="264">
        <f t="shared" si="17"/>
        <v>0</v>
      </c>
      <c r="T131" t="str">
        <f t="shared" ref="T131:T194" si="19">$B$2</f>
        <v xml:space="preserve"> Empty</v>
      </c>
      <c r="U131" t="s">
        <v>876</v>
      </c>
    </row>
    <row r="132" spans="15:21">
      <c r="O132" s="95" t="s">
        <v>677</v>
      </c>
      <c r="P132" s="95" t="s">
        <v>726</v>
      </c>
      <c r="Q132" s="153" t="s">
        <v>664</v>
      </c>
      <c r="R132" s="96" t="str">
        <f t="shared" si="18"/>
        <v>Exception hours_Corrected_loss_percentage_LY</v>
      </c>
      <c r="S132" s="264">
        <f t="shared" si="17"/>
        <v>0</v>
      </c>
      <c r="T132" t="str">
        <f t="shared" si="19"/>
        <v xml:space="preserve"> Empty</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 xml:space="preserve"> Empty</v>
      </c>
      <c r="U133" t="s">
        <v>876</v>
      </c>
    </row>
    <row r="134" spans="15:21">
      <c r="O134" s="95" t="s">
        <v>677</v>
      </c>
      <c r="P134" s="95" t="s">
        <v>726</v>
      </c>
      <c r="Q134" s="153" t="s">
        <v>705</v>
      </c>
      <c r="R134" s="96" t="str">
        <f t="shared" si="18"/>
        <v>Improvement target not assigned_Corrected_loss_percentage_LY</v>
      </c>
      <c r="S134" s="264">
        <f t="shared" si="17"/>
        <v>0</v>
      </c>
      <c r="T134" t="str">
        <f t="shared" si="19"/>
        <v xml:space="preserve"> Empty</v>
      </c>
      <c r="U134" t="s">
        <v>876</v>
      </c>
    </row>
    <row r="135" spans="15:21">
      <c r="O135" s="95" t="s">
        <v>677</v>
      </c>
      <c r="P135" s="95" t="s">
        <v>726</v>
      </c>
      <c r="Q135" s="153" t="s">
        <v>397</v>
      </c>
      <c r="R135" s="96" t="str">
        <f t="shared" si="18"/>
        <v>Sum OEE losses (exluding Planned Maintenance)_Corrected_loss_percentage_LY</v>
      </c>
      <c r="S135" s="264">
        <f t="shared" si="17"/>
        <v>0</v>
      </c>
      <c r="T135" t="str">
        <f t="shared" si="19"/>
        <v xml:space="preserve"> Empty</v>
      </c>
      <c r="U135" t="s">
        <v>876</v>
      </c>
    </row>
    <row r="136" spans="15:21">
      <c r="O136" s="95" t="s">
        <v>677</v>
      </c>
      <c r="P136" s="95" t="s">
        <v>726</v>
      </c>
      <c r="Q136" s="153" t="s">
        <v>398</v>
      </c>
      <c r="R136" s="96" t="str">
        <f t="shared" si="18"/>
        <v>Sum OEE losses (Including Planned Maintenance)_Corrected_loss_percentage_LY</v>
      </c>
      <c r="S136" s="264">
        <f t="shared" si="17"/>
        <v>0</v>
      </c>
      <c r="T136" t="str">
        <f t="shared" si="19"/>
        <v xml:space="preserve"> Empty</v>
      </c>
      <c r="U136" t="s">
        <v>876</v>
      </c>
    </row>
    <row r="137" spans="15:21">
      <c r="O137" s="95" t="s">
        <v>677</v>
      </c>
      <c r="P137" s="95" t="s">
        <v>726</v>
      </c>
      <c r="Q137" s="153" t="s">
        <v>712</v>
      </c>
      <c r="R137" s="96" t="str">
        <f t="shared" si="18"/>
        <v>Production hours on MAC (h) / OEE (%)_Corrected_loss_percentage_LY</v>
      </c>
      <c r="S137" s="264">
        <f t="shared" si="17"/>
        <v>1</v>
      </c>
      <c r="T137" t="str">
        <f t="shared" si="19"/>
        <v xml:space="preserve"> Empty</v>
      </c>
      <c r="U137" t="s">
        <v>876</v>
      </c>
    </row>
    <row r="138" spans="15:21">
      <c r="O138" s="95" t="s">
        <v>679</v>
      </c>
      <c r="P138" s="95" t="s">
        <v>688</v>
      </c>
      <c r="Q138" s="142" t="s">
        <v>13</v>
      </c>
      <c r="R138" s="96" t="str">
        <f t="shared" si="18"/>
        <v>MAC - Calender hours_OEE Improvement_Hours</v>
      </c>
      <c r="S138" s="265">
        <f t="shared" ref="S138:S158" si="20">G25</f>
        <v>0</v>
      </c>
      <c r="T138" t="str">
        <f t="shared" si="19"/>
        <v xml:space="preserve"> Empty</v>
      </c>
      <c r="U138" t="s">
        <v>876</v>
      </c>
    </row>
    <row r="139" spans="15:21">
      <c r="O139" s="95" t="s">
        <v>679</v>
      </c>
      <c r="P139" s="95" t="s">
        <v>688</v>
      </c>
      <c r="Q139" s="152" t="s">
        <v>7</v>
      </c>
      <c r="R139" s="96" t="str">
        <f t="shared" si="18"/>
        <v>Commercial Reliability_OEE Improvement_Hours</v>
      </c>
      <c r="S139" s="265">
        <f t="shared" si="20"/>
        <v>-86.73267326732639</v>
      </c>
      <c r="T139" t="str">
        <f t="shared" si="19"/>
        <v xml:space="preserve"> Empty</v>
      </c>
      <c r="U139" t="s">
        <v>876</v>
      </c>
    </row>
    <row r="140" spans="15:21">
      <c r="O140" s="95" t="s">
        <v>679</v>
      </c>
      <c r="P140" s="95" t="s">
        <v>688</v>
      </c>
      <c r="Q140" s="152" t="s">
        <v>704</v>
      </c>
      <c r="R140" s="96" t="str">
        <f t="shared" si="18"/>
        <v>Exception hours (loss excluded from OEE)_OEE Improvement_Hours</v>
      </c>
      <c r="S140" s="265">
        <f t="shared" si="20"/>
        <v>0</v>
      </c>
      <c r="T140" t="str">
        <f t="shared" si="19"/>
        <v xml:space="preserve"> Empty</v>
      </c>
      <c r="U140" t="s">
        <v>876</v>
      </c>
    </row>
    <row r="141" spans="15:21">
      <c r="O141" s="95" t="s">
        <v>679</v>
      </c>
      <c r="P141" s="95" t="s">
        <v>688</v>
      </c>
      <c r="Q141" s="152" t="s">
        <v>14</v>
      </c>
      <c r="R141" s="96" t="str">
        <f t="shared" si="18"/>
        <v>Available OEE - Scheduled hours_OEE Improvement_Hours</v>
      </c>
      <c r="S141" s="265">
        <f t="shared" si="20"/>
        <v>110.73267326732639</v>
      </c>
      <c r="T141" t="str">
        <f t="shared" si="19"/>
        <v xml:space="preserve"> Empty</v>
      </c>
      <c r="U141" t="s">
        <v>876</v>
      </c>
    </row>
    <row r="142" spans="15:21">
      <c r="O142" s="95" t="s">
        <v>679</v>
      </c>
      <c r="P142" s="95" t="s">
        <v>688</v>
      </c>
      <c r="Q142" s="152" t="s">
        <v>17</v>
      </c>
      <c r="R142" s="96" t="str">
        <f t="shared" si="18"/>
        <v>Equipment Reliability - Planned TA &amp; Planned SD_OEE Improvement_Hours</v>
      </c>
      <c r="S142" s="265">
        <f t="shared" si="20"/>
        <v>0</v>
      </c>
      <c r="T142" t="str">
        <f t="shared" si="19"/>
        <v xml:space="preserve"> Empty</v>
      </c>
      <c r="U142" t="s">
        <v>876</v>
      </c>
    </row>
    <row r="143" spans="15:21">
      <c r="O143" s="95" t="s">
        <v>679</v>
      </c>
      <c r="P143" s="95" t="s">
        <v>688</v>
      </c>
      <c r="Q143" s="152" t="s">
        <v>665</v>
      </c>
      <c r="R143" s="96" t="str">
        <f t="shared" si="18"/>
        <v>Available running OEE - Running hours_OEE Improvement_Hours</v>
      </c>
      <c r="S143" s="265">
        <f t="shared" si="20"/>
        <v>110.73267326732639</v>
      </c>
      <c r="T143" t="str">
        <f t="shared" si="19"/>
        <v xml:space="preserve"> Empty</v>
      </c>
      <c r="U143" t="s">
        <v>876</v>
      </c>
    </row>
    <row r="144" spans="15:21">
      <c r="O144" s="95" t="s">
        <v>679</v>
      </c>
      <c r="P144" s="95" t="s">
        <v>688</v>
      </c>
      <c r="Q144" s="152" t="s">
        <v>18</v>
      </c>
      <c r="R144" s="96" t="str">
        <f t="shared" si="18"/>
        <v>Equipment Reliability - Equipment Failure_OEE Improvement_Hours</v>
      </c>
      <c r="S144" s="265">
        <f t="shared" si="20"/>
        <v>0</v>
      </c>
      <c r="T144" t="str">
        <f t="shared" si="19"/>
        <v xml:space="preserve"> Empty</v>
      </c>
      <c r="U144" t="s">
        <v>876</v>
      </c>
    </row>
    <row r="145" spans="15:21">
      <c r="O145" s="95" t="s">
        <v>679</v>
      </c>
      <c r="P145" s="95" t="s">
        <v>688</v>
      </c>
      <c r="Q145" s="152" t="s">
        <v>1</v>
      </c>
      <c r="R145" s="96" t="str">
        <f t="shared" si="18"/>
        <v>Operational Reliability_OEE Improvement_Hours</v>
      </c>
      <c r="S145" s="265">
        <f t="shared" si="20"/>
        <v>0</v>
      </c>
      <c r="T145" t="str">
        <f t="shared" si="19"/>
        <v xml:space="preserve"> Empty</v>
      </c>
      <c r="U145" t="s">
        <v>876</v>
      </c>
    </row>
    <row r="146" spans="15:21">
      <c r="O146" s="95" t="s">
        <v>679</v>
      </c>
      <c r="P146" s="95" t="s">
        <v>688</v>
      </c>
      <c r="Q146" s="152" t="s">
        <v>2</v>
      </c>
      <c r="R146" s="96" t="str">
        <f t="shared" si="18"/>
        <v>Technology Reliability_OEE Improvement_Hours</v>
      </c>
      <c r="S146" s="265">
        <f t="shared" si="20"/>
        <v>0</v>
      </c>
      <c r="T146" t="str">
        <f t="shared" si="19"/>
        <v xml:space="preserve"> Empty</v>
      </c>
      <c r="U146" t="s">
        <v>876</v>
      </c>
    </row>
    <row r="147" spans="15:21">
      <c r="O147" s="95" t="s">
        <v>679</v>
      </c>
      <c r="P147" s="95" t="s">
        <v>688</v>
      </c>
      <c r="Q147" s="152" t="s">
        <v>3</v>
      </c>
      <c r="R147" s="96" t="str">
        <f t="shared" si="18"/>
        <v>Material Reliability_OEE Improvement_Hours</v>
      </c>
      <c r="S147" s="265">
        <f t="shared" si="20"/>
        <v>0</v>
      </c>
      <c r="T147" t="str">
        <f t="shared" si="19"/>
        <v xml:space="preserve"> Empty</v>
      </c>
      <c r="U147" t="s">
        <v>876</v>
      </c>
    </row>
    <row r="148" spans="15:21">
      <c r="O148" s="95" t="s">
        <v>679</v>
      </c>
      <c r="P148" s="95" t="s">
        <v>688</v>
      </c>
      <c r="Q148" s="152" t="s">
        <v>4</v>
      </c>
      <c r="R148" s="96" t="str">
        <f t="shared" si="18"/>
        <v>Logistics/Supply Reliability_OEE Improvement_Hours</v>
      </c>
      <c r="S148" s="265">
        <f t="shared" si="20"/>
        <v>0</v>
      </c>
      <c r="T148" t="str">
        <f t="shared" si="19"/>
        <v xml:space="preserve"> Empty</v>
      </c>
      <c r="U148" t="s">
        <v>876</v>
      </c>
    </row>
    <row r="149" spans="15:21">
      <c r="O149" s="95" t="s">
        <v>679</v>
      </c>
      <c r="P149" s="95" t="s">
        <v>688</v>
      </c>
      <c r="Q149" s="152" t="s">
        <v>5</v>
      </c>
      <c r="R149" s="96" t="str">
        <f t="shared" si="18"/>
        <v>External Reliability_OEE Improvement_Hours</v>
      </c>
      <c r="S149" s="265">
        <f t="shared" si="20"/>
        <v>0</v>
      </c>
      <c r="T149" t="str">
        <f t="shared" si="19"/>
        <v xml:space="preserve"> Empty</v>
      </c>
      <c r="U149" t="s">
        <v>876</v>
      </c>
    </row>
    <row r="150" spans="15:21">
      <c r="O150" s="95" t="s">
        <v>679</v>
      </c>
      <c r="P150" s="95" t="s">
        <v>688</v>
      </c>
      <c r="Q150" s="152" t="s">
        <v>11</v>
      </c>
      <c r="R150" s="96" t="str">
        <f t="shared" si="18"/>
        <v>Other Reliability_OEE Improvement_Hours</v>
      </c>
      <c r="S150" s="265">
        <f t="shared" si="20"/>
        <v>0</v>
      </c>
      <c r="T150" t="str">
        <f t="shared" si="19"/>
        <v xml:space="preserve"> Empty</v>
      </c>
      <c r="U150" t="s">
        <v>876</v>
      </c>
    </row>
    <row r="151" spans="15:21">
      <c r="O151" s="95" t="s">
        <v>679</v>
      </c>
      <c r="P151" s="95" t="s">
        <v>688</v>
      </c>
      <c r="Q151" s="152" t="s">
        <v>15</v>
      </c>
      <c r="R151" s="96" t="str">
        <f t="shared" si="18"/>
        <v>Unspecified_OEE Improvement_Hours</v>
      </c>
      <c r="S151" s="265">
        <f t="shared" si="20"/>
        <v>0</v>
      </c>
      <c r="T151" t="str">
        <f t="shared" si="19"/>
        <v xml:space="preserve"> Empty</v>
      </c>
      <c r="U151" t="s">
        <v>876</v>
      </c>
    </row>
    <row r="152" spans="15:21">
      <c r="O152" s="95" t="s">
        <v>679</v>
      </c>
      <c r="P152" s="95" t="s">
        <v>688</v>
      </c>
      <c r="Q152" s="152" t="s">
        <v>16</v>
      </c>
      <c r="R152" s="96" t="str">
        <f t="shared" si="18"/>
        <v>Undetected_OEE Improvement_Hours</v>
      </c>
      <c r="S152" s="265">
        <f t="shared" si="20"/>
        <v>0</v>
      </c>
      <c r="T152" t="str">
        <f t="shared" si="19"/>
        <v xml:space="preserve"> Empty</v>
      </c>
      <c r="U152" t="s">
        <v>876</v>
      </c>
    </row>
    <row r="153" spans="15:21">
      <c r="O153" s="95" t="s">
        <v>679</v>
      </c>
      <c r="P153" s="95" t="s">
        <v>688</v>
      </c>
      <c r="Q153" s="152" t="s">
        <v>664</v>
      </c>
      <c r="R153" s="96" t="str">
        <f t="shared" si="18"/>
        <v>Exception hours_OEE Improvement_Hours</v>
      </c>
      <c r="S153" s="265">
        <f t="shared" si="20"/>
        <v>0</v>
      </c>
      <c r="T153" t="str">
        <f t="shared" si="19"/>
        <v xml:space="preserve"> Empty</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 xml:space="preserve"> Empty</v>
      </c>
      <c r="U154" t="s">
        <v>876</v>
      </c>
    </row>
    <row r="155" spans="15:21">
      <c r="O155" s="95" t="s">
        <v>679</v>
      </c>
      <c r="P155" s="95" t="s">
        <v>688</v>
      </c>
      <c r="Q155" s="152" t="s">
        <v>705</v>
      </c>
      <c r="R155" s="96" t="str">
        <f t="shared" si="18"/>
        <v>Improvement target not assigned_OEE Improvement_Hours</v>
      </c>
      <c r="S155" s="265">
        <f t="shared" si="20"/>
        <v>0</v>
      </c>
      <c r="T155" t="str">
        <f t="shared" si="19"/>
        <v xml:space="preserve"> Empty</v>
      </c>
      <c r="U155" t="s">
        <v>876</v>
      </c>
    </row>
    <row r="156" spans="15:21">
      <c r="O156" s="95" t="s">
        <v>679</v>
      </c>
      <c r="P156" s="95" t="s">
        <v>688</v>
      </c>
      <c r="Q156" s="152" t="s">
        <v>397</v>
      </c>
      <c r="R156" s="96" t="str">
        <f t="shared" si="18"/>
        <v>Sum OEE losses (exluding Planned Maintenance)_OEE Improvement_Hours</v>
      </c>
      <c r="S156" s="265">
        <f t="shared" si="20"/>
        <v>-86.73267326732639</v>
      </c>
      <c r="T156" t="str">
        <f t="shared" si="19"/>
        <v xml:space="preserve"> Empty</v>
      </c>
      <c r="U156" t="s">
        <v>876</v>
      </c>
    </row>
    <row r="157" spans="15:21">
      <c r="O157" s="95" t="s">
        <v>679</v>
      </c>
      <c r="P157" s="95" t="s">
        <v>688</v>
      </c>
      <c r="Q157" s="152" t="s">
        <v>398</v>
      </c>
      <c r="R157" s="96" t="str">
        <f t="shared" si="18"/>
        <v>Sum OEE losses (Including Planned Maintenance)_OEE Improvement_Hours</v>
      </c>
      <c r="S157" s="265">
        <f t="shared" si="20"/>
        <v>-86.73267326732639</v>
      </c>
      <c r="T157" t="str">
        <f t="shared" si="19"/>
        <v xml:space="preserve"> Empty</v>
      </c>
      <c r="U157" t="s">
        <v>876</v>
      </c>
    </row>
    <row r="158" spans="15:21">
      <c r="O158" s="95" t="s">
        <v>679</v>
      </c>
      <c r="P158" s="95" t="s">
        <v>688</v>
      </c>
      <c r="Q158" s="152" t="s">
        <v>712</v>
      </c>
      <c r="R158" s="96" t="str">
        <f t="shared" si="18"/>
        <v>Production hours on MAC (h) / OEE (%)_OEE Improvement_Hours</v>
      </c>
      <c r="S158" s="265">
        <f t="shared" si="20"/>
        <v>-24</v>
      </c>
      <c r="T158" t="str">
        <f t="shared" si="19"/>
        <v xml:space="preserve"> Empty</v>
      </c>
      <c r="U158" t="s">
        <v>876</v>
      </c>
    </row>
    <row r="159" spans="15:21">
      <c r="O159" s="95" t="s">
        <v>723</v>
      </c>
      <c r="P159" s="95" t="s">
        <v>689</v>
      </c>
      <c r="Q159" s="143" t="s">
        <v>13</v>
      </c>
      <c r="R159" s="96" t="str">
        <f t="shared" si="18"/>
        <v>MAC - Calender hours_OEE_Improvement_Percentage</v>
      </c>
      <c r="S159" s="264">
        <f t="shared" ref="S159:S179" si="21">H25</f>
        <v>0</v>
      </c>
      <c r="T159" t="str">
        <f t="shared" si="19"/>
        <v xml:space="preserve"> Empty</v>
      </c>
      <c r="U159" t="s">
        <v>876</v>
      </c>
    </row>
    <row r="160" spans="15:21">
      <c r="O160" s="95" t="s">
        <v>723</v>
      </c>
      <c r="P160" s="95" t="s">
        <v>689</v>
      </c>
      <c r="Q160" s="153" t="s">
        <v>7</v>
      </c>
      <c r="R160" s="96" t="str">
        <f t="shared" si="18"/>
        <v>Commercial Reliability_OEE_Improvement_Percentage</v>
      </c>
      <c r="S160" s="264">
        <f t="shared" si="21"/>
        <v>0</v>
      </c>
      <c r="T160" t="str">
        <f t="shared" si="19"/>
        <v xml:space="preserve"> Empty</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 xml:space="preserve"> Empty</v>
      </c>
      <c r="U161" t="s">
        <v>876</v>
      </c>
    </row>
    <row r="162" spans="15:21">
      <c r="O162" s="95" t="s">
        <v>723</v>
      </c>
      <c r="P162" s="95" t="s">
        <v>689</v>
      </c>
      <c r="Q162" s="153" t="s">
        <v>14</v>
      </c>
      <c r="R162" s="96" t="str">
        <f t="shared" si="18"/>
        <v>Available OEE - Scheduled hours_OEE_Improvement_Percentage</v>
      </c>
      <c r="S162" s="264">
        <f t="shared" si="21"/>
        <v>0</v>
      </c>
      <c r="T162" t="str">
        <f t="shared" si="19"/>
        <v xml:space="preserve"> Empty</v>
      </c>
      <c r="U162" t="s">
        <v>876</v>
      </c>
    </row>
    <row r="163" spans="15:21">
      <c r="O163" s="95" t="s">
        <v>723</v>
      </c>
      <c r="P163" s="95" t="s">
        <v>689</v>
      </c>
      <c r="Q163" s="153" t="s">
        <v>17</v>
      </c>
      <c r="R163" s="96" t="str">
        <f t="shared" si="18"/>
        <v>Equipment Reliability - Planned TA &amp; Planned SD_OEE_Improvement_Percentage</v>
      </c>
      <c r="S163" s="264">
        <f t="shared" si="21"/>
        <v>0</v>
      </c>
      <c r="T163" t="str">
        <f t="shared" si="19"/>
        <v xml:space="preserve"> Empty</v>
      </c>
      <c r="U163" t="s">
        <v>876</v>
      </c>
    </row>
    <row r="164" spans="15:21">
      <c r="O164" s="95" t="s">
        <v>723</v>
      </c>
      <c r="P164" s="95" t="s">
        <v>689</v>
      </c>
      <c r="Q164" s="153" t="s">
        <v>665</v>
      </c>
      <c r="R164" s="96" t="str">
        <f t="shared" si="18"/>
        <v>Available running OEE - Running hours_OEE_Improvement_Percentage</v>
      </c>
      <c r="S164" s="264">
        <f t="shared" si="21"/>
        <v>0</v>
      </c>
      <c r="T164" t="str">
        <f t="shared" si="19"/>
        <v xml:space="preserve"> Empty</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 xml:space="preserve"> Empty</v>
      </c>
      <c r="U165" t="s">
        <v>876</v>
      </c>
    </row>
    <row r="166" spans="15:21">
      <c r="O166" s="95" t="s">
        <v>723</v>
      </c>
      <c r="P166" s="95" t="s">
        <v>689</v>
      </c>
      <c r="Q166" s="153" t="s">
        <v>1</v>
      </c>
      <c r="R166" s="96" t="str">
        <f t="shared" si="18"/>
        <v>Operational Reliability_OEE_Improvement_Percentage</v>
      </c>
      <c r="S166" s="264">
        <f t="shared" si="21"/>
        <v>0</v>
      </c>
      <c r="T166" t="str">
        <f t="shared" si="19"/>
        <v xml:space="preserve"> Empty</v>
      </c>
      <c r="U166" t="s">
        <v>876</v>
      </c>
    </row>
    <row r="167" spans="15:21">
      <c r="O167" s="95" t="s">
        <v>723</v>
      </c>
      <c r="P167" s="95" t="s">
        <v>689</v>
      </c>
      <c r="Q167" s="153" t="s">
        <v>2</v>
      </c>
      <c r="R167" s="96" t="str">
        <f t="shared" si="18"/>
        <v>Technology Reliability_OEE_Improvement_Percentage</v>
      </c>
      <c r="S167" s="264">
        <f t="shared" si="21"/>
        <v>0</v>
      </c>
      <c r="T167" t="str">
        <f t="shared" si="19"/>
        <v xml:space="preserve"> Empty</v>
      </c>
      <c r="U167" t="s">
        <v>876</v>
      </c>
    </row>
    <row r="168" spans="15:21">
      <c r="O168" s="95" t="s">
        <v>723</v>
      </c>
      <c r="P168" s="95" t="s">
        <v>689</v>
      </c>
      <c r="Q168" s="153" t="s">
        <v>3</v>
      </c>
      <c r="R168" s="96" t="str">
        <f t="shared" si="18"/>
        <v>Material Reliability_OEE_Improvement_Percentage</v>
      </c>
      <c r="S168" s="264">
        <f t="shared" si="21"/>
        <v>0</v>
      </c>
      <c r="T168" t="str">
        <f t="shared" si="19"/>
        <v xml:space="preserve"> Empty</v>
      </c>
      <c r="U168" t="s">
        <v>876</v>
      </c>
    </row>
    <row r="169" spans="15:21">
      <c r="O169" s="95" t="s">
        <v>723</v>
      </c>
      <c r="P169" s="95" t="s">
        <v>689</v>
      </c>
      <c r="Q169" s="153" t="s">
        <v>4</v>
      </c>
      <c r="R169" s="96" t="str">
        <f t="shared" si="18"/>
        <v>Logistics/Supply Reliability_OEE_Improvement_Percentage</v>
      </c>
      <c r="S169" s="264">
        <f t="shared" si="21"/>
        <v>0</v>
      </c>
      <c r="T169" t="str">
        <f t="shared" si="19"/>
        <v xml:space="preserve"> Empty</v>
      </c>
      <c r="U169" t="s">
        <v>876</v>
      </c>
    </row>
    <row r="170" spans="15:21">
      <c r="O170" s="95" t="s">
        <v>723</v>
      </c>
      <c r="P170" s="95" t="s">
        <v>689</v>
      </c>
      <c r="Q170" s="153" t="s">
        <v>5</v>
      </c>
      <c r="R170" s="96" t="str">
        <f t="shared" si="18"/>
        <v>External Reliability_OEE_Improvement_Percentage</v>
      </c>
      <c r="S170" s="264">
        <f t="shared" si="21"/>
        <v>0</v>
      </c>
      <c r="T170" t="str">
        <f t="shared" si="19"/>
        <v xml:space="preserve"> Empty</v>
      </c>
      <c r="U170" t="s">
        <v>876</v>
      </c>
    </row>
    <row r="171" spans="15:21">
      <c r="O171" s="95" t="s">
        <v>723</v>
      </c>
      <c r="P171" s="95" t="s">
        <v>689</v>
      </c>
      <c r="Q171" s="153" t="s">
        <v>11</v>
      </c>
      <c r="R171" s="96" t="str">
        <f t="shared" si="18"/>
        <v>Other Reliability_OEE_Improvement_Percentage</v>
      </c>
      <c r="S171" s="264">
        <f t="shared" si="21"/>
        <v>0</v>
      </c>
      <c r="T171" t="str">
        <f t="shared" si="19"/>
        <v xml:space="preserve"> Empty</v>
      </c>
      <c r="U171" t="s">
        <v>876</v>
      </c>
    </row>
    <row r="172" spans="15:21">
      <c r="O172" s="95" t="s">
        <v>723</v>
      </c>
      <c r="P172" s="95" t="s">
        <v>689</v>
      </c>
      <c r="Q172" s="153" t="s">
        <v>15</v>
      </c>
      <c r="R172" s="96" t="str">
        <f t="shared" si="18"/>
        <v>Unspecified_OEE_Improvement_Percentage</v>
      </c>
      <c r="S172" s="264">
        <f t="shared" si="21"/>
        <v>0</v>
      </c>
      <c r="T172" t="str">
        <f t="shared" si="19"/>
        <v xml:space="preserve"> Empty</v>
      </c>
      <c r="U172" t="s">
        <v>876</v>
      </c>
    </row>
    <row r="173" spans="15:21">
      <c r="O173" s="95" t="s">
        <v>723</v>
      </c>
      <c r="P173" s="95" t="s">
        <v>689</v>
      </c>
      <c r="Q173" s="153" t="s">
        <v>16</v>
      </c>
      <c r="R173" s="96" t="str">
        <f t="shared" si="18"/>
        <v>Undetected_OEE_Improvement_Percentage</v>
      </c>
      <c r="S173" s="264">
        <f t="shared" si="21"/>
        <v>0</v>
      </c>
      <c r="T173" t="str">
        <f t="shared" si="19"/>
        <v xml:space="preserve"> Empty</v>
      </c>
      <c r="U173" t="s">
        <v>876</v>
      </c>
    </row>
    <row r="174" spans="15:21">
      <c r="O174" s="95" t="s">
        <v>723</v>
      </c>
      <c r="P174" s="95" t="s">
        <v>689</v>
      </c>
      <c r="Q174" s="153" t="s">
        <v>664</v>
      </c>
      <c r="R174" s="96" t="str">
        <f t="shared" si="18"/>
        <v>Exception hours_OEE_Improvement_Percentage</v>
      </c>
      <c r="S174" s="264">
        <f t="shared" si="21"/>
        <v>0</v>
      </c>
      <c r="T174" t="str">
        <f t="shared" si="19"/>
        <v xml:space="preserve"> Empty</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 xml:space="preserve"> Empty</v>
      </c>
      <c r="U175" t="s">
        <v>876</v>
      </c>
    </row>
    <row r="176" spans="15:21">
      <c r="O176" s="95" t="s">
        <v>723</v>
      </c>
      <c r="P176" s="95" t="s">
        <v>689</v>
      </c>
      <c r="Q176" s="153" t="s">
        <v>705</v>
      </c>
      <c r="R176" s="96" t="str">
        <f t="shared" si="18"/>
        <v>Improvement target not assigned_OEE_Improvement_Percentage</v>
      </c>
      <c r="S176" s="264">
        <f t="shared" si="21"/>
        <v>9.9999999999999603E-3</v>
      </c>
      <c r="T176" t="str">
        <f t="shared" si="19"/>
        <v xml:space="preserve"> Empty</v>
      </c>
      <c r="U176" t="s">
        <v>876</v>
      </c>
    </row>
    <row r="177" spans="15:21">
      <c r="O177" s="95" t="s">
        <v>723</v>
      </c>
      <c r="P177" s="95" t="s">
        <v>689</v>
      </c>
      <c r="Q177" s="153" t="s">
        <v>397</v>
      </c>
      <c r="R177" s="96" t="str">
        <f t="shared" si="18"/>
        <v>Sum OEE losses (exluding Planned Maintenance)_OEE_Improvement_Percentage</v>
      </c>
      <c r="S177" s="264">
        <f t="shared" si="21"/>
        <v>9.9999999999999603E-3</v>
      </c>
      <c r="T177" t="str">
        <f t="shared" si="19"/>
        <v xml:space="preserve"> Empty</v>
      </c>
      <c r="U177" t="s">
        <v>876</v>
      </c>
    </row>
    <row r="178" spans="15:21">
      <c r="O178" s="95" t="s">
        <v>723</v>
      </c>
      <c r="P178" s="95" t="s">
        <v>689</v>
      </c>
      <c r="Q178" s="153" t="s">
        <v>398</v>
      </c>
      <c r="R178" s="96" t="str">
        <f t="shared" si="18"/>
        <v>Sum OEE losses (Including Planned Maintenance)_OEE_Improvement_Percentage</v>
      </c>
      <c r="S178" s="264">
        <f t="shared" si="21"/>
        <v>1.0000000000000009E-2</v>
      </c>
      <c r="T178" t="str">
        <f t="shared" si="19"/>
        <v xml:space="preserve"> Empty</v>
      </c>
      <c r="U178" t="s">
        <v>876</v>
      </c>
    </row>
    <row r="179" spans="15:21">
      <c r="O179" s="95" t="s">
        <v>723</v>
      </c>
      <c r="P179" s="95" t="s">
        <v>689</v>
      </c>
      <c r="Q179" s="153" t="s">
        <v>712</v>
      </c>
      <c r="R179" s="96" t="str">
        <f t="shared" si="18"/>
        <v>Production hours on MAC (h) / OEE (%)_OEE_Improvement_Percentage</v>
      </c>
      <c r="S179" s="264">
        <f t="shared" si="21"/>
        <v>1.9999999999999921E-2</v>
      </c>
      <c r="T179" t="str">
        <f t="shared" si="19"/>
        <v xml:space="preserve"> Empty</v>
      </c>
      <c r="U179" t="s">
        <v>876</v>
      </c>
    </row>
    <row r="180" spans="15:21">
      <c r="O180" s="95" t="s">
        <v>724</v>
      </c>
      <c r="P180" s="95" t="s">
        <v>687</v>
      </c>
      <c r="Q180" s="142" t="s">
        <v>13</v>
      </c>
      <c r="R180" s="96" t="str">
        <f t="shared" si="18"/>
        <v>MAC - Calender hours_Loss_Hours_NJ</v>
      </c>
      <c r="S180" s="265">
        <f t="shared" ref="S180:S200" si="22">I25</f>
        <v>8760</v>
      </c>
      <c r="T180" t="str">
        <f t="shared" si="19"/>
        <v xml:space="preserve"> Empty</v>
      </c>
      <c r="U180" t="s">
        <v>876</v>
      </c>
    </row>
    <row r="181" spans="15:21">
      <c r="O181" s="95" t="s">
        <v>724</v>
      </c>
      <c r="P181" s="95" t="s">
        <v>687</v>
      </c>
      <c r="Q181" s="152" t="s">
        <v>7</v>
      </c>
      <c r="R181" s="96" t="str">
        <f t="shared" si="18"/>
        <v>Commercial Reliability_Loss_Hours_NJ</v>
      </c>
      <c r="S181" s="265">
        <f t="shared" si="22"/>
        <v>86.73267326732639</v>
      </c>
      <c r="T181" t="str">
        <f t="shared" si="19"/>
        <v xml:space="preserve"> Empty</v>
      </c>
      <c r="U181" t="s">
        <v>876</v>
      </c>
    </row>
    <row r="182" spans="15:21">
      <c r="O182" s="95" t="s">
        <v>724</v>
      </c>
      <c r="P182" s="95" t="s">
        <v>687</v>
      </c>
      <c r="Q182" s="152" t="s">
        <v>704</v>
      </c>
      <c r="R182" s="96" t="str">
        <f t="shared" si="18"/>
        <v>Exception hours (loss excluded from OEE)_Loss_Hours_NJ</v>
      </c>
      <c r="S182" s="265">
        <f t="shared" si="22"/>
        <v>0</v>
      </c>
      <c r="T182" t="str">
        <f t="shared" si="19"/>
        <v xml:space="preserve"> Empty</v>
      </c>
      <c r="U182" t="s">
        <v>876</v>
      </c>
    </row>
    <row r="183" spans="15:21">
      <c r="O183" s="95" t="s">
        <v>724</v>
      </c>
      <c r="P183" s="95" t="s">
        <v>687</v>
      </c>
      <c r="Q183" s="152" t="s">
        <v>14</v>
      </c>
      <c r="R183" s="96" t="str">
        <f t="shared" si="18"/>
        <v>Available OEE - Scheduled hours_Loss_Hours_NJ</v>
      </c>
      <c r="S183" s="265">
        <f t="shared" si="22"/>
        <v>8673.2673267326736</v>
      </c>
      <c r="T183" t="str">
        <f t="shared" si="19"/>
        <v xml:space="preserve"> Empty</v>
      </c>
      <c r="U183" t="s">
        <v>876</v>
      </c>
    </row>
    <row r="184" spans="15:21">
      <c r="O184" s="95" t="s">
        <v>724</v>
      </c>
      <c r="P184" s="95" t="s">
        <v>687</v>
      </c>
      <c r="Q184" s="152" t="s">
        <v>17</v>
      </c>
      <c r="R184" s="96" t="str">
        <f t="shared" si="18"/>
        <v>Equipment Reliability - Planned TA &amp; Planned SD_Loss_Hours_NJ</v>
      </c>
      <c r="S184" s="265">
        <f t="shared" si="22"/>
        <v>0</v>
      </c>
      <c r="T184" t="str">
        <f t="shared" si="19"/>
        <v xml:space="preserve"> Empty</v>
      </c>
      <c r="U184" t="s">
        <v>876</v>
      </c>
    </row>
    <row r="185" spans="15:21">
      <c r="O185" s="95" t="s">
        <v>724</v>
      </c>
      <c r="P185" s="95" t="s">
        <v>687</v>
      </c>
      <c r="Q185" s="152" t="s">
        <v>665</v>
      </c>
      <c r="R185" s="96" t="str">
        <f t="shared" si="18"/>
        <v>Available running OEE - Running hours_Loss_Hours_NJ</v>
      </c>
      <c r="S185" s="265">
        <f t="shared" si="22"/>
        <v>8673.2673267326736</v>
      </c>
      <c r="T185" t="str">
        <f t="shared" si="19"/>
        <v xml:space="preserve"> Empty</v>
      </c>
      <c r="U185" t="s">
        <v>876</v>
      </c>
    </row>
    <row r="186" spans="15:21">
      <c r="O186" s="95" t="s">
        <v>724</v>
      </c>
      <c r="P186" s="95" t="s">
        <v>687</v>
      </c>
      <c r="Q186" s="152" t="s">
        <v>18</v>
      </c>
      <c r="R186" s="96" t="str">
        <f t="shared" si="18"/>
        <v>Equipment Reliability - Equipment Failure_Loss_Hours_NJ</v>
      </c>
      <c r="S186" s="265">
        <f t="shared" si="22"/>
        <v>0</v>
      </c>
      <c r="T186" t="str">
        <f t="shared" si="19"/>
        <v xml:space="preserve"> Empty</v>
      </c>
      <c r="U186" t="s">
        <v>876</v>
      </c>
    </row>
    <row r="187" spans="15:21">
      <c r="O187" s="95" t="s">
        <v>724</v>
      </c>
      <c r="P187" s="95" t="s">
        <v>687</v>
      </c>
      <c r="Q187" s="152" t="s">
        <v>1</v>
      </c>
      <c r="R187" s="96" t="str">
        <f t="shared" si="18"/>
        <v>Operational Reliability_Loss_Hours_NJ</v>
      </c>
      <c r="S187" s="265">
        <f t="shared" si="22"/>
        <v>0</v>
      </c>
      <c r="T187" t="str">
        <f t="shared" si="19"/>
        <v xml:space="preserve"> Empty</v>
      </c>
      <c r="U187" t="s">
        <v>876</v>
      </c>
    </row>
    <row r="188" spans="15:21">
      <c r="O188" s="95" t="s">
        <v>724</v>
      </c>
      <c r="P188" s="95" t="s">
        <v>687</v>
      </c>
      <c r="Q188" s="152" t="s">
        <v>2</v>
      </c>
      <c r="R188" s="96" t="str">
        <f t="shared" si="18"/>
        <v>Technology Reliability_Loss_Hours_NJ</v>
      </c>
      <c r="S188" s="265">
        <f t="shared" si="22"/>
        <v>0</v>
      </c>
      <c r="T188" t="str">
        <f t="shared" si="19"/>
        <v xml:space="preserve"> Empty</v>
      </c>
      <c r="U188" t="s">
        <v>876</v>
      </c>
    </row>
    <row r="189" spans="15:21">
      <c r="O189" s="95" t="s">
        <v>724</v>
      </c>
      <c r="P189" s="95" t="s">
        <v>687</v>
      </c>
      <c r="Q189" s="152" t="s">
        <v>3</v>
      </c>
      <c r="R189" s="96" t="str">
        <f t="shared" si="18"/>
        <v>Material Reliability_Loss_Hours_NJ</v>
      </c>
      <c r="S189" s="265">
        <f t="shared" si="22"/>
        <v>0</v>
      </c>
      <c r="T189" t="str">
        <f t="shared" si="19"/>
        <v xml:space="preserve"> Empty</v>
      </c>
      <c r="U189" t="s">
        <v>876</v>
      </c>
    </row>
    <row r="190" spans="15:21">
      <c r="O190" s="95" t="s">
        <v>724</v>
      </c>
      <c r="P190" s="95" t="s">
        <v>687</v>
      </c>
      <c r="Q190" s="152" t="s">
        <v>4</v>
      </c>
      <c r="R190" s="96" t="str">
        <f t="shared" si="18"/>
        <v>Logistics/Supply Reliability_Loss_Hours_NJ</v>
      </c>
      <c r="S190" s="265">
        <f t="shared" si="22"/>
        <v>0</v>
      </c>
      <c r="T190" t="str">
        <f t="shared" si="19"/>
        <v xml:space="preserve"> Empty</v>
      </c>
      <c r="U190" t="s">
        <v>876</v>
      </c>
    </row>
    <row r="191" spans="15:21">
      <c r="O191" s="95" t="s">
        <v>724</v>
      </c>
      <c r="P191" s="95" t="s">
        <v>687</v>
      </c>
      <c r="Q191" s="152" t="s">
        <v>5</v>
      </c>
      <c r="R191" s="96" t="str">
        <f t="shared" si="18"/>
        <v>External Reliability_Loss_Hours_NJ</v>
      </c>
      <c r="S191" s="265">
        <f t="shared" si="22"/>
        <v>0</v>
      </c>
      <c r="T191" t="str">
        <f t="shared" si="19"/>
        <v xml:space="preserve"> Empty</v>
      </c>
      <c r="U191" t="s">
        <v>876</v>
      </c>
    </row>
    <row r="192" spans="15:21">
      <c r="O192" s="95" t="s">
        <v>724</v>
      </c>
      <c r="P192" s="95" t="s">
        <v>687</v>
      </c>
      <c r="Q192" s="152" t="s">
        <v>11</v>
      </c>
      <c r="R192" s="96" t="str">
        <f t="shared" si="18"/>
        <v>Other Reliability_Loss_Hours_NJ</v>
      </c>
      <c r="S192" s="265">
        <f t="shared" si="22"/>
        <v>0</v>
      </c>
      <c r="T192" t="str">
        <f t="shared" si="19"/>
        <v xml:space="preserve"> Empty</v>
      </c>
      <c r="U192" t="s">
        <v>876</v>
      </c>
    </row>
    <row r="193" spans="15:21">
      <c r="O193" s="95" t="s">
        <v>724</v>
      </c>
      <c r="P193" s="95" t="s">
        <v>687</v>
      </c>
      <c r="Q193" s="152" t="s">
        <v>15</v>
      </c>
      <c r="R193" s="96" t="str">
        <f t="shared" si="18"/>
        <v>Unspecified_Loss_Hours_NJ</v>
      </c>
      <c r="S193" s="265">
        <f t="shared" si="22"/>
        <v>0</v>
      </c>
      <c r="T193" t="str">
        <f t="shared" si="19"/>
        <v xml:space="preserve"> Empty</v>
      </c>
      <c r="U193" t="s">
        <v>876</v>
      </c>
    </row>
    <row r="194" spans="15:21">
      <c r="O194" s="95" t="s">
        <v>724</v>
      </c>
      <c r="P194" s="95" t="s">
        <v>687</v>
      </c>
      <c r="Q194" s="152" t="s">
        <v>16</v>
      </c>
      <c r="R194" s="96" t="str">
        <f t="shared" ref="R194:R248" si="23">IF(ISBLANK(P194),Q194,_xlfn.CONCAT(Q194,"_",P194))</f>
        <v>Undetected_Loss_Hours_NJ</v>
      </c>
      <c r="S194" s="265">
        <f t="shared" si="22"/>
        <v>0</v>
      </c>
      <c r="T194" t="str">
        <f t="shared" si="19"/>
        <v xml:space="preserve"> Empty</v>
      </c>
      <c r="U194" t="s">
        <v>876</v>
      </c>
    </row>
    <row r="195" spans="15:21">
      <c r="O195" s="95" t="s">
        <v>724</v>
      </c>
      <c r="P195" s="95" t="s">
        <v>687</v>
      </c>
      <c r="Q195" s="152" t="s">
        <v>664</v>
      </c>
      <c r="R195" s="96" t="str">
        <f t="shared" si="23"/>
        <v>Exception hours_Loss_Hours_NJ</v>
      </c>
      <c r="S195" s="265">
        <f t="shared" si="22"/>
        <v>0</v>
      </c>
      <c r="T195" t="str">
        <f t="shared" ref="T195:T248" si="24">$B$2</f>
        <v xml:space="preserve"> Empty</v>
      </c>
      <c r="U195" t="s">
        <v>876</v>
      </c>
    </row>
    <row r="196" spans="15:21">
      <c r="O196" s="95" t="s">
        <v>724</v>
      </c>
      <c r="P196" s="95" t="s">
        <v>687</v>
      </c>
      <c r="Q196" s="152" t="s">
        <v>703</v>
      </c>
      <c r="R196" s="96" t="str">
        <f t="shared" si="23"/>
        <v>Extra loss hours in baseline due to MAC change_Loss_Hours_NJ</v>
      </c>
      <c r="S196" s="265">
        <f t="shared" si="22"/>
        <v>0</v>
      </c>
      <c r="T196" t="str">
        <f t="shared" si="24"/>
        <v xml:space="preserve"> Empty</v>
      </c>
      <c r="U196" t="s">
        <v>876</v>
      </c>
    </row>
    <row r="197" spans="15:21">
      <c r="O197" s="95" t="s">
        <v>724</v>
      </c>
      <c r="P197" s="95" t="s">
        <v>687</v>
      </c>
      <c r="Q197" s="152" t="s">
        <v>705</v>
      </c>
      <c r="R197" s="96" t="str">
        <f t="shared" si="23"/>
        <v>Improvement target not assigned_Loss_Hours_NJ</v>
      </c>
      <c r="S197" s="265">
        <f t="shared" si="22"/>
        <v>86.73267326732639</v>
      </c>
      <c r="T197" t="str">
        <f t="shared" si="24"/>
        <v xml:space="preserve"> Empty</v>
      </c>
      <c r="U197" t="s">
        <v>876</v>
      </c>
    </row>
    <row r="198" spans="15:21">
      <c r="O198" s="95" t="s">
        <v>724</v>
      </c>
      <c r="P198" s="95" t="s">
        <v>687</v>
      </c>
      <c r="Q198" s="152" t="s">
        <v>397</v>
      </c>
      <c r="R198" s="96" t="str">
        <f t="shared" si="23"/>
        <v>Sum OEE losses (exluding Planned Maintenance)_Loss_Hours_NJ</v>
      </c>
      <c r="S198" s="265">
        <f t="shared" si="22"/>
        <v>-86.73267326732639</v>
      </c>
      <c r="T198" t="str">
        <f t="shared" si="24"/>
        <v xml:space="preserve"> Empty</v>
      </c>
      <c r="U198" t="s">
        <v>876</v>
      </c>
    </row>
    <row r="199" spans="15:21">
      <c r="O199" s="95" t="s">
        <v>724</v>
      </c>
      <c r="P199" s="95" t="s">
        <v>687</v>
      </c>
      <c r="Q199" s="152" t="s">
        <v>398</v>
      </c>
      <c r="R199" s="96" t="str">
        <f t="shared" si="23"/>
        <v>Sum OEE losses (Including Planned Maintenance)_Loss_Hours_NJ</v>
      </c>
      <c r="S199" s="265">
        <f t="shared" si="22"/>
        <v>-86.73267326732639</v>
      </c>
      <c r="T199" t="str">
        <f t="shared" si="24"/>
        <v xml:space="preserve"> Empty</v>
      </c>
      <c r="U199" t="s">
        <v>876</v>
      </c>
    </row>
    <row r="200" spans="15:21">
      <c r="O200" s="95" t="s">
        <v>724</v>
      </c>
      <c r="P200" s="95" t="s">
        <v>687</v>
      </c>
      <c r="Q200" s="152" t="s">
        <v>712</v>
      </c>
      <c r="R200" s="96" t="str">
        <f t="shared" si="23"/>
        <v>Production hours on MAC (h) / OEE (%)_Loss_Hours_NJ</v>
      </c>
      <c r="S200" s="265">
        <f t="shared" si="22"/>
        <v>8760</v>
      </c>
      <c r="T200" t="str">
        <f t="shared" si="24"/>
        <v xml:space="preserve"> Empty</v>
      </c>
      <c r="U200" t="s">
        <v>876</v>
      </c>
    </row>
    <row r="201" spans="15:21">
      <c r="O201" s="95" t="s">
        <v>1183</v>
      </c>
      <c r="P201" s="95" t="s">
        <v>681</v>
      </c>
      <c r="Q201" s="143" t="s">
        <v>13</v>
      </c>
      <c r="R201" s="96" t="str">
        <f t="shared" si="23"/>
        <v>MAC - Calender hours_Loss Percentage_NJ</v>
      </c>
      <c r="S201" s="268">
        <f>J25</f>
        <v>0</v>
      </c>
      <c r="T201" t="str">
        <f t="shared" si="24"/>
        <v xml:space="preserve"> Empty</v>
      </c>
      <c r="U201" t="s">
        <v>876</v>
      </c>
    </row>
    <row r="202" spans="15:21">
      <c r="O202" s="95" t="s">
        <v>1183</v>
      </c>
      <c r="P202" s="95" t="s">
        <v>681</v>
      </c>
      <c r="Q202" s="153" t="s">
        <v>7</v>
      </c>
      <c r="R202" s="96" t="str">
        <f t="shared" si="23"/>
        <v>Commercial Reliability_Loss Percentage_NJ</v>
      </c>
      <c r="S202" s="268">
        <f t="shared" ref="S202:S221" si="25">J26</f>
        <v>0</v>
      </c>
      <c r="T202" t="str">
        <f t="shared" si="24"/>
        <v xml:space="preserve"> Empty</v>
      </c>
      <c r="U202" t="s">
        <v>876</v>
      </c>
    </row>
    <row r="203" spans="15:21">
      <c r="O203" s="95" t="s">
        <v>1183</v>
      </c>
      <c r="P203" s="95" t="s">
        <v>681</v>
      </c>
      <c r="Q203" s="153" t="s">
        <v>704</v>
      </c>
      <c r="R203" s="96" t="str">
        <f t="shared" si="23"/>
        <v>Exception hours (loss excluded from OEE)_Loss Percentage_NJ</v>
      </c>
      <c r="S203" s="268">
        <f t="shared" si="25"/>
        <v>0</v>
      </c>
      <c r="T203" t="str">
        <f t="shared" si="24"/>
        <v xml:space="preserve"> Empty</v>
      </c>
      <c r="U203" t="s">
        <v>876</v>
      </c>
    </row>
    <row r="204" spans="15:21">
      <c r="O204" s="95" t="s">
        <v>1183</v>
      </c>
      <c r="P204" s="95" t="s">
        <v>681</v>
      </c>
      <c r="Q204" s="153" t="s">
        <v>14</v>
      </c>
      <c r="R204" s="96" t="str">
        <f t="shared" si="23"/>
        <v>Available OEE - Scheduled hours_Loss Percentage_NJ</v>
      </c>
      <c r="S204" s="268">
        <f t="shared" si="25"/>
        <v>1</v>
      </c>
      <c r="T204" t="str">
        <f t="shared" si="24"/>
        <v xml:space="preserve"> Empty</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 xml:space="preserve"> Empty</v>
      </c>
      <c r="U205" t="s">
        <v>876</v>
      </c>
    </row>
    <row r="206" spans="15:21">
      <c r="O206" s="95" t="s">
        <v>1183</v>
      </c>
      <c r="P206" s="95" t="s">
        <v>681</v>
      </c>
      <c r="Q206" s="153" t="s">
        <v>665</v>
      </c>
      <c r="R206" s="96" t="str">
        <f t="shared" si="23"/>
        <v>Available running OEE - Running hours_Loss Percentage_NJ</v>
      </c>
      <c r="S206" s="268">
        <f t="shared" si="25"/>
        <v>0</v>
      </c>
      <c r="T206" t="str">
        <f t="shared" si="24"/>
        <v xml:space="preserve"> Empty</v>
      </c>
      <c r="U206" t="s">
        <v>876</v>
      </c>
    </row>
    <row r="207" spans="15:21">
      <c r="O207" s="95" t="s">
        <v>1183</v>
      </c>
      <c r="P207" s="95" t="s">
        <v>681</v>
      </c>
      <c r="Q207" s="153" t="s">
        <v>18</v>
      </c>
      <c r="R207" s="96" t="str">
        <f t="shared" si="23"/>
        <v>Equipment Reliability - Equipment Failure_Loss Percentage_NJ</v>
      </c>
      <c r="S207" s="268">
        <f t="shared" si="25"/>
        <v>0</v>
      </c>
      <c r="T207" t="str">
        <f t="shared" si="24"/>
        <v xml:space="preserve"> Empty</v>
      </c>
      <c r="U207" t="s">
        <v>876</v>
      </c>
    </row>
    <row r="208" spans="15:21">
      <c r="O208" s="95" t="s">
        <v>1183</v>
      </c>
      <c r="P208" s="95" t="s">
        <v>681</v>
      </c>
      <c r="Q208" s="153" t="s">
        <v>1</v>
      </c>
      <c r="R208" s="96" t="str">
        <f t="shared" si="23"/>
        <v>Operational Reliability_Loss Percentage_NJ</v>
      </c>
      <c r="S208" s="268">
        <f t="shared" si="25"/>
        <v>0</v>
      </c>
      <c r="T208" t="str">
        <f t="shared" si="24"/>
        <v xml:space="preserve"> Empty</v>
      </c>
      <c r="U208" t="s">
        <v>876</v>
      </c>
    </row>
    <row r="209" spans="15:21">
      <c r="O209" s="95" t="s">
        <v>1183</v>
      </c>
      <c r="P209" s="95" t="s">
        <v>681</v>
      </c>
      <c r="Q209" s="153" t="s">
        <v>2</v>
      </c>
      <c r="R209" s="96" t="str">
        <f t="shared" si="23"/>
        <v>Technology Reliability_Loss Percentage_NJ</v>
      </c>
      <c r="S209" s="268">
        <f t="shared" si="25"/>
        <v>0</v>
      </c>
      <c r="T209" t="str">
        <f t="shared" si="24"/>
        <v xml:space="preserve"> Empty</v>
      </c>
      <c r="U209" t="s">
        <v>876</v>
      </c>
    </row>
    <row r="210" spans="15:21">
      <c r="O210" s="95" t="s">
        <v>1183</v>
      </c>
      <c r="P210" s="95" t="s">
        <v>681</v>
      </c>
      <c r="Q210" s="153" t="s">
        <v>3</v>
      </c>
      <c r="R210" s="96" t="str">
        <f t="shared" si="23"/>
        <v>Material Reliability_Loss Percentage_NJ</v>
      </c>
      <c r="S210" s="268">
        <f t="shared" si="25"/>
        <v>0</v>
      </c>
      <c r="T210" t="str">
        <f t="shared" si="24"/>
        <v xml:space="preserve"> Empty</v>
      </c>
      <c r="U210" t="s">
        <v>876</v>
      </c>
    </row>
    <row r="211" spans="15:21">
      <c r="O211" s="95" t="s">
        <v>1183</v>
      </c>
      <c r="P211" s="95" t="s">
        <v>681</v>
      </c>
      <c r="Q211" s="153" t="s">
        <v>4</v>
      </c>
      <c r="R211" s="96" t="str">
        <f t="shared" si="23"/>
        <v>Logistics/Supply Reliability_Loss Percentage_NJ</v>
      </c>
      <c r="S211" s="268">
        <f t="shared" si="25"/>
        <v>0</v>
      </c>
      <c r="T211" t="str">
        <f t="shared" si="24"/>
        <v xml:space="preserve"> Empty</v>
      </c>
      <c r="U211" t="s">
        <v>876</v>
      </c>
    </row>
    <row r="212" spans="15:21">
      <c r="O212" s="95" t="s">
        <v>1183</v>
      </c>
      <c r="P212" s="95" t="s">
        <v>681</v>
      </c>
      <c r="Q212" s="153" t="s">
        <v>5</v>
      </c>
      <c r="R212" s="96" t="str">
        <f t="shared" si="23"/>
        <v>External Reliability_Loss Percentage_NJ</v>
      </c>
      <c r="S212" s="268">
        <f t="shared" si="25"/>
        <v>0</v>
      </c>
      <c r="T212" t="str">
        <f t="shared" si="24"/>
        <v xml:space="preserve"> Empty</v>
      </c>
      <c r="U212" t="s">
        <v>876</v>
      </c>
    </row>
    <row r="213" spans="15:21">
      <c r="O213" s="95" t="s">
        <v>1183</v>
      </c>
      <c r="P213" s="95" t="s">
        <v>681</v>
      </c>
      <c r="Q213" s="153" t="s">
        <v>11</v>
      </c>
      <c r="R213" s="96" t="str">
        <f t="shared" si="23"/>
        <v>Other Reliability_Loss Percentage_NJ</v>
      </c>
      <c r="S213" s="268">
        <f t="shared" si="25"/>
        <v>0</v>
      </c>
      <c r="T213" t="str">
        <f t="shared" si="24"/>
        <v xml:space="preserve"> Empty</v>
      </c>
      <c r="U213" t="s">
        <v>876</v>
      </c>
    </row>
    <row r="214" spans="15:21">
      <c r="O214" s="95" t="s">
        <v>1183</v>
      </c>
      <c r="P214" s="95" t="s">
        <v>681</v>
      </c>
      <c r="Q214" s="153" t="s">
        <v>15</v>
      </c>
      <c r="R214" s="96" t="str">
        <f t="shared" si="23"/>
        <v>Unspecified_Loss Percentage_NJ</v>
      </c>
      <c r="S214" s="268">
        <f t="shared" si="25"/>
        <v>0</v>
      </c>
      <c r="T214" t="str">
        <f t="shared" si="24"/>
        <v xml:space="preserve"> Empty</v>
      </c>
      <c r="U214" t="s">
        <v>876</v>
      </c>
    </row>
    <row r="215" spans="15:21">
      <c r="O215" s="95" t="s">
        <v>1183</v>
      </c>
      <c r="P215" s="95" t="s">
        <v>681</v>
      </c>
      <c r="Q215" s="153" t="s">
        <v>16</v>
      </c>
      <c r="R215" s="96" t="str">
        <f t="shared" si="23"/>
        <v>Undetected_Loss Percentage_NJ</v>
      </c>
      <c r="S215" s="268">
        <f t="shared" si="25"/>
        <v>0</v>
      </c>
      <c r="T215" t="str">
        <f t="shared" si="24"/>
        <v xml:space="preserve"> Empty</v>
      </c>
      <c r="U215" t="s">
        <v>876</v>
      </c>
    </row>
    <row r="216" spans="15:21">
      <c r="O216" s="95" t="s">
        <v>1183</v>
      </c>
      <c r="P216" s="95" t="s">
        <v>681</v>
      </c>
      <c r="Q216" s="153" t="s">
        <v>664</v>
      </c>
      <c r="R216" s="96" t="str">
        <f t="shared" si="23"/>
        <v>Exception hours_Loss Percentage_NJ</v>
      </c>
      <c r="S216" s="268">
        <f t="shared" si="25"/>
        <v>0</v>
      </c>
      <c r="T216" t="str">
        <f t="shared" si="24"/>
        <v xml:space="preserve"> Empty</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 xml:space="preserve"> Empty</v>
      </c>
      <c r="U217" t="s">
        <v>876</v>
      </c>
    </row>
    <row r="218" spans="15:21">
      <c r="O218" s="95" t="s">
        <v>1183</v>
      </c>
      <c r="P218" s="95" t="s">
        <v>681</v>
      </c>
      <c r="Q218" s="153" t="s">
        <v>705</v>
      </c>
      <c r="R218" s="96" t="str">
        <f t="shared" si="23"/>
        <v>Improvement target not assigned_Loss Percentage_NJ</v>
      </c>
      <c r="S218" s="268">
        <f t="shared" si="25"/>
        <v>-9.9999999999999603E-3</v>
      </c>
      <c r="T218" t="str">
        <f t="shared" si="24"/>
        <v xml:space="preserve"> Empty</v>
      </c>
      <c r="U218" t="s">
        <v>876</v>
      </c>
    </row>
    <row r="219" spans="15:21">
      <c r="O219" s="95" t="s">
        <v>1183</v>
      </c>
      <c r="P219" s="95" t="s">
        <v>681</v>
      </c>
      <c r="Q219" s="153" t="s">
        <v>397</v>
      </c>
      <c r="R219" s="96" t="str">
        <f t="shared" si="23"/>
        <v>Sum OEE losses (exluding Planned Maintenance)_Loss Percentage_NJ</v>
      </c>
      <c r="S219" s="268">
        <f t="shared" si="25"/>
        <v>-9.9999999999999603E-3</v>
      </c>
      <c r="T219" t="str">
        <f t="shared" si="24"/>
        <v xml:space="preserve"> Empty</v>
      </c>
      <c r="U219" t="s">
        <v>876</v>
      </c>
    </row>
    <row r="220" spans="15:21">
      <c r="O220" s="95" t="s">
        <v>1183</v>
      </c>
      <c r="P220" s="95" t="s">
        <v>681</v>
      </c>
      <c r="Q220" s="153" t="s">
        <v>398</v>
      </c>
      <c r="R220" s="96" t="str">
        <f t="shared" si="23"/>
        <v>Sum OEE losses (Including Planned Maintenance)_Loss Percentage_NJ</v>
      </c>
      <c r="S220" s="268">
        <f t="shared" si="25"/>
        <v>-1.0000000000000009E-2</v>
      </c>
      <c r="T220" t="str">
        <f t="shared" si="24"/>
        <v xml:space="preserve"> Empty</v>
      </c>
      <c r="U220" t="s">
        <v>876</v>
      </c>
    </row>
    <row r="221" spans="15:21">
      <c r="O221" s="95" t="s">
        <v>1183</v>
      </c>
      <c r="P221" s="95" t="s">
        <v>681</v>
      </c>
      <c r="Q221" s="153" t="s">
        <v>712</v>
      </c>
      <c r="R221" s="96" t="str">
        <f t="shared" si="23"/>
        <v>Production hours on MAC (h) / OEE (%)_Loss Percentage_NJ</v>
      </c>
      <c r="S221" s="268">
        <f t="shared" si="25"/>
        <v>1.01</v>
      </c>
      <c r="T221" t="str">
        <f t="shared" si="24"/>
        <v xml:space="preserve"> Empty</v>
      </c>
      <c r="U221" t="s">
        <v>876</v>
      </c>
    </row>
    <row r="222" spans="15:21">
      <c r="O222" s="95" t="s">
        <v>676</v>
      </c>
      <c r="P222" s="95" t="s">
        <v>994</v>
      </c>
      <c r="Q222" s="144" t="s">
        <v>374</v>
      </c>
      <c r="R222" s="96" t="str">
        <f t="shared" si="23"/>
        <v>Planned Turnaround (h)_NJ_Maintenance_plan</v>
      </c>
      <c r="S222" s="1" t="str">
        <f>D18</f>
        <v/>
      </c>
      <c r="T222" t="str">
        <f t="shared" si="24"/>
        <v xml:space="preserve"> Empty</v>
      </c>
      <c r="U222" t="s">
        <v>877</v>
      </c>
    </row>
    <row r="223" spans="15:21">
      <c r="O223" s="95" t="s">
        <v>676</v>
      </c>
      <c r="P223" s="95" t="s">
        <v>994</v>
      </c>
      <c r="Q223" s="144" t="s">
        <v>375</v>
      </c>
      <c r="R223" s="96" t="str">
        <f t="shared" si="23"/>
        <v>Planned Shutdown (h)_NJ_Maintenance_plan</v>
      </c>
      <c r="S223" s="1" t="str">
        <f t="shared" ref="S223:S224" si="26">D19</f>
        <v/>
      </c>
      <c r="T223" t="str">
        <f t="shared" si="24"/>
        <v xml:space="preserve"> Empty</v>
      </c>
      <c r="U223" t="s">
        <v>877</v>
      </c>
    </row>
    <row r="224" spans="15:21">
      <c r="O224" s="95" t="s">
        <v>676</v>
      </c>
      <c r="P224" s="95" t="s">
        <v>994</v>
      </c>
      <c r="Q224" s="144" t="s">
        <v>716</v>
      </c>
      <c r="R224" s="96" t="str">
        <f t="shared" si="23"/>
        <v>Total Planned Maintenance (h)_NJ_Maintenance_plan</v>
      </c>
      <c r="S224" s="1" t="str">
        <f t="shared" si="26"/>
        <v/>
      </c>
      <c r="T224" t="str">
        <f t="shared" si="24"/>
        <v xml:space="preserve"> Empty</v>
      </c>
      <c r="U224" t="s">
        <v>877</v>
      </c>
    </row>
    <row r="225" spans="15:21">
      <c r="O225" s="95" t="s">
        <v>674</v>
      </c>
      <c r="Q225" s="144" t="s">
        <v>1184</v>
      </c>
      <c r="R225" s="96" t="str">
        <f t="shared" si="23"/>
        <v>OEE_Running OEE Override</v>
      </c>
      <c r="S225" s="1" t="str">
        <f>B60</f>
        <v>Automatic</v>
      </c>
      <c r="T225" t="str">
        <f t="shared" si="24"/>
        <v xml:space="preserve"> Empty</v>
      </c>
      <c r="U225" t="s">
        <v>875</v>
      </c>
    </row>
    <row r="226" spans="15:21">
      <c r="O226" s="95" t="s">
        <v>678</v>
      </c>
      <c r="Q226" s="144" t="s">
        <v>1182</v>
      </c>
      <c r="R226" s="96" t="str">
        <f t="shared" ref="R226" si="27">IF(ISBLANK(P226),Q226,_xlfn.CONCAT(Q226,"_",P226))</f>
        <v>Unit of Loss Decrease entry</v>
      </c>
      <c r="S226" s="370" t="str">
        <f>F24</f>
        <v>% decrease</v>
      </c>
      <c r="T226" t="str">
        <f t="shared" si="24"/>
        <v xml:space="preserve"> Empty</v>
      </c>
      <c r="U226" t="s">
        <v>875</v>
      </c>
    </row>
    <row r="227" spans="15:21">
      <c r="O227" s="95" t="s">
        <v>678</v>
      </c>
      <c r="P227" s="95" t="s">
        <v>1185</v>
      </c>
      <c r="Q227" s="142" t="s">
        <v>13</v>
      </c>
      <c r="R227" s="96" t="str">
        <f t="shared" si="23"/>
        <v>MAC - Calender hours_OEE_Improvement_Entry</v>
      </c>
      <c r="S227" s="371">
        <f>F25</f>
        <v>0</v>
      </c>
      <c r="T227" t="str">
        <f t="shared" si="24"/>
        <v xml:space="preserve"> Empty</v>
      </c>
      <c r="U227" t="s">
        <v>876</v>
      </c>
    </row>
    <row r="228" spans="15:21">
      <c r="O228" s="95" t="s">
        <v>678</v>
      </c>
      <c r="P228" s="95" t="s">
        <v>1185</v>
      </c>
      <c r="Q228" s="152" t="s">
        <v>7</v>
      </c>
      <c r="R228" s="96" t="str">
        <f t="shared" si="23"/>
        <v>Commercial Reliability_OEE_Improvement_Entry</v>
      </c>
      <c r="S228" s="371">
        <f t="shared" ref="S228:S247" si="28">F26</f>
        <v>0</v>
      </c>
      <c r="T228" t="str">
        <f t="shared" si="24"/>
        <v xml:space="preserve"> Empty</v>
      </c>
      <c r="U228" t="s">
        <v>876</v>
      </c>
    </row>
    <row r="229" spans="15:21">
      <c r="O229" s="95" t="s">
        <v>678</v>
      </c>
      <c r="P229" s="95" t="s">
        <v>1185</v>
      </c>
      <c r="Q229" s="152" t="s">
        <v>704</v>
      </c>
      <c r="R229" s="96" t="str">
        <f t="shared" si="23"/>
        <v>Exception hours (loss excluded from OEE)_OEE_Improvement_Entry</v>
      </c>
      <c r="S229" s="371" t="str">
        <f t="shared" si="28"/>
        <v/>
      </c>
      <c r="T229" t="str">
        <f t="shared" si="24"/>
        <v xml:space="preserve"> Empty</v>
      </c>
      <c r="U229" t="s">
        <v>876</v>
      </c>
    </row>
    <row r="230" spans="15:21">
      <c r="O230" s="95" t="s">
        <v>678</v>
      </c>
      <c r="P230" s="95" t="s">
        <v>1185</v>
      </c>
      <c r="Q230" s="152" t="s">
        <v>14</v>
      </c>
      <c r="R230" s="96" t="str">
        <f t="shared" si="23"/>
        <v>Available OEE - Scheduled hours_OEE_Improvement_Entry</v>
      </c>
      <c r="S230" s="371">
        <f t="shared" si="28"/>
        <v>0</v>
      </c>
      <c r="T230" t="str">
        <f t="shared" si="24"/>
        <v xml:space="preserve"> Empty</v>
      </c>
      <c r="U230" t="s">
        <v>876</v>
      </c>
    </row>
    <row r="231" spans="15:21">
      <c r="O231" s="95" t="s">
        <v>678</v>
      </c>
      <c r="P231" s="95" t="s">
        <v>1185</v>
      </c>
      <c r="Q231" s="152" t="s">
        <v>17</v>
      </c>
      <c r="R231" s="96" t="str">
        <f t="shared" si="23"/>
        <v>Equipment Reliability - Planned TA &amp; Planned SD_OEE_Improvement_Entry</v>
      </c>
      <c r="S231" s="371">
        <f t="shared" si="28"/>
        <v>0</v>
      </c>
      <c r="T231" t="str">
        <f t="shared" si="24"/>
        <v xml:space="preserve"> Empty</v>
      </c>
      <c r="U231" t="s">
        <v>876</v>
      </c>
    </row>
    <row r="232" spans="15:21">
      <c r="O232" s="95" t="s">
        <v>678</v>
      </c>
      <c r="P232" s="95" t="s">
        <v>1185</v>
      </c>
      <c r="Q232" s="152" t="s">
        <v>665</v>
      </c>
      <c r="R232" s="96" t="str">
        <f t="shared" si="23"/>
        <v>Available running OEE - Running hours_OEE_Improvement_Entry</v>
      </c>
      <c r="S232" s="371">
        <f t="shared" si="28"/>
        <v>0</v>
      </c>
      <c r="T232" t="str">
        <f t="shared" si="24"/>
        <v xml:space="preserve"> Empty</v>
      </c>
      <c r="U232" t="s">
        <v>876</v>
      </c>
    </row>
    <row r="233" spans="15:21">
      <c r="O233" s="95" t="s">
        <v>678</v>
      </c>
      <c r="P233" s="95" t="s">
        <v>1185</v>
      </c>
      <c r="Q233" s="152" t="s">
        <v>18</v>
      </c>
      <c r="R233" s="96" t="str">
        <f t="shared" si="23"/>
        <v>Equipment Reliability - Equipment Failure_OEE_Improvement_Entry</v>
      </c>
      <c r="S233" s="371">
        <f t="shared" si="28"/>
        <v>0</v>
      </c>
      <c r="T233" t="str">
        <f t="shared" si="24"/>
        <v xml:space="preserve"> Empty</v>
      </c>
      <c r="U233" t="s">
        <v>876</v>
      </c>
    </row>
    <row r="234" spans="15:21">
      <c r="O234" s="95" t="s">
        <v>678</v>
      </c>
      <c r="P234" s="95" t="s">
        <v>1185</v>
      </c>
      <c r="Q234" s="152" t="s">
        <v>1</v>
      </c>
      <c r="R234" s="96" t="str">
        <f t="shared" si="23"/>
        <v>Operational Reliability_OEE_Improvement_Entry</v>
      </c>
      <c r="S234" s="371">
        <f t="shared" si="28"/>
        <v>0</v>
      </c>
      <c r="T234" t="str">
        <f t="shared" si="24"/>
        <v xml:space="preserve"> Empty</v>
      </c>
      <c r="U234" t="s">
        <v>876</v>
      </c>
    </row>
    <row r="235" spans="15:21">
      <c r="O235" s="95" t="s">
        <v>678</v>
      </c>
      <c r="P235" s="95" t="s">
        <v>1185</v>
      </c>
      <c r="Q235" s="152" t="s">
        <v>2</v>
      </c>
      <c r="R235" s="96" t="str">
        <f t="shared" si="23"/>
        <v>Technology Reliability_OEE_Improvement_Entry</v>
      </c>
      <c r="S235" s="371">
        <f t="shared" si="28"/>
        <v>0</v>
      </c>
      <c r="T235" t="str">
        <f t="shared" si="24"/>
        <v xml:space="preserve"> Empty</v>
      </c>
      <c r="U235" t="s">
        <v>876</v>
      </c>
    </row>
    <row r="236" spans="15:21">
      <c r="O236" s="95" t="s">
        <v>678</v>
      </c>
      <c r="P236" s="95" t="s">
        <v>1185</v>
      </c>
      <c r="Q236" s="152" t="s">
        <v>3</v>
      </c>
      <c r="R236" s="96" t="str">
        <f t="shared" si="23"/>
        <v>Material Reliability_OEE_Improvement_Entry</v>
      </c>
      <c r="S236" s="371">
        <f t="shared" si="28"/>
        <v>0</v>
      </c>
      <c r="T236" t="str">
        <f t="shared" si="24"/>
        <v xml:space="preserve"> Empty</v>
      </c>
      <c r="U236" t="s">
        <v>876</v>
      </c>
    </row>
    <row r="237" spans="15:21">
      <c r="O237" s="95" t="s">
        <v>678</v>
      </c>
      <c r="P237" s="95" t="s">
        <v>1185</v>
      </c>
      <c r="Q237" s="152" t="s">
        <v>4</v>
      </c>
      <c r="R237" s="96" t="str">
        <f t="shared" si="23"/>
        <v>Logistics/Supply Reliability_OEE_Improvement_Entry</v>
      </c>
      <c r="S237" s="371">
        <f t="shared" si="28"/>
        <v>0</v>
      </c>
      <c r="T237" t="str">
        <f t="shared" si="24"/>
        <v xml:space="preserve"> Empty</v>
      </c>
      <c r="U237" t="s">
        <v>876</v>
      </c>
    </row>
    <row r="238" spans="15:21">
      <c r="O238" s="95" t="s">
        <v>678</v>
      </c>
      <c r="P238" s="95" t="s">
        <v>1185</v>
      </c>
      <c r="Q238" s="152" t="s">
        <v>5</v>
      </c>
      <c r="R238" s="96" t="str">
        <f t="shared" si="23"/>
        <v>External Reliability_OEE_Improvement_Entry</v>
      </c>
      <c r="S238" s="371">
        <f t="shared" si="28"/>
        <v>0</v>
      </c>
      <c r="T238" t="str">
        <f t="shared" si="24"/>
        <v xml:space="preserve"> Empty</v>
      </c>
      <c r="U238" t="s">
        <v>876</v>
      </c>
    </row>
    <row r="239" spans="15:21">
      <c r="O239" s="95" t="s">
        <v>678</v>
      </c>
      <c r="P239" s="95" t="s">
        <v>1185</v>
      </c>
      <c r="Q239" s="152" t="s">
        <v>11</v>
      </c>
      <c r="R239" s="96" t="str">
        <f t="shared" si="23"/>
        <v>Other Reliability_OEE_Improvement_Entry</v>
      </c>
      <c r="S239" s="371">
        <f t="shared" si="28"/>
        <v>0</v>
      </c>
      <c r="T239" t="str">
        <f t="shared" si="24"/>
        <v xml:space="preserve"> Empty</v>
      </c>
      <c r="U239" t="s">
        <v>876</v>
      </c>
    </row>
    <row r="240" spans="15:21">
      <c r="O240" s="95" t="s">
        <v>678</v>
      </c>
      <c r="P240" s="95" t="s">
        <v>1185</v>
      </c>
      <c r="Q240" s="152" t="s">
        <v>15</v>
      </c>
      <c r="R240" s="96" t="str">
        <f t="shared" si="23"/>
        <v>Unspecified_OEE_Improvement_Entry</v>
      </c>
      <c r="S240" s="371">
        <f t="shared" si="28"/>
        <v>0</v>
      </c>
      <c r="T240" t="str">
        <f t="shared" si="24"/>
        <v xml:space="preserve"> Empty</v>
      </c>
      <c r="U240" t="s">
        <v>876</v>
      </c>
    </row>
    <row r="241" spans="15:21">
      <c r="O241" s="95" t="s">
        <v>678</v>
      </c>
      <c r="P241" s="95" t="s">
        <v>1185</v>
      </c>
      <c r="Q241" s="152" t="s">
        <v>16</v>
      </c>
      <c r="R241" s="96" t="str">
        <f t="shared" si="23"/>
        <v>Undetected_OEE_Improvement_Entry</v>
      </c>
      <c r="S241" s="371">
        <f t="shared" si="28"/>
        <v>0</v>
      </c>
      <c r="T241" t="str">
        <f t="shared" si="24"/>
        <v xml:space="preserve"> Empty</v>
      </c>
      <c r="U241" t="s">
        <v>876</v>
      </c>
    </row>
    <row r="242" spans="15:21">
      <c r="O242" s="95" t="s">
        <v>678</v>
      </c>
      <c r="P242" s="95" t="s">
        <v>1185</v>
      </c>
      <c r="Q242" s="152" t="s">
        <v>664</v>
      </c>
      <c r="R242" s="96" t="str">
        <f t="shared" si="23"/>
        <v>Exception hours_OEE_Improvement_Entry</v>
      </c>
      <c r="S242" s="371">
        <f t="shared" si="28"/>
        <v>0</v>
      </c>
      <c r="T242" t="str">
        <f t="shared" si="24"/>
        <v xml:space="preserve"> Empty</v>
      </c>
      <c r="U242" t="s">
        <v>876</v>
      </c>
    </row>
    <row r="243" spans="15:21">
      <c r="O243" s="95" t="s">
        <v>678</v>
      </c>
      <c r="P243" s="95" t="s">
        <v>1185</v>
      </c>
      <c r="Q243" s="152" t="s">
        <v>703</v>
      </c>
      <c r="R243" s="96" t="str">
        <f t="shared" si="23"/>
        <v>Extra loss hours in baseline due to MAC change_OEE_Improvement_Entry</v>
      </c>
      <c r="S243" s="371">
        <f t="shared" si="28"/>
        <v>0</v>
      </c>
      <c r="T243" t="str">
        <f t="shared" si="24"/>
        <v xml:space="preserve"> Empty</v>
      </c>
      <c r="U243" t="s">
        <v>876</v>
      </c>
    </row>
    <row r="244" spans="15:21">
      <c r="O244" s="95" t="s">
        <v>678</v>
      </c>
      <c r="P244" s="95" t="s">
        <v>1185</v>
      </c>
      <c r="Q244" s="152" t="s">
        <v>705</v>
      </c>
      <c r="R244" s="96" t="str">
        <f t="shared" si="23"/>
        <v>Improvement target not assigned_OEE_Improvement_Entry</v>
      </c>
      <c r="S244" s="371">
        <f t="shared" si="28"/>
        <v>0</v>
      </c>
      <c r="T244" t="str">
        <f t="shared" si="24"/>
        <v xml:space="preserve"> Empty</v>
      </c>
      <c r="U244" t="s">
        <v>876</v>
      </c>
    </row>
    <row r="245" spans="15:21">
      <c r="O245" s="95" t="s">
        <v>678</v>
      </c>
      <c r="P245" s="95" t="s">
        <v>1185</v>
      </c>
      <c r="Q245" s="152" t="s">
        <v>397</v>
      </c>
      <c r="R245" s="96" t="str">
        <f t="shared" si="23"/>
        <v>Sum OEE losses (exluding Planned Maintenance)_OEE_Improvement_Entry</v>
      </c>
      <c r="S245" s="371">
        <f t="shared" si="28"/>
        <v>0</v>
      </c>
      <c r="T245" t="str">
        <f t="shared" si="24"/>
        <v xml:space="preserve"> Empty</v>
      </c>
      <c r="U245" t="s">
        <v>876</v>
      </c>
    </row>
    <row r="246" spans="15:21">
      <c r="O246" s="95" t="s">
        <v>678</v>
      </c>
      <c r="P246" s="95" t="s">
        <v>1185</v>
      </c>
      <c r="Q246" s="152" t="s">
        <v>398</v>
      </c>
      <c r="R246" s="96" t="str">
        <f t="shared" si="23"/>
        <v>Sum OEE losses (Including Planned Maintenance)_OEE_Improvement_Entry</v>
      </c>
      <c r="S246" s="371">
        <f t="shared" si="28"/>
        <v>0</v>
      </c>
      <c r="T246" t="str">
        <f t="shared" si="24"/>
        <v xml:space="preserve"> Empty</v>
      </c>
      <c r="U246" t="s">
        <v>876</v>
      </c>
    </row>
    <row r="247" spans="15:21">
      <c r="O247" s="95" t="s">
        <v>678</v>
      </c>
      <c r="P247" s="95" t="s">
        <v>1185</v>
      </c>
      <c r="Q247" s="152" t="s">
        <v>712</v>
      </c>
      <c r="R247" s="96" t="str">
        <f t="shared" si="23"/>
        <v>Production hours on MAC (h) / OEE (%)_OEE_Improvement_Entry</v>
      </c>
      <c r="S247" s="371">
        <f t="shared" si="28"/>
        <v>0</v>
      </c>
      <c r="T247" t="str">
        <f t="shared" si="24"/>
        <v xml:space="preserve"> Empty</v>
      </c>
      <c r="U247" t="s">
        <v>876</v>
      </c>
    </row>
    <row r="248" spans="15:21">
      <c r="O248" s="95" t="s">
        <v>1192</v>
      </c>
      <c r="Q248" s="144" t="s">
        <v>1191</v>
      </c>
      <c r="R248" s="96" t="str">
        <f t="shared" si="23"/>
        <v>Sheet used for target setting</v>
      </c>
      <c r="S248" s="1" t="s">
        <v>1190</v>
      </c>
      <c r="T248" t="str">
        <f t="shared" si="24"/>
        <v xml:space="preserve"> Empty</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B23:C23"/>
    <mergeCell ref="D23:E23"/>
    <mergeCell ref="E12:I21"/>
    <mergeCell ref="I23:J23"/>
    <mergeCell ref="G23:H23"/>
  </mergeCells>
  <phoneticPr fontId="5" type="noConversion"/>
  <conditionalFormatting sqref="A22">
    <cfRule type="expression" priority="46">
      <formula>$B$22&gt;1%</formula>
    </cfRule>
    <cfRule type="expression" dxfId="448" priority="47">
      <formula>$B$22=""</formula>
    </cfRule>
  </conditionalFormatting>
  <conditionalFormatting sqref="B6">
    <cfRule type="cellIs" dxfId="447" priority="43" operator="lessThan">
      <formula>-0.1</formula>
    </cfRule>
    <cfRule type="cellIs" dxfId="446" priority="44" operator="greaterThan">
      <formula>0.1</formula>
    </cfRule>
    <cfRule type="cellIs" dxfId="445" priority="45" operator="between">
      <formula>-0.1</formula>
      <formula>0.1</formula>
    </cfRule>
  </conditionalFormatting>
  <conditionalFormatting sqref="C21">
    <cfRule type="cellIs" dxfId="444" priority="37" operator="lessThan">
      <formula>-0.1</formula>
    </cfRule>
    <cfRule type="cellIs" dxfId="443" priority="38" operator="greaterThan">
      <formula>0.1</formula>
    </cfRule>
    <cfRule type="cellIs" dxfId="442" priority="42" operator="between">
      <formula>-0.1</formula>
      <formula>0.1</formula>
    </cfRule>
  </conditionalFormatting>
  <conditionalFormatting sqref="A9:B9">
    <cfRule type="expression" dxfId="441" priority="24">
      <formula>$B$8="Exclude"</formula>
    </cfRule>
    <cfRule type="expression" dxfId="440" priority="25">
      <formula>$B$8="Include"</formula>
    </cfRule>
  </conditionalFormatting>
  <conditionalFormatting sqref="C9">
    <cfRule type="expression" dxfId="439" priority="48">
      <formula>$B$8="Exclude"</formula>
    </cfRule>
    <cfRule type="expression" dxfId="438" priority="49">
      <formula>$B$9="No"</formula>
    </cfRule>
    <cfRule type="expression" dxfId="437" priority="95">
      <formula xml:space="preserve"> $B$9="Yes"</formula>
    </cfRule>
  </conditionalFormatting>
  <conditionalFormatting sqref="C15">
    <cfRule type="expression" dxfId="436" priority="96">
      <formula>$B$15=$D$15</formula>
    </cfRule>
    <cfRule type="expression" dxfId="435" priority="97">
      <formula>$B$1&lt;&gt;$D$15</formula>
    </cfRule>
  </conditionalFormatting>
  <conditionalFormatting sqref="F50:F51">
    <cfRule type="cellIs" dxfId="434" priority="22" operator="greaterThan">
      <formula>1</formula>
    </cfRule>
    <cfRule type="cellIs" dxfId="433" priority="23" operator="lessThanOrEqual">
      <formula>1</formula>
    </cfRule>
  </conditionalFormatting>
  <conditionalFormatting sqref="D17">
    <cfRule type="expression" dxfId="432" priority="20">
      <formula>$D$20=""</formula>
    </cfRule>
    <cfRule type="expression" dxfId="431" priority="21">
      <formula>$D$20&gt;0</formula>
    </cfRule>
  </conditionalFormatting>
  <conditionalFormatting sqref="D19">
    <cfRule type="expression" dxfId="430" priority="18">
      <formula>$D$20=""</formula>
    </cfRule>
    <cfRule type="expression" dxfId="429" priority="19">
      <formula>$D$20&gt;0</formula>
    </cfRule>
  </conditionalFormatting>
  <conditionalFormatting sqref="C10">
    <cfRule type="expression" dxfId="428" priority="5">
      <formula>$B$8="Exclude"</formula>
    </cfRule>
    <cfRule type="expression" dxfId="427" priority="6">
      <formula>$B$9="No"</formula>
    </cfRule>
    <cfRule type="expression" dxfId="426" priority="15">
      <formula>$B$10="No Gain"</formula>
    </cfRule>
    <cfRule type="expression" dxfId="425" priority="16">
      <formula xml:space="preserve"> $B$9="Yes"</formula>
    </cfRule>
    <cfRule type="expression" dxfId="424" priority="17">
      <formula>$B$10="Gain"</formula>
    </cfRule>
  </conditionalFormatting>
  <conditionalFormatting sqref="H31:H39">
    <cfRule type="expression" dxfId="423" priority="107">
      <formula>$F$24="% decrease"</formula>
    </cfRule>
  </conditionalFormatting>
  <conditionalFormatting sqref="H32 H34 H36 H38">
    <cfRule type="expression" dxfId="422" priority="108">
      <formula>$F$24="hours decrease"</formula>
    </cfRule>
  </conditionalFormatting>
  <conditionalFormatting sqref="G31:G39">
    <cfRule type="expression" dxfId="421" priority="114">
      <formula>$F$24="hours decrease"</formula>
    </cfRule>
  </conditionalFormatting>
  <conditionalFormatting sqref="G32 G34 G36 G38">
    <cfRule type="expression" dxfId="420" priority="115">
      <formula>$F$24="% decrease"</formula>
    </cfRule>
  </conditionalFormatting>
  <conditionalFormatting sqref="G40">
    <cfRule type="expression" dxfId="419" priority="4">
      <formula>$F$24="% decrease"</formula>
    </cfRule>
  </conditionalFormatting>
  <conditionalFormatting sqref="F31:F40">
    <cfRule type="expression" dxfId="418" priority="105">
      <formula>$F$24="% decrease"</formula>
    </cfRule>
    <cfRule type="expression" dxfId="417" priority="106">
      <formula>$F$24="hours decrease"</formula>
    </cfRule>
  </conditionalFormatting>
  <conditionalFormatting sqref="C4:C5">
    <cfRule type="expression" dxfId="416" priority="2">
      <formula>$C$5=""</formula>
    </cfRule>
    <cfRule type="expression" dxfId="415" priority="3">
      <formula>$C$5&gt;0</formula>
    </cfRule>
    <cfRule type="expression" dxfId="414" priority="1">
      <formula>$C$5=0</formula>
    </cfRule>
  </conditionalFormatting>
  <dataValidations count="6">
    <dataValidation type="list" allowBlank="1" showInputMessage="1" showErrorMessage="1" sqref="B2" xr:uid="{E3705114-8C64-45B9-94E1-BA63D391A96B}">
      <formula1>UnitList</formula1>
    </dataValidation>
    <dataValidation type="list" allowBlank="1" showInputMessage="1" showErrorMessage="1" sqref="B11" xr:uid="{C8B5033E-2AEE-4A83-B744-79FADA99C229}">
      <formula1>"Playbook Matrix value, Manual OEE target"</formula1>
    </dataValidation>
    <dataValidation type="list" allowBlank="1" showInputMessage="1" showErrorMessage="1" sqref="B9" xr:uid="{4BA52A94-22A6-4CCE-8279-FBE17D5D0ED9}">
      <formula1>"Yes,No"</formula1>
    </dataValidation>
    <dataValidation type="list" allowBlank="1" showInputMessage="1" showErrorMessage="1" sqref="B8" xr:uid="{0ADC5388-BE6E-4BCB-A7EE-F56D389F0A55}">
      <formula1>"Include,Exclude"</formula1>
    </dataValidation>
    <dataValidation type="list" allowBlank="1" showInputMessage="1" showErrorMessage="1" sqref="F24" xr:uid="{A40F80BE-DC03-493D-9C9B-3298FF1953BC}">
      <formula1>"% decrease,hours decrease"</formula1>
    </dataValidation>
    <dataValidation type="list" allowBlank="1" showInputMessage="1" showErrorMessage="1" sqref="B60" xr:uid="{FF5CA99B-6851-49C8-B0ED-5B58AD3B9963}">
      <formula1>"Automatic, Force OEE, Force Running OEE"</formula1>
    </dataValidation>
  </dataValidations>
  <pageMargins left="0.7" right="0.7" top="0.75" bottom="0.75" header="0.3" footer="0.3"/>
  <pageSetup paperSize="9" orientation="portrait" r:id="rId1"/>
  <ignoredErrors>
    <ignoredError sqref="G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8939" r:id="rId4" name="Button 27">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38944" r:id="rId5" name="Button 3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38947" r:id="rId6" name="Button 35">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38969" r:id="rId7" name="Button 57">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08CB-3885-4727-BC45-7B66C996A249}">
  <sheetPr codeName="Sheet4">
    <tabColor rgb="FF92D050"/>
  </sheetPr>
  <dimension ref="A1:AI248"/>
  <sheetViews>
    <sheetView showGridLines="0" zoomScaleNormal="100" workbookViewId="0">
      <selection activeCell="C3" sqref="C3"/>
    </sheetView>
  </sheetViews>
  <sheetFormatPr defaultRowHeight="12.75"/>
  <cols>
    <col min="1" max="1" width="48.5703125" bestFit="1" customWidth="1"/>
    <col min="2" max="10" width="23.710937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11.57031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c r="E2" s="314" t="s">
        <v>303</v>
      </c>
      <c r="G2" s="37" t="s">
        <v>670</v>
      </c>
      <c r="H2" s="40">
        <v>5.3</v>
      </c>
      <c r="O2" s="94" t="s">
        <v>679</v>
      </c>
      <c r="P2" s="94"/>
      <c r="Q2" s="145" t="s">
        <v>670</v>
      </c>
      <c r="R2" s="96" t="str">
        <f t="shared" ref="R2:R65" si="0">IF(ISBLANK(P2),Q2,_xlfn.CONCAT(Q2,"_",P2))</f>
        <v>Template Version:</v>
      </c>
      <c r="S2" s="261">
        <f>H2</f>
        <v>5.3</v>
      </c>
      <c r="T2">
        <f>$B$2</f>
        <v>0</v>
      </c>
      <c r="U2" t="s">
        <v>874</v>
      </c>
    </row>
    <row r="3" spans="1:21">
      <c r="A3" s="30" t="s">
        <v>139</v>
      </c>
      <c r="B3" s="238" t="s">
        <v>117</v>
      </c>
      <c r="E3" s="315" t="s">
        <v>305</v>
      </c>
      <c r="G3" s="37" t="s">
        <v>701</v>
      </c>
      <c r="H3" s="92">
        <v>45679</v>
      </c>
      <c r="O3" s="94" t="s">
        <v>679</v>
      </c>
      <c r="P3" s="94"/>
      <c r="Q3" s="145" t="s">
        <v>701</v>
      </c>
      <c r="R3" s="96" t="str">
        <f t="shared" si="0"/>
        <v>Template last update:</v>
      </c>
      <c r="S3" s="262">
        <f>H3</f>
        <v>45679</v>
      </c>
      <c r="T3">
        <f t="shared" ref="T3:T66" si="1">$B$2</f>
        <v>0</v>
      </c>
      <c r="U3" t="s">
        <v>874</v>
      </c>
    </row>
    <row r="4" spans="1:21">
      <c r="C4" s="54" t="s">
        <v>664</v>
      </c>
      <c r="E4" s="316" t="s">
        <v>411</v>
      </c>
      <c r="G4" s="37"/>
      <c r="H4" s="93"/>
      <c r="O4" s="94" t="s">
        <v>679</v>
      </c>
      <c r="P4" s="94"/>
      <c r="Q4" s="145" t="s">
        <v>671</v>
      </c>
      <c r="R4" s="96" t="str">
        <f t="shared" si="0"/>
        <v>Reference data last update:</v>
      </c>
      <c r="S4" s="263">
        <f>H4</f>
        <v>0</v>
      </c>
      <c r="T4">
        <f t="shared" si="1"/>
        <v>0</v>
      </c>
      <c r="U4" t="s">
        <v>874</v>
      </c>
    </row>
    <row r="5" spans="1:21">
      <c r="A5" s="34" t="s">
        <v>733</v>
      </c>
      <c r="B5" s="42">
        <v>0</v>
      </c>
      <c r="C5" t="str">
        <f>IFERROR(INDEX(Table1[Loss Hours Exclusion],MATCH(B2,Table1[Unit3],0)),"")</f>
        <v/>
      </c>
      <c r="E5" s="317" t="s">
        <v>637</v>
      </c>
      <c r="G5" s="37"/>
      <c r="H5" s="41"/>
      <c r="O5" s="95" t="s">
        <v>674</v>
      </c>
      <c r="P5" s="95"/>
      <c r="Q5" s="146" t="s">
        <v>604</v>
      </c>
      <c r="R5" s="96" t="str">
        <f t="shared" si="0"/>
        <v>Unit Name</v>
      </c>
      <c r="S5" s="264">
        <f>B2</f>
        <v>0</v>
      </c>
      <c r="T5">
        <f t="shared" si="1"/>
        <v>0</v>
      </c>
      <c r="U5" t="s">
        <v>875</v>
      </c>
    </row>
    <row r="6" spans="1:21">
      <c r="A6" s="34" t="s">
        <v>735</v>
      </c>
      <c r="B6" s="219">
        <v>0</v>
      </c>
      <c r="C6" s="270">
        <f>SUMIF(B31:B39,"&gt;0",B31:B39)</f>
        <v>0</v>
      </c>
      <c r="D6" s="270">
        <f>SUMIF(B31:B39,"&lt;0",B31:B39)</f>
        <v>0</v>
      </c>
      <c r="E6" s="318" t="s">
        <v>1032</v>
      </c>
      <c r="G6" s="37"/>
      <c r="H6" s="41"/>
      <c r="O6" s="95" t="s">
        <v>674</v>
      </c>
      <c r="P6" s="95"/>
      <c r="Q6" s="146" t="s">
        <v>139</v>
      </c>
      <c r="R6" s="96" t="str">
        <f t="shared" si="0"/>
        <v>Unit Type</v>
      </c>
      <c r="S6" s="264" t="str">
        <f t="shared" ref="S6" si="2">B3</f>
        <v>Batch</v>
      </c>
      <c r="T6">
        <f t="shared" si="1"/>
        <v>0</v>
      </c>
      <c r="U6" t="s">
        <v>875</v>
      </c>
    </row>
    <row r="7" spans="1:21">
      <c r="A7" t="s">
        <v>702</v>
      </c>
      <c r="B7" s="219">
        <v>0</v>
      </c>
      <c r="C7" s="121">
        <f>IF(B8="Include",B45*B7/(1+B7),0)</f>
        <v>0</v>
      </c>
      <c r="D7" s="59">
        <f>IFERROR(C6/(C6-D6),0)</f>
        <v>0</v>
      </c>
      <c r="E7" s="319" t="s">
        <v>1033</v>
      </c>
      <c r="G7" s="271" t="str">
        <f ca="1">IF(ISREF(INDIRECT("'"&amp;B2&amp;"'"&amp;"!A1")),"Already separate sheet present for this unit","")</f>
        <v/>
      </c>
      <c r="H7" s="41"/>
      <c r="O7" s="95" t="s">
        <v>674</v>
      </c>
      <c r="P7" s="95"/>
      <c r="Q7" s="223" t="s">
        <v>733</v>
      </c>
      <c r="R7" s="96" t="str">
        <f t="shared" si="0"/>
        <v>Exception hours Last Year for baseline correction</v>
      </c>
      <c r="S7" s="264">
        <f>B5</f>
        <v>0</v>
      </c>
      <c r="T7">
        <f t="shared" si="1"/>
        <v>0</v>
      </c>
      <c r="U7" t="s">
        <v>875</v>
      </c>
    </row>
    <row r="8" spans="1:21">
      <c r="A8" t="s">
        <v>710</v>
      </c>
      <c r="B8" s="119" t="s">
        <v>1189</v>
      </c>
      <c r="E8" s="320" t="s">
        <v>1034</v>
      </c>
      <c r="O8" s="95" t="s">
        <v>674</v>
      </c>
      <c r="P8" s="95"/>
      <c r="Q8" s="223" t="s">
        <v>735</v>
      </c>
      <c r="R8" s="96" t="str">
        <f t="shared" si="0"/>
        <v>Estimated production volume growth vs Last Year</v>
      </c>
      <c r="S8" s="264">
        <f t="shared" ref="S8:S17" si="3">B6</f>
        <v>0</v>
      </c>
      <c r="T8">
        <f t="shared" si="1"/>
        <v>0</v>
      </c>
      <c r="U8" t="s">
        <v>875</v>
      </c>
    </row>
    <row r="9" spans="1:21">
      <c r="A9" t="s">
        <v>714</v>
      </c>
      <c r="B9" s="119" t="s">
        <v>385</v>
      </c>
      <c r="C9" s="120" t="s">
        <v>709</v>
      </c>
      <c r="E9" s="188" t="s">
        <v>734</v>
      </c>
      <c r="O9" s="95" t="s">
        <v>674</v>
      </c>
      <c r="P9" s="95"/>
      <c r="Q9" s="222" t="s">
        <v>702</v>
      </c>
      <c r="R9" s="96" t="str">
        <f t="shared" si="0"/>
        <v>MAC increase vs average MAC Last Year (Normalized)</v>
      </c>
      <c r="S9" s="264">
        <f t="shared" si="3"/>
        <v>0</v>
      </c>
      <c r="T9">
        <f t="shared" si="1"/>
        <v>0</v>
      </c>
      <c r="U9" t="s">
        <v>875</v>
      </c>
    </row>
    <row r="10" spans="1:21">
      <c r="A10" s="141" t="s">
        <v>718</v>
      </c>
      <c r="B10" s="59" t="str">
        <f>IF(MIN(C31:C39)&lt;-1%,"Gain","No Gain")</f>
        <v>No Gain</v>
      </c>
      <c r="C10" s="120" t="s">
        <v>717</v>
      </c>
      <c r="G10" s="3"/>
      <c r="H10" s="3"/>
      <c r="O10" s="95" t="s">
        <v>674</v>
      </c>
      <c r="P10" s="95"/>
      <c r="Q10" s="222" t="s">
        <v>710</v>
      </c>
      <c r="R10" s="96" t="str">
        <f t="shared" si="0"/>
        <v>Include/exclude MAC change impact on target setting</v>
      </c>
      <c r="S10" s="264" t="str">
        <f t="shared" si="3"/>
        <v>Exclude</v>
      </c>
      <c r="T10">
        <f t="shared" si="1"/>
        <v>0</v>
      </c>
      <c r="U10" t="s">
        <v>875</v>
      </c>
    </row>
    <row r="11" spans="1:21" ht="13.5" thickBot="1">
      <c r="A11" s="30" t="s">
        <v>140</v>
      </c>
      <c r="B11" s="38" t="s">
        <v>1169</v>
      </c>
      <c r="C11" s="3"/>
      <c r="E11" s="49" t="s">
        <v>318</v>
      </c>
      <c r="F11" s="3"/>
      <c r="G11" s="3"/>
      <c r="H11" s="3"/>
      <c r="O11" s="95" t="s">
        <v>674</v>
      </c>
      <c r="P11" s="95"/>
      <c r="Q11" s="222" t="s">
        <v>714</v>
      </c>
      <c r="R11" s="96" t="str">
        <f t="shared" si="0"/>
        <v>Correct Basline loss distibution for MAC improvement</v>
      </c>
      <c r="S11" s="264" t="str">
        <f t="shared" si="3"/>
        <v>No</v>
      </c>
      <c r="T11">
        <f t="shared" si="1"/>
        <v>0</v>
      </c>
      <c r="U11" t="s">
        <v>875</v>
      </c>
    </row>
    <row r="12" spans="1:21">
      <c r="A12" s="30" t="s">
        <v>1016</v>
      </c>
      <c r="B12" s="5">
        <f>IF($B$3="Batch",INDEX(BatchMatrix[Target Improvement],MATCH(E48,BatchMatrix[Min OEE],1)),IF($B$3="Continuous",INDEX(ContinousMatrix[Target Improvement],MATCH(E48,ContinousMatrix[Min OEE],1)),""))</f>
        <v>0.01</v>
      </c>
      <c r="C12" s="3"/>
      <c r="E12" s="387"/>
      <c r="F12" s="388"/>
      <c r="G12" s="388"/>
      <c r="H12" s="388"/>
      <c r="I12" s="389"/>
      <c r="O12" s="95" t="s">
        <v>674</v>
      </c>
      <c r="P12" s="95"/>
      <c r="Q12" s="222" t="s">
        <v>718</v>
      </c>
      <c r="R12" s="96" t="str">
        <f t="shared" si="0"/>
        <v>Running OEE LY &gt;100%</v>
      </c>
      <c r="S12" s="264" t="str">
        <f t="shared" si="3"/>
        <v>No Gain</v>
      </c>
      <c r="T12">
        <f t="shared" si="1"/>
        <v>0</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f t="shared" si="1"/>
        <v>0</v>
      </c>
      <c r="U13" t="s">
        <v>875</v>
      </c>
    </row>
    <row r="14" spans="1:21">
      <c r="A14" s="33" t="s">
        <v>309</v>
      </c>
      <c r="B14" s="36">
        <f>IF(B11="Manual OEE target",B13,IF(B11="Playbook Matrix value",B12,""))</f>
        <v>0.01</v>
      </c>
      <c r="C14" s="3"/>
      <c r="E14" s="390"/>
      <c r="F14" s="391"/>
      <c r="G14" s="391"/>
      <c r="H14" s="391"/>
      <c r="I14" s="392"/>
      <c r="O14" s="95" t="s">
        <v>674</v>
      </c>
      <c r="P14" s="95"/>
      <c r="Q14" s="224" t="s">
        <v>1292</v>
      </c>
      <c r="R14" s="96" t="str">
        <f t="shared" si="0"/>
        <v>Target OEE Improvement (playbook)</v>
      </c>
      <c r="S14" s="264">
        <f t="shared" si="3"/>
        <v>0.01</v>
      </c>
      <c r="T14">
        <f t="shared" si="1"/>
        <v>0</v>
      </c>
      <c r="U14" t="s">
        <v>875</v>
      </c>
    </row>
    <row r="15" spans="1:21">
      <c r="A15" s="33" t="s">
        <v>667</v>
      </c>
      <c r="B15" s="278" t="str">
        <f>IF(B60="Automatic",IF(OR(ABS(C21)&gt;RunningOEE_criteriaPM,ABS($B$6)&gt;RunningOEE_criteriaVolume),"Running OEE", "OEE"),IF(B60="Force Running OEE","Running OEE", "OEE"))</f>
        <v>OEE</v>
      </c>
      <c r="C15" s="140" t="str">
        <f>IF(D15="Running OEE","Advice: switch to Running OEE",IF(D15="OEE", "Advice: switch to OEE",""))</f>
        <v>Advice: switch to OEE</v>
      </c>
      <c r="D15" s="59" t="str">
        <f>IF(OR(ABS(C21)&gt;RunningOEE_criteriaPM,ABS($B$6)&gt;RunningOEE_criteriaVolume),"Running OEE", "OEE")</f>
        <v>OEE</v>
      </c>
      <c r="E15" s="390"/>
      <c r="F15" s="391"/>
      <c r="G15" s="391"/>
      <c r="H15" s="391"/>
      <c r="I15" s="392"/>
      <c r="O15" s="95" t="s">
        <v>674</v>
      </c>
      <c r="P15" s="95"/>
      <c r="Q15" s="224" t="s">
        <v>308</v>
      </c>
      <c r="R15" s="96" t="str">
        <f t="shared" si="0"/>
        <v>Manual OEE target setting</v>
      </c>
      <c r="S15" s="264">
        <f>B13</f>
        <v>0</v>
      </c>
      <c r="T15">
        <f t="shared" si="1"/>
        <v>0</v>
      </c>
      <c r="U15" t="s">
        <v>875</v>
      </c>
    </row>
    <row r="16" spans="1:21">
      <c r="E16" s="390"/>
      <c r="F16" s="391"/>
      <c r="G16" s="391"/>
      <c r="H16" s="391"/>
      <c r="I16" s="392"/>
      <c r="O16" s="95" t="s">
        <v>674</v>
      </c>
      <c r="P16" s="95"/>
      <c r="Q16" s="225" t="s">
        <v>309</v>
      </c>
      <c r="R16" s="96" t="str">
        <f t="shared" si="0"/>
        <v>Selected OEE target (used in table below)</v>
      </c>
      <c r="S16" s="264">
        <f t="shared" si="3"/>
        <v>0.01</v>
      </c>
      <c r="T16">
        <f t="shared" si="1"/>
        <v>0</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OEE</v>
      </c>
      <c r="T17">
        <f t="shared" si="1"/>
        <v>0</v>
      </c>
      <c r="U17" t="s">
        <v>875</v>
      </c>
    </row>
    <row r="18" spans="1:21">
      <c r="A18" s="44" t="s">
        <v>374</v>
      </c>
      <c r="B18" s="50"/>
      <c r="C18" s="42"/>
      <c r="D18" s="1" t="str">
        <f>IFERROR(INDEX(Table13[Distributed Turnaround (hrs) matching?],MATCH(B2,Table13[ 2025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f t="shared" si="1"/>
        <v>0</v>
      </c>
      <c r="U18" t="s">
        <v>877</v>
      </c>
    </row>
    <row r="19" spans="1:21">
      <c r="A19" s="45" t="s">
        <v>375</v>
      </c>
      <c r="B19" s="217"/>
      <c r="C19" s="218"/>
      <c r="D19" s="259" t="str">
        <f>IFERROR(INDEX(Table12[Distributed Shutdown (hrs) matching?],MATCH(B2,Table12[ 2025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0</v>
      </c>
      <c r="T19">
        <f t="shared" si="1"/>
        <v>0</v>
      </c>
      <c r="U19" t="s">
        <v>877</v>
      </c>
    </row>
    <row r="20" spans="1:21">
      <c r="A20" s="30" t="s">
        <v>716</v>
      </c>
      <c r="B20" s="7">
        <f>B18+B19</f>
        <v>0</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0</v>
      </c>
      <c r="T20">
        <f t="shared" si="1"/>
        <v>0</v>
      </c>
      <c r="U20" t="s">
        <v>877</v>
      </c>
    </row>
    <row r="21" spans="1:21" ht="13.5" thickBot="1">
      <c r="A21" s="43" t="s">
        <v>715</v>
      </c>
      <c r="B21" s="7">
        <f>C20-B20</f>
        <v>0</v>
      </c>
      <c r="C21" s="5">
        <f>IF(B20&gt;0,C20/B20-1,0)</f>
        <v>0</v>
      </c>
      <c r="E21" s="393"/>
      <c r="F21" s="394"/>
      <c r="G21" s="394"/>
      <c r="H21" s="394"/>
      <c r="I21" s="395"/>
      <c r="O21" s="95" t="s">
        <v>674</v>
      </c>
      <c r="P21" s="95" t="s">
        <v>879</v>
      </c>
      <c r="Q21" s="147" t="s">
        <v>715</v>
      </c>
      <c r="R21" s="96" t="str">
        <f t="shared" si="0"/>
        <v>Planned Maintenance Increase_Actual_LJ</v>
      </c>
      <c r="S21" s="265">
        <f>B21</f>
        <v>0</v>
      </c>
      <c r="T21">
        <f t="shared" si="1"/>
        <v>0</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f t="shared" si="1"/>
        <v>0</v>
      </c>
      <c r="U22" t="s">
        <v>877</v>
      </c>
    </row>
    <row r="23" spans="1:21" ht="13.5" customHeight="1" thickBot="1">
      <c r="B23" s="383" t="s">
        <v>1018</v>
      </c>
      <c r="C23" s="384"/>
      <c r="D23" s="385" t="s">
        <v>737</v>
      </c>
      <c r="E23" s="386"/>
      <c r="F23" s="280" t="s">
        <v>1027</v>
      </c>
      <c r="G23" s="398" t="s">
        <v>736</v>
      </c>
      <c r="H23" s="399"/>
      <c r="I23" s="396" t="s">
        <v>1012</v>
      </c>
      <c r="J23" s="397"/>
      <c r="O23" s="95" t="s">
        <v>675</v>
      </c>
      <c r="P23" s="95" t="s">
        <v>685</v>
      </c>
      <c r="Q23" s="148" t="s">
        <v>374</v>
      </c>
      <c r="R23" s="96" t="str">
        <f t="shared" si="0"/>
        <v>Planned Turnaround (h)_Target_NJ</v>
      </c>
      <c r="S23" s="265">
        <f>C18</f>
        <v>0</v>
      </c>
      <c r="T23">
        <f t="shared" si="1"/>
        <v>0</v>
      </c>
      <c r="U23" t="s">
        <v>877</v>
      </c>
    </row>
    <row r="24" spans="1:21">
      <c r="A24" s="191"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f t="shared" si="1"/>
        <v>0</v>
      </c>
      <c r="U24" t="s">
        <v>877</v>
      </c>
    </row>
    <row r="25" spans="1:21">
      <c r="A25" s="192" t="s">
        <v>13</v>
      </c>
      <c r="B25" s="189">
        <v>8760</v>
      </c>
      <c r="C25" s="107"/>
      <c r="D25" s="160">
        <f>B25</f>
        <v>8760</v>
      </c>
      <c r="E25" s="158"/>
      <c r="F25" s="281"/>
      <c r="G25" s="160"/>
      <c r="H25" s="108"/>
      <c r="I25" s="160">
        <v>8760</v>
      </c>
      <c r="J25" s="205"/>
      <c r="O25" s="95" t="s">
        <v>675</v>
      </c>
      <c r="P25" s="95" t="s">
        <v>685</v>
      </c>
      <c r="Q25" s="144" t="s">
        <v>716</v>
      </c>
      <c r="R25" s="96" t="str">
        <f t="shared" si="0"/>
        <v>Total Planned Maintenance (h)_Target_NJ</v>
      </c>
      <c r="S25" s="265">
        <f>C20</f>
        <v>0</v>
      </c>
      <c r="T25">
        <f t="shared" si="1"/>
        <v>0</v>
      </c>
      <c r="U25" t="s">
        <v>877</v>
      </c>
    </row>
    <row r="26" spans="1:21">
      <c r="A26" s="193" t="s">
        <v>7</v>
      </c>
      <c r="B26" s="190"/>
      <c r="C26" s="85"/>
      <c r="D26" s="161">
        <f>B26</f>
        <v>0</v>
      </c>
      <c r="E26" s="159"/>
      <c r="F26" s="282"/>
      <c r="G26" s="161">
        <f>IFERROR(-(I26-D26),"")</f>
        <v>-86.73267326732639</v>
      </c>
      <c r="H26" s="85"/>
      <c r="I26" s="161">
        <f>I25-I28</f>
        <v>86.73267326732639</v>
      </c>
      <c r="J26" s="206"/>
      <c r="O26" s="95" t="s">
        <v>675</v>
      </c>
      <c r="P26" s="95" t="s">
        <v>685</v>
      </c>
      <c r="Q26" s="147" t="s">
        <v>715</v>
      </c>
      <c r="R26" s="96" t="str">
        <f t="shared" si="0"/>
        <v>Planned Maintenance Increase_Target_NJ</v>
      </c>
      <c r="S26" s="264">
        <f>C21</f>
        <v>0</v>
      </c>
      <c r="T26">
        <f t="shared" si="1"/>
        <v>0</v>
      </c>
      <c r="U26" t="s">
        <v>877</v>
      </c>
    </row>
    <row r="27" spans="1:21" ht="13.5" thickBot="1">
      <c r="A27" s="194" t="s">
        <v>704</v>
      </c>
      <c r="B27" s="230"/>
      <c r="C27" s="231"/>
      <c r="D27" s="232">
        <f>B5</f>
        <v>0</v>
      </c>
      <c r="E27" s="233"/>
      <c r="F27" s="382" t="str">
        <f>IFERROR(IF(F24="hours decrease",G27,""),"")</f>
        <v/>
      </c>
      <c r="G27" s="230">
        <f>IFERROR(-(I27-D27),"")</f>
        <v>0</v>
      </c>
      <c r="H27" s="231"/>
      <c r="I27" s="230">
        <v>0</v>
      </c>
      <c r="J27" s="234"/>
      <c r="O27" s="95" t="s">
        <v>676</v>
      </c>
      <c r="P27" s="95"/>
      <c r="Q27" s="149" t="s">
        <v>318</v>
      </c>
      <c r="R27" s="96" t="str">
        <f t="shared" si="0"/>
        <v>Justification/Remarks</v>
      </c>
      <c r="S27" s="266">
        <f>E12</f>
        <v>0</v>
      </c>
      <c r="T27">
        <f t="shared" si="1"/>
        <v>0</v>
      </c>
      <c r="U27" t="s">
        <v>706</v>
      </c>
    </row>
    <row r="28" spans="1:21">
      <c r="A28" s="195" t="s">
        <v>14</v>
      </c>
      <c r="B28" s="109">
        <f>B25-B26</f>
        <v>8760</v>
      </c>
      <c r="C28" s="110">
        <f>IFERROR($B28/$B$28,)</f>
        <v>1</v>
      </c>
      <c r="D28" s="162">
        <f>D25-D26-D27</f>
        <v>8760</v>
      </c>
      <c r="E28" s="163">
        <v>1</v>
      </c>
      <c r="F28" s="284"/>
      <c r="G28" s="162">
        <f>D28-I28</f>
        <v>86.73267326732639</v>
      </c>
      <c r="H28" s="111"/>
      <c r="I28" s="162">
        <f>IFERROR(IF(B15="OEE",I45/F48,I30+I29),0)</f>
        <v>8673.2673267326736</v>
      </c>
      <c r="J28" s="207">
        <v>1</v>
      </c>
      <c r="O28" s="95" t="s">
        <v>674</v>
      </c>
      <c r="P28" s="95" t="s">
        <v>686</v>
      </c>
      <c r="Q28" s="150" t="s">
        <v>10</v>
      </c>
      <c r="R28" s="96" t="str">
        <f t="shared" si="0"/>
        <v>OEE_Actuals_LJ</v>
      </c>
      <c r="S28" s="264">
        <f>B48</f>
        <v>1</v>
      </c>
      <c r="T28">
        <f t="shared" si="1"/>
        <v>0</v>
      </c>
      <c r="U28" t="s">
        <v>141</v>
      </c>
    </row>
    <row r="29" spans="1:21" ht="13.5" thickBot="1">
      <c r="A29" s="196" t="s">
        <v>17</v>
      </c>
      <c r="B29" s="15">
        <f>B20</f>
        <v>0</v>
      </c>
      <c r="C29" s="16">
        <f>IFERROR($B29/$B$28,)</f>
        <v>0</v>
      </c>
      <c r="D29" s="164">
        <f>B29</f>
        <v>0</v>
      </c>
      <c r="E29" s="165">
        <f>D29/$D$28</f>
        <v>0</v>
      </c>
      <c r="F29" s="285"/>
      <c r="G29" s="164">
        <f>-(I29-D29)</f>
        <v>0</v>
      </c>
      <c r="H29" s="17">
        <f>IFERROR($C29-$J29,)</f>
        <v>0</v>
      </c>
      <c r="I29" s="164">
        <f>C20</f>
        <v>0</v>
      </c>
      <c r="J29" s="208">
        <f>IFERROR(I29/I28,)</f>
        <v>0</v>
      </c>
      <c r="O29" s="95" t="s">
        <v>674</v>
      </c>
      <c r="P29" s="95" t="s">
        <v>686</v>
      </c>
      <c r="Q29" s="150" t="s">
        <v>666</v>
      </c>
      <c r="R29" s="96" t="str">
        <f t="shared" si="0"/>
        <v>Running OEE_Actuals_LJ</v>
      </c>
      <c r="S29" s="264">
        <f t="shared" ref="S29:S31" si="4">B49</f>
        <v>1</v>
      </c>
      <c r="T29">
        <f t="shared" si="1"/>
        <v>0</v>
      </c>
      <c r="U29" t="s">
        <v>141</v>
      </c>
    </row>
    <row r="30" spans="1:21">
      <c r="A30" s="195" t="s">
        <v>665</v>
      </c>
      <c r="B30" s="109">
        <f>B28-B29</f>
        <v>8760</v>
      </c>
      <c r="C30" s="110">
        <f>B30/B28</f>
        <v>1</v>
      </c>
      <c r="D30" s="162">
        <f>D28-D29</f>
        <v>8760</v>
      </c>
      <c r="E30" s="163">
        <f>D30/D28</f>
        <v>1</v>
      </c>
      <c r="F30" s="284"/>
      <c r="G30" s="162">
        <f>D30-I30</f>
        <v>86.73267326732639</v>
      </c>
      <c r="H30" s="111"/>
      <c r="I30" s="162">
        <f>IF(B15="OEE",I28-I29,I45/F49)</f>
        <v>8673.2673267326736</v>
      </c>
      <c r="J30" s="209"/>
      <c r="O30" s="95" t="s">
        <v>674</v>
      </c>
      <c r="P30" s="95" t="s">
        <v>686</v>
      </c>
      <c r="Q30" s="150" t="s">
        <v>8</v>
      </c>
      <c r="R30" s="96" t="str">
        <f t="shared" si="0"/>
        <v>Utilization_Actuals_LJ</v>
      </c>
      <c r="S30" s="264">
        <f t="shared" si="4"/>
        <v>1</v>
      </c>
      <c r="T30">
        <f t="shared" si="1"/>
        <v>0</v>
      </c>
      <c r="U30" t="s">
        <v>141</v>
      </c>
    </row>
    <row r="31" spans="1:21">
      <c r="A31" s="197" t="s">
        <v>18</v>
      </c>
      <c r="B31" s="190"/>
      <c r="C31" s="167">
        <f t="shared" ref="C31:C39" si="5">IFERROR($B31/$B$28,)</f>
        <v>0</v>
      </c>
      <c r="D31" s="166">
        <f>IFERROR(IF($B$8="Exclude",B31,IF($B$9="No",B31,IF(B31&lt;0,B31+$C$7*(1-$D$7)*B31/$D$6,B31+(($C$7*$D$7)*B31/$C$6)))),0)</f>
        <v>0</v>
      </c>
      <c r="E31" s="167">
        <f>D31/$D$28</f>
        <v>0</v>
      </c>
      <c r="F31" s="325"/>
      <c r="G31" s="300">
        <f>IF($F$24="% decrease",D31-I31,F31)</f>
        <v>0</v>
      </c>
      <c r="H31" s="301">
        <f t="shared" ref="H31:H39" si="6">IF($F$24="% decrease",$F31,$E31-$J31)</f>
        <v>0</v>
      </c>
      <c r="I31" s="166">
        <f>IF($F$24="% decrease",J31*$I$28,$D31-$G31)</f>
        <v>0</v>
      </c>
      <c r="J31" s="210">
        <f t="shared" ref="J31:J39" si="7">IF($F$24="% decrease",$E31-$H31,I31/I$28)</f>
        <v>0</v>
      </c>
      <c r="O31" s="95" t="s">
        <v>674</v>
      </c>
      <c r="P31" s="95" t="s">
        <v>686</v>
      </c>
      <c r="Q31" s="150" t="s">
        <v>376</v>
      </c>
      <c r="R31" s="96" t="str">
        <f t="shared" si="0"/>
        <v>OAU_Actuals_LJ</v>
      </c>
      <c r="S31" s="264">
        <f t="shared" si="4"/>
        <v>1</v>
      </c>
      <c r="T31">
        <f t="shared" si="1"/>
        <v>0</v>
      </c>
      <c r="U31" t="s">
        <v>141</v>
      </c>
    </row>
    <row r="32" spans="1:21">
      <c r="A32" s="198" t="s">
        <v>1</v>
      </c>
      <c r="B32" s="190"/>
      <c r="C32" s="169">
        <f t="shared" si="5"/>
        <v>0</v>
      </c>
      <c r="D32" s="168">
        <f t="shared" ref="D32:D39" si="8">IFERROR(IF($B$8="Exclude",B32,IF($B$9="No",B32,IF(B32&lt;0,B32+$C$7*(1-$D$7)*B32/$D$6,B32+(($C$7*$D$7)*B32/$C$6)))),0)</f>
        <v>0</v>
      </c>
      <c r="E32" s="169">
        <f t="shared" ref="E32:E41" si="9">D32/$D$28</f>
        <v>0</v>
      </c>
      <c r="F32" s="273"/>
      <c r="G32" s="302">
        <f t="shared" ref="G32:G41" si="10">IF($F$24="% decrease",D32-I32,F32)</f>
        <v>0</v>
      </c>
      <c r="H32" s="301">
        <f t="shared" si="6"/>
        <v>0</v>
      </c>
      <c r="I32" s="168">
        <f t="shared" ref="I32:I41" si="11">IF($F$24="% decrease",J32*$I$28,$D32-$G32)</f>
        <v>0</v>
      </c>
      <c r="J32" s="211">
        <f t="shared" si="7"/>
        <v>0</v>
      </c>
      <c r="O32" s="95" t="s">
        <v>675</v>
      </c>
      <c r="P32" s="95" t="s">
        <v>719</v>
      </c>
      <c r="Q32" s="13" t="s">
        <v>10</v>
      </c>
      <c r="R32" s="96" t="str">
        <f t="shared" si="0"/>
        <v>OEE_Actuals_LJ_corrected</v>
      </c>
      <c r="S32" s="264">
        <f>C48</f>
        <v>1</v>
      </c>
      <c r="T32">
        <f t="shared" si="1"/>
        <v>0</v>
      </c>
      <c r="U32" t="s">
        <v>141</v>
      </c>
    </row>
    <row r="33" spans="1:21">
      <c r="A33" s="197" t="s">
        <v>2</v>
      </c>
      <c r="B33" s="190"/>
      <c r="C33" s="167">
        <f t="shared" si="5"/>
        <v>0</v>
      </c>
      <c r="D33" s="166">
        <f t="shared" si="8"/>
        <v>0</v>
      </c>
      <c r="E33" s="167">
        <f t="shared" si="9"/>
        <v>0</v>
      </c>
      <c r="F33" s="273"/>
      <c r="G33" s="303">
        <f t="shared" si="10"/>
        <v>0</v>
      </c>
      <c r="H33" s="301">
        <f t="shared" si="6"/>
        <v>0</v>
      </c>
      <c r="I33" s="166">
        <f t="shared" si="11"/>
        <v>0</v>
      </c>
      <c r="J33" s="210">
        <f t="shared" si="7"/>
        <v>0</v>
      </c>
      <c r="O33" s="95" t="s">
        <v>675</v>
      </c>
      <c r="P33" s="95" t="s">
        <v>719</v>
      </c>
      <c r="Q33" s="13" t="s">
        <v>666</v>
      </c>
      <c r="R33" s="96" t="str">
        <f t="shared" si="0"/>
        <v>Running OEE_Actuals_LJ_corrected</v>
      </c>
      <c r="S33" s="264">
        <f>C49</f>
        <v>1</v>
      </c>
      <c r="T33">
        <f t="shared" si="1"/>
        <v>0</v>
      </c>
      <c r="U33" t="s">
        <v>141</v>
      </c>
    </row>
    <row r="34" spans="1:21">
      <c r="A34" s="198" t="s">
        <v>3</v>
      </c>
      <c r="B34" s="190"/>
      <c r="C34" s="169">
        <f t="shared" si="5"/>
        <v>0</v>
      </c>
      <c r="D34" s="168">
        <f t="shared" si="8"/>
        <v>0</v>
      </c>
      <c r="E34" s="169">
        <f t="shared" si="9"/>
        <v>0</v>
      </c>
      <c r="F34" s="273"/>
      <c r="G34" s="302">
        <f t="shared" si="10"/>
        <v>0</v>
      </c>
      <c r="H34" s="301">
        <f t="shared" si="6"/>
        <v>0</v>
      </c>
      <c r="I34" s="168">
        <f t="shared" si="11"/>
        <v>0</v>
      </c>
      <c r="J34" s="211">
        <f t="shared" si="7"/>
        <v>0</v>
      </c>
      <c r="O34" s="95" t="s">
        <v>675</v>
      </c>
      <c r="P34" s="95" t="s">
        <v>719</v>
      </c>
      <c r="Q34" s="13" t="s">
        <v>8</v>
      </c>
      <c r="R34" s="96" t="str">
        <f t="shared" si="0"/>
        <v>Utilization_Actuals_LJ_corrected</v>
      </c>
      <c r="S34" s="264">
        <f>C50</f>
        <v>1</v>
      </c>
      <c r="T34">
        <f t="shared" si="1"/>
        <v>0</v>
      </c>
      <c r="U34" t="s">
        <v>141</v>
      </c>
    </row>
    <row r="35" spans="1:21">
      <c r="A35" s="197" t="s">
        <v>4</v>
      </c>
      <c r="B35" s="190"/>
      <c r="C35" s="167">
        <f t="shared" si="5"/>
        <v>0</v>
      </c>
      <c r="D35" s="166">
        <f t="shared" si="8"/>
        <v>0</v>
      </c>
      <c r="E35" s="167">
        <f t="shared" si="9"/>
        <v>0</v>
      </c>
      <c r="F35" s="273"/>
      <c r="G35" s="303">
        <f t="shared" si="10"/>
        <v>0</v>
      </c>
      <c r="H35" s="301">
        <f t="shared" si="6"/>
        <v>0</v>
      </c>
      <c r="I35" s="166">
        <f t="shared" si="11"/>
        <v>0</v>
      </c>
      <c r="J35" s="210">
        <f t="shared" si="7"/>
        <v>0</v>
      </c>
      <c r="O35" s="95" t="s">
        <v>675</v>
      </c>
      <c r="P35" s="95" t="s">
        <v>719</v>
      </c>
      <c r="Q35" s="13" t="s">
        <v>376</v>
      </c>
      <c r="R35" s="96" t="str">
        <f t="shared" si="0"/>
        <v>OAU_Actuals_LJ_corrected</v>
      </c>
      <c r="S35" s="264">
        <f>C51</f>
        <v>1</v>
      </c>
      <c r="T35">
        <f t="shared" si="1"/>
        <v>0</v>
      </c>
      <c r="U35" t="s">
        <v>141</v>
      </c>
    </row>
    <row r="36" spans="1:21">
      <c r="A36" s="198" t="s">
        <v>5</v>
      </c>
      <c r="B36" s="190"/>
      <c r="C36" s="169">
        <f t="shared" si="5"/>
        <v>0</v>
      </c>
      <c r="D36" s="168">
        <f t="shared" si="8"/>
        <v>0</v>
      </c>
      <c r="E36" s="169">
        <f t="shared" si="9"/>
        <v>0</v>
      </c>
      <c r="F36" s="273"/>
      <c r="G36" s="302">
        <f t="shared" si="10"/>
        <v>0</v>
      </c>
      <c r="H36" s="301">
        <f t="shared" si="6"/>
        <v>0</v>
      </c>
      <c r="I36" s="168">
        <f t="shared" si="11"/>
        <v>0</v>
      </c>
      <c r="J36" s="211">
        <f t="shared" si="7"/>
        <v>0</v>
      </c>
      <c r="O36" s="95" t="s">
        <v>676</v>
      </c>
      <c r="P36" s="95" t="s">
        <v>684</v>
      </c>
      <c r="Q36" s="150" t="s">
        <v>10</v>
      </c>
      <c r="R36" s="96" t="str">
        <f t="shared" si="0"/>
        <v>OEE_Normalized_LJ</v>
      </c>
      <c r="S36" s="264">
        <f>D48</f>
        <v>1</v>
      </c>
      <c r="T36">
        <f t="shared" si="1"/>
        <v>0</v>
      </c>
      <c r="U36" t="s">
        <v>141</v>
      </c>
    </row>
    <row r="37" spans="1:21">
      <c r="A37" s="197" t="s">
        <v>11</v>
      </c>
      <c r="B37" s="190"/>
      <c r="C37" s="167">
        <f t="shared" si="5"/>
        <v>0</v>
      </c>
      <c r="D37" s="166">
        <f t="shared" si="8"/>
        <v>0</v>
      </c>
      <c r="E37" s="167">
        <f t="shared" si="9"/>
        <v>0</v>
      </c>
      <c r="F37" s="273"/>
      <c r="G37" s="303">
        <f t="shared" si="10"/>
        <v>0</v>
      </c>
      <c r="H37" s="301">
        <f t="shared" si="6"/>
        <v>0</v>
      </c>
      <c r="I37" s="166">
        <f t="shared" si="11"/>
        <v>0</v>
      </c>
      <c r="J37" s="210">
        <f t="shared" si="7"/>
        <v>0</v>
      </c>
      <c r="O37" s="95" t="s">
        <v>676</v>
      </c>
      <c r="P37" s="95" t="s">
        <v>684</v>
      </c>
      <c r="Q37" s="150" t="s">
        <v>666</v>
      </c>
      <c r="R37" s="96" t="str">
        <f t="shared" si="0"/>
        <v>Running OEE_Normalized_LJ</v>
      </c>
      <c r="S37" s="264">
        <f>D49</f>
        <v>1</v>
      </c>
      <c r="T37">
        <f t="shared" si="1"/>
        <v>0</v>
      </c>
      <c r="U37" t="s">
        <v>141</v>
      </c>
    </row>
    <row r="38" spans="1:21">
      <c r="A38" s="198" t="s">
        <v>15</v>
      </c>
      <c r="B38" s="190"/>
      <c r="C38" s="169">
        <f t="shared" si="5"/>
        <v>0</v>
      </c>
      <c r="D38" s="168">
        <f t="shared" si="8"/>
        <v>0</v>
      </c>
      <c r="E38" s="169">
        <f t="shared" si="9"/>
        <v>0</v>
      </c>
      <c r="F38" s="273"/>
      <c r="G38" s="302">
        <f t="shared" si="10"/>
        <v>0</v>
      </c>
      <c r="H38" s="301">
        <f t="shared" si="6"/>
        <v>0</v>
      </c>
      <c r="I38" s="168">
        <f t="shared" si="11"/>
        <v>0</v>
      </c>
      <c r="J38" s="211">
        <f t="shared" si="7"/>
        <v>0</v>
      </c>
      <c r="O38" s="95" t="s">
        <v>676</v>
      </c>
      <c r="P38" s="95" t="s">
        <v>684</v>
      </c>
      <c r="Q38" s="150" t="s">
        <v>8</v>
      </c>
      <c r="R38" s="96" t="str">
        <f t="shared" si="0"/>
        <v>Utilization_Normalized_LJ</v>
      </c>
      <c r="S38" s="264">
        <f>D50</f>
        <v>1</v>
      </c>
      <c r="T38">
        <f t="shared" si="1"/>
        <v>0</v>
      </c>
      <c r="U38" t="s">
        <v>141</v>
      </c>
    </row>
    <row r="39" spans="1:21">
      <c r="A39" s="198" t="s">
        <v>16</v>
      </c>
      <c r="B39" s="190"/>
      <c r="C39" s="167">
        <f t="shared" si="5"/>
        <v>0</v>
      </c>
      <c r="D39" s="171">
        <f t="shared" si="8"/>
        <v>0</v>
      </c>
      <c r="E39" s="167">
        <f t="shared" si="9"/>
        <v>0</v>
      </c>
      <c r="F39" s="273"/>
      <c r="G39" s="304">
        <f t="shared" si="10"/>
        <v>0</v>
      </c>
      <c r="H39" s="301">
        <f t="shared" si="6"/>
        <v>0</v>
      </c>
      <c r="I39" s="171">
        <f t="shared" si="11"/>
        <v>0</v>
      </c>
      <c r="J39" s="210">
        <f t="shared" si="7"/>
        <v>0</v>
      </c>
      <c r="O39" s="95" t="s">
        <v>676</v>
      </c>
      <c r="P39" s="95" t="s">
        <v>684</v>
      </c>
      <c r="Q39" s="150" t="s">
        <v>376</v>
      </c>
      <c r="R39" s="96" t="str">
        <f t="shared" si="0"/>
        <v>OAU_Normalized_LJ</v>
      </c>
      <c r="S39" s="264">
        <f>D51</f>
        <v>1</v>
      </c>
      <c r="T39">
        <f t="shared" si="1"/>
        <v>0</v>
      </c>
      <c r="U39" t="s">
        <v>141</v>
      </c>
    </row>
    <row r="40" spans="1:21">
      <c r="A40" s="199" t="s">
        <v>664</v>
      </c>
      <c r="B40" s="8"/>
      <c r="C40" s="169"/>
      <c r="D40" s="86">
        <f>-B5</f>
        <v>0</v>
      </c>
      <c r="E40" s="169">
        <f t="shared" si="9"/>
        <v>0</v>
      </c>
      <c r="F40" s="168">
        <f>IF(F24="% decrease",H40,G40)</f>
        <v>0</v>
      </c>
      <c r="G40" s="168">
        <f>D40</f>
        <v>0</v>
      </c>
      <c r="H40" s="14">
        <f>E40</f>
        <v>0</v>
      </c>
      <c r="I40" s="168">
        <f t="shared" si="11"/>
        <v>0</v>
      </c>
      <c r="J40" s="211">
        <f>$E40-$H40</f>
        <v>0</v>
      </c>
      <c r="O40" s="95" t="s">
        <v>677</v>
      </c>
      <c r="P40" s="95" t="s">
        <v>720</v>
      </c>
      <c r="Q40" s="13" t="s">
        <v>10</v>
      </c>
      <c r="R40" s="96" t="str">
        <f t="shared" si="0"/>
        <v>OEE_Baseline target setting</v>
      </c>
      <c r="S40" s="264">
        <f>E48</f>
        <v>1</v>
      </c>
      <c r="T40">
        <f t="shared" si="1"/>
        <v>0</v>
      </c>
      <c r="U40" t="s">
        <v>141</v>
      </c>
    </row>
    <row r="41" spans="1:21">
      <c r="A41" s="200" t="s">
        <v>703</v>
      </c>
      <c r="B41" s="10"/>
      <c r="C41" s="221"/>
      <c r="D41" s="220">
        <f>IF(AND(B9="No",B8="Include"),B45*B7/(1+B7),0)</f>
        <v>0</v>
      </c>
      <c r="E41" s="167">
        <f t="shared" si="9"/>
        <v>0</v>
      </c>
      <c r="F41" s="286"/>
      <c r="G41" s="171">
        <f t="shared" si="10"/>
        <v>0</v>
      </c>
      <c r="H41" s="71">
        <f>E41</f>
        <v>0</v>
      </c>
      <c r="I41" s="171">
        <f t="shared" si="11"/>
        <v>0</v>
      </c>
      <c r="J41" s="210">
        <f>$E41-$H41</f>
        <v>0</v>
      </c>
      <c r="O41" s="95" t="s">
        <v>677</v>
      </c>
      <c r="P41" s="95" t="s">
        <v>720</v>
      </c>
      <c r="Q41" s="13" t="s">
        <v>666</v>
      </c>
      <c r="R41" s="96" t="str">
        <f t="shared" si="0"/>
        <v>Running OEE_Baseline target setting</v>
      </c>
      <c r="S41" s="264">
        <f>E49</f>
        <v>1</v>
      </c>
      <c r="T41">
        <f t="shared" si="1"/>
        <v>0</v>
      </c>
      <c r="U41" t="s">
        <v>141</v>
      </c>
    </row>
    <row r="42" spans="1:21" ht="13.5" thickBot="1">
      <c r="A42" s="201" t="s">
        <v>705</v>
      </c>
      <c r="B42" s="118"/>
      <c r="C42" s="185"/>
      <c r="D42" s="118">
        <f>D30-D31-D32-D33-D34-D35-D36-D37-D38-D39-D40-D41-D45</f>
        <v>0</v>
      </c>
      <c r="E42" s="173"/>
      <c r="F42" s="287"/>
      <c r="G42" s="187"/>
      <c r="H42" s="186">
        <f>IFERROR(I42/I28,0)</f>
        <v>9.9999999999999603E-3</v>
      </c>
      <c r="I42" s="184">
        <f>-(I43-I31-I32-I33-I34-I35-I36-I37-I38-I39-I41-I40)</f>
        <v>86.73267326732639</v>
      </c>
      <c r="J42" s="212">
        <f>-H42</f>
        <v>-9.9999999999999603E-3</v>
      </c>
      <c r="O42" s="95" t="s">
        <v>677</v>
      </c>
      <c r="P42" s="95" t="s">
        <v>720</v>
      </c>
      <c r="Q42" s="13" t="s">
        <v>8</v>
      </c>
      <c r="R42" s="96" t="str">
        <f t="shared" si="0"/>
        <v>Utilization_Baseline target setting</v>
      </c>
      <c r="S42" s="264">
        <f>E50</f>
        <v>1</v>
      </c>
      <c r="T42">
        <f t="shared" si="1"/>
        <v>0</v>
      </c>
      <c r="U42" t="s">
        <v>141</v>
      </c>
    </row>
    <row r="43" spans="1:21" ht="13.5" hidden="1" thickBot="1">
      <c r="A43" s="202" t="s">
        <v>397</v>
      </c>
      <c r="B43" s="112">
        <f>SUBTOTAL(109,B31:B40)</f>
        <v>0</v>
      </c>
      <c r="C43" s="106">
        <f>IFERROR($B43/$B$28,)</f>
        <v>0</v>
      </c>
      <c r="D43" s="174">
        <f>SUBTOTAL(109,D31:D41)</f>
        <v>0</v>
      </c>
      <c r="E43" s="175">
        <f>D43/D28</f>
        <v>0</v>
      </c>
      <c r="F43" s="288"/>
      <c r="G43" s="174">
        <f>I43-D43</f>
        <v>-86.73267326732639</v>
      </c>
      <c r="H43" s="117">
        <f>E43-J43</f>
        <v>9.9999999999999603E-3</v>
      </c>
      <c r="I43" s="174">
        <f>I30-I45</f>
        <v>-86.73267326732639</v>
      </c>
      <c r="J43" s="213">
        <f>SUM(J31:J42)</f>
        <v>-9.9999999999999603E-3</v>
      </c>
      <c r="O43" s="95" t="s">
        <v>677</v>
      </c>
      <c r="P43" s="95"/>
      <c r="Q43" s="13" t="s">
        <v>722</v>
      </c>
      <c r="R43" s="96" t="str">
        <f t="shared" si="0"/>
        <v>BLANK1</v>
      </c>
      <c r="S43" s="264"/>
      <c r="T43">
        <f t="shared" si="1"/>
        <v>0</v>
      </c>
      <c r="U43" t="s">
        <v>141</v>
      </c>
    </row>
    <row r="44" spans="1:21" ht="13.5" hidden="1" thickBot="1">
      <c r="A44" s="203" t="s">
        <v>398</v>
      </c>
      <c r="B44" s="11">
        <f>B43+B29</f>
        <v>0</v>
      </c>
      <c r="C44" s="31">
        <f>IFERROR($B44/$B$28,)</f>
        <v>0</v>
      </c>
      <c r="D44" s="176">
        <f>D43+D29</f>
        <v>0</v>
      </c>
      <c r="E44" s="177">
        <f>D44/D28</f>
        <v>0</v>
      </c>
      <c r="F44" s="289"/>
      <c r="G44" s="176">
        <f>I44-D44</f>
        <v>-86.73267326732639</v>
      </c>
      <c r="H44" s="32">
        <f>IFERROR(E44-J44,)</f>
        <v>1.0000000000000009E-2</v>
      </c>
      <c r="I44" s="176">
        <f>I28-I45</f>
        <v>-86.73267326732639</v>
      </c>
      <c r="J44" s="214">
        <f>IFERROR(1-J45,)</f>
        <v>-1.0000000000000009E-2</v>
      </c>
      <c r="O44" s="95" t="s">
        <v>677</v>
      </c>
      <c r="P44" s="95"/>
      <c r="Q44" s="151" t="s">
        <v>721</v>
      </c>
      <c r="R44" s="96" t="str">
        <f t="shared" si="0"/>
        <v>BLANK2</v>
      </c>
      <c r="S44" s="264"/>
      <c r="T44">
        <f t="shared" si="1"/>
        <v>0</v>
      </c>
      <c r="U44" t="s">
        <v>141</v>
      </c>
    </row>
    <row r="45" spans="1:21" ht="13.5" thickBot="1">
      <c r="A45" s="204" t="s">
        <v>712</v>
      </c>
      <c r="B45" s="138">
        <f>B30-B31-B32-B33-B34-B35-B36-B37-B38-B39-B40-B41</f>
        <v>8760</v>
      </c>
      <c r="C45" s="139">
        <f>IFERROR($B45/$B$28,)</f>
        <v>1</v>
      </c>
      <c r="D45" s="178">
        <f>IF(B8="Include",B45/(1+B7),B45)</f>
        <v>8760</v>
      </c>
      <c r="E45" s="179">
        <f>D45/D28</f>
        <v>1</v>
      </c>
      <c r="F45" s="290"/>
      <c r="G45" s="178">
        <f>I45-D45</f>
        <v>0</v>
      </c>
      <c r="H45" s="139">
        <f>H43+H29+H42+H41</f>
        <v>1.9999999999999921E-2</v>
      </c>
      <c r="I45" s="178">
        <f>D45*(1+B6)*I25/B25</f>
        <v>8760</v>
      </c>
      <c r="J45" s="215">
        <f>F48</f>
        <v>1.01</v>
      </c>
      <c r="O45" s="95" t="s">
        <v>677</v>
      </c>
      <c r="P45" s="95" t="s">
        <v>720</v>
      </c>
      <c r="Q45" s="13" t="s">
        <v>376</v>
      </c>
      <c r="R45" s="96" t="str">
        <f t="shared" si="0"/>
        <v>OAU_Baseline target setting</v>
      </c>
      <c r="S45" s="264">
        <f>E51</f>
        <v>1</v>
      </c>
      <c r="T45">
        <f t="shared" si="1"/>
        <v>0</v>
      </c>
      <c r="U45" t="s">
        <v>141</v>
      </c>
    </row>
    <row r="46" spans="1:21">
      <c r="F46" t="s">
        <v>713</v>
      </c>
      <c r="O46" s="95" t="s">
        <v>678</v>
      </c>
      <c r="P46" s="95" t="s">
        <v>880</v>
      </c>
      <c r="Q46" s="150" t="s">
        <v>10</v>
      </c>
      <c r="R46" s="96" t="str">
        <f t="shared" si="0"/>
        <v>OEE_Targets_NJ</v>
      </c>
      <c r="S46" s="264">
        <f>F48</f>
        <v>1.01</v>
      </c>
      <c r="T46">
        <f t="shared" si="1"/>
        <v>0</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1.01</v>
      </c>
      <c r="T47">
        <f t="shared" si="1"/>
        <v>0</v>
      </c>
      <c r="U47" t="s">
        <v>141</v>
      </c>
    </row>
    <row r="48" spans="1:21">
      <c r="A48" s="88" t="s">
        <v>10</v>
      </c>
      <c r="B48" s="89">
        <f>IFERROR(B45/(B28-B40),)</f>
        <v>1</v>
      </c>
      <c r="C48" s="69">
        <f>IFERROR(B45/(B28-B5),)</f>
        <v>1</v>
      </c>
      <c r="D48" s="89">
        <f>IFERROR(B45/(1+B7)/(B28),)</f>
        <v>1</v>
      </c>
      <c r="E48" s="69">
        <f>IF(B8="Include",C48/(1+B7),C48)</f>
        <v>1</v>
      </c>
      <c r="F48" s="105">
        <f>IFERROR(IF(B15="OEE", E48+B14,I45/I28),)</f>
        <v>1.01</v>
      </c>
      <c r="G48" s="115" t="s">
        <v>707</v>
      </c>
      <c r="O48" s="95" t="s">
        <v>678</v>
      </c>
      <c r="P48" s="95" t="s">
        <v>880</v>
      </c>
      <c r="Q48" s="150" t="s">
        <v>8</v>
      </c>
      <c r="R48" s="96" t="str">
        <f t="shared" si="0"/>
        <v>Utilization_Targets_NJ</v>
      </c>
      <c r="S48" s="264">
        <f>F50</f>
        <v>0.99009900990099009</v>
      </c>
      <c r="T48">
        <f t="shared" si="1"/>
        <v>0</v>
      </c>
      <c r="U48" t="s">
        <v>141</v>
      </c>
    </row>
    <row r="49" spans="1:35">
      <c r="A49" s="90" t="s">
        <v>666</v>
      </c>
      <c r="B49" s="69">
        <f>IFERROR(B45/(B30-B40),)</f>
        <v>1</v>
      </c>
      <c r="C49" s="69">
        <f>IFERROR(B45/(B30-B5),)</f>
        <v>1</v>
      </c>
      <c r="D49" s="123">
        <f>IFERROR(B45/(1+B7)/(B28-B29),)</f>
        <v>1</v>
      </c>
      <c r="E49" s="69">
        <f>IFERROR(D45/(D30),)</f>
        <v>1</v>
      </c>
      <c r="F49" s="105">
        <f>IFERROR(IF(B15="OEE",(I45/I30),E49+B14),)</f>
        <v>1.01</v>
      </c>
      <c r="G49" s="116" t="s">
        <v>669</v>
      </c>
      <c r="O49" s="95" t="s">
        <v>678</v>
      </c>
      <c r="P49" s="95" t="s">
        <v>880</v>
      </c>
      <c r="Q49" s="150" t="s">
        <v>376</v>
      </c>
      <c r="R49" s="96" t="str">
        <f t="shared" si="0"/>
        <v>OAU_Targets_NJ</v>
      </c>
      <c r="S49" s="264">
        <f>F51</f>
        <v>1</v>
      </c>
      <c r="T49">
        <f t="shared" si="1"/>
        <v>0</v>
      </c>
      <c r="U49" t="s">
        <v>141</v>
      </c>
    </row>
    <row r="50" spans="1:35">
      <c r="A50" s="90" t="s">
        <v>8</v>
      </c>
      <c r="B50" s="5">
        <f>IFERROR((B28+B27)/(B25),)</f>
        <v>1</v>
      </c>
      <c r="C50" s="69">
        <f>IFERROR((B28-B5)/B25,)</f>
        <v>1</v>
      </c>
      <c r="D50" s="69">
        <f>IFERROR(B28/(1+B7)/(B25),)</f>
        <v>1</v>
      </c>
      <c r="E50" s="69">
        <f>IFERROR(D28/D25,)</f>
        <v>1</v>
      </c>
      <c r="F50" s="69">
        <f>IFERROR(I28/I25,)</f>
        <v>0.99009900990099009</v>
      </c>
      <c r="G50" s="91" t="s">
        <v>1188</v>
      </c>
      <c r="O50" s="95" t="s">
        <v>679</v>
      </c>
      <c r="P50" s="95" t="s">
        <v>706</v>
      </c>
      <c r="Q50" s="13" t="s">
        <v>10</v>
      </c>
      <c r="R50" s="96" t="str">
        <f t="shared" si="0"/>
        <v>OEE_Remarks</v>
      </c>
      <c r="S50" s="264" t="str">
        <f>G48</f>
        <v>OEE target</v>
      </c>
      <c r="T50">
        <f t="shared" si="1"/>
        <v>0</v>
      </c>
      <c r="U50" t="s">
        <v>878</v>
      </c>
    </row>
    <row r="51" spans="1:35">
      <c r="A51" s="90" t="s">
        <v>376</v>
      </c>
      <c r="B51" s="69">
        <f>IFERROR(B45/B25,)</f>
        <v>1</v>
      </c>
      <c r="C51" s="6">
        <f>Table101291210[[#This Row],[Actual 2024]]</f>
        <v>1</v>
      </c>
      <c r="D51" s="69">
        <f>IFERROR(B45/(1+B7)/(B25),)</f>
        <v>1</v>
      </c>
      <c r="E51" s="5">
        <f>D45/D25</f>
        <v>1</v>
      </c>
      <c r="F51" s="69">
        <f>I45/I25</f>
        <v>1</v>
      </c>
      <c r="G51" s="91"/>
      <c r="O51" s="95" t="s">
        <v>679</v>
      </c>
      <c r="P51" s="95" t="s">
        <v>706</v>
      </c>
      <c r="Q51" s="13" t="s">
        <v>666</v>
      </c>
      <c r="R51" s="96" t="str">
        <f t="shared" si="0"/>
        <v>Running OEE_Remarks</v>
      </c>
      <c r="S51" s="264" t="str">
        <f>G49</f>
        <v>Running OEE target</v>
      </c>
      <c r="T51">
        <f t="shared" si="1"/>
        <v>0</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f t="shared" si="1"/>
        <v>0</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tr">
        <f t="shared" si="0"/>
        <v>OAU_Remarks</v>
      </c>
      <c r="S53" s="264">
        <f>G51</f>
        <v>0</v>
      </c>
      <c r="T53">
        <f t="shared" si="1"/>
        <v>0</v>
      </c>
      <c r="U53" t="s">
        <v>878</v>
      </c>
    </row>
    <row r="54" spans="1:35">
      <c r="A54" s="65">
        <f>B2</f>
        <v>0</v>
      </c>
      <c r="B54" s="75">
        <f>B48</f>
        <v>1</v>
      </c>
      <c r="C54" s="75">
        <f>D48</f>
        <v>1</v>
      </c>
      <c r="D54" s="75">
        <f>E48</f>
        <v>1</v>
      </c>
      <c r="E54" s="75">
        <f>F48</f>
        <v>1.01</v>
      </c>
      <c r="F54" s="76">
        <f>B6</f>
        <v>0</v>
      </c>
      <c r="G54" s="97">
        <f>B5</f>
        <v>0</v>
      </c>
      <c r="H54" s="76">
        <f>B14</f>
        <v>0.01</v>
      </c>
      <c r="I54" s="76" t="str">
        <f>B11</f>
        <v>Playbook Matrix Value</v>
      </c>
      <c r="J54" s="76" t="str">
        <f>B15</f>
        <v>OEE</v>
      </c>
      <c r="K54" s="102">
        <f>C18</f>
        <v>0</v>
      </c>
      <c r="L54" s="102">
        <f>C19</f>
        <v>0</v>
      </c>
      <c r="M54" s="104">
        <f>F49</f>
        <v>1.01</v>
      </c>
      <c r="O54" s="95" t="s">
        <v>674</v>
      </c>
      <c r="P54" s="95" t="s">
        <v>683</v>
      </c>
      <c r="Q54" s="142" t="s">
        <v>13</v>
      </c>
      <c r="R54" s="96" t="str">
        <f t="shared" si="0"/>
        <v>MAC - Calender hours_Loss_Hours_LJ</v>
      </c>
      <c r="S54" s="267">
        <f>B25</f>
        <v>8760</v>
      </c>
      <c r="T54">
        <f t="shared" si="1"/>
        <v>0</v>
      </c>
      <c r="U54" t="s">
        <v>876</v>
      </c>
    </row>
    <row r="55" spans="1:35">
      <c r="O55" s="95" t="s">
        <v>674</v>
      </c>
      <c r="P55" s="95" t="s">
        <v>683</v>
      </c>
      <c r="Q55" s="152" t="s">
        <v>7</v>
      </c>
      <c r="R55" s="96" t="str">
        <f t="shared" si="0"/>
        <v>Commercial Reliability_Loss_Hours_LJ</v>
      </c>
      <c r="S55" s="267">
        <f t="shared" ref="S55:S74" si="12">B26</f>
        <v>0</v>
      </c>
      <c r="T55">
        <f t="shared" si="1"/>
        <v>0</v>
      </c>
      <c r="U55" t="s">
        <v>876</v>
      </c>
    </row>
    <row r="56" spans="1:35">
      <c r="D56" s="5"/>
      <c r="O56" s="95" t="s">
        <v>674</v>
      </c>
      <c r="P56" s="95" t="s">
        <v>683</v>
      </c>
      <c r="Q56" s="152" t="s">
        <v>704</v>
      </c>
      <c r="R56" s="96" t="str">
        <f t="shared" si="0"/>
        <v>Exception hours (loss excluded from OEE)_Loss_Hours_LJ</v>
      </c>
      <c r="S56" s="267">
        <f t="shared" si="12"/>
        <v>0</v>
      </c>
      <c r="T56">
        <f t="shared" si="1"/>
        <v>0</v>
      </c>
      <c r="U56" t="s">
        <v>876</v>
      </c>
    </row>
    <row r="57" spans="1:35">
      <c r="D57" s="5"/>
      <c r="F57" s="54"/>
      <c r="O57" s="95" t="s">
        <v>674</v>
      </c>
      <c r="P57" s="95" t="s">
        <v>683</v>
      </c>
      <c r="Q57" s="152" t="s">
        <v>14</v>
      </c>
      <c r="R57" s="96" t="str">
        <f t="shared" si="0"/>
        <v>Available OEE - Scheduled hours_Loss_Hours_LJ</v>
      </c>
      <c r="S57" s="267">
        <f t="shared" si="12"/>
        <v>8760</v>
      </c>
      <c r="T57">
        <f t="shared" si="1"/>
        <v>0</v>
      </c>
      <c r="U57" t="s">
        <v>876</v>
      </c>
    </row>
    <row r="58" spans="1:35">
      <c r="B58" s="83"/>
      <c r="C58" s="51"/>
      <c r="O58" s="95" t="s">
        <v>674</v>
      </c>
      <c r="P58" s="95" t="s">
        <v>683</v>
      </c>
      <c r="Q58" s="152" t="s">
        <v>17</v>
      </c>
      <c r="R58" s="96" t="str">
        <f t="shared" si="0"/>
        <v>Equipment Reliability - Planned TA &amp; Planned SD_Loss_Hours_LJ</v>
      </c>
      <c r="S58" s="267">
        <f t="shared" si="12"/>
        <v>0</v>
      </c>
      <c r="T58">
        <f t="shared" si="1"/>
        <v>0</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8760</v>
      </c>
      <c r="T59">
        <f t="shared" si="1"/>
        <v>0</v>
      </c>
      <c r="U59" t="s">
        <v>876</v>
      </c>
    </row>
    <row r="60" spans="1:35" hidden="1">
      <c r="A60" s="54" t="s">
        <v>1167</v>
      </c>
      <c r="B60" s="354" t="s">
        <v>1168</v>
      </c>
      <c r="C60" s="271" t="s">
        <v>1170</v>
      </c>
      <c r="D60" s="5"/>
      <c r="O60" s="95" t="s">
        <v>674</v>
      </c>
      <c r="P60" s="95" t="s">
        <v>683</v>
      </c>
      <c r="Q60" s="152" t="s">
        <v>18</v>
      </c>
      <c r="R60" s="96" t="str">
        <f t="shared" si="0"/>
        <v>Equipment Reliability - Equipment Failure_Loss_Hours_LJ</v>
      </c>
      <c r="S60" s="267">
        <f t="shared" si="12"/>
        <v>0</v>
      </c>
      <c r="T60">
        <f t="shared" si="1"/>
        <v>0</v>
      </c>
      <c r="U60" t="s">
        <v>876</v>
      </c>
    </row>
    <row r="61" spans="1:35">
      <c r="B61" s="53"/>
      <c r="C61" s="53"/>
      <c r="O61" s="95" t="s">
        <v>674</v>
      </c>
      <c r="P61" s="95" t="s">
        <v>683</v>
      </c>
      <c r="Q61" s="152" t="s">
        <v>1</v>
      </c>
      <c r="R61" s="96" t="str">
        <f t="shared" si="0"/>
        <v>Operational Reliability_Loss_Hours_LJ</v>
      </c>
      <c r="S61" s="267">
        <f t="shared" si="12"/>
        <v>0</v>
      </c>
      <c r="T61">
        <f t="shared" si="1"/>
        <v>0</v>
      </c>
      <c r="U61" t="s">
        <v>876</v>
      </c>
    </row>
    <row r="62" spans="1:35">
      <c r="B62" s="53"/>
      <c r="C62" s="53"/>
      <c r="I62" s="6"/>
      <c r="J62" s="6"/>
      <c r="K62" s="6"/>
      <c r="L62" s="6"/>
      <c r="M62" s="6"/>
      <c r="O62" s="95" t="s">
        <v>674</v>
      </c>
      <c r="P62" s="95" t="s">
        <v>683</v>
      </c>
      <c r="Q62" s="152" t="s">
        <v>2</v>
      </c>
      <c r="R62" s="96" t="str">
        <f t="shared" si="0"/>
        <v>Technology Reliability_Loss_Hours_LJ</v>
      </c>
      <c r="S62" s="267">
        <f t="shared" si="12"/>
        <v>0</v>
      </c>
      <c r="T62">
        <f t="shared" si="1"/>
        <v>0</v>
      </c>
      <c r="U62" t="s">
        <v>876</v>
      </c>
    </row>
    <row r="63" spans="1:35">
      <c r="B63" s="82"/>
      <c r="C63" s="2"/>
      <c r="O63" s="95" t="s">
        <v>674</v>
      </c>
      <c r="P63" s="95" t="s">
        <v>683</v>
      </c>
      <c r="Q63" s="152" t="s">
        <v>3</v>
      </c>
      <c r="R63" s="96" t="str">
        <f t="shared" si="0"/>
        <v>Material Reliability_Loss_Hours_LJ</v>
      </c>
      <c r="S63" s="267">
        <f t="shared" si="12"/>
        <v>0</v>
      </c>
      <c r="T63">
        <f t="shared" si="1"/>
        <v>0</v>
      </c>
      <c r="U63" t="s">
        <v>876</v>
      </c>
    </row>
    <row r="64" spans="1:35">
      <c r="B64" s="5"/>
      <c r="O64" s="95" t="s">
        <v>674</v>
      </c>
      <c r="P64" s="95" t="s">
        <v>683</v>
      </c>
      <c r="Q64" s="152" t="s">
        <v>4</v>
      </c>
      <c r="R64" s="96" t="str">
        <f t="shared" si="0"/>
        <v>Logistics/Supply Reliability_Loss_Hours_LJ</v>
      </c>
      <c r="S64" s="267">
        <f t="shared" si="12"/>
        <v>0</v>
      </c>
      <c r="T64">
        <f t="shared" si="1"/>
        <v>0</v>
      </c>
      <c r="U64" t="s">
        <v>876</v>
      </c>
    </row>
    <row r="65" spans="15:35">
      <c r="O65" s="95" t="s">
        <v>674</v>
      </c>
      <c r="P65" s="95" t="s">
        <v>683</v>
      </c>
      <c r="Q65" s="152" t="s">
        <v>5</v>
      </c>
      <c r="R65" s="96" t="str">
        <f t="shared" si="0"/>
        <v>External Reliability_Loss_Hours_LJ</v>
      </c>
      <c r="S65" s="267">
        <f t="shared" si="12"/>
        <v>0</v>
      </c>
      <c r="T65">
        <f t="shared" si="1"/>
        <v>0</v>
      </c>
      <c r="U65" t="s">
        <v>876</v>
      </c>
    </row>
    <row r="66" spans="15:35">
      <c r="O66" s="95" t="s">
        <v>674</v>
      </c>
      <c r="P66" s="95" t="s">
        <v>683</v>
      </c>
      <c r="Q66" s="152" t="s">
        <v>11</v>
      </c>
      <c r="R66" s="96" t="str">
        <f t="shared" ref="R66:R129" si="13">IF(ISBLANK(P66),Q66,_xlfn.CONCAT(Q66,"_",P66))</f>
        <v>Other Reliability_Loss_Hours_LJ</v>
      </c>
      <c r="S66" s="267">
        <f t="shared" si="12"/>
        <v>0</v>
      </c>
      <c r="T66">
        <f t="shared" si="1"/>
        <v>0</v>
      </c>
      <c r="U66" t="s">
        <v>876</v>
      </c>
    </row>
    <row r="67" spans="15:35">
      <c r="O67" s="95" t="s">
        <v>674</v>
      </c>
      <c r="P67" s="95" t="s">
        <v>683</v>
      </c>
      <c r="Q67" s="152" t="s">
        <v>15</v>
      </c>
      <c r="R67" s="96" t="str">
        <f t="shared" si="13"/>
        <v>Unspecified_Loss_Hours_LJ</v>
      </c>
      <c r="S67" s="267">
        <f t="shared" si="12"/>
        <v>0</v>
      </c>
      <c r="T67">
        <f t="shared" ref="T67:T130" si="14">$B$2</f>
        <v>0</v>
      </c>
      <c r="U67" t="s">
        <v>876</v>
      </c>
    </row>
    <row r="68" spans="15:35">
      <c r="O68" s="95" t="s">
        <v>674</v>
      </c>
      <c r="P68" s="95" t="s">
        <v>683</v>
      </c>
      <c r="Q68" s="152" t="s">
        <v>16</v>
      </c>
      <c r="R68" s="96" t="str">
        <f t="shared" si="13"/>
        <v>Undetected_Loss_Hours_LJ</v>
      </c>
      <c r="S68" s="267">
        <f t="shared" si="12"/>
        <v>0</v>
      </c>
      <c r="T68">
        <f t="shared" si="14"/>
        <v>0</v>
      </c>
      <c r="U68" t="s">
        <v>876</v>
      </c>
      <c r="AH68" s="6"/>
      <c r="AI68" s="6"/>
    </row>
    <row r="69" spans="15:35">
      <c r="O69" s="95" t="s">
        <v>674</v>
      </c>
      <c r="P69" s="95" t="s">
        <v>683</v>
      </c>
      <c r="Q69" s="152" t="s">
        <v>664</v>
      </c>
      <c r="R69" s="96" t="str">
        <f t="shared" si="13"/>
        <v>Exception hours_Loss_Hours_LJ</v>
      </c>
      <c r="S69" s="267">
        <f t="shared" si="12"/>
        <v>0</v>
      </c>
      <c r="T69">
        <f t="shared" si="14"/>
        <v>0</v>
      </c>
      <c r="U69" t="s">
        <v>876</v>
      </c>
      <c r="AH69" s="6"/>
      <c r="AI69" s="6"/>
    </row>
    <row r="70" spans="15:35">
      <c r="O70" s="95" t="s">
        <v>674</v>
      </c>
      <c r="P70" s="95" t="s">
        <v>683</v>
      </c>
      <c r="Q70" s="152" t="s">
        <v>703</v>
      </c>
      <c r="R70" s="96" t="str">
        <f t="shared" si="13"/>
        <v>Extra loss hours in baseline due to MAC change_Loss_Hours_LJ</v>
      </c>
      <c r="S70" s="267">
        <f t="shared" si="12"/>
        <v>0</v>
      </c>
      <c r="T70">
        <f t="shared" si="14"/>
        <v>0</v>
      </c>
      <c r="U70" t="s">
        <v>876</v>
      </c>
      <c r="AH70" s="6"/>
      <c r="AI70" s="6"/>
    </row>
    <row r="71" spans="15:35">
      <c r="O71" s="95" t="s">
        <v>674</v>
      </c>
      <c r="P71" s="95" t="s">
        <v>683</v>
      </c>
      <c r="Q71" s="152" t="s">
        <v>705</v>
      </c>
      <c r="R71" s="96" t="str">
        <f t="shared" si="13"/>
        <v>Improvement target not assigned_Loss_Hours_LJ</v>
      </c>
      <c r="S71" s="267">
        <f t="shared" si="12"/>
        <v>0</v>
      </c>
      <c r="T71">
        <f t="shared" si="14"/>
        <v>0</v>
      </c>
      <c r="U71" t="s">
        <v>876</v>
      </c>
    </row>
    <row r="72" spans="15:35">
      <c r="O72" s="95" t="s">
        <v>674</v>
      </c>
      <c r="P72" s="95" t="s">
        <v>683</v>
      </c>
      <c r="Q72" s="152" t="s">
        <v>397</v>
      </c>
      <c r="R72" s="96" t="str">
        <f t="shared" si="13"/>
        <v>Sum OEE losses (exluding Planned Maintenance)_Loss_Hours_LJ</v>
      </c>
      <c r="S72" s="267">
        <f t="shared" si="12"/>
        <v>0</v>
      </c>
      <c r="T72">
        <f t="shared" si="14"/>
        <v>0</v>
      </c>
      <c r="U72" t="s">
        <v>876</v>
      </c>
    </row>
    <row r="73" spans="15:35">
      <c r="O73" s="95" t="s">
        <v>675</v>
      </c>
      <c r="P73" s="95" t="s">
        <v>683</v>
      </c>
      <c r="Q73" s="152" t="s">
        <v>398</v>
      </c>
      <c r="R73" s="96" t="str">
        <f t="shared" si="13"/>
        <v>Sum OEE losses (Including Planned Maintenance)_Loss_Hours_LJ</v>
      </c>
      <c r="S73" s="267">
        <f t="shared" si="12"/>
        <v>0</v>
      </c>
      <c r="T73">
        <f t="shared" si="14"/>
        <v>0</v>
      </c>
      <c r="U73" t="s">
        <v>876</v>
      </c>
    </row>
    <row r="74" spans="15:35">
      <c r="O74" s="95" t="s">
        <v>675</v>
      </c>
      <c r="P74" s="95" t="s">
        <v>683</v>
      </c>
      <c r="Q74" s="152" t="s">
        <v>712</v>
      </c>
      <c r="R74" s="96" t="str">
        <f t="shared" si="13"/>
        <v>Production hours on MAC (h) / OEE (%)_Loss_Hours_LJ</v>
      </c>
      <c r="S74" s="267">
        <f t="shared" si="12"/>
        <v>8760</v>
      </c>
      <c r="T74">
        <f t="shared" si="14"/>
        <v>0</v>
      </c>
      <c r="U74" t="s">
        <v>876</v>
      </c>
    </row>
    <row r="75" spans="15:35">
      <c r="O75" s="95" t="s">
        <v>675</v>
      </c>
      <c r="P75" s="95" t="s">
        <v>682</v>
      </c>
      <c r="Q75" s="143" t="s">
        <v>13</v>
      </c>
      <c r="R75" s="96" t="str">
        <f t="shared" si="13"/>
        <v>MAC - Calender hours_Loss_Percentage_LJ</v>
      </c>
      <c r="S75" s="268">
        <f>C25</f>
        <v>0</v>
      </c>
      <c r="T75">
        <f t="shared" si="14"/>
        <v>0</v>
      </c>
      <c r="U75" t="s">
        <v>876</v>
      </c>
    </row>
    <row r="76" spans="15:35">
      <c r="O76" s="95" t="s">
        <v>675</v>
      </c>
      <c r="P76" s="95" t="s">
        <v>682</v>
      </c>
      <c r="Q76" s="153" t="s">
        <v>7</v>
      </c>
      <c r="R76" s="96" t="str">
        <f t="shared" si="13"/>
        <v>Commercial Reliability_Loss_Percentage_LJ</v>
      </c>
      <c r="S76" s="268">
        <f t="shared" ref="S76:S95" si="15">C26</f>
        <v>0</v>
      </c>
      <c r="T76">
        <f t="shared" si="14"/>
        <v>0</v>
      </c>
      <c r="U76" t="s">
        <v>876</v>
      </c>
    </row>
    <row r="77" spans="15:35">
      <c r="O77" s="95" t="s">
        <v>675</v>
      </c>
      <c r="P77" s="95" t="s">
        <v>682</v>
      </c>
      <c r="Q77" s="153" t="s">
        <v>704</v>
      </c>
      <c r="R77" s="96" t="str">
        <f t="shared" si="13"/>
        <v>Exception hours (loss excluded from OEE)_Loss_Percentage_LJ</v>
      </c>
      <c r="S77" s="268">
        <f t="shared" si="15"/>
        <v>0</v>
      </c>
      <c r="T77">
        <f t="shared" si="14"/>
        <v>0</v>
      </c>
      <c r="U77" t="s">
        <v>876</v>
      </c>
    </row>
    <row r="78" spans="15:35">
      <c r="O78" s="95" t="s">
        <v>675</v>
      </c>
      <c r="P78" s="95" t="s">
        <v>682</v>
      </c>
      <c r="Q78" s="153" t="s">
        <v>14</v>
      </c>
      <c r="R78" s="96" t="str">
        <f t="shared" si="13"/>
        <v>Available OEE - Scheduled hours_Loss_Percentage_LJ</v>
      </c>
      <c r="S78" s="268">
        <f t="shared" si="15"/>
        <v>1</v>
      </c>
      <c r="T78">
        <f t="shared" si="14"/>
        <v>0</v>
      </c>
      <c r="U78" t="s">
        <v>876</v>
      </c>
    </row>
    <row r="79" spans="15:35">
      <c r="O79" s="95" t="s">
        <v>675</v>
      </c>
      <c r="P79" s="95" t="s">
        <v>682</v>
      </c>
      <c r="Q79" s="153" t="s">
        <v>17</v>
      </c>
      <c r="R79" s="96" t="str">
        <f t="shared" si="13"/>
        <v>Equipment Reliability - Planned TA &amp; Planned SD_Loss_Percentage_LJ</v>
      </c>
      <c r="S79" s="268">
        <f t="shared" si="15"/>
        <v>0</v>
      </c>
      <c r="T79">
        <f t="shared" si="14"/>
        <v>0</v>
      </c>
      <c r="U79" t="s">
        <v>876</v>
      </c>
    </row>
    <row r="80" spans="15:35">
      <c r="O80" s="95" t="s">
        <v>675</v>
      </c>
      <c r="P80" s="95" t="s">
        <v>682</v>
      </c>
      <c r="Q80" s="153" t="s">
        <v>665</v>
      </c>
      <c r="R80" s="96" t="str">
        <f t="shared" si="13"/>
        <v>Available running OEE - Running hours_Loss_Percentage_LJ</v>
      </c>
      <c r="S80" s="268">
        <f t="shared" si="15"/>
        <v>1</v>
      </c>
      <c r="T80">
        <f t="shared" si="14"/>
        <v>0</v>
      </c>
      <c r="U80" t="s">
        <v>876</v>
      </c>
    </row>
    <row r="81" spans="15:21">
      <c r="O81" s="95" t="s">
        <v>675</v>
      </c>
      <c r="P81" s="95" t="s">
        <v>682</v>
      </c>
      <c r="Q81" s="153" t="s">
        <v>18</v>
      </c>
      <c r="R81" s="96" t="str">
        <f t="shared" si="13"/>
        <v>Equipment Reliability - Equipment Failure_Loss_Percentage_LJ</v>
      </c>
      <c r="S81" s="268">
        <f t="shared" si="15"/>
        <v>0</v>
      </c>
      <c r="T81">
        <f t="shared" si="14"/>
        <v>0</v>
      </c>
      <c r="U81" t="s">
        <v>876</v>
      </c>
    </row>
    <row r="82" spans="15:21">
      <c r="O82" s="95" t="s">
        <v>675</v>
      </c>
      <c r="P82" s="95" t="s">
        <v>682</v>
      </c>
      <c r="Q82" s="153" t="s">
        <v>1</v>
      </c>
      <c r="R82" s="96" t="str">
        <f t="shared" si="13"/>
        <v>Operational Reliability_Loss_Percentage_LJ</v>
      </c>
      <c r="S82" s="268">
        <f t="shared" si="15"/>
        <v>0</v>
      </c>
      <c r="T82">
        <f t="shared" si="14"/>
        <v>0</v>
      </c>
      <c r="U82" t="s">
        <v>876</v>
      </c>
    </row>
    <row r="83" spans="15:21">
      <c r="O83" s="95" t="s">
        <v>675</v>
      </c>
      <c r="P83" s="95" t="s">
        <v>682</v>
      </c>
      <c r="Q83" s="153" t="s">
        <v>2</v>
      </c>
      <c r="R83" s="96" t="str">
        <f t="shared" si="13"/>
        <v>Technology Reliability_Loss_Percentage_LJ</v>
      </c>
      <c r="S83" s="268">
        <f t="shared" si="15"/>
        <v>0</v>
      </c>
      <c r="T83">
        <f t="shared" si="14"/>
        <v>0</v>
      </c>
      <c r="U83" t="s">
        <v>876</v>
      </c>
    </row>
    <row r="84" spans="15:21">
      <c r="O84" s="95" t="s">
        <v>675</v>
      </c>
      <c r="P84" s="95" t="s">
        <v>682</v>
      </c>
      <c r="Q84" s="153" t="s">
        <v>3</v>
      </c>
      <c r="R84" s="96" t="str">
        <f t="shared" si="13"/>
        <v>Material Reliability_Loss_Percentage_LJ</v>
      </c>
      <c r="S84" s="268">
        <f t="shared" si="15"/>
        <v>0</v>
      </c>
      <c r="T84">
        <f t="shared" si="14"/>
        <v>0</v>
      </c>
      <c r="U84" t="s">
        <v>876</v>
      </c>
    </row>
    <row r="85" spans="15:21">
      <c r="O85" s="95" t="s">
        <v>675</v>
      </c>
      <c r="P85" s="95" t="s">
        <v>682</v>
      </c>
      <c r="Q85" s="153" t="s">
        <v>4</v>
      </c>
      <c r="R85" s="96" t="str">
        <f t="shared" si="13"/>
        <v>Logistics/Supply Reliability_Loss_Percentage_LJ</v>
      </c>
      <c r="S85" s="268">
        <f t="shared" si="15"/>
        <v>0</v>
      </c>
      <c r="T85">
        <f t="shared" si="14"/>
        <v>0</v>
      </c>
      <c r="U85" t="s">
        <v>876</v>
      </c>
    </row>
    <row r="86" spans="15:21">
      <c r="O86" s="95" t="s">
        <v>675</v>
      </c>
      <c r="P86" s="95" t="s">
        <v>682</v>
      </c>
      <c r="Q86" s="153" t="s">
        <v>5</v>
      </c>
      <c r="R86" s="96" t="str">
        <f t="shared" si="13"/>
        <v>External Reliability_Loss_Percentage_LJ</v>
      </c>
      <c r="S86" s="268">
        <f t="shared" si="15"/>
        <v>0</v>
      </c>
      <c r="T86">
        <f t="shared" si="14"/>
        <v>0</v>
      </c>
      <c r="U86" t="s">
        <v>876</v>
      </c>
    </row>
    <row r="87" spans="15:21">
      <c r="O87" s="95" t="s">
        <v>675</v>
      </c>
      <c r="P87" s="95" t="s">
        <v>682</v>
      </c>
      <c r="Q87" s="153" t="s">
        <v>11</v>
      </c>
      <c r="R87" s="96" t="str">
        <f t="shared" si="13"/>
        <v>Other Reliability_Loss_Percentage_LJ</v>
      </c>
      <c r="S87" s="268">
        <f t="shared" si="15"/>
        <v>0</v>
      </c>
      <c r="T87">
        <f t="shared" si="14"/>
        <v>0</v>
      </c>
      <c r="U87" t="s">
        <v>876</v>
      </c>
    </row>
    <row r="88" spans="15:21">
      <c r="O88" s="95" t="s">
        <v>675</v>
      </c>
      <c r="P88" s="95" t="s">
        <v>682</v>
      </c>
      <c r="Q88" s="153" t="s">
        <v>15</v>
      </c>
      <c r="R88" s="96" t="str">
        <f t="shared" si="13"/>
        <v>Unspecified_Loss_Percentage_LJ</v>
      </c>
      <c r="S88" s="268">
        <f t="shared" si="15"/>
        <v>0</v>
      </c>
      <c r="T88">
        <f t="shared" si="14"/>
        <v>0</v>
      </c>
      <c r="U88" t="s">
        <v>876</v>
      </c>
    </row>
    <row r="89" spans="15:21">
      <c r="O89" s="95" t="s">
        <v>675</v>
      </c>
      <c r="P89" s="95" t="s">
        <v>682</v>
      </c>
      <c r="Q89" s="153" t="s">
        <v>16</v>
      </c>
      <c r="R89" s="96" t="str">
        <f t="shared" si="13"/>
        <v>Undetected_Loss_Percentage_LJ</v>
      </c>
      <c r="S89" s="268">
        <f t="shared" si="15"/>
        <v>0</v>
      </c>
      <c r="T89">
        <f t="shared" si="14"/>
        <v>0</v>
      </c>
      <c r="U89" t="s">
        <v>876</v>
      </c>
    </row>
    <row r="90" spans="15:21">
      <c r="O90" s="95" t="s">
        <v>675</v>
      </c>
      <c r="P90" s="95" t="s">
        <v>682</v>
      </c>
      <c r="Q90" s="153" t="s">
        <v>664</v>
      </c>
      <c r="R90" s="96" t="str">
        <f t="shared" si="13"/>
        <v>Exception hours_Loss_Percentage_LJ</v>
      </c>
      <c r="S90" s="268">
        <f t="shared" si="15"/>
        <v>0</v>
      </c>
      <c r="T90">
        <f t="shared" si="14"/>
        <v>0</v>
      </c>
      <c r="U90" t="s">
        <v>876</v>
      </c>
    </row>
    <row r="91" spans="15:21">
      <c r="O91" s="95" t="s">
        <v>675</v>
      </c>
      <c r="P91" s="95" t="s">
        <v>682</v>
      </c>
      <c r="Q91" s="153" t="s">
        <v>703</v>
      </c>
      <c r="R91" s="96" t="str">
        <f t="shared" si="13"/>
        <v>Extra loss hours in baseline due to MAC change_Loss_Percentage_LJ</v>
      </c>
      <c r="S91" s="268">
        <f t="shared" si="15"/>
        <v>0</v>
      </c>
      <c r="T91">
        <f t="shared" si="14"/>
        <v>0</v>
      </c>
      <c r="U91" t="s">
        <v>876</v>
      </c>
    </row>
    <row r="92" spans="15:21">
      <c r="O92" s="95" t="s">
        <v>675</v>
      </c>
      <c r="P92" s="95" t="s">
        <v>682</v>
      </c>
      <c r="Q92" s="153" t="s">
        <v>705</v>
      </c>
      <c r="R92" s="96" t="str">
        <f t="shared" si="13"/>
        <v>Improvement target not assigned_Loss_Percentage_LJ</v>
      </c>
      <c r="S92" s="268">
        <f t="shared" si="15"/>
        <v>0</v>
      </c>
      <c r="T92">
        <f t="shared" si="14"/>
        <v>0</v>
      </c>
      <c r="U92" t="s">
        <v>876</v>
      </c>
    </row>
    <row r="93" spans="15:21">
      <c r="O93" s="95" t="s">
        <v>675</v>
      </c>
      <c r="P93" s="95" t="s">
        <v>682</v>
      </c>
      <c r="Q93" s="153" t="s">
        <v>397</v>
      </c>
      <c r="R93" s="96" t="str">
        <f t="shared" si="13"/>
        <v>Sum OEE losses (exluding Planned Maintenance)_Loss_Percentage_LJ</v>
      </c>
      <c r="S93" s="268">
        <f t="shared" si="15"/>
        <v>0</v>
      </c>
      <c r="T93">
        <f t="shared" si="14"/>
        <v>0</v>
      </c>
      <c r="U93" t="s">
        <v>876</v>
      </c>
    </row>
    <row r="94" spans="15:21">
      <c r="O94" s="95" t="s">
        <v>675</v>
      </c>
      <c r="P94" s="95" t="s">
        <v>682</v>
      </c>
      <c r="Q94" s="153" t="s">
        <v>398</v>
      </c>
      <c r="R94" s="96" t="str">
        <f t="shared" si="13"/>
        <v>Sum OEE losses (Including Planned Maintenance)_Loss_Percentage_LJ</v>
      </c>
      <c r="S94" s="268">
        <f t="shared" si="15"/>
        <v>0</v>
      </c>
      <c r="T94">
        <f t="shared" si="14"/>
        <v>0</v>
      </c>
      <c r="U94" t="s">
        <v>876</v>
      </c>
    </row>
    <row r="95" spans="15:21">
      <c r="O95" s="95" t="s">
        <v>675</v>
      </c>
      <c r="P95" s="95" t="s">
        <v>682</v>
      </c>
      <c r="Q95" s="153" t="s">
        <v>712</v>
      </c>
      <c r="R95" s="96" t="str">
        <f t="shared" si="13"/>
        <v>Production hours on MAC (h) / OEE (%)_Loss_Percentage_LJ</v>
      </c>
      <c r="S95" s="268">
        <f t="shared" si="15"/>
        <v>1</v>
      </c>
      <c r="T95">
        <f t="shared" si="14"/>
        <v>0</v>
      </c>
      <c r="U95" t="s">
        <v>876</v>
      </c>
    </row>
    <row r="96" spans="15:21">
      <c r="O96" s="95" t="s">
        <v>676</v>
      </c>
      <c r="P96" s="95" t="s">
        <v>725</v>
      </c>
      <c r="Q96" s="142" t="s">
        <v>13</v>
      </c>
      <c r="R96" s="96" t="str">
        <f t="shared" si="13"/>
        <v>MAC - Calender hours_Corrected_loss_hours_LY</v>
      </c>
      <c r="S96" s="265">
        <f>D25</f>
        <v>8760</v>
      </c>
      <c r="T96">
        <f t="shared" si="14"/>
        <v>0</v>
      </c>
      <c r="U96" t="s">
        <v>876</v>
      </c>
    </row>
    <row r="97" spans="15:21">
      <c r="O97" s="95" t="s">
        <v>676</v>
      </c>
      <c r="P97" s="95" t="s">
        <v>725</v>
      </c>
      <c r="Q97" s="152" t="s">
        <v>7</v>
      </c>
      <c r="R97" s="96" t="str">
        <f t="shared" si="13"/>
        <v>Commercial Reliability_Corrected_loss_hours_LY</v>
      </c>
      <c r="S97" s="265">
        <f t="shared" ref="S97:S116" si="16">D26</f>
        <v>0</v>
      </c>
      <c r="T97">
        <f t="shared" si="14"/>
        <v>0</v>
      </c>
      <c r="U97" t="s">
        <v>876</v>
      </c>
    </row>
    <row r="98" spans="15:21">
      <c r="O98" s="95" t="s">
        <v>676</v>
      </c>
      <c r="P98" s="95" t="s">
        <v>725</v>
      </c>
      <c r="Q98" s="152" t="s">
        <v>704</v>
      </c>
      <c r="R98" s="96" t="str">
        <f t="shared" si="13"/>
        <v>Exception hours (loss excluded from OEE)_Corrected_loss_hours_LY</v>
      </c>
      <c r="S98" s="265">
        <f t="shared" si="16"/>
        <v>0</v>
      </c>
      <c r="T98">
        <f t="shared" si="14"/>
        <v>0</v>
      </c>
      <c r="U98" t="s">
        <v>876</v>
      </c>
    </row>
    <row r="99" spans="15:21">
      <c r="O99" s="95" t="s">
        <v>676</v>
      </c>
      <c r="P99" s="95" t="s">
        <v>725</v>
      </c>
      <c r="Q99" s="152" t="s">
        <v>14</v>
      </c>
      <c r="R99" s="96" t="str">
        <f t="shared" si="13"/>
        <v>Available OEE - Scheduled hours_Corrected_loss_hours_LY</v>
      </c>
      <c r="S99" s="265">
        <f t="shared" si="16"/>
        <v>8760</v>
      </c>
      <c r="T99">
        <f t="shared" si="14"/>
        <v>0</v>
      </c>
      <c r="U99" t="s">
        <v>876</v>
      </c>
    </row>
    <row r="100" spans="15:21">
      <c r="O100" s="95" t="s">
        <v>676</v>
      </c>
      <c r="P100" s="95" t="s">
        <v>725</v>
      </c>
      <c r="Q100" s="152" t="s">
        <v>17</v>
      </c>
      <c r="R100" s="96" t="str">
        <f t="shared" si="13"/>
        <v>Equipment Reliability - Planned TA &amp; Planned SD_Corrected_loss_hours_LY</v>
      </c>
      <c r="S100" s="265">
        <f t="shared" si="16"/>
        <v>0</v>
      </c>
      <c r="T100">
        <f t="shared" si="14"/>
        <v>0</v>
      </c>
      <c r="U100" t="s">
        <v>876</v>
      </c>
    </row>
    <row r="101" spans="15:21">
      <c r="O101" s="95" t="s">
        <v>676</v>
      </c>
      <c r="P101" s="95" t="s">
        <v>725</v>
      </c>
      <c r="Q101" s="152" t="s">
        <v>665</v>
      </c>
      <c r="R101" s="96" t="str">
        <f t="shared" si="13"/>
        <v>Available running OEE - Running hours_Corrected_loss_hours_LY</v>
      </c>
      <c r="S101" s="265">
        <f t="shared" si="16"/>
        <v>8760</v>
      </c>
      <c r="T101">
        <f t="shared" si="14"/>
        <v>0</v>
      </c>
      <c r="U101" t="s">
        <v>876</v>
      </c>
    </row>
    <row r="102" spans="15:21">
      <c r="O102" s="95" t="s">
        <v>676</v>
      </c>
      <c r="P102" s="95" t="s">
        <v>725</v>
      </c>
      <c r="Q102" s="152" t="s">
        <v>18</v>
      </c>
      <c r="R102" s="96" t="str">
        <f t="shared" si="13"/>
        <v>Equipment Reliability - Equipment Failure_Corrected_loss_hours_LY</v>
      </c>
      <c r="S102" s="265">
        <f t="shared" si="16"/>
        <v>0</v>
      </c>
      <c r="T102">
        <f t="shared" si="14"/>
        <v>0</v>
      </c>
      <c r="U102" t="s">
        <v>876</v>
      </c>
    </row>
    <row r="103" spans="15:21">
      <c r="O103" s="95" t="s">
        <v>676</v>
      </c>
      <c r="P103" s="95" t="s">
        <v>725</v>
      </c>
      <c r="Q103" s="152" t="s">
        <v>1</v>
      </c>
      <c r="R103" s="96" t="str">
        <f t="shared" si="13"/>
        <v>Operational Reliability_Corrected_loss_hours_LY</v>
      </c>
      <c r="S103" s="265">
        <f t="shared" si="16"/>
        <v>0</v>
      </c>
      <c r="T103">
        <f t="shared" si="14"/>
        <v>0</v>
      </c>
      <c r="U103" t="s">
        <v>876</v>
      </c>
    </row>
    <row r="104" spans="15:21">
      <c r="O104" s="95" t="s">
        <v>676</v>
      </c>
      <c r="P104" s="95" t="s">
        <v>725</v>
      </c>
      <c r="Q104" s="152" t="s">
        <v>2</v>
      </c>
      <c r="R104" s="96" t="str">
        <f t="shared" si="13"/>
        <v>Technology Reliability_Corrected_loss_hours_LY</v>
      </c>
      <c r="S104" s="265">
        <f t="shared" si="16"/>
        <v>0</v>
      </c>
      <c r="T104">
        <f t="shared" si="14"/>
        <v>0</v>
      </c>
      <c r="U104" t="s">
        <v>876</v>
      </c>
    </row>
    <row r="105" spans="15:21">
      <c r="O105" s="95" t="s">
        <v>676</v>
      </c>
      <c r="P105" s="95" t="s">
        <v>725</v>
      </c>
      <c r="Q105" s="152" t="s">
        <v>3</v>
      </c>
      <c r="R105" s="96" t="str">
        <f t="shared" si="13"/>
        <v>Material Reliability_Corrected_loss_hours_LY</v>
      </c>
      <c r="S105" s="265">
        <f t="shared" si="16"/>
        <v>0</v>
      </c>
      <c r="T105">
        <f t="shared" si="14"/>
        <v>0</v>
      </c>
      <c r="U105" t="s">
        <v>876</v>
      </c>
    </row>
    <row r="106" spans="15:21">
      <c r="O106" s="95" t="s">
        <v>676</v>
      </c>
      <c r="P106" s="95" t="s">
        <v>725</v>
      </c>
      <c r="Q106" s="152" t="s">
        <v>4</v>
      </c>
      <c r="R106" s="96" t="str">
        <f t="shared" si="13"/>
        <v>Logistics/Supply Reliability_Corrected_loss_hours_LY</v>
      </c>
      <c r="S106" s="265">
        <f t="shared" si="16"/>
        <v>0</v>
      </c>
      <c r="T106">
        <f t="shared" si="14"/>
        <v>0</v>
      </c>
      <c r="U106" t="s">
        <v>876</v>
      </c>
    </row>
    <row r="107" spans="15:21">
      <c r="O107" s="95" t="s">
        <v>676</v>
      </c>
      <c r="P107" s="95" t="s">
        <v>725</v>
      </c>
      <c r="Q107" s="152" t="s">
        <v>5</v>
      </c>
      <c r="R107" s="96" t="str">
        <f t="shared" si="13"/>
        <v>External Reliability_Corrected_loss_hours_LY</v>
      </c>
      <c r="S107" s="265">
        <f t="shared" si="16"/>
        <v>0</v>
      </c>
      <c r="T107">
        <f t="shared" si="14"/>
        <v>0</v>
      </c>
      <c r="U107" t="s">
        <v>876</v>
      </c>
    </row>
    <row r="108" spans="15:21">
      <c r="O108" s="95" t="s">
        <v>676</v>
      </c>
      <c r="P108" s="95" t="s">
        <v>725</v>
      </c>
      <c r="Q108" s="152" t="s">
        <v>11</v>
      </c>
      <c r="R108" s="96" t="str">
        <f t="shared" si="13"/>
        <v>Other Reliability_Corrected_loss_hours_LY</v>
      </c>
      <c r="S108" s="265">
        <f t="shared" si="16"/>
        <v>0</v>
      </c>
      <c r="T108">
        <f t="shared" si="14"/>
        <v>0</v>
      </c>
      <c r="U108" t="s">
        <v>876</v>
      </c>
    </row>
    <row r="109" spans="15:21">
      <c r="O109" s="95" t="s">
        <v>676</v>
      </c>
      <c r="P109" s="95" t="s">
        <v>725</v>
      </c>
      <c r="Q109" s="152" t="s">
        <v>15</v>
      </c>
      <c r="R109" s="96" t="str">
        <f t="shared" si="13"/>
        <v>Unspecified_Corrected_loss_hours_LY</v>
      </c>
      <c r="S109" s="265">
        <f t="shared" si="16"/>
        <v>0</v>
      </c>
      <c r="T109">
        <f t="shared" si="14"/>
        <v>0</v>
      </c>
      <c r="U109" t="s">
        <v>876</v>
      </c>
    </row>
    <row r="110" spans="15:21">
      <c r="O110" s="95" t="s">
        <v>676</v>
      </c>
      <c r="P110" s="95" t="s">
        <v>725</v>
      </c>
      <c r="Q110" s="152" t="s">
        <v>16</v>
      </c>
      <c r="R110" s="96" t="str">
        <f t="shared" si="13"/>
        <v>Undetected_Corrected_loss_hours_LY</v>
      </c>
      <c r="S110" s="265">
        <f t="shared" si="16"/>
        <v>0</v>
      </c>
      <c r="T110">
        <f t="shared" si="14"/>
        <v>0</v>
      </c>
      <c r="U110" t="s">
        <v>876</v>
      </c>
    </row>
    <row r="111" spans="15:21">
      <c r="O111" s="95" t="s">
        <v>676</v>
      </c>
      <c r="P111" s="95" t="s">
        <v>725</v>
      </c>
      <c r="Q111" s="152" t="s">
        <v>664</v>
      </c>
      <c r="R111" s="96" t="str">
        <f t="shared" si="13"/>
        <v>Exception hours_Corrected_loss_hours_LY</v>
      </c>
      <c r="S111" s="265">
        <f t="shared" si="16"/>
        <v>0</v>
      </c>
      <c r="T111">
        <f t="shared" si="14"/>
        <v>0</v>
      </c>
      <c r="U111" t="s">
        <v>876</v>
      </c>
    </row>
    <row r="112" spans="15:21">
      <c r="O112" s="95" t="s">
        <v>676</v>
      </c>
      <c r="P112" s="95" t="s">
        <v>725</v>
      </c>
      <c r="Q112" s="152" t="s">
        <v>703</v>
      </c>
      <c r="R112" s="96" t="str">
        <f t="shared" si="13"/>
        <v>Extra loss hours in baseline due to MAC change_Corrected_loss_hours_LY</v>
      </c>
      <c r="S112" s="265">
        <f t="shared" si="16"/>
        <v>0</v>
      </c>
      <c r="T112">
        <f t="shared" si="14"/>
        <v>0</v>
      </c>
      <c r="U112" t="s">
        <v>876</v>
      </c>
    </row>
    <row r="113" spans="15:21">
      <c r="O113" s="95" t="s">
        <v>676</v>
      </c>
      <c r="P113" s="95" t="s">
        <v>725</v>
      </c>
      <c r="Q113" s="152" t="s">
        <v>705</v>
      </c>
      <c r="R113" s="96" t="str">
        <f t="shared" si="13"/>
        <v>Improvement target not assigned_Corrected_loss_hours_LY</v>
      </c>
      <c r="S113" s="265">
        <f t="shared" si="16"/>
        <v>0</v>
      </c>
      <c r="T113">
        <f t="shared" si="14"/>
        <v>0</v>
      </c>
      <c r="U113" t="s">
        <v>876</v>
      </c>
    </row>
    <row r="114" spans="15:21">
      <c r="O114" s="95" t="s">
        <v>676</v>
      </c>
      <c r="P114" s="95" t="s">
        <v>725</v>
      </c>
      <c r="Q114" s="152" t="s">
        <v>397</v>
      </c>
      <c r="R114" s="96" t="str">
        <f t="shared" si="13"/>
        <v>Sum OEE losses (exluding Planned Maintenance)_Corrected_loss_hours_LY</v>
      </c>
      <c r="S114" s="265">
        <f t="shared" si="16"/>
        <v>0</v>
      </c>
      <c r="T114">
        <f t="shared" si="14"/>
        <v>0</v>
      </c>
      <c r="U114" t="s">
        <v>876</v>
      </c>
    </row>
    <row r="115" spans="15:21">
      <c r="O115" s="95" t="s">
        <v>676</v>
      </c>
      <c r="P115" s="95" t="s">
        <v>725</v>
      </c>
      <c r="Q115" s="152" t="s">
        <v>398</v>
      </c>
      <c r="R115" s="96" t="str">
        <f t="shared" si="13"/>
        <v>Sum OEE losses (Including Planned Maintenance)_Corrected_loss_hours_LY</v>
      </c>
      <c r="S115" s="265">
        <f t="shared" si="16"/>
        <v>0</v>
      </c>
      <c r="T115">
        <f t="shared" si="14"/>
        <v>0</v>
      </c>
      <c r="U115" t="s">
        <v>876</v>
      </c>
    </row>
    <row r="116" spans="15:21">
      <c r="O116" s="95" t="s">
        <v>676</v>
      </c>
      <c r="P116" s="95" t="s">
        <v>725</v>
      </c>
      <c r="Q116" s="152" t="s">
        <v>712</v>
      </c>
      <c r="R116" s="96" t="str">
        <f t="shared" si="13"/>
        <v>Production hours on MAC (h) / OEE (%)_Corrected_loss_hours_LY</v>
      </c>
      <c r="S116" s="265">
        <f t="shared" si="16"/>
        <v>8760</v>
      </c>
      <c r="T116">
        <f t="shared" si="14"/>
        <v>0</v>
      </c>
      <c r="U116" t="s">
        <v>876</v>
      </c>
    </row>
    <row r="117" spans="15:21">
      <c r="O117" s="95" t="s">
        <v>677</v>
      </c>
      <c r="P117" s="95" t="s">
        <v>726</v>
      </c>
      <c r="Q117" s="143" t="s">
        <v>13</v>
      </c>
      <c r="R117" s="96" t="str">
        <f t="shared" si="13"/>
        <v>MAC - Calender hours_Corrected_loss_percentage_LY</v>
      </c>
      <c r="S117" s="264">
        <f>E25</f>
        <v>0</v>
      </c>
      <c r="T117">
        <f t="shared" si="14"/>
        <v>0</v>
      </c>
      <c r="U117" t="s">
        <v>876</v>
      </c>
    </row>
    <row r="118" spans="15:21">
      <c r="O118" s="95" t="s">
        <v>677</v>
      </c>
      <c r="P118" s="95" t="s">
        <v>726</v>
      </c>
      <c r="Q118" s="153" t="s">
        <v>7</v>
      </c>
      <c r="R118" s="96" t="str">
        <f t="shared" si="13"/>
        <v>Commercial Reliability_Corrected_loss_percentage_LY</v>
      </c>
      <c r="S118" s="264">
        <f t="shared" ref="S118:S137" si="17">E26</f>
        <v>0</v>
      </c>
      <c r="T118">
        <f t="shared" si="14"/>
        <v>0</v>
      </c>
      <c r="U118" t="s">
        <v>876</v>
      </c>
    </row>
    <row r="119" spans="15:21">
      <c r="O119" s="95" t="s">
        <v>677</v>
      </c>
      <c r="P119" s="95" t="s">
        <v>726</v>
      </c>
      <c r="Q119" s="153" t="s">
        <v>704</v>
      </c>
      <c r="R119" s="96" t="str">
        <f t="shared" si="13"/>
        <v>Exception hours (loss excluded from OEE)_Corrected_loss_percentage_LY</v>
      </c>
      <c r="S119" s="264">
        <f t="shared" si="17"/>
        <v>0</v>
      </c>
      <c r="T119">
        <f t="shared" si="14"/>
        <v>0</v>
      </c>
      <c r="U119" t="s">
        <v>876</v>
      </c>
    </row>
    <row r="120" spans="15:21">
      <c r="O120" s="95" t="s">
        <v>677</v>
      </c>
      <c r="P120" s="95" t="s">
        <v>726</v>
      </c>
      <c r="Q120" s="153" t="s">
        <v>14</v>
      </c>
      <c r="R120" s="96" t="str">
        <f t="shared" si="13"/>
        <v>Available OEE - Scheduled hours_Corrected_loss_percentage_LY</v>
      </c>
      <c r="S120" s="264">
        <f t="shared" si="17"/>
        <v>1</v>
      </c>
      <c r="T120">
        <f t="shared" si="14"/>
        <v>0</v>
      </c>
      <c r="U120" t="s">
        <v>876</v>
      </c>
    </row>
    <row r="121" spans="15:21">
      <c r="O121" s="95" t="s">
        <v>677</v>
      </c>
      <c r="P121" s="95" t="s">
        <v>726</v>
      </c>
      <c r="Q121" s="153" t="s">
        <v>17</v>
      </c>
      <c r="R121" s="96" t="str">
        <f t="shared" si="13"/>
        <v>Equipment Reliability - Planned TA &amp; Planned SD_Corrected_loss_percentage_LY</v>
      </c>
      <c r="S121" s="264">
        <f t="shared" si="17"/>
        <v>0</v>
      </c>
      <c r="T121">
        <f t="shared" si="14"/>
        <v>0</v>
      </c>
      <c r="U121" t="s">
        <v>876</v>
      </c>
    </row>
    <row r="122" spans="15:21">
      <c r="O122" s="95" t="s">
        <v>677</v>
      </c>
      <c r="P122" s="95" t="s">
        <v>726</v>
      </c>
      <c r="Q122" s="153" t="s">
        <v>665</v>
      </c>
      <c r="R122" s="96" t="str">
        <f t="shared" si="13"/>
        <v>Available running OEE - Running hours_Corrected_loss_percentage_LY</v>
      </c>
      <c r="S122" s="264">
        <f t="shared" si="17"/>
        <v>1</v>
      </c>
      <c r="T122">
        <f t="shared" si="14"/>
        <v>0</v>
      </c>
      <c r="U122" t="s">
        <v>876</v>
      </c>
    </row>
    <row r="123" spans="15:21">
      <c r="O123" s="95" t="s">
        <v>677</v>
      </c>
      <c r="P123" s="95" t="s">
        <v>726</v>
      </c>
      <c r="Q123" s="153" t="s">
        <v>18</v>
      </c>
      <c r="R123" s="96" t="str">
        <f t="shared" si="13"/>
        <v>Equipment Reliability - Equipment Failure_Corrected_loss_percentage_LY</v>
      </c>
      <c r="S123" s="264">
        <f t="shared" si="17"/>
        <v>0</v>
      </c>
      <c r="T123">
        <f t="shared" si="14"/>
        <v>0</v>
      </c>
      <c r="U123" t="s">
        <v>876</v>
      </c>
    </row>
    <row r="124" spans="15:21">
      <c r="O124" s="95" t="s">
        <v>677</v>
      </c>
      <c r="P124" s="95" t="s">
        <v>726</v>
      </c>
      <c r="Q124" s="153" t="s">
        <v>1</v>
      </c>
      <c r="R124" s="96" t="str">
        <f t="shared" si="13"/>
        <v>Operational Reliability_Corrected_loss_percentage_LY</v>
      </c>
      <c r="S124" s="264">
        <f t="shared" si="17"/>
        <v>0</v>
      </c>
      <c r="T124">
        <f t="shared" si="14"/>
        <v>0</v>
      </c>
      <c r="U124" t="s">
        <v>876</v>
      </c>
    </row>
    <row r="125" spans="15:21">
      <c r="O125" s="95" t="s">
        <v>677</v>
      </c>
      <c r="P125" s="95" t="s">
        <v>726</v>
      </c>
      <c r="Q125" s="153" t="s">
        <v>2</v>
      </c>
      <c r="R125" s="96" t="str">
        <f t="shared" si="13"/>
        <v>Technology Reliability_Corrected_loss_percentage_LY</v>
      </c>
      <c r="S125" s="264">
        <f t="shared" si="17"/>
        <v>0</v>
      </c>
      <c r="T125">
        <f t="shared" si="14"/>
        <v>0</v>
      </c>
      <c r="U125" t="s">
        <v>876</v>
      </c>
    </row>
    <row r="126" spans="15:21">
      <c r="O126" s="95" t="s">
        <v>677</v>
      </c>
      <c r="P126" s="95" t="s">
        <v>726</v>
      </c>
      <c r="Q126" s="153" t="s">
        <v>3</v>
      </c>
      <c r="R126" s="96" t="str">
        <f t="shared" si="13"/>
        <v>Material Reliability_Corrected_loss_percentage_LY</v>
      </c>
      <c r="S126" s="264">
        <f t="shared" si="17"/>
        <v>0</v>
      </c>
      <c r="T126">
        <f t="shared" si="14"/>
        <v>0</v>
      </c>
      <c r="U126" t="s">
        <v>876</v>
      </c>
    </row>
    <row r="127" spans="15:21">
      <c r="O127" s="95" t="s">
        <v>677</v>
      </c>
      <c r="P127" s="95" t="s">
        <v>726</v>
      </c>
      <c r="Q127" s="153" t="s">
        <v>4</v>
      </c>
      <c r="R127" s="96" t="str">
        <f t="shared" si="13"/>
        <v>Logistics/Supply Reliability_Corrected_loss_percentage_LY</v>
      </c>
      <c r="S127" s="264">
        <f t="shared" si="17"/>
        <v>0</v>
      </c>
      <c r="T127">
        <f t="shared" si="14"/>
        <v>0</v>
      </c>
      <c r="U127" t="s">
        <v>876</v>
      </c>
    </row>
    <row r="128" spans="15:21">
      <c r="O128" s="95" t="s">
        <v>677</v>
      </c>
      <c r="P128" s="95" t="s">
        <v>726</v>
      </c>
      <c r="Q128" s="153" t="s">
        <v>5</v>
      </c>
      <c r="R128" s="96" t="str">
        <f t="shared" si="13"/>
        <v>External Reliability_Corrected_loss_percentage_LY</v>
      </c>
      <c r="S128" s="264">
        <f t="shared" si="17"/>
        <v>0</v>
      </c>
      <c r="T128">
        <f t="shared" si="14"/>
        <v>0</v>
      </c>
      <c r="U128" t="s">
        <v>876</v>
      </c>
    </row>
    <row r="129" spans="15:21">
      <c r="O129" s="95" t="s">
        <v>677</v>
      </c>
      <c r="P129" s="95" t="s">
        <v>726</v>
      </c>
      <c r="Q129" s="153" t="s">
        <v>11</v>
      </c>
      <c r="R129" s="96" t="str">
        <f t="shared" si="13"/>
        <v>Other Reliability_Corrected_loss_percentage_LY</v>
      </c>
      <c r="S129" s="264">
        <f t="shared" si="17"/>
        <v>0</v>
      </c>
      <c r="T129">
        <f t="shared" si="14"/>
        <v>0</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f t="shared" si="14"/>
        <v>0</v>
      </c>
      <c r="U130" t="s">
        <v>876</v>
      </c>
    </row>
    <row r="131" spans="15:21">
      <c r="O131" s="95" t="s">
        <v>677</v>
      </c>
      <c r="P131" s="95" t="s">
        <v>726</v>
      </c>
      <c r="Q131" s="153" t="s">
        <v>16</v>
      </c>
      <c r="R131" s="96" t="str">
        <f t="shared" si="18"/>
        <v>Undetected_Corrected_loss_percentage_LY</v>
      </c>
      <c r="S131" s="264">
        <f t="shared" si="17"/>
        <v>0</v>
      </c>
      <c r="T131">
        <f t="shared" ref="T131:T194" si="19">$B$2</f>
        <v>0</v>
      </c>
      <c r="U131" t="s">
        <v>876</v>
      </c>
    </row>
    <row r="132" spans="15:21">
      <c r="O132" s="95" t="s">
        <v>677</v>
      </c>
      <c r="P132" s="95" t="s">
        <v>726</v>
      </c>
      <c r="Q132" s="153" t="s">
        <v>664</v>
      </c>
      <c r="R132" s="96" t="str">
        <f t="shared" si="18"/>
        <v>Exception hours_Corrected_loss_percentage_LY</v>
      </c>
      <c r="S132" s="264">
        <f t="shared" si="17"/>
        <v>0</v>
      </c>
      <c r="T132">
        <f t="shared" si="19"/>
        <v>0</v>
      </c>
      <c r="U132" t="s">
        <v>876</v>
      </c>
    </row>
    <row r="133" spans="15:21">
      <c r="O133" s="95" t="s">
        <v>677</v>
      </c>
      <c r="P133" s="95" t="s">
        <v>726</v>
      </c>
      <c r="Q133" s="153" t="s">
        <v>703</v>
      </c>
      <c r="R133" s="96" t="str">
        <f t="shared" si="18"/>
        <v>Extra loss hours in baseline due to MAC change_Corrected_loss_percentage_LY</v>
      </c>
      <c r="S133" s="264">
        <f t="shared" si="17"/>
        <v>0</v>
      </c>
      <c r="T133">
        <f t="shared" si="19"/>
        <v>0</v>
      </c>
      <c r="U133" t="s">
        <v>876</v>
      </c>
    </row>
    <row r="134" spans="15:21">
      <c r="O134" s="95" t="s">
        <v>677</v>
      </c>
      <c r="P134" s="95" t="s">
        <v>726</v>
      </c>
      <c r="Q134" s="153" t="s">
        <v>705</v>
      </c>
      <c r="R134" s="96" t="str">
        <f t="shared" si="18"/>
        <v>Improvement target not assigned_Corrected_loss_percentage_LY</v>
      </c>
      <c r="S134" s="264">
        <f t="shared" si="17"/>
        <v>0</v>
      </c>
      <c r="T134">
        <f t="shared" si="19"/>
        <v>0</v>
      </c>
      <c r="U134" t="s">
        <v>876</v>
      </c>
    </row>
    <row r="135" spans="15:21">
      <c r="O135" s="95" t="s">
        <v>677</v>
      </c>
      <c r="P135" s="95" t="s">
        <v>726</v>
      </c>
      <c r="Q135" s="153" t="s">
        <v>397</v>
      </c>
      <c r="R135" s="96" t="str">
        <f t="shared" si="18"/>
        <v>Sum OEE losses (exluding Planned Maintenance)_Corrected_loss_percentage_LY</v>
      </c>
      <c r="S135" s="264">
        <f t="shared" si="17"/>
        <v>0</v>
      </c>
      <c r="T135">
        <f t="shared" si="19"/>
        <v>0</v>
      </c>
      <c r="U135" t="s">
        <v>876</v>
      </c>
    </row>
    <row r="136" spans="15:21">
      <c r="O136" s="95" t="s">
        <v>677</v>
      </c>
      <c r="P136" s="95" t="s">
        <v>726</v>
      </c>
      <c r="Q136" s="153" t="s">
        <v>398</v>
      </c>
      <c r="R136" s="96" t="str">
        <f t="shared" si="18"/>
        <v>Sum OEE losses (Including Planned Maintenance)_Corrected_loss_percentage_LY</v>
      </c>
      <c r="S136" s="264">
        <f t="shared" si="17"/>
        <v>0</v>
      </c>
      <c r="T136">
        <f t="shared" si="19"/>
        <v>0</v>
      </c>
      <c r="U136" t="s">
        <v>876</v>
      </c>
    </row>
    <row r="137" spans="15:21">
      <c r="O137" s="95" t="s">
        <v>677</v>
      </c>
      <c r="P137" s="95" t="s">
        <v>726</v>
      </c>
      <c r="Q137" s="153" t="s">
        <v>712</v>
      </c>
      <c r="R137" s="96" t="str">
        <f t="shared" si="18"/>
        <v>Production hours on MAC (h) / OEE (%)_Corrected_loss_percentage_LY</v>
      </c>
      <c r="S137" s="264">
        <f t="shared" si="17"/>
        <v>1</v>
      </c>
      <c r="T137">
        <f t="shared" si="19"/>
        <v>0</v>
      </c>
      <c r="U137" t="s">
        <v>876</v>
      </c>
    </row>
    <row r="138" spans="15:21">
      <c r="O138" s="95" t="s">
        <v>679</v>
      </c>
      <c r="P138" s="95" t="s">
        <v>688</v>
      </c>
      <c r="Q138" s="142" t="s">
        <v>13</v>
      </c>
      <c r="R138" s="96" t="str">
        <f t="shared" si="18"/>
        <v>MAC - Calender hours_OEE Improvement_Hours</v>
      </c>
      <c r="S138" s="265">
        <f t="shared" ref="S138:S158" si="20">G25</f>
        <v>0</v>
      </c>
      <c r="T138">
        <f t="shared" si="19"/>
        <v>0</v>
      </c>
      <c r="U138" t="s">
        <v>876</v>
      </c>
    </row>
    <row r="139" spans="15:21">
      <c r="O139" s="95" t="s">
        <v>679</v>
      </c>
      <c r="P139" s="95" t="s">
        <v>688</v>
      </c>
      <c r="Q139" s="152" t="s">
        <v>7</v>
      </c>
      <c r="R139" s="96" t="str">
        <f t="shared" si="18"/>
        <v>Commercial Reliability_OEE Improvement_Hours</v>
      </c>
      <c r="S139" s="265">
        <f t="shared" si="20"/>
        <v>-86.73267326732639</v>
      </c>
      <c r="T139">
        <f t="shared" si="19"/>
        <v>0</v>
      </c>
      <c r="U139" t="s">
        <v>876</v>
      </c>
    </row>
    <row r="140" spans="15:21">
      <c r="O140" s="95" t="s">
        <v>679</v>
      </c>
      <c r="P140" s="95" t="s">
        <v>688</v>
      </c>
      <c r="Q140" s="152" t="s">
        <v>704</v>
      </c>
      <c r="R140" s="96" t="str">
        <f t="shared" si="18"/>
        <v>Exception hours (loss excluded from OEE)_OEE Improvement_Hours</v>
      </c>
      <c r="S140" s="265">
        <f t="shared" si="20"/>
        <v>0</v>
      </c>
      <c r="T140">
        <f t="shared" si="19"/>
        <v>0</v>
      </c>
      <c r="U140" t="s">
        <v>876</v>
      </c>
    </row>
    <row r="141" spans="15:21">
      <c r="O141" s="95" t="s">
        <v>679</v>
      </c>
      <c r="P141" s="95" t="s">
        <v>688</v>
      </c>
      <c r="Q141" s="152" t="s">
        <v>14</v>
      </c>
      <c r="R141" s="96" t="str">
        <f t="shared" si="18"/>
        <v>Available OEE - Scheduled hours_OEE Improvement_Hours</v>
      </c>
      <c r="S141" s="265">
        <f t="shared" si="20"/>
        <v>86.73267326732639</v>
      </c>
      <c r="T141">
        <f t="shared" si="19"/>
        <v>0</v>
      </c>
      <c r="U141" t="s">
        <v>876</v>
      </c>
    </row>
    <row r="142" spans="15:21">
      <c r="O142" s="95" t="s">
        <v>679</v>
      </c>
      <c r="P142" s="95" t="s">
        <v>688</v>
      </c>
      <c r="Q142" s="152" t="s">
        <v>17</v>
      </c>
      <c r="R142" s="96" t="str">
        <f t="shared" si="18"/>
        <v>Equipment Reliability - Planned TA &amp; Planned SD_OEE Improvement_Hours</v>
      </c>
      <c r="S142" s="265">
        <f t="shared" si="20"/>
        <v>0</v>
      </c>
      <c r="T142">
        <f t="shared" si="19"/>
        <v>0</v>
      </c>
      <c r="U142" t="s">
        <v>876</v>
      </c>
    </row>
    <row r="143" spans="15:21">
      <c r="O143" s="95" t="s">
        <v>679</v>
      </c>
      <c r="P143" s="95" t="s">
        <v>688</v>
      </c>
      <c r="Q143" s="152" t="s">
        <v>665</v>
      </c>
      <c r="R143" s="96" t="str">
        <f t="shared" si="18"/>
        <v>Available running OEE - Running hours_OEE Improvement_Hours</v>
      </c>
      <c r="S143" s="265">
        <f t="shared" si="20"/>
        <v>86.73267326732639</v>
      </c>
      <c r="T143">
        <f t="shared" si="19"/>
        <v>0</v>
      </c>
      <c r="U143" t="s">
        <v>876</v>
      </c>
    </row>
    <row r="144" spans="15:21">
      <c r="O144" s="95" t="s">
        <v>679</v>
      </c>
      <c r="P144" s="95" t="s">
        <v>688</v>
      </c>
      <c r="Q144" s="152" t="s">
        <v>18</v>
      </c>
      <c r="R144" s="96" t="str">
        <f t="shared" si="18"/>
        <v>Equipment Reliability - Equipment Failure_OEE Improvement_Hours</v>
      </c>
      <c r="S144" s="265">
        <f t="shared" si="20"/>
        <v>0</v>
      </c>
      <c r="T144">
        <f t="shared" si="19"/>
        <v>0</v>
      </c>
      <c r="U144" t="s">
        <v>876</v>
      </c>
    </row>
    <row r="145" spans="15:21">
      <c r="O145" s="95" t="s">
        <v>679</v>
      </c>
      <c r="P145" s="95" t="s">
        <v>688</v>
      </c>
      <c r="Q145" s="152" t="s">
        <v>1</v>
      </c>
      <c r="R145" s="96" t="str">
        <f t="shared" si="18"/>
        <v>Operational Reliability_OEE Improvement_Hours</v>
      </c>
      <c r="S145" s="265">
        <f t="shared" si="20"/>
        <v>0</v>
      </c>
      <c r="T145">
        <f t="shared" si="19"/>
        <v>0</v>
      </c>
      <c r="U145" t="s">
        <v>876</v>
      </c>
    </row>
    <row r="146" spans="15:21">
      <c r="O146" s="95" t="s">
        <v>679</v>
      </c>
      <c r="P146" s="95" t="s">
        <v>688</v>
      </c>
      <c r="Q146" s="152" t="s">
        <v>2</v>
      </c>
      <c r="R146" s="96" t="str">
        <f t="shared" si="18"/>
        <v>Technology Reliability_OEE Improvement_Hours</v>
      </c>
      <c r="S146" s="265">
        <f t="shared" si="20"/>
        <v>0</v>
      </c>
      <c r="T146">
        <f t="shared" si="19"/>
        <v>0</v>
      </c>
      <c r="U146" t="s">
        <v>876</v>
      </c>
    </row>
    <row r="147" spans="15:21">
      <c r="O147" s="95" t="s">
        <v>679</v>
      </c>
      <c r="P147" s="95" t="s">
        <v>688</v>
      </c>
      <c r="Q147" s="152" t="s">
        <v>3</v>
      </c>
      <c r="R147" s="96" t="str">
        <f t="shared" si="18"/>
        <v>Material Reliability_OEE Improvement_Hours</v>
      </c>
      <c r="S147" s="265">
        <f t="shared" si="20"/>
        <v>0</v>
      </c>
      <c r="T147">
        <f t="shared" si="19"/>
        <v>0</v>
      </c>
      <c r="U147" t="s">
        <v>876</v>
      </c>
    </row>
    <row r="148" spans="15:21">
      <c r="O148" s="95" t="s">
        <v>679</v>
      </c>
      <c r="P148" s="95" t="s">
        <v>688</v>
      </c>
      <c r="Q148" s="152" t="s">
        <v>4</v>
      </c>
      <c r="R148" s="96" t="str">
        <f t="shared" si="18"/>
        <v>Logistics/Supply Reliability_OEE Improvement_Hours</v>
      </c>
      <c r="S148" s="265">
        <f t="shared" si="20"/>
        <v>0</v>
      </c>
      <c r="T148">
        <f t="shared" si="19"/>
        <v>0</v>
      </c>
      <c r="U148" t="s">
        <v>876</v>
      </c>
    </row>
    <row r="149" spans="15:21">
      <c r="O149" s="95" t="s">
        <v>679</v>
      </c>
      <c r="P149" s="95" t="s">
        <v>688</v>
      </c>
      <c r="Q149" s="152" t="s">
        <v>5</v>
      </c>
      <c r="R149" s="96" t="str">
        <f t="shared" si="18"/>
        <v>External Reliability_OEE Improvement_Hours</v>
      </c>
      <c r="S149" s="265">
        <f t="shared" si="20"/>
        <v>0</v>
      </c>
      <c r="T149">
        <f t="shared" si="19"/>
        <v>0</v>
      </c>
      <c r="U149" t="s">
        <v>876</v>
      </c>
    </row>
    <row r="150" spans="15:21">
      <c r="O150" s="95" t="s">
        <v>679</v>
      </c>
      <c r="P150" s="95" t="s">
        <v>688</v>
      </c>
      <c r="Q150" s="152" t="s">
        <v>11</v>
      </c>
      <c r="R150" s="96" t="str">
        <f t="shared" si="18"/>
        <v>Other Reliability_OEE Improvement_Hours</v>
      </c>
      <c r="S150" s="265">
        <f t="shared" si="20"/>
        <v>0</v>
      </c>
      <c r="T150">
        <f t="shared" si="19"/>
        <v>0</v>
      </c>
      <c r="U150" t="s">
        <v>876</v>
      </c>
    </row>
    <row r="151" spans="15:21">
      <c r="O151" s="95" t="s">
        <v>679</v>
      </c>
      <c r="P151" s="95" t="s">
        <v>688</v>
      </c>
      <c r="Q151" s="152" t="s">
        <v>15</v>
      </c>
      <c r="R151" s="96" t="str">
        <f t="shared" si="18"/>
        <v>Unspecified_OEE Improvement_Hours</v>
      </c>
      <c r="S151" s="265">
        <f t="shared" si="20"/>
        <v>0</v>
      </c>
      <c r="T151">
        <f t="shared" si="19"/>
        <v>0</v>
      </c>
      <c r="U151" t="s">
        <v>876</v>
      </c>
    </row>
    <row r="152" spans="15:21">
      <c r="O152" s="95" t="s">
        <v>679</v>
      </c>
      <c r="P152" s="95" t="s">
        <v>688</v>
      </c>
      <c r="Q152" s="152" t="s">
        <v>16</v>
      </c>
      <c r="R152" s="96" t="str">
        <f t="shared" si="18"/>
        <v>Undetected_OEE Improvement_Hours</v>
      </c>
      <c r="S152" s="265">
        <f t="shared" si="20"/>
        <v>0</v>
      </c>
      <c r="T152">
        <f t="shared" si="19"/>
        <v>0</v>
      </c>
      <c r="U152" t="s">
        <v>876</v>
      </c>
    </row>
    <row r="153" spans="15:21">
      <c r="O153" s="95" t="s">
        <v>679</v>
      </c>
      <c r="P153" s="95" t="s">
        <v>688</v>
      </c>
      <c r="Q153" s="152" t="s">
        <v>664</v>
      </c>
      <c r="R153" s="96" t="str">
        <f t="shared" si="18"/>
        <v>Exception hours_OEE Improvement_Hours</v>
      </c>
      <c r="S153" s="265">
        <f t="shared" si="20"/>
        <v>0</v>
      </c>
      <c r="T153">
        <f t="shared" si="19"/>
        <v>0</v>
      </c>
      <c r="U153" t="s">
        <v>876</v>
      </c>
    </row>
    <row r="154" spans="15:21">
      <c r="O154" s="95" t="s">
        <v>679</v>
      </c>
      <c r="P154" s="95" t="s">
        <v>688</v>
      </c>
      <c r="Q154" s="152" t="s">
        <v>703</v>
      </c>
      <c r="R154" s="96" t="str">
        <f t="shared" si="18"/>
        <v>Extra loss hours in baseline due to MAC change_OEE Improvement_Hours</v>
      </c>
      <c r="S154" s="265">
        <f t="shared" si="20"/>
        <v>0</v>
      </c>
      <c r="T154">
        <f t="shared" si="19"/>
        <v>0</v>
      </c>
      <c r="U154" t="s">
        <v>876</v>
      </c>
    </row>
    <row r="155" spans="15:21">
      <c r="O155" s="95" t="s">
        <v>679</v>
      </c>
      <c r="P155" s="95" t="s">
        <v>688</v>
      </c>
      <c r="Q155" s="152" t="s">
        <v>705</v>
      </c>
      <c r="R155" s="96" t="str">
        <f t="shared" si="18"/>
        <v>Improvement target not assigned_OEE Improvement_Hours</v>
      </c>
      <c r="S155" s="265">
        <f t="shared" si="20"/>
        <v>0</v>
      </c>
      <c r="T155">
        <f t="shared" si="19"/>
        <v>0</v>
      </c>
      <c r="U155" t="s">
        <v>876</v>
      </c>
    </row>
    <row r="156" spans="15:21">
      <c r="O156" s="95" t="s">
        <v>679</v>
      </c>
      <c r="P156" s="95" t="s">
        <v>688</v>
      </c>
      <c r="Q156" s="152" t="s">
        <v>397</v>
      </c>
      <c r="R156" s="96" t="str">
        <f t="shared" si="18"/>
        <v>Sum OEE losses (exluding Planned Maintenance)_OEE Improvement_Hours</v>
      </c>
      <c r="S156" s="265">
        <f t="shared" si="20"/>
        <v>-86.73267326732639</v>
      </c>
      <c r="T156">
        <f t="shared" si="19"/>
        <v>0</v>
      </c>
      <c r="U156" t="s">
        <v>876</v>
      </c>
    </row>
    <row r="157" spans="15:21">
      <c r="O157" s="95" t="s">
        <v>679</v>
      </c>
      <c r="P157" s="95" t="s">
        <v>688</v>
      </c>
      <c r="Q157" s="152" t="s">
        <v>398</v>
      </c>
      <c r="R157" s="96" t="str">
        <f t="shared" si="18"/>
        <v>Sum OEE losses (Including Planned Maintenance)_OEE Improvement_Hours</v>
      </c>
      <c r="S157" s="265">
        <f t="shared" si="20"/>
        <v>-86.73267326732639</v>
      </c>
      <c r="T157">
        <f t="shared" si="19"/>
        <v>0</v>
      </c>
      <c r="U157" t="s">
        <v>876</v>
      </c>
    </row>
    <row r="158" spans="15:21">
      <c r="O158" s="95" t="s">
        <v>679</v>
      </c>
      <c r="P158" s="95" t="s">
        <v>688</v>
      </c>
      <c r="Q158" s="152" t="s">
        <v>712</v>
      </c>
      <c r="R158" s="96" t="str">
        <f t="shared" si="18"/>
        <v>Production hours on MAC (h) / OEE (%)_OEE Improvement_Hours</v>
      </c>
      <c r="S158" s="265">
        <f t="shared" si="20"/>
        <v>0</v>
      </c>
      <c r="T158">
        <f t="shared" si="19"/>
        <v>0</v>
      </c>
      <c r="U158" t="s">
        <v>876</v>
      </c>
    </row>
    <row r="159" spans="15:21">
      <c r="O159" s="95" t="s">
        <v>723</v>
      </c>
      <c r="P159" s="95" t="s">
        <v>689</v>
      </c>
      <c r="Q159" s="143" t="s">
        <v>13</v>
      </c>
      <c r="R159" s="96" t="str">
        <f t="shared" si="18"/>
        <v>MAC - Calender hours_OEE_Improvement_Percentage</v>
      </c>
      <c r="S159" s="264">
        <f t="shared" ref="S159:S179" si="21">H25</f>
        <v>0</v>
      </c>
      <c r="T159">
        <f t="shared" si="19"/>
        <v>0</v>
      </c>
      <c r="U159" t="s">
        <v>876</v>
      </c>
    </row>
    <row r="160" spans="15:21">
      <c r="O160" s="95" t="s">
        <v>723</v>
      </c>
      <c r="P160" s="95" t="s">
        <v>689</v>
      </c>
      <c r="Q160" s="153" t="s">
        <v>7</v>
      </c>
      <c r="R160" s="96" t="str">
        <f t="shared" si="18"/>
        <v>Commercial Reliability_OEE_Improvement_Percentage</v>
      </c>
      <c r="S160" s="264">
        <f t="shared" si="21"/>
        <v>0</v>
      </c>
      <c r="T160">
        <f t="shared" si="19"/>
        <v>0</v>
      </c>
      <c r="U160" t="s">
        <v>876</v>
      </c>
    </row>
    <row r="161" spans="15:21">
      <c r="O161" s="95" t="s">
        <v>723</v>
      </c>
      <c r="P161" s="95" t="s">
        <v>689</v>
      </c>
      <c r="Q161" s="153" t="s">
        <v>704</v>
      </c>
      <c r="R161" s="96" t="str">
        <f t="shared" si="18"/>
        <v>Exception hours (loss excluded from OEE)_OEE_Improvement_Percentage</v>
      </c>
      <c r="S161" s="264">
        <f t="shared" si="21"/>
        <v>0</v>
      </c>
      <c r="T161">
        <f t="shared" si="19"/>
        <v>0</v>
      </c>
      <c r="U161" t="s">
        <v>876</v>
      </c>
    </row>
    <row r="162" spans="15:21">
      <c r="O162" s="95" t="s">
        <v>723</v>
      </c>
      <c r="P162" s="95" t="s">
        <v>689</v>
      </c>
      <c r="Q162" s="153" t="s">
        <v>14</v>
      </c>
      <c r="R162" s="96" t="str">
        <f t="shared" si="18"/>
        <v>Available OEE - Scheduled hours_OEE_Improvement_Percentage</v>
      </c>
      <c r="S162" s="264">
        <f t="shared" si="21"/>
        <v>0</v>
      </c>
      <c r="T162">
        <f t="shared" si="19"/>
        <v>0</v>
      </c>
      <c r="U162" t="s">
        <v>876</v>
      </c>
    </row>
    <row r="163" spans="15:21">
      <c r="O163" s="95" t="s">
        <v>723</v>
      </c>
      <c r="P163" s="95" t="s">
        <v>689</v>
      </c>
      <c r="Q163" s="153" t="s">
        <v>17</v>
      </c>
      <c r="R163" s="96" t="str">
        <f t="shared" si="18"/>
        <v>Equipment Reliability - Planned TA &amp; Planned SD_OEE_Improvement_Percentage</v>
      </c>
      <c r="S163" s="264">
        <f t="shared" si="21"/>
        <v>0</v>
      </c>
      <c r="T163">
        <f t="shared" si="19"/>
        <v>0</v>
      </c>
      <c r="U163" t="s">
        <v>876</v>
      </c>
    </row>
    <row r="164" spans="15:21">
      <c r="O164" s="95" t="s">
        <v>723</v>
      </c>
      <c r="P164" s="95" t="s">
        <v>689</v>
      </c>
      <c r="Q164" s="153" t="s">
        <v>665</v>
      </c>
      <c r="R164" s="96" t="str">
        <f t="shared" si="18"/>
        <v>Available running OEE - Running hours_OEE_Improvement_Percentage</v>
      </c>
      <c r="S164" s="264">
        <f t="shared" si="21"/>
        <v>0</v>
      </c>
      <c r="T164">
        <f t="shared" si="19"/>
        <v>0</v>
      </c>
      <c r="U164" t="s">
        <v>876</v>
      </c>
    </row>
    <row r="165" spans="15:21">
      <c r="O165" s="95" t="s">
        <v>723</v>
      </c>
      <c r="P165" s="95" t="s">
        <v>689</v>
      </c>
      <c r="Q165" s="153" t="s">
        <v>18</v>
      </c>
      <c r="R165" s="96" t="str">
        <f t="shared" si="18"/>
        <v>Equipment Reliability - Equipment Failure_OEE_Improvement_Percentage</v>
      </c>
      <c r="S165" s="264">
        <f t="shared" si="21"/>
        <v>0</v>
      </c>
      <c r="T165">
        <f t="shared" si="19"/>
        <v>0</v>
      </c>
      <c r="U165" t="s">
        <v>876</v>
      </c>
    </row>
    <row r="166" spans="15:21">
      <c r="O166" s="95" t="s">
        <v>723</v>
      </c>
      <c r="P166" s="95" t="s">
        <v>689</v>
      </c>
      <c r="Q166" s="153" t="s">
        <v>1</v>
      </c>
      <c r="R166" s="96" t="str">
        <f t="shared" si="18"/>
        <v>Operational Reliability_OEE_Improvement_Percentage</v>
      </c>
      <c r="S166" s="264">
        <f t="shared" si="21"/>
        <v>0</v>
      </c>
      <c r="T166">
        <f t="shared" si="19"/>
        <v>0</v>
      </c>
      <c r="U166" t="s">
        <v>876</v>
      </c>
    </row>
    <row r="167" spans="15:21">
      <c r="O167" s="95" t="s">
        <v>723</v>
      </c>
      <c r="P167" s="95" t="s">
        <v>689</v>
      </c>
      <c r="Q167" s="153" t="s">
        <v>2</v>
      </c>
      <c r="R167" s="96" t="str">
        <f t="shared" si="18"/>
        <v>Technology Reliability_OEE_Improvement_Percentage</v>
      </c>
      <c r="S167" s="264">
        <f t="shared" si="21"/>
        <v>0</v>
      </c>
      <c r="T167">
        <f t="shared" si="19"/>
        <v>0</v>
      </c>
      <c r="U167" t="s">
        <v>876</v>
      </c>
    </row>
    <row r="168" spans="15:21">
      <c r="O168" s="95" t="s">
        <v>723</v>
      </c>
      <c r="P168" s="95" t="s">
        <v>689</v>
      </c>
      <c r="Q168" s="153" t="s">
        <v>3</v>
      </c>
      <c r="R168" s="96" t="str">
        <f t="shared" si="18"/>
        <v>Material Reliability_OEE_Improvement_Percentage</v>
      </c>
      <c r="S168" s="264">
        <f t="shared" si="21"/>
        <v>0</v>
      </c>
      <c r="T168">
        <f t="shared" si="19"/>
        <v>0</v>
      </c>
      <c r="U168" t="s">
        <v>876</v>
      </c>
    </row>
    <row r="169" spans="15:21">
      <c r="O169" s="95" t="s">
        <v>723</v>
      </c>
      <c r="P169" s="95" t="s">
        <v>689</v>
      </c>
      <c r="Q169" s="153" t="s">
        <v>4</v>
      </c>
      <c r="R169" s="96" t="str">
        <f t="shared" si="18"/>
        <v>Logistics/Supply Reliability_OEE_Improvement_Percentage</v>
      </c>
      <c r="S169" s="264">
        <f t="shared" si="21"/>
        <v>0</v>
      </c>
      <c r="T169">
        <f t="shared" si="19"/>
        <v>0</v>
      </c>
      <c r="U169" t="s">
        <v>876</v>
      </c>
    </row>
    <row r="170" spans="15:21">
      <c r="O170" s="95" t="s">
        <v>723</v>
      </c>
      <c r="P170" s="95" t="s">
        <v>689</v>
      </c>
      <c r="Q170" s="153" t="s">
        <v>5</v>
      </c>
      <c r="R170" s="96" t="str">
        <f t="shared" si="18"/>
        <v>External Reliability_OEE_Improvement_Percentage</v>
      </c>
      <c r="S170" s="264">
        <f t="shared" si="21"/>
        <v>0</v>
      </c>
      <c r="T170">
        <f t="shared" si="19"/>
        <v>0</v>
      </c>
      <c r="U170" t="s">
        <v>876</v>
      </c>
    </row>
    <row r="171" spans="15:21">
      <c r="O171" s="95" t="s">
        <v>723</v>
      </c>
      <c r="P171" s="95" t="s">
        <v>689</v>
      </c>
      <c r="Q171" s="153" t="s">
        <v>11</v>
      </c>
      <c r="R171" s="96" t="str">
        <f t="shared" si="18"/>
        <v>Other Reliability_OEE_Improvement_Percentage</v>
      </c>
      <c r="S171" s="264">
        <f t="shared" si="21"/>
        <v>0</v>
      </c>
      <c r="T171">
        <f t="shared" si="19"/>
        <v>0</v>
      </c>
      <c r="U171" t="s">
        <v>876</v>
      </c>
    </row>
    <row r="172" spans="15:21">
      <c r="O172" s="95" t="s">
        <v>723</v>
      </c>
      <c r="P172" s="95" t="s">
        <v>689</v>
      </c>
      <c r="Q172" s="153" t="s">
        <v>15</v>
      </c>
      <c r="R172" s="96" t="str">
        <f t="shared" si="18"/>
        <v>Unspecified_OEE_Improvement_Percentage</v>
      </c>
      <c r="S172" s="264">
        <f t="shared" si="21"/>
        <v>0</v>
      </c>
      <c r="T172">
        <f t="shared" si="19"/>
        <v>0</v>
      </c>
      <c r="U172" t="s">
        <v>876</v>
      </c>
    </row>
    <row r="173" spans="15:21">
      <c r="O173" s="95" t="s">
        <v>723</v>
      </c>
      <c r="P173" s="95" t="s">
        <v>689</v>
      </c>
      <c r="Q173" s="153" t="s">
        <v>16</v>
      </c>
      <c r="R173" s="96" t="str">
        <f t="shared" si="18"/>
        <v>Undetected_OEE_Improvement_Percentage</v>
      </c>
      <c r="S173" s="264">
        <f t="shared" si="21"/>
        <v>0</v>
      </c>
      <c r="T173">
        <f t="shared" si="19"/>
        <v>0</v>
      </c>
      <c r="U173" t="s">
        <v>876</v>
      </c>
    </row>
    <row r="174" spans="15:21">
      <c r="O174" s="95" t="s">
        <v>723</v>
      </c>
      <c r="P174" s="95" t="s">
        <v>689</v>
      </c>
      <c r="Q174" s="153" t="s">
        <v>664</v>
      </c>
      <c r="R174" s="96" t="str">
        <f t="shared" si="18"/>
        <v>Exception hours_OEE_Improvement_Percentage</v>
      </c>
      <c r="S174" s="264">
        <f t="shared" si="21"/>
        <v>0</v>
      </c>
      <c r="T174">
        <f t="shared" si="19"/>
        <v>0</v>
      </c>
      <c r="U174" t="s">
        <v>876</v>
      </c>
    </row>
    <row r="175" spans="15:21">
      <c r="O175" s="95" t="s">
        <v>723</v>
      </c>
      <c r="P175" s="95" t="s">
        <v>689</v>
      </c>
      <c r="Q175" s="153" t="s">
        <v>703</v>
      </c>
      <c r="R175" s="96" t="str">
        <f t="shared" si="18"/>
        <v>Extra loss hours in baseline due to MAC change_OEE_Improvement_Percentage</v>
      </c>
      <c r="S175" s="264">
        <f t="shared" si="21"/>
        <v>0</v>
      </c>
      <c r="T175">
        <f t="shared" si="19"/>
        <v>0</v>
      </c>
      <c r="U175" t="s">
        <v>876</v>
      </c>
    </row>
    <row r="176" spans="15:21">
      <c r="O176" s="95" t="s">
        <v>723</v>
      </c>
      <c r="P176" s="95" t="s">
        <v>689</v>
      </c>
      <c r="Q176" s="153" t="s">
        <v>705</v>
      </c>
      <c r="R176" s="96" t="str">
        <f t="shared" si="18"/>
        <v>Improvement target not assigned_OEE_Improvement_Percentage</v>
      </c>
      <c r="S176" s="264">
        <f t="shared" si="21"/>
        <v>9.9999999999999603E-3</v>
      </c>
      <c r="T176">
        <f t="shared" si="19"/>
        <v>0</v>
      </c>
      <c r="U176" t="s">
        <v>876</v>
      </c>
    </row>
    <row r="177" spans="15:21">
      <c r="O177" s="95" t="s">
        <v>723</v>
      </c>
      <c r="P177" s="95" t="s">
        <v>689</v>
      </c>
      <c r="Q177" s="153" t="s">
        <v>397</v>
      </c>
      <c r="R177" s="96" t="str">
        <f t="shared" si="18"/>
        <v>Sum OEE losses (exluding Planned Maintenance)_OEE_Improvement_Percentage</v>
      </c>
      <c r="S177" s="264">
        <f t="shared" si="21"/>
        <v>9.9999999999999603E-3</v>
      </c>
      <c r="T177">
        <f t="shared" si="19"/>
        <v>0</v>
      </c>
      <c r="U177" t="s">
        <v>876</v>
      </c>
    </row>
    <row r="178" spans="15:21">
      <c r="O178" s="95" t="s">
        <v>723</v>
      </c>
      <c r="P178" s="95" t="s">
        <v>689</v>
      </c>
      <c r="Q178" s="153" t="s">
        <v>398</v>
      </c>
      <c r="R178" s="96" t="str">
        <f t="shared" si="18"/>
        <v>Sum OEE losses (Including Planned Maintenance)_OEE_Improvement_Percentage</v>
      </c>
      <c r="S178" s="264">
        <f t="shared" si="21"/>
        <v>1.0000000000000009E-2</v>
      </c>
      <c r="T178">
        <f t="shared" si="19"/>
        <v>0</v>
      </c>
      <c r="U178" t="s">
        <v>876</v>
      </c>
    </row>
    <row r="179" spans="15:21">
      <c r="O179" s="95" t="s">
        <v>723</v>
      </c>
      <c r="P179" s="95" t="s">
        <v>689</v>
      </c>
      <c r="Q179" s="153" t="s">
        <v>712</v>
      </c>
      <c r="R179" s="96" t="str">
        <f t="shared" si="18"/>
        <v>Production hours on MAC (h) / OEE (%)_OEE_Improvement_Percentage</v>
      </c>
      <c r="S179" s="264">
        <f t="shared" si="21"/>
        <v>1.9999999999999921E-2</v>
      </c>
      <c r="T179">
        <f t="shared" si="19"/>
        <v>0</v>
      </c>
      <c r="U179" t="s">
        <v>876</v>
      </c>
    </row>
    <row r="180" spans="15:21">
      <c r="O180" s="95" t="s">
        <v>724</v>
      </c>
      <c r="P180" s="95" t="s">
        <v>687</v>
      </c>
      <c r="Q180" s="142" t="s">
        <v>13</v>
      </c>
      <c r="R180" s="96" t="str">
        <f t="shared" si="18"/>
        <v>MAC - Calender hours_Loss_Hours_NJ</v>
      </c>
      <c r="S180" s="265">
        <f t="shared" ref="S180:S200" si="22">I25</f>
        <v>8760</v>
      </c>
      <c r="T180">
        <f t="shared" si="19"/>
        <v>0</v>
      </c>
      <c r="U180" t="s">
        <v>876</v>
      </c>
    </row>
    <row r="181" spans="15:21">
      <c r="O181" s="95" t="s">
        <v>724</v>
      </c>
      <c r="P181" s="95" t="s">
        <v>687</v>
      </c>
      <c r="Q181" s="152" t="s">
        <v>7</v>
      </c>
      <c r="R181" s="96" t="str">
        <f t="shared" si="18"/>
        <v>Commercial Reliability_Loss_Hours_NJ</v>
      </c>
      <c r="S181" s="265">
        <f t="shared" si="22"/>
        <v>86.73267326732639</v>
      </c>
      <c r="T181">
        <f t="shared" si="19"/>
        <v>0</v>
      </c>
      <c r="U181" t="s">
        <v>876</v>
      </c>
    </row>
    <row r="182" spans="15:21">
      <c r="O182" s="95" t="s">
        <v>724</v>
      </c>
      <c r="P182" s="95" t="s">
        <v>687</v>
      </c>
      <c r="Q182" s="152" t="s">
        <v>704</v>
      </c>
      <c r="R182" s="96" t="str">
        <f t="shared" si="18"/>
        <v>Exception hours (loss excluded from OEE)_Loss_Hours_NJ</v>
      </c>
      <c r="S182" s="265">
        <f t="shared" si="22"/>
        <v>0</v>
      </c>
      <c r="T182">
        <f t="shared" si="19"/>
        <v>0</v>
      </c>
      <c r="U182" t="s">
        <v>876</v>
      </c>
    </row>
    <row r="183" spans="15:21">
      <c r="O183" s="95" t="s">
        <v>724</v>
      </c>
      <c r="P183" s="95" t="s">
        <v>687</v>
      </c>
      <c r="Q183" s="152" t="s">
        <v>14</v>
      </c>
      <c r="R183" s="96" t="str">
        <f t="shared" si="18"/>
        <v>Available OEE - Scheduled hours_Loss_Hours_NJ</v>
      </c>
      <c r="S183" s="265">
        <f t="shared" si="22"/>
        <v>8673.2673267326736</v>
      </c>
      <c r="T183">
        <f t="shared" si="19"/>
        <v>0</v>
      </c>
      <c r="U183" t="s">
        <v>876</v>
      </c>
    </row>
    <row r="184" spans="15:21">
      <c r="O184" s="95" t="s">
        <v>724</v>
      </c>
      <c r="P184" s="95" t="s">
        <v>687</v>
      </c>
      <c r="Q184" s="152" t="s">
        <v>17</v>
      </c>
      <c r="R184" s="96" t="str">
        <f t="shared" si="18"/>
        <v>Equipment Reliability - Planned TA &amp; Planned SD_Loss_Hours_NJ</v>
      </c>
      <c r="S184" s="265">
        <f t="shared" si="22"/>
        <v>0</v>
      </c>
      <c r="T184">
        <f t="shared" si="19"/>
        <v>0</v>
      </c>
      <c r="U184" t="s">
        <v>876</v>
      </c>
    </row>
    <row r="185" spans="15:21">
      <c r="O185" s="95" t="s">
        <v>724</v>
      </c>
      <c r="P185" s="95" t="s">
        <v>687</v>
      </c>
      <c r="Q185" s="152" t="s">
        <v>665</v>
      </c>
      <c r="R185" s="96" t="str">
        <f t="shared" si="18"/>
        <v>Available running OEE - Running hours_Loss_Hours_NJ</v>
      </c>
      <c r="S185" s="265">
        <f t="shared" si="22"/>
        <v>8673.2673267326736</v>
      </c>
      <c r="T185">
        <f t="shared" si="19"/>
        <v>0</v>
      </c>
      <c r="U185" t="s">
        <v>876</v>
      </c>
    </row>
    <row r="186" spans="15:21">
      <c r="O186" s="95" t="s">
        <v>724</v>
      </c>
      <c r="P186" s="95" t="s">
        <v>687</v>
      </c>
      <c r="Q186" s="152" t="s">
        <v>18</v>
      </c>
      <c r="R186" s="96" t="str">
        <f t="shared" si="18"/>
        <v>Equipment Reliability - Equipment Failure_Loss_Hours_NJ</v>
      </c>
      <c r="S186" s="265">
        <f t="shared" si="22"/>
        <v>0</v>
      </c>
      <c r="T186">
        <f t="shared" si="19"/>
        <v>0</v>
      </c>
      <c r="U186" t="s">
        <v>876</v>
      </c>
    </row>
    <row r="187" spans="15:21">
      <c r="O187" s="95" t="s">
        <v>724</v>
      </c>
      <c r="P187" s="95" t="s">
        <v>687</v>
      </c>
      <c r="Q187" s="152" t="s">
        <v>1</v>
      </c>
      <c r="R187" s="96" t="str">
        <f t="shared" si="18"/>
        <v>Operational Reliability_Loss_Hours_NJ</v>
      </c>
      <c r="S187" s="265">
        <f t="shared" si="22"/>
        <v>0</v>
      </c>
      <c r="T187">
        <f t="shared" si="19"/>
        <v>0</v>
      </c>
      <c r="U187" t="s">
        <v>876</v>
      </c>
    </row>
    <row r="188" spans="15:21">
      <c r="O188" s="95" t="s">
        <v>724</v>
      </c>
      <c r="P188" s="95" t="s">
        <v>687</v>
      </c>
      <c r="Q188" s="152" t="s">
        <v>2</v>
      </c>
      <c r="R188" s="96" t="str">
        <f t="shared" si="18"/>
        <v>Technology Reliability_Loss_Hours_NJ</v>
      </c>
      <c r="S188" s="265">
        <f t="shared" si="22"/>
        <v>0</v>
      </c>
      <c r="T188">
        <f t="shared" si="19"/>
        <v>0</v>
      </c>
      <c r="U188" t="s">
        <v>876</v>
      </c>
    </row>
    <row r="189" spans="15:21">
      <c r="O189" s="95" t="s">
        <v>724</v>
      </c>
      <c r="P189" s="95" t="s">
        <v>687</v>
      </c>
      <c r="Q189" s="152" t="s">
        <v>3</v>
      </c>
      <c r="R189" s="96" t="str">
        <f t="shared" si="18"/>
        <v>Material Reliability_Loss_Hours_NJ</v>
      </c>
      <c r="S189" s="265">
        <f t="shared" si="22"/>
        <v>0</v>
      </c>
      <c r="T189">
        <f t="shared" si="19"/>
        <v>0</v>
      </c>
      <c r="U189" t="s">
        <v>876</v>
      </c>
    </row>
    <row r="190" spans="15:21">
      <c r="O190" s="95" t="s">
        <v>724</v>
      </c>
      <c r="P190" s="95" t="s">
        <v>687</v>
      </c>
      <c r="Q190" s="152" t="s">
        <v>4</v>
      </c>
      <c r="R190" s="96" t="str">
        <f t="shared" si="18"/>
        <v>Logistics/Supply Reliability_Loss_Hours_NJ</v>
      </c>
      <c r="S190" s="265">
        <f t="shared" si="22"/>
        <v>0</v>
      </c>
      <c r="T190">
        <f t="shared" si="19"/>
        <v>0</v>
      </c>
      <c r="U190" t="s">
        <v>876</v>
      </c>
    </row>
    <row r="191" spans="15:21">
      <c r="O191" s="95" t="s">
        <v>724</v>
      </c>
      <c r="P191" s="95" t="s">
        <v>687</v>
      </c>
      <c r="Q191" s="152" t="s">
        <v>5</v>
      </c>
      <c r="R191" s="96" t="str">
        <f t="shared" si="18"/>
        <v>External Reliability_Loss_Hours_NJ</v>
      </c>
      <c r="S191" s="265">
        <f t="shared" si="22"/>
        <v>0</v>
      </c>
      <c r="T191">
        <f t="shared" si="19"/>
        <v>0</v>
      </c>
      <c r="U191" t="s">
        <v>876</v>
      </c>
    </row>
    <row r="192" spans="15:21">
      <c r="O192" s="95" t="s">
        <v>724</v>
      </c>
      <c r="P192" s="95" t="s">
        <v>687</v>
      </c>
      <c r="Q192" s="152" t="s">
        <v>11</v>
      </c>
      <c r="R192" s="96" t="str">
        <f t="shared" si="18"/>
        <v>Other Reliability_Loss_Hours_NJ</v>
      </c>
      <c r="S192" s="265">
        <f t="shared" si="22"/>
        <v>0</v>
      </c>
      <c r="T192">
        <f t="shared" si="19"/>
        <v>0</v>
      </c>
      <c r="U192" t="s">
        <v>876</v>
      </c>
    </row>
    <row r="193" spans="15:21">
      <c r="O193" s="95" t="s">
        <v>724</v>
      </c>
      <c r="P193" s="95" t="s">
        <v>687</v>
      </c>
      <c r="Q193" s="152" t="s">
        <v>15</v>
      </c>
      <c r="R193" s="96" t="str">
        <f t="shared" si="18"/>
        <v>Unspecified_Loss_Hours_NJ</v>
      </c>
      <c r="S193" s="265">
        <f t="shared" si="22"/>
        <v>0</v>
      </c>
      <c r="T193">
        <f t="shared" si="19"/>
        <v>0</v>
      </c>
      <c r="U193" t="s">
        <v>876</v>
      </c>
    </row>
    <row r="194" spans="15:21">
      <c r="O194" s="95" t="s">
        <v>724</v>
      </c>
      <c r="P194" s="95" t="s">
        <v>687</v>
      </c>
      <c r="Q194" s="152" t="s">
        <v>16</v>
      </c>
      <c r="R194" s="96" t="str">
        <f t="shared" ref="R194:R248" si="23">IF(ISBLANK(P194),Q194,_xlfn.CONCAT(Q194,"_",P194))</f>
        <v>Undetected_Loss_Hours_NJ</v>
      </c>
      <c r="S194" s="265">
        <f t="shared" si="22"/>
        <v>0</v>
      </c>
      <c r="T194">
        <f t="shared" si="19"/>
        <v>0</v>
      </c>
      <c r="U194" t="s">
        <v>876</v>
      </c>
    </row>
    <row r="195" spans="15:21">
      <c r="O195" s="95" t="s">
        <v>724</v>
      </c>
      <c r="P195" s="95" t="s">
        <v>687</v>
      </c>
      <c r="Q195" s="152" t="s">
        <v>664</v>
      </c>
      <c r="R195" s="96" t="str">
        <f t="shared" si="23"/>
        <v>Exception hours_Loss_Hours_NJ</v>
      </c>
      <c r="S195" s="265">
        <f t="shared" si="22"/>
        <v>0</v>
      </c>
      <c r="T195">
        <f t="shared" ref="T195:T248" si="24">$B$2</f>
        <v>0</v>
      </c>
      <c r="U195" t="s">
        <v>876</v>
      </c>
    </row>
    <row r="196" spans="15:21">
      <c r="O196" s="95" t="s">
        <v>724</v>
      </c>
      <c r="P196" s="95" t="s">
        <v>687</v>
      </c>
      <c r="Q196" s="152" t="s">
        <v>703</v>
      </c>
      <c r="R196" s="96" t="str">
        <f t="shared" si="23"/>
        <v>Extra loss hours in baseline due to MAC change_Loss_Hours_NJ</v>
      </c>
      <c r="S196" s="265">
        <f t="shared" si="22"/>
        <v>0</v>
      </c>
      <c r="T196">
        <f t="shared" si="24"/>
        <v>0</v>
      </c>
      <c r="U196" t="s">
        <v>876</v>
      </c>
    </row>
    <row r="197" spans="15:21">
      <c r="O197" s="95" t="s">
        <v>724</v>
      </c>
      <c r="P197" s="95" t="s">
        <v>687</v>
      </c>
      <c r="Q197" s="152" t="s">
        <v>705</v>
      </c>
      <c r="R197" s="96" t="str">
        <f t="shared" si="23"/>
        <v>Improvement target not assigned_Loss_Hours_NJ</v>
      </c>
      <c r="S197" s="265">
        <f t="shared" si="22"/>
        <v>86.73267326732639</v>
      </c>
      <c r="T197">
        <f t="shared" si="24"/>
        <v>0</v>
      </c>
      <c r="U197" t="s">
        <v>876</v>
      </c>
    </row>
    <row r="198" spans="15:21">
      <c r="O198" s="95" t="s">
        <v>724</v>
      </c>
      <c r="P198" s="95" t="s">
        <v>687</v>
      </c>
      <c r="Q198" s="152" t="s">
        <v>397</v>
      </c>
      <c r="R198" s="96" t="str">
        <f t="shared" si="23"/>
        <v>Sum OEE losses (exluding Planned Maintenance)_Loss_Hours_NJ</v>
      </c>
      <c r="S198" s="265">
        <f t="shared" si="22"/>
        <v>-86.73267326732639</v>
      </c>
      <c r="T198">
        <f t="shared" si="24"/>
        <v>0</v>
      </c>
      <c r="U198" t="s">
        <v>876</v>
      </c>
    </row>
    <row r="199" spans="15:21">
      <c r="O199" s="95" t="s">
        <v>724</v>
      </c>
      <c r="P199" s="95" t="s">
        <v>687</v>
      </c>
      <c r="Q199" s="152" t="s">
        <v>398</v>
      </c>
      <c r="R199" s="96" t="str">
        <f t="shared" si="23"/>
        <v>Sum OEE losses (Including Planned Maintenance)_Loss_Hours_NJ</v>
      </c>
      <c r="S199" s="265">
        <f t="shared" si="22"/>
        <v>-86.73267326732639</v>
      </c>
      <c r="T199">
        <f t="shared" si="24"/>
        <v>0</v>
      </c>
      <c r="U199" t="s">
        <v>876</v>
      </c>
    </row>
    <row r="200" spans="15:21">
      <c r="O200" s="95" t="s">
        <v>724</v>
      </c>
      <c r="P200" s="95" t="s">
        <v>687</v>
      </c>
      <c r="Q200" s="152" t="s">
        <v>712</v>
      </c>
      <c r="R200" s="96" t="str">
        <f t="shared" si="23"/>
        <v>Production hours on MAC (h) / OEE (%)_Loss_Hours_NJ</v>
      </c>
      <c r="S200" s="265">
        <f t="shared" si="22"/>
        <v>8760</v>
      </c>
      <c r="T200">
        <f t="shared" si="24"/>
        <v>0</v>
      </c>
      <c r="U200" t="s">
        <v>876</v>
      </c>
    </row>
    <row r="201" spans="15:21">
      <c r="O201" s="95" t="s">
        <v>1183</v>
      </c>
      <c r="P201" s="95" t="s">
        <v>681</v>
      </c>
      <c r="Q201" s="143" t="s">
        <v>13</v>
      </c>
      <c r="R201" s="96" t="str">
        <f t="shared" si="23"/>
        <v>MAC - Calender hours_Loss Percentage_NJ</v>
      </c>
      <c r="S201" s="268">
        <f>J25</f>
        <v>0</v>
      </c>
      <c r="T201">
        <f t="shared" si="24"/>
        <v>0</v>
      </c>
      <c r="U201" t="s">
        <v>876</v>
      </c>
    </row>
    <row r="202" spans="15:21">
      <c r="O202" s="95" t="s">
        <v>1183</v>
      </c>
      <c r="P202" s="95" t="s">
        <v>681</v>
      </c>
      <c r="Q202" s="153" t="s">
        <v>7</v>
      </c>
      <c r="R202" s="96" t="str">
        <f t="shared" si="23"/>
        <v>Commercial Reliability_Loss Percentage_NJ</v>
      </c>
      <c r="S202" s="268">
        <f t="shared" ref="S202:S221" si="25">J26</f>
        <v>0</v>
      </c>
      <c r="T202">
        <f t="shared" si="24"/>
        <v>0</v>
      </c>
      <c r="U202" t="s">
        <v>876</v>
      </c>
    </row>
    <row r="203" spans="15:21">
      <c r="O203" s="95" t="s">
        <v>1183</v>
      </c>
      <c r="P203" s="95" t="s">
        <v>681</v>
      </c>
      <c r="Q203" s="153" t="s">
        <v>704</v>
      </c>
      <c r="R203" s="96" t="str">
        <f t="shared" si="23"/>
        <v>Exception hours (loss excluded from OEE)_Loss Percentage_NJ</v>
      </c>
      <c r="S203" s="268">
        <f t="shared" si="25"/>
        <v>0</v>
      </c>
      <c r="T203">
        <f t="shared" si="24"/>
        <v>0</v>
      </c>
      <c r="U203" t="s">
        <v>876</v>
      </c>
    </row>
    <row r="204" spans="15:21">
      <c r="O204" s="95" t="s">
        <v>1183</v>
      </c>
      <c r="P204" s="95" t="s">
        <v>681</v>
      </c>
      <c r="Q204" s="153" t="s">
        <v>14</v>
      </c>
      <c r="R204" s="96" t="str">
        <f t="shared" si="23"/>
        <v>Available OEE - Scheduled hours_Loss Percentage_NJ</v>
      </c>
      <c r="S204" s="268">
        <f t="shared" si="25"/>
        <v>1</v>
      </c>
      <c r="T204">
        <f t="shared" si="24"/>
        <v>0</v>
      </c>
      <c r="U204" t="s">
        <v>876</v>
      </c>
    </row>
    <row r="205" spans="15:21">
      <c r="O205" s="95" t="s">
        <v>1183</v>
      </c>
      <c r="P205" s="95" t="s">
        <v>681</v>
      </c>
      <c r="Q205" s="153" t="s">
        <v>17</v>
      </c>
      <c r="R205" s="96" t="str">
        <f t="shared" si="23"/>
        <v>Equipment Reliability - Planned TA &amp; Planned SD_Loss Percentage_NJ</v>
      </c>
      <c r="S205" s="268">
        <f t="shared" si="25"/>
        <v>0</v>
      </c>
      <c r="T205">
        <f t="shared" si="24"/>
        <v>0</v>
      </c>
      <c r="U205" t="s">
        <v>876</v>
      </c>
    </row>
    <row r="206" spans="15:21">
      <c r="O206" s="95" t="s">
        <v>1183</v>
      </c>
      <c r="P206" s="95" t="s">
        <v>681</v>
      </c>
      <c r="Q206" s="153" t="s">
        <v>665</v>
      </c>
      <c r="R206" s="96" t="str">
        <f t="shared" si="23"/>
        <v>Available running OEE - Running hours_Loss Percentage_NJ</v>
      </c>
      <c r="S206" s="268">
        <f t="shared" si="25"/>
        <v>0</v>
      </c>
      <c r="T206">
        <f t="shared" si="24"/>
        <v>0</v>
      </c>
      <c r="U206" t="s">
        <v>876</v>
      </c>
    </row>
    <row r="207" spans="15:21">
      <c r="O207" s="95" t="s">
        <v>1183</v>
      </c>
      <c r="P207" s="95" t="s">
        <v>681</v>
      </c>
      <c r="Q207" s="153" t="s">
        <v>18</v>
      </c>
      <c r="R207" s="96" t="str">
        <f t="shared" si="23"/>
        <v>Equipment Reliability - Equipment Failure_Loss Percentage_NJ</v>
      </c>
      <c r="S207" s="268">
        <f t="shared" si="25"/>
        <v>0</v>
      </c>
      <c r="T207">
        <f t="shared" si="24"/>
        <v>0</v>
      </c>
      <c r="U207" t="s">
        <v>876</v>
      </c>
    </row>
    <row r="208" spans="15:21">
      <c r="O208" s="95" t="s">
        <v>1183</v>
      </c>
      <c r="P208" s="95" t="s">
        <v>681</v>
      </c>
      <c r="Q208" s="153" t="s">
        <v>1</v>
      </c>
      <c r="R208" s="96" t="str">
        <f t="shared" si="23"/>
        <v>Operational Reliability_Loss Percentage_NJ</v>
      </c>
      <c r="S208" s="268">
        <f t="shared" si="25"/>
        <v>0</v>
      </c>
      <c r="T208">
        <f t="shared" si="24"/>
        <v>0</v>
      </c>
      <c r="U208" t="s">
        <v>876</v>
      </c>
    </row>
    <row r="209" spans="15:21">
      <c r="O209" s="95" t="s">
        <v>1183</v>
      </c>
      <c r="P209" s="95" t="s">
        <v>681</v>
      </c>
      <c r="Q209" s="153" t="s">
        <v>2</v>
      </c>
      <c r="R209" s="96" t="str">
        <f t="shared" si="23"/>
        <v>Technology Reliability_Loss Percentage_NJ</v>
      </c>
      <c r="S209" s="268">
        <f t="shared" si="25"/>
        <v>0</v>
      </c>
      <c r="T209">
        <f t="shared" si="24"/>
        <v>0</v>
      </c>
      <c r="U209" t="s">
        <v>876</v>
      </c>
    </row>
    <row r="210" spans="15:21">
      <c r="O210" s="95" t="s">
        <v>1183</v>
      </c>
      <c r="P210" s="95" t="s">
        <v>681</v>
      </c>
      <c r="Q210" s="153" t="s">
        <v>3</v>
      </c>
      <c r="R210" s="96" t="str">
        <f t="shared" si="23"/>
        <v>Material Reliability_Loss Percentage_NJ</v>
      </c>
      <c r="S210" s="268">
        <f t="shared" si="25"/>
        <v>0</v>
      </c>
      <c r="T210">
        <f t="shared" si="24"/>
        <v>0</v>
      </c>
      <c r="U210" t="s">
        <v>876</v>
      </c>
    </row>
    <row r="211" spans="15:21">
      <c r="O211" s="95" t="s">
        <v>1183</v>
      </c>
      <c r="P211" s="95" t="s">
        <v>681</v>
      </c>
      <c r="Q211" s="153" t="s">
        <v>4</v>
      </c>
      <c r="R211" s="96" t="str">
        <f t="shared" si="23"/>
        <v>Logistics/Supply Reliability_Loss Percentage_NJ</v>
      </c>
      <c r="S211" s="268">
        <f t="shared" si="25"/>
        <v>0</v>
      </c>
      <c r="T211">
        <f t="shared" si="24"/>
        <v>0</v>
      </c>
      <c r="U211" t="s">
        <v>876</v>
      </c>
    </row>
    <row r="212" spans="15:21">
      <c r="O212" s="95" t="s">
        <v>1183</v>
      </c>
      <c r="P212" s="95" t="s">
        <v>681</v>
      </c>
      <c r="Q212" s="153" t="s">
        <v>5</v>
      </c>
      <c r="R212" s="96" t="str">
        <f t="shared" si="23"/>
        <v>External Reliability_Loss Percentage_NJ</v>
      </c>
      <c r="S212" s="268">
        <f t="shared" si="25"/>
        <v>0</v>
      </c>
      <c r="T212">
        <f t="shared" si="24"/>
        <v>0</v>
      </c>
      <c r="U212" t="s">
        <v>876</v>
      </c>
    </row>
    <row r="213" spans="15:21">
      <c r="O213" s="95" t="s">
        <v>1183</v>
      </c>
      <c r="P213" s="95" t="s">
        <v>681</v>
      </c>
      <c r="Q213" s="153" t="s">
        <v>11</v>
      </c>
      <c r="R213" s="96" t="str">
        <f t="shared" si="23"/>
        <v>Other Reliability_Loss Percentage_NJ</v>
      </c>
      <c r="S213" s="268">
        <f t="shared" si="25"/>
        <v>0</v>
      </c>
      <c r="T213">
        <f t="shared" si="24"/>
        <v>0</v>
      </c>
      <c r="U213" t="s">
        <v>876</v>
      </c>
    </row>
    <row r="214" spans="15:21">
      <c r="O214" s="95" t="s">
        <v>1183</v>
      </c>
      <c r="P214" s="95" t="s">
        <v>681</v>
      </c>
      <c r="Q214" s="153" t="s">
        <v>15</v>
      </c>
      <c r="R214" s="96" t="str">
        <f t="shared" si="23"/>
        <v>Unspecified_Loss Percentage_NJ</v>
      </c>
      <c r="S214" s="268">
        <f t="shared" si="25"/>
        <v>0</v>
      </c>
      <c r="T214">
        <f t="shared" si="24"/>
        <v>0</v>
      </c>
      <c r="U214" t="s">
        <v>876</v>
      </c>
    </row>
    <row r="215" spans="15:21">
      <c r="O215" s="95" t="s">
        <v>1183</v>
      </c>
      <c r="P215" s="95" t="s">
        <v>681</v>
      </c>
      <c r="Q215" s="153" t="s">
        <v>16</v>
      </c>
      <c r="R215" s="96" t="str">
        <f t="shared" si="23"/>
        <v>Undetected_Loss Percentage_NJ</v>
      </c>
      <c r="S215" s="268">
        <f t="shared" si="25"/>
        <v>0</v>
      </c>
      <c r="T215">
        <f t="shared" si="24"/>
        <v>0</v>
      </c>
      <c r="U215" t="s">
        <v>876</v>
      </c>
    </row>
    <row r="216" spans="15:21">
      <c r="O216" s="95" t="s">
        <v>1183</v>
      </c>
      <c r="P216" s="95" t="s">
        <v>681</v>
      </c>
      <c r="Q216" s="153" t="s">
        <v>664</v>
      </c>
      <c r="R216" s="96" t="str">
        <f t="shared" si="23"/>
        <v>Exception hours_Loss Percentage_NJ</v>
      </c>
      <c r="S216" s="268">
        <f t="shared" si="25"/>
        <v>0</v>
      </c>
      <c r="T216">
        <f t="shared" si="24"/>
        <v>0</v>
      </c>
      <c r="U216" t="s">
        <v>876</v>
      </c>
    </row>
    <row r="217" spans="15:21">
      <c r="O217" s="95" t="s">
        <v>1183</v>
      </c>
      <c r="P217" s="95" t="s">
        <v>681</v>
      </c>
      <c r="Q217" s="153" t="s">
        <v>703</v>
      </c>
      <c r="R217" s="96" t="str">
        <f t="shared" si="23"/>
        <v>Extra loss hours in baseline due to MAC change_Loss Percentage_NJ</v>
      </c>
      <c r="S217" s="268">
        <f t="shared" si="25"/>
        <v>0</v>
      </c>
      <c r="T217">
        <f t="shared" si="24"/>
        <v>0</v>
      </c>
      <c r="U217" t="s">
        <v>876</v>
      </c>
    </row>
    <row r="218" spans="15:21">
      <c r="O218" s="95" t="s">
        <v>1183</v>
      </c>
      <c r="P218" s="95" t="s">
        <v>681</v>
      </c>
      <c r="Q218" s="153" t="s">
        <v>705</v>
      </c>
      <c r="R218" s="96" t="str">
        <f t="shared" si="23"/>
        <v>Improvement target not assigned_Loss Percentage_NJ</v>
      </c>
      <c r="S218" s="268">
        <f t="shared" si="25"/>
        <v>-9.9999999999999603E-3</v>
      </c>
      <c r="T218">
        <f t="shared" si="24"/>
        <v>0</v>
      </c>
      <c r="U218" t="s">
        <v>876</v>
      </c>
    </row>
    <row r="219" spans="15:21">
      <c r="O219" s="95" t="s">
        <v>1183</v>
      </c>
      <c r="P219" s="95" t="s">
        <v>681</v>
      </c>
      <c r="Q219" s="153" t="s">
        <v>397</v>
      </c>
      <c r="R219" s="96" t="str">
        <f t="shared" si="23"/>
        <v>Sum OEE losses (exluding Planned Maintenance)_Loss Percentage_NJ</v>
      </c>
      <c r="S219" s="268">
        <f t="shared" si="25"/>
        <v>-9.9999999999999603E-3</v>
      </c>
      <c r="T219">
        <f t="shared" si="24"/>
        <v>0</v>
      </c>
      <c r="U219" t="s">
        <v>876</v>
      </c>
    </row>
    <row r="220" spans="15:21">
      <c r="O220" s="95" t="s">
        <v>1183</v>
      </c>
      <c r="P220" s="95" t="s">
        <v>681</v>
      </c>
      <c r="Q220" s="153" t="s">
        <v>398</v>
      </c>
      <c r="R220" s="96" t="str">
        <f t="shared" si="23"/>
        <v>Sum OEE losses (Including Planned Maintenance)_Loss Percentage_NJ</v>
      </c>
      <c r="S220" s="268">
        <f t="shared" si="25"/>
        <v>-1.0000000000000009E-2</v>
      </c>
      <c r="T220">
        <f t="shared" si="24"/>
        <v>0</v>
      </c>
      <c r="U220" t="s">
        <v>876</v>
      </c>
    </row>
    <row r="221" spans="15:21">
      <c r="O221" s="95" t="s">
        <v>1183</v>
      </c>
      <c r="P221" s="95" t="s">
        <v>681</v>
      </c>
      <c r="Q221" s="153" t="s">
        <v>712</v>
      </c>
      <c r="R221" s="96" t="str">
        <f t="shared" si="23"/>
        <v>Production hours on MAC (h) / OEE (%)_Loss Percentage_NJ</v>
      </c>
      <c r="S221" s="268">
        <f t="shared" si="25"/>
        <v>1.01</v>
      </c>
      <c r="T221">
        <f t="shared" si="24"/>
        <v>0</v>
      </c>
      <c r="U221" t="s">
        <v>876</v>
      </c>
    </row>
    <row r="222" spans="15:21">
      <c r="O222" s="95" t="s">
        <v>676</v>
      </c>
      <c r="P222" s="95" t="s">
        <v>994</v>
      </c>
      <c r="Q222" s="144" t="s">
        <v>374</v>
      </c>
      <c r="R222" s="96" t="str">
        <f t="shared" si="23"/>
        <v>Planned Turnaround (h)_NJ_Maintenance_plan</v>
      </c>
      <c r="S222" s="1" t="str">
        <f>D18</f>
        <v/>
      </c>
      <c r="T222">
        <f t="shared" si="24"/>
        <v>0</v>
      </c>
      <c r="U222" t="s">
        <v>877</v>
      </c>
    </row>
    <row r="223" spans="15:21">
      <c r="O223" s="95" t="s">
        <v>676</v>
      </c>
      <c r="P223" s="95" t="s">
        <v>994</v>
      </c>
      <c r="Q223" s="144" t="s">
        <v>375</v>
      </c>
      <c r="R223" s="96" t="str">
        <f t="shared" si="23"/>
        <v>Planned Shutdown (h)_NJ_Maintenance_plan</v>
      </c>
      <c r="S223" s="1" t="str">
        <f t="shared" ref="S223:S224" si="26">D19</f>
        <v/>
      </c>
      <c r="T223">
        <f t="shared" si="24"/>
        <v>0</v>
      </c>
      <c r="U223" t="s">
        <v>877</v>
      </c>
    </row>
    <row r="224" spans="15:21">
      <c r="O224" s="95" t="s">
        <v>676</v>
      </c>
      <c r="P224" s="95" t="s">
        <v>994</v>
      </c>
      <c r="Q224" s="144" t="s">
        <v>716</v>
      </c>
      <c r="R224" s="96" t="str">
        <f t="shared" si="23"/>
        <v>Total Planned Maintenance (h)_NJ_Maintenance_plan</v>
      </c>
      <c r="S224" s="1" t="str">
        <f t="shared" si="26"/>
        <v/>
      </c>
      <c r="T224">
        <f t="shared" si="24"/>
        <v>0</v>
      </c>
      <c r="U224" t="s">
        <v>877</v>
      </c>
    </row>
    <row r="225" spans="15:21">
      <c r="O225" s="95" t="s">
        <v>674</v>
      </c>
      <c r="Q225" s="144" t="s">
        <v>1184</v>
      </c>
      <c r="R225" s="96" t="str">
        <f t="shared" si="23"/>
        <v>OEE_Running OEE Override</v>
      </c>
      <c r="S225" s="1" t="str">
        <f>B60</f>
        <v>Automatic</v>
      </c>
      <c r="T225">
        <f t="shared" si="24"/>
        <v>0</v>
      </c>
      <c r="U225" t="s">
        <v>875</v>
      </c>
    </row>
    <row r="226" spans="15:21">
      <c r="O226" s="95" t="s">
        <v>678</v>
      </c>
      <c r="Q226" s="144" t="s">
        <v>1182</v>
      </c>
      <c r="R226" s="96" t="str">
        <f t="shared" si="23"/>
        <v>Unit of Loss Decrease entry</v>
      </c>
      <c r="S226" s="370" t="str">
        <f>F24</f>
        <v>% decrease</v>
      </c>
      <c r="T226">
        <f t="shared" si="24"/>
        <v>0</v>
      </c>
      <c r="U226" t="s">
        <v>875</v>
      </c>
    </row>
    <row r="227" spans="15:21">
      <c r="O227" s="95" t="s">
        <v>678</v>
      </c>
      <c r="P227" s="95" t="s">
        <v>1185</v>
      </c>
      <c r="Q227" s="142" t="s">
        <v>13</v>
      </c>
      <c r="R227" s="96" t="str">
        <f t="shared" si="23"/>
        <v>MAC - Calender hours_OEE_Improvement_Entry</v>
      </c>
      <c r="S227" s="371">
        <f>F25</f>
        <v>0</v>
      </c>
      <c r="T227">
        <f t="shared" si="24"/>
        <v>0</v>
      </c>
      <c r="U227" t="s">
        <v>876</v>
      </c>
    </row>
    <row r="228" spans="15:21">
      <c r="O228" s="95" t="s">
        <v>678</v>
      </c>
      <c r="P228" s="95" t="s">
        <v>1185</v>
      </c>
      <c r="Q228" s="152" t="s">
        <v>7</v>
      </c>
      <c r="R228" s="96" t="str">
        <f t="shared" si="23"/>
        <v>Commercial Reliability_OEE_Improvement_Entry</v>
      </c>
      <c r="S228" s="371">
        <f t="shared" ref="S228:S247" si="27">F26</f>
        <v>0</v>
      </c>
      <c r="T228">
        <f t="shared" si="24"/>
        <v>0</v>
      </c>
      <c r="U228" t="s">
        <v>876</v>
      </c>
    </row>
    <row r="229" spans="15:21">
      <c r="O229" s="95" t="s">
        <v>678</v>
      </c>
      <c r="P229" s="95" t="s">
        <v>1185</v>
      </c>
      <c r="Q229" s="152" t="s">
        <v>704</v>
      </c>
      <c r="R229" s="96" t="str">
        <f t="shared" si="23"/>
        <v>Exception hours (loss excluded from OEE)_OEE_Improvement_Entry</v>
      </c>
      <c r="S229" s="371" t="str">
        <f t="shared" si="27"/>
        <v/>
      </c>
      <c r="T229">
        <f t="shared" si="24"/>
        <v>0</v>
      </c>
      <c r="U229" t="s">
        <v>876</v>
      </c>
    </row>
    <row r="230" spans="15:21">
      <c r="O230" s="95" t="s">
        <v>678</v>
      </c>
      <c r="P230" s="95" t="s">
        <v>1185</v>
      </c>
      <c r="Q230" s="152" t="s">
        <v>14</v>
      </c>
      <c r="R230" s="96" t="str">
        <f t="shared" si="23"/>
        <v>Available OEE - Scheduled hours_OEE_Improvement_Entry</v>
      </c>
      <c r="S230" s="371">
        <f t="shared" si="27"/>
        <v>0</v>
      </c>
      <c r="T230">
        <f t="shared" si="24"/>
        <v>0</v>
      </c>
      <c r="U230" t="s">
        <v>876</v>
      </c>
    </row>
    <row r="231" spans="15:21">
      <c r="O231" s="95" t="s">
        <v>678</v>
      </c>
      <c r="P231" s="95" t="s">
        <v>1185</v>
      </c>
      <c r="Q231" s="152" t="s">
        <v>17</v>
      </c>
      <c r="R231" s="96" t="str">
        <f t="shared" si="23"/>
        <v>Equipment Reliability - Planned TA &amp; Planned SD_OEE_Improvement_Entry</v>
      </c>
      <c r="S231" s="371">
        <f t="shared" si="27"/>
        <v>0</v>
      </c>
      <c r="T231">
        <f t="shared" si="24"/>
        <v>0</v>
      </c>
      <c r="U231" t="s">
        <v>876</v>
      </c>
    </row>
    <row r="232" spans="15:21">
      <c r="O232" s="95" t="s">
        <v>678</v>
      </c>
      <c r="P232" s="95" t="s">
        <v>1185</v>
      </c>
      <c r="Q232" s="152" t="s">
        <v>665</v>
      </c>
      <c r="R232" s="96" t="str">
        <f t="shared" si="23"/>
        <v>Available running OEE - Running hours_OEE_Improvement_Entry</v>
      </c>
      <c r="S232" s="371">
        <f t="shared" si="27"/>
        <v>0</v>
      </c>
      <c r="T232">
        <f t="shared" si="24"/>
        <v>0</v>
      </c>
      <c r="U232" t="s">
        <v>876</v>
      </c>
    </row>
    <row r="233" spans="15:21">
      <c r="O233" s="95" t="s">
        <v>678</v>
      </c>
      <c r="P233" s="95" t="s">
        <v>1185</v>
      </c>
      <c r="Q233" s="152" t="s">
        <v>18</v>
      </c>
      <c r="R233" s="96" t="str">
        <f t="shared" si="23"/>
        <v>Equipment Reliability - Equipment Failure_OEE_Improvement_Entry</v>
      </c>
      <c r="S233" s="371">
        <f t="shared" si="27"/>
        <v>0</v>
      </c>
      <c r="T233">
        <f t="shared" si="24"/>
        <v>0</v>
      </c>
      <c r="U233" t="s">
        <v>876</v>
      </c>
    </row>
    <row r="234" spans="15:21">
      <c r="O234" s="95" t="s">
        <v>678</v>
      </c>
      <c r="P234" s="95" t="s">
        <v>1185</v>
      </c>
      <c r="Q234" s="152" t="s">
        <v>1</v>
      </c>
      <c r="R234" s="96" t="str">
        <f t="shared" si="23"/>
        <v>Operational Reliability_OEE_Improvement_Entry</v>
      </c>
      <c r="S234" s="371">
        <f t="shared" si="27"/>
        <v>0</v>
      </c>
      <c r="T234">
        <f t="shared" si="24"/>
        <v>0</v>
      </c>
      <c r="U234" t="s">
        <v>876</v>
      </c>
    </row>
    <row r="235" spans="15:21">
      <c r="O235" s="95" t="s">
        <v>678</v>
      </c>
      <c r="P235" s="95" t="s">
        <v>1185</v>
      </c>
      <c r="Q235" s="152" t="s">
        <v>2</v>
      </c>
      <c r="R235" s="96" t="str">
        <f t="shared" si="23"/>
        <v>Technology Reliability_OEE_Improvement_Entry</v>
      </c>
      <c r="S235" s="371">
        <f t="shared" si="27"/>
        <v>0</v>
      </c>
      <c r="T235">
        <f t="shared" si="24"/>
        <v>0</v>
      </c>
      <c r="U235" t="s">
        <v>876</v>
      </c>
    </row>
    <row r="236" spans="15:21">
      <c r="O236" s="95" t="s">
        <v>678</v>
      </c>
      <c r="P236" s="95" t="s">
        <v>1185</v>
      </c>
      <c r="Q236" s="152" t="s">
        <v>3</v>
      </c>
      <c r="R236" s="96" t="str">
        <f t="shared" si="23"/>
        <v>Material Reliability_OEE_Improvement_Entry</v>
      </c>
      <c r="S236" s="371">
        <f t="shared" si="27"/>
        <v>0</v>
      </c>
      <c r="T236">
        <f t="shared" si="24"/>
        <v>0</v>
      </c>
      <c r="U236" t="s">
        <v>876</v>
      </c>
    </row>
    <row r="237" spans="15:21">
      <c r="O237" s="95" t="s">
        <v>678</v>
      </c>
      <c r="P237" s="95" t="s">
        <v>1185</v>
      </c>
      <c r="Q237" s="152" t="s">
        <v>4</v>
      </c>
      <c r="R237" s="96" t="str">
        <f t="shared" si="23"/>
        <v>Logistics/Supply Reliability_OEE_Improvement_Entry</v>
      </c>
      <c r="S237" s="371">
        <f t="shared" si="27"/>
        <v>0</v>
      </c>
      <c r="T237">
        <f t="shared" si="24"/>
        <v>0</v>
      </c>
      <c r="U237" t="s">
        <v>876</v>
      </c>
    </row>
    <row r="238" spans="15:21">
      <c r="O238" s="95" t="s">
        <v>678</v>
      </c>
      <c r="P238" s="95" t="s">
        <v>1185</v>
      </c>
      <c r="Q238" s="152" t="s">
        <v>5</v>
      </c>
      <c r="R238" s="96" t="str">
        <f t="shared" si="23"/>
        <v>External Reliability_OEE_Improvement_Entry</v>
      </c>
      <c r="S238" s="371">
        <f t="shared" si="27"/>
        <v>0</v>
      </c>
      <c r="T238">
        <f t="shared" si="24"/>
        <v>0</v>
      </c>
      <c r="U238" t="s">
        <v>876</v>
      </c>
    </row>
    <row r="239" spans="15:21">
      <c r="O239" s="95" t="s">
        <v>678</v>
      </c>
      <c r="P239" s="95" t="s">
        <v>1185</v>
      </c>
      <c r="Q239" s="152" t="s">
        <v>11</v>
      </c>
      <c r="R239" s="96" t="str">
        <f t="shared" si="23"/>
        <v>Other Reliability_OEE_Improvement_Entry</v>
      </c>
      <c r="S239" s="371">
        <f t="shared" si="27"/>
        <v>0</v>
      </c>
      <c r="T239">
        <f t="shared" si="24"/>
        <v>0</v>
      </c>
      <c r="U239" t="s">
        <v>876</v>
      </c>
    </row>
    <row r="240" spans="15:21">
      <c r="O240" s="95" t="s">
        <v>678</v>
      </c>
      <c r="P240" s="95" t="s">
        <v>1185</v>
      </c>
      <c r="Q240" s="152" t="s">
        <v>15</v>
      </c>
      <c r="R240" s="96" t="str">
        <f t="shared" si="23"/>
        <v>Unspecified_OEE_Improvement_Entry</v>
      </c>
      <c r="S240" s="371">
        <f t="shared" si="27"/>
        <v>0</v>
      </c>
      <c r="T240">
        <f t="shared" si="24"/>
        <v>0</v>
      </c>
      <c r="U240" t="s">
        <v>876</v>
      </c>
    </row>
    <row r="241" spans="15:21">
      <c r="O241" s="95" t="s">
        <v>678</v>
      </c>
      <c r="P241" s="95" t="s">
        <v>1185</v>
      </c>
      <c r="Q241" s="152" t="s">
        <v>16</v>
      </c>
      <c r="R241" s="96" t="str">
        <f t="shared" si="23"/>
        <v>Undetected_OEE_Improvement_Entry</v>
      </c>
      <c r="S241" s="371">
        <f t="shared" si="27"/>
        <v>0</v>
      </c>
      <c r="T241">
        <f t="shared" si="24"/>
        <v>0</v>
      </c>
      <c r="U241" t="s">
        <v>876</v>
      </c>
    </row>
    <row r="242" spans="15:21">
      <c r="O242" s="95" t="s">
        <v>678</v>
      </c>
      <c r="P242" s="95" t="s">
        <v>1185</v>
      </c>
      <c r="Q242" s="152" t="s">
        <v>664</v>
      </c>
      <c r="R242" s="96" t="str">
        <f t="shared" si="23"/>
        <v>Exception hours_OEE_Improvement_Entry</v>
      </c>
      <c r="S242" s="371">
        <f t="shared" si="27"/>
        <v>0</v>
      </c>
      <c r="T242">
        <f t="shared" si="24"/>
        <v>0</v>
      </c>
      <c r="U242" t="s">
        <v>876</v>
      </c>
    </row>
    <row r="243" spans="15:21">
      <c r="O243" s="95" t="s">
        <v>678</v>
      </c>
      <c r="P243" s="95" t="s">
        <v>1185</v>
      </c>
      <c r="Q243" s="152" t="s">
        <v>703</v>
      </c>
      <c r="R243" s="96" t="str">
        <f t="shared" si="23"/>
        <v>Extra loss hours in baseline due to MAC change_OEE_Improvement_Entry</v>
      </c>
      <c r="S243" s="371">
        <f t="shared" si="27"/>
        <v>0</v>
      </c>
      <c r="T243">
        <f t="shared" si="24"/>
        <v>0</v>
      </c>
      <c r="U243" t="s">
        <v>876</v>
      </c>
    </row>
    <row r="244" spans="15:21">
      <c r="O244" s="95" t="s">
        <v>678</v>
      </c>
      <c r="P244" s="95" t="s">
        <v>1185</v>
      </c>
      <c r="Q244" s="152" t="s">
        <v>705</v>
      </c>
      <c r="R244" s="96" t="str">
        <f t="shared" si="23"/>
        <v>Improvement target not assigned_OEE_Improvement_Entry</v>
      </c>
      <c r="S244" s="371">
        <f t="shared" si="27"/>
        <v>0</v>
      </c>
      <c r="T244">
        <f t="shared" si="24"/>
        <v>0</v>
      </c>
      <c r="U244" t="s">
        <v>876</v>
      </c>
    </row>
    <row r="245" spans="15:21">
      <c r="O245" s="95" t="s">
        <v>678</v>
      </c>
      <c r="P245" s="95" t="s">
        <v>1185</v>
      </c>
      <c r="Q245" s="152" t="s">
        <v>397</v>
      </c>
      <c r="R245" s="96" t="str">
        <f t="shared" si="23"/>
        <v>Sum OEE losses (exluding Planned Maintenance)_OEE_Improvement_Entry</v>
      </c>
      <c r="S245" s="371">
        <f t="shared" si="27"/>
        <v>0</v>
      </c>
      <c r="T245">
        <f t="shared" si="24"/>
        <v>0</v>
      </c>
      <c r="U245" t="s">
        <v>876</v>
      </c>
    </row>
    <row r="246" spans="15:21">
      <c r="O246" s="95" t="s">
        <v>678</v>
      </c>
      <c r="P246" s="95" t="s">
        <v>1185</v>
      </c>
      <c r="Q246" s="152" t="s">
        <v>398</v>
      </c>
      <c r="R246" s="96" t="str">
        <f t="shared" si="23"/>
        <v>Sum OEE losses (Including Planned Maintenance)_OEE_Improvement_Entry</v>
      </c>
      <c r="S246" s="371">
        <f t="shared" si="27"/>
        <v>0</v>
      </c>
      <c r="T246">
        <f t="shared" si="24"/>
        <v>0</v>
      </c>
      <c r="U246" t="s">
        <v>876</v>
      </c>
    </row>
    <row r="247" spans="15:21">
      <c r="O247" s="95" t="s">
        <v>678</v>
      </c>
      <c r="P247" s="95" t="s">
        <v>1185</v>
      </c>
      <c r="Q247" s="152" t="s">
        <v>712</v>
      </c>
      <c r="R247" s="96" t="str">
        <f t="shared" si="23"/>
        <v>Production hours on MAC (h) / OEE (%)_OEE_Improvement_Entry</v>
      </c>
      <c r="S247" s="371">
        <f t="shared" si="27"/>
        <v>0</v>
      </c>
      <c r="T247">
        <f t="shared" si="24"/>
        <v>0</v>
      </c>
      <c r="U247" t="s">
        <v>876</v>
      </c>
    </row>
    <row r="248" spans="15:21">
      <c r="O248" s="95" t="s">
        <v>674</v>
      </c>
      <c r="Q248" s="144" t="s">
        <v>1191</v>
      </c>
      <c r="R248" s="96" t="str">
        <f t="shared" si="23"/>
        <v>Sheet used for target setting</v>
      </c>
      <c r="S248" s="1" t="s">
        <v>1193</v>
      </c>
      <c r="T248">
        <f t="shared" si="24"/>
        <v>0</v>
      </c>
      <c r="U248" t="s">
        <v>875</v>
      </c>
    </row>
  </sheetData>
  <scenarios current="0">
    <scenario name="Same production volume" locked="1" count="9" user="Philipse, H.J.F. (Erik)" comment="Created by Philipse, H.J.F. (Erik) on 18-11-2020">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I23:J23"/>
    <mergeCell ref="G23:H23"/>
  </mergeCells>
  <conditionalFormatting sqref="A22">
    <cfRule type="expression" priority="26">
      <formula>$B$22&gt;1%</formula>
    </cfRule>
    <cfRule type="expression" dxfId="406" priority="27">
      <formula>$B$22=""</formula>
    </cfRule>
  </conditionalFormatting>
  <conditionalFormatting sqref="B6">
    <cfRule type="cellIs" dxfId="405" priority="23" operator="lessThan">
      <formula>-0.1</formula>
    </cfRule>
    <cfRule type="cellIs" dxfId="404" priority="24" operator="greaterThan">
      <formula>0.1</formula>
    </cfRule>
    <cfRule type="cellIs" dxfId="403" priority="25" operator="between">
      <formula>-0.1</formula>
      <formula>0.1</formula>
    </cfRule>
  </conditionalFormatting>
  <conditionalFormatting sqref="C21">
    <cfRule type="cellIs" dxfId="402" priority="20" operator="lessThan">
      <formula>-0.1</formula>
    </cfRule>
    <cfRule type="cellIs" dxfId="401" priority="21" operator="greaterThan">
      <formula>0.1</formula>
    </cfRule>
    <cfRule type="cellIs" dxfId="400" priority="22" operator="between">
      <formula>-0.1</formula>
      <formula>0.1</formula>
    </cfRule>
  </conditionalFormatting>
  <conditionalFormatting sqref="H45 H29:H30 H42:H43">
    <cfRule type="expression" dxfId="399" priority="29">
      <formula>$I$23="%"</formula>
    </cfRule>
    <cfRule type="expression" dxfId="398" priority="30">
      <formula>$I$23="hours"</formula>
    </cfRule>
  </conditionalFormatting>
  <conditionalFormatting sqref="G51">
    <cfRule type="expression" dxfId="397" priority="31">
      <formula>$F$50&gt;100%</formula>
    </cfRule>
  </conditionalFormatting>
  <conditionalFormatting sqref="A9:B9">
    <cfRule type="expression" dxfId="396" priority="18">
      <formula>$B$8="Exclude"</formula>
    </cfRule>
    <cfRule type="expression" dxfId="395" priority="19">
      <formula>$B$8="Include"</formula>
    </cfRule>
  </conditionalFormatting>
  <conditionalFormatting sqref="C9">
    <cfRule type="expression" dxfId="394" priority="32" stopIfTrue="1">
      <formula>$B$8="Exclude"</formula>
    </cfRule>
    <cfRule type="expression" dxfId="393" priority="33">
      <formula>$B$9="No"</formula>
    </cfRule>
    <cfRule type="expression" dxfId="392" priority="34">
      <formula xml:space="preserve"> $B$9="Yes"</formula>
    </cfRule>
  </conditionalFormatting>
  <conditionalFormatting sqref="C10">
    <cfRule type="expression" dxfId="391" priority="35" stopIfTrue="1">
      <formula>$B$8="Exclude"</formula>
    </cfRule>
    <cfRule type="expression" dxfId="390" priority="36" stopIfTrue="1">
      <formula>$B$9="No"</formula>
    </cfRule>
    <cfRule type="expression" dxfId="389" priority="37">
      <formula>$B$10="No Gain"</formula>
    </cfRule>
    <cfRule type="expression" dxfId="388" priority="38">
      <formula xml:space="preserve"> $B$9="Yes"</formula>
    </cfRule>
    <cfRule type="expression" dxfId="387" priority="39">
      <formula>$B$10="Gain"</formula>
    </cfRule>
  </conditionalFormatting>
  <conditionalFormatting sqref="F50:F51">
    <cfRule type="cellIs" dxfId="386" priority="16" operator="greaterThan">
      <formula>1</formula>
    </cfRule>
    <cfRule type="cellIs" dxfId="385" priority="17" operator="lessThanOrEqual">
      <formula>1</formula>
    </cfRule>
  </conditionalFormatting>
  <conditionalFormatting sqref="C15">
    <cfRule type="expression" dxfId="384" priority="14">
      <formula>$B$15=$D$15</formula>
    </cfRule>
    <cfRule type="expression" dxfId="383" priority="15">
      <formula>$B$1&lt;&gt;$D$15</formula>
    </cfRule>
  </conditionalFormatting>
  <conditionalFormatting sqref="G31:G39">
    <cfRule type="expression" dxfId="382" priority="8">
      <formula>$F$24="hours decrease"</formula>
    </cfRule>
  </conditionalFormatting>
  <conditionalFormatting sqref="G32 G34 G36 G38">
    <cfRule type="expression" dxfId="381" priority="9">
      <formula>$F$24="% decrease"</formula>
    </cfRule>
  </conditionalFormatting>
  <conditionalFormatting sqref="H31:H39">
    <cfRule type="expression" dxfId="380" priority="10">
      <formula>$F$24="% decrease"</formula>
    </cfRule>
  </conditionalFormatting>
  <conditionalFormatting sqref="H32 H34 H36 H38">
    <cfRule type="expression" dxfId="379" priority="11">
      <formula>$F$24="hours decrease"</formula>
    </cfRule>
  </conditionalFormatting>
  <conditionalFormatting sqref="D17">
    <cfRule type="expression" dxfId="378" priority="6">
      <formula>$D$20=""</formula>
    </cfRule>
    <cfRule type="expression" dxfId="377" priority="7">
      <formula>$D$20&gt;0</formula>
    </cfRule>
  </conditionalFormatting>
  <conditionalFormatting sqref="D19">
    <cfRule type="expression" dxfId="376" priority="4">
      <formula>$D$20=""</formula>
    </cfRule>
    <cfRule type="expression" dxfId="375" priority="5">
      <formula>$D$20&gt;0</formula>
    </cfRule>
  </conditionalFormatting>
  <conditionalFormatting sqref="F31:F40">
    <cfRule type="expression" dxfId="374" priority="12">
      <formula>$F$24="% decrease"</formula>
    </cfRule>
    <cfRule type="expression" dxfId="373" priority="13">
      <formula>$F$24="hours decrease"</formula>
    </cfRule>
  </conditionalFormatting>
  <conditionalFormatting sqref="C4:C5">
    <cfRule type="expression" dxfId="372" priority="2">
      <formula>$C$5=""</formula>
    </cfRule>
    <cfRule type="expression" dxfId="371" priority="3">
      <formula>$C$5&gt;0</formula>
    </cfRule>
    <cfRule type="expression" dxfId="370" priority="1">
      <formula>$C$5=0</formula>
    </cfRule>
  </conditionalFormatting>
  <dataValidations count="6">
    <dataValidation type="list" allowBlank="1" showInputMessage="1" showErrorMessage="1" sqref="B8" xr:uid="{B540035D-3132-4DB7-80F1-0FF0E9C32D07}">
      <formula1>"Include,Exclude"</formula1>
    </dataValidation>
    <dataValidation type="list" allowBlank="1" showInputMessage="1" showErrorMessage="1" sqref="B9" xr:uid="{C6C910D3-8939-40DF-971D-5CE7D7D28DEE}">
      <formula1>"Yes,No"</formula1>
    </dataValidation>
    <dataValidation type="list" allowBlank="1" showInputMessage="1" showErrorMessage="1" sqref="B11" xr:uid="{D3B6A78C-A1D9-45CB-AC14-3AAE402108A8}">
      <formula1>"Playbook Matrix value, Manual OEE target"</formula1>
    </dataValidation>
    <dataValidation type="list" allowBlank="1" showInputMessage="1" showErrorMessage="1" sqref="B3" xr:uid="{4D62C729-340C-4BFC-9152-AD33B57E845F}">
      <formula1>"Batch,Continuous"</formula1>
    </dataValidation>
    <dataValidation type="list" allowBlank="1" showInputMessage="1" showErrorMessage="1" sqref="F24" xr:uid="{E37668CD-3947-46D4-85D6-2095457A0058}">
      <formula1>"% decrease,hours decrease"</formula1>
    </dataValidation>
    <dataValidation type="list" allowBlank="1" showInputMessage="1" showErrorMessage="1" sqref="B60" xr:uid="{2B24992D-5245-4C56-B831-7B8C1F05EB69}">
      <formula1>"Automatic, Force OEE, Force Running OEE"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221" r:id="rId4" name="Button 45">
              <controlPr defaultSize="0" print="0" autoFill="0" autoPict="0" macro="[0]!Sheet_Manual_copy_and_clear">
                <anchor moveWithCells="1" sizeWithCells="1">
                  <from>
                    <xdr:col>8</xdr:col>
                    <xdr:colOff>133350</xdr:colOff>
                    <xdr:row>0</xdr:row>
                    <xdr:rowOff>95250</xdr:rowOff>
                  </from>
                  <to>
                    <xdr:col>8</xdr:col>
                    <xdr:colOff>1466850</xdr:colOff>
                    <xdr:row>3</xdr:row>
                    <xdr:rowOff>133350</xdr:rowOff>
                  </to>
                </anchor>
              </controlPr>
            </control>
          </mc:Choice>
        </mc:AlternateContent>
        <mc:AlternateContent xmlns:mc="http://schemas.openxmlformats.org/markup-compatibility/2006">
          <mc:Choice Requires="x14">
            <control shapeId="50222" r:id="rId5" name="Button 46">
              <controlPr defaultSize="0" print="0" autoFill="0" autoPict="0" macro="[0]!Copy_current_page_to_results">
                <anchor moveWithCells="1" sizeWithCells="1">
                  <from>
                    <xdr:col>8</xdr:col>
                    <xdr:colOff>161925</xdr:colOff>
                    <xdr:row>4</xdr:row>
                    <xdr:rowOff>38100</xdr:rowOff>
                  </from>
                  <to>
                    <xdr:col>8</xdr:col>
                    <xdr:colOff>1466850</xdr:colOff>
                    <xdr:row>7</xdr:row>
                    <xdr:rowOff>95250</xdr:rowOff>
                  </to>
                </anchor>
              </controlPr>
            </control>
          </mc:Choice>
        </mc:AlternateContent>
        <mc:AlternateContent xmlns:mc="http://schemas.openxmlformats.org/markup-compatibility/2006">
          <mc:Choice Requires="x14">
            <control shapeId="50230" r:id="rId6" name="Button 54">
              <controlPr defaultSize="0" print="0" autoFill="0" autoPict="0" macro="[0]!Sheet_Manual_clear">
                <anchor moveWithCells="1" sizeWithCells="1">
                  <from>
                    <xdr:col>8</xdr:col>
                    <xdr:colOff>1533525</xdr:colOff>
                    <xdr:row>4</xdr:row>
                    <xdr:rowOff>28575</xdr:rowOff>
                  </from>
                  <to>
                    <xdr:col>9</xdr:col>
                    <xdr:colOff>1314450</xdr:colOff>
                    <xdr:row>7</xdr:row>
                    <xdr:rowOff>85725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59B51-832D-4F1B-81D2-5FC04CF23AF4}">
  <sheetPr codeName="Sheet6"/>
  <dimension ref="A1:M2"/>
  <sheetViews>
    <sheetView workbookViewId="0">
      <selection activeCell="A3" sqref="A3:XFD3"/>
    </sheetView>
  </sheetViews>
  <sheetFormatPr defaultColWidth="9.140625" defaultRowHeight="12.75"/>
  <cols>
    <col min="1" max="1" width="20.7109375" style="62" customWidth="1"/>
    <col min="2" max="6" width="20.7109375" style="60" customWidth="1"/>
    <col min="7" max="10" width="20.7109375" style="73" customWidth="1"/>
    <col min="11" max="13" width="20.7109375" style="60" customWidth="1"/>
    <col min="14" max="14" width="9.140625" style="62"/>
    <col min="15" max="21" width="0" style="62" hidden="1" customWidth="1"/>
    <col min="22" max="16384" width="9.140625" style="62"/>
  </cols>
  <sheetData>
    <row r="1" spans="1:13" s="64" customFormat="1">
      <c r="A1" s="63" t="s">
        <v>141</v>
      </c>
      <c r="B1" s="77"/>
      <c r="C1" s="77"/>
      <c r="D1" s="77"/>
      <c r="E1" s="77"/>
      <c r="F1" s="77"/>
    </row>
    <row r="2" spans="1:13">
      <c r="A2" s="321" t="s">
        <v>9</v>
      </c>
      <c r="B2" s="322" t="s">
        <v>692</v>
      </c>
      <c r="C2" s="322" t="s">
        <v>693</v>
      </c>
      <c r="D2" s="322" t="s">
        <v>764</v>
      </c>
      <c r="E2" s="322" t="s">
        <v>707</v>
      </c>
      <c r="F2" s="323" t="s">
        <v>694</v>
      </c>
      <c r="G2" s="323" t="s">
        <v>695</v>
      </c>
      <c r="H2" s="324" t="s">
        <v>696</v>
      </c>
      <c r="I2" s="324" t="s">
        <v>140</v>
      </c>
      <c r="J2" s="324" t="s">
        <v>667</v>
      </c>
      <c r="K2" s="324" t="s">
        <v>697</v>
      </c>
      <c r="L2" s="324" t="s">
        <v>698</v>
      </c>
      <c r="M2" s="323" t="s">
        <v>669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4B4C1-B49A-4E5C-8BA2-2E8CFD9AAAAE}">
  <sheetPr codeName="Sheet12">
    <tabColor rgb="FF00B0F0"/>
  </sheetPr>
  <dimension ref="A1:AI248"/>
  <sheetViews>
    <sheetView showGridLines="0" tabSelected="1" zoomScaleNormal="100" workbookViewId="0">
      <selection activeCell="F32" sqref="F32"/>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200</v>
      </c>
      <c r="E2" s="314" t="s">
        <v>303</v>
      </c>
      <c r="G2" s="37" t="s">
        <v>670</v>
      </c>
      <c r="H2" s="40">
        <v>5.3</v>
      </c>
      <c r="O2" s="94" t="s">
        <v>679</v>
      </c>
      <c r="P2" s="94"/>
      <c r="Q2" s="145" t="s">
        <v>670</v>
      </c>
      <c r="R2" s="96" t="str">
        <f t="shared" ref="R2:R65" si="0">IF(ISBLANK(P2),Q2,_xlfn.CONCAT(Q2,"_",P2))</f>
        <v>Template Version:</v>
      </c>
      <c r="S2" s="261">
        <f>H2</f>
        <v>5.3</v>
      </c>
      <c r="T2" t="str">
        <f>$B$2</f>
        <v>(HOT) K201 Kettle</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K201 Kettle</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K201 Kettle</v>
      </c>
      <c r="U4" t="s">
        <v>874</v>
      </c>
    </row>
    <row r="5" spans="1:21">
      <c r="A5" s="34" t="s">
        <v>733</v>
      </c>
      <c r="B5" s="42">
        <v>189</v>
      </c>
      <c r="C5">
        <f>IFERROR(INDEX(Table1[Loss Hours Exclusion],MATCH('(HOT) K201 Kettle'!B2,Table1[Unit3],0)),"")</f>
        <v>0</v>
      </c>
      <c r="E5" s="317" t="s">
        <v>637</v>
      </c>
      <c r="F5" s="64"/>
      <c r="G5" s="360"/>
      <c r="H5" s="361"/>
      <c r="O5" s="95" t="s">
        <v>674</v>
      </c>
      <c r="P5" s="95"/>
      <c r="Q5" s="146" t="s">
        <v>604</v>
      </c>
      <c r="R5" s="96" t="str">
        <f t="shared" si="0"/>
        <v>Unit Name</v>
      </c>
      <c r="S5" s="264" t="str">
        <f>B2</f>
        <v>(HOT) K201 Kettle</v>
      </c>
      <c r="T5" t="str">
        <f t="shared" si="1"/>
        <v>(HOT) K201 Kettle</v>
      </c>
      <c r="U5" t="s">
        <v>875</v>
      </c>
    </row>
    <row r="6" spans="1:21">
      <c r="A6" s="34" t="s">
        <v>735</v>
      </c>
      <c r="B6" s="219">
        <v>0</v>
      </c>
      <c r="C6" s="270">
        <f>SUMIF(B31:B39,"&gt;0",B31:B39)</f>
        <v>2182.7219518882116</v>
      </c>
      <c r="D6" s="270">
        <f>SUMIF(B31:B39,"&lt;0",B31:B39)</f>
        <v>-1610.0069958101401</v>
      </c>
      <c r="E6" s="318" t="s">
        <v>1032</v>
      </c>
      <c r="F6" s="64"/>
      <c r="G6" s="360"/>
      <c r="H6" s="361"/>
      <c r="O6" s="95" t="s">
        <v>674</v>
      </c>
      <c r="P6" s="95"/>
      <c r="Q6" s="146" t="s">
        <v>139</v>
      </c>
      <c r="R6" s="96" t="str">
        <f t="shared" si="0"/>
        <v>Unit Type</v>
      </c>
      <c r="S6" s="264" t="str">
        <f t="shared" ref="S6" si="2">B3</f>
        <v>Batch</v>
      </c>
      <c r="T6" t="str">
        <f t="shared" si="1"/>
        <v>(HOT) K201 Kettle</v>
      </c>
      <c r="U6" t="s">
        <v>875</v>
      </c>
    </row>
    <row r="7" spans="1:21">
      <c r="A7" t="s">
        <v>702</v>
      </c>
      <c r="B7" s="6">
        <f>IFERROR(B48/D48-1,0)</f>
        <v>9.1741708596058569E-2</v>
      </c>
      <c r="C7" s="121">
        <f>IF(B8="Include",B45*B7/(1+B7),0)</f>
        <v>0</v>
      </c>
      <c r="D7" s="59">
        <f>IFERROR(C6/(C6-D6),0)</f>
        <v>0.57550169864176937</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189</v>
      </c>
      <c r="T7" t="str">
        <f t="shared" si="1"/>
        <v>(HOT) K201 Kettle</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(HOT) K201 Kettle</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9.1741708596058569E-2</v>
      </c>
      <c r="T9" t="str">
        <f t="shared" si="1"/>
        <v>(HOT) K201 Kettle</v>
      </c>
      <c r="U9" t="s">
        <v>875</v>
      </c>
    </row>
    <row r="10" spans="1:21">
      <c r="A10" s="141" t="s">
        <v>718</v>
      </c>
      <c r="B10" s="59" t="str">
        <f>IF(MIN(C31:C39)&lt;-1%,"Gain","No Gain")</f>
        <v>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(HOT) K201 Kettle</v>
      </c>
      <c r="U10" t="s">
        <v>875</v>
      </c>
    </row>
    <row r="11" spans="1:21" ht="13.5" thickBot="1">
      <c r="A11" s="30" t="s">
        <v>140</v>
      </c>
      <c r="B11" s="38" t="s">
        <v>1294</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K201 Kettle</v>
      </c>
      <c r="U11" t="s">
        <v>875</v>
      </c>
    </row>
    <row r="12" spans="1:21">
      <c r="A12" s="30" t="s">
        <v>1016</v>
      </c>
      <c r="B12" s="5">
        <f>IF($B$3="Batch",INDEX(BatchMatrix[Target Improvement],MATCH(E48,BatchMatrix[Min OEE],1)),IF($B$3="Continuous",INDEX(ContinousMatrix[Target Improvement],MATCH(E48,ContinousMatrix[Min OEE],1)),""))</f>
        <v>0.01</v>
      </c>
      <c r="C12" s="3"/>
      <c r="E12" s="387"/>
      <c r="F12" s="388"/>
      <c r="G12" s="388"/>
      <c r="H12" s="388"/>
      <c r="I12" s="389"/>
      <c r="O12" s="95" t="s">
        <v>674</v>
      </c>
      <c r="P12" s="95"/>
      <c r="Q12" s="222" t="s">
        <v>718</v>
      </c>
      <c r="R12" s="96" t="str">
        <f t="shared" si="0"/>
        <v>Running OEE LY &gt;100%</v>
      </c>
      <c r="S12" s="264" t="str">
        <f t="shared" si="3"/>
        <v>Gain</v>
      </c>
      <c r="T12" t="str">
        <f t="shared" si="1"/>
        <v>(HOT) K201 Kettle</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K201 Kettle</v>
      </c>
      <c r="U13" t="s">
        <v>875</v>
      </c>
    </row>
    <row r="14" spans="1:21">
      <c r="A14" s="33" t="s">
        <v>309</v>
      </c>
      <c r="B14" s="36">
        <f>IF(B11="Manual OEE target",B13,IF(B11="Playbook Matrix value",B12,""))</f>
        <v>0.01</v>
      </c>
      <c r="C14" s="3"/>
      <c r="E14" s="390"/>
      <c r="F14" s="391"/>
      <c r="G14" s="391"/>
      <c r="H14" s="391"/>
      <c r="I14" s="392"/>
      <c r="O14" s="95" t="s">
        <v>674</v>
      </c>
      <c r="P14" s="95"/>
      <c r="Q14" s="224" t="s">
        <v>1292</v>
      </c>
      <c r="R14" s="96" t="str">
        <f t="shared" si="0"/>
        <v>Target OEE Improvement (playbook)</v>
      </c>
      <c r="S14" s="264">
        <f t="shared" si="3"/>
        <v>0.01</v>
      </c>
      <c r="T14" t="str">
        <f t="shared" si="1"/>
        <v>(HOT) K201 Kettle</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K201 Kettle</v>
      </c>
      <c r="U15" t="s">
        <v>875</v>
      </c>
    </row>
    <row r="16" spans="1:21">
      <c r="E16" s="390"/>
      <c r="F16" s="391"/>
      <c r="G16" s="391"/>
      <c r="H16" s="391"/>
      <c r="I16" s="392"/>
      <c r="O16" s="95" t="s">
        <v>674</v>
      </c>
      <c r="P16" s="95"/>
      <c r="Q16" s="225" t="s">
        <v>309</v>
      </c>
      <c r="R16" s="96" t="str">
        <f t="shared" si="0"/>
        <v>Selected OEE target (used in table below)</v>
      </c>
      <c r="S16" s="264">
        <f t="shared" si="3"/>
        <v>0.01</v>
      </c>
      <c r="T16" t="str">
        <f t="shared" si="1"/>
        <v>(HOT) K201 Kettle</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K201 Kettle</v>
      </c>
      <c r="U17" t="s">
        <v>875</v>
      </c>
    </row>
    <row r="18" spans="1:21">
      <c r="A18" s="44" t="s">
        <v>374</v>
      </c>
      <c r="B18" s="7">
        <f>INDEX(TableOEE[Sum of Planned Turnaround Hours],MATCH($B$2,TableOEE[Unit],0))</f>
        <v>0</v>
      </c>
      <c r="C18" s="42">
        <v>0</v>
      </c>
      <c r="D18" s="1" t="str">
        <f>IFERROR(INDEX(Table13[Distributed Turnaround (hrs) matching?],MATCH('(HOT) K201 Kettle'!B2,Table13[ 2025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K201 Kettle</v>
      </c>
      <c r="U18" t="s">
        <v>877</v>
      </c>
    </row>
    <row r="19" spans="1:21">
      <c r="A19" s="45" t="s">
        <v>375</v>
      </c>
      <c r="B19" s="46">
        <f>INDEX(TableOEE[Sum of Planned Shutdown Hours],MATCH($B$2,TableOEE[Unit],0))</f>
        <v>5.4680555499945296</v>
      </c>
      <c r="C19" s="42">
        <v>168</v>
      </c>
      <c r="D19" s="259" t="str">
        <f>IFERROR(INDEX(Table12[Distributed Shutdown (hrs) matching?],MATCH('(HOT) K201 Kettle'!B2,Table12[ 2025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5.4680555499945296</v>
      </c>
      <c r="T19" t="str">
        <f t="shared" si="1"/>
        <v>(HOT) K201 Kettle</v>
      </c>
      <c r="U19" t="s">
        <v>877</v>
      </c>
    </row>
    <row r="20" spans="1:21">
      <c r="A20" s="30" t="s">
        <v>716</v>
      </c>
      <c r="B20" s="7">
        <f>INDEX(TableOEE[Sum of Planned Maintenance Hours],MATCH($B$2,TableOEE[Unit],0))</f>
        <v>5.4680555499945296</v>
      </c>
      <c r="C20" s="58">
        <f>SUM(C18:C19)</f>
        <v>168</v>
      </c>
      <c r="D20" s="1" t="str">
        <f>IFERROR(D18+D19,"")</f>
        <v/>
      </c>
      <c r="E20" s="390"/>
      <c r="F20" s="391"/>
      <c r="G20" s="391"/>
      <c r="H20" s="391"/>
      <c r="I20" s="392"/>
      <c r="O20" s="95" t="s">
        <v>674</v>
      </c>
      <c r="P20" s="95" t="s">
        <v>879</v>
      </c>
      <c r="Q20" s="144" t="s">
        <v>716</v>
      </c>
      <c r="R20" s="96" t="str">
        <f t="shared" si="0"/>
        <v>Total Planned Maintenance (h)_Actual_LJ</v>
      </c>
      <c r="S20" s="265">
        <f>B20</f>
        <v>5.4680555499945296</v>
      </c>
      <c r="T20" t="str">
        <f t="shared" si="1"/>
        <v>(HOT) K201 Kettle</v>
      </c>
      <c r="U20" t="s">
        <v>877</v>
      </c>
    </row>
    <row r="21" spans="1:21" ht="13.5" thickBot="1">
      <c r="A21" s="43" t="s">
        <v>715</v>
      </c>
      <c r="B21" s="7">
        <f>C20-B20</f>
        <v>162.53194445000548</v>
      </c>
      <c r="C21" s="5">
        <f>IF(B20&gt;0,C20/B20-1,0)</f>
        <v>29.723901479049179</v>
      </c>
      <c r="D21" s="269"/>
      <c r="E21" s="393"/>
      <c r="F21" s="394"/>
      <c r="G21" s="394"/>
      <c r="H21" s="394"/>
      <c r="I21" s="395"/>
      <c r="O21" s="95" t="s">
        <v>674</v>
      </c>
      <c r="P21" s="95" t="s">
        <v>879</v>
      </c>
      <c r="Q21" s="147" t="s">
        <v>715</v>
      </c>
      <c r="R21" s="96" t="str">
        <f t="shared" si="0"/>
        <v>Planned Maintenance Increase_Actual_LJ</v>
      </c>
      <c r="S21" s="265">
        <f>B21</f>
        <v>162.53194445000548</v>
      </c>
      <c r="T21" t="str">
        <f t="shared" si="1"/>
        <v>(HOT) K201 Kettle</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K201 Kettle</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K201 Kettle</v>
      </c>
      <c r="U23" t="s">
        <v>877</v>
      </c>
    </row>
    <row r="24" spans="1:21">
      <c r="A24" s="124" t="s">
        <v>0</v>
      </c>
      <c r="B24" s="182" t="s">
        <v>1019</v>
      </c>
      <c r="C24" s="183" t="s">
        <v>1020</v>
      </c>
      <c r="D24" s="180" t="s">
        <v>1021</v>
      </c>
      <c r="E24" s="181" t="s">
        <v>1022</v>
      </c>
      <c r="F24" s="279" t="s">
        <v>1295</v>
      </c>
      <c r="G24" s="326" t="s">
        <v>1035</v>
      </c>
      <c r="H24" s="291" t="s">
        <v>708</v>
      </c>
      <c r="I24" s="181" t="s">
        <v>1013</v>
      </c>
      <c r="J24" s="216" t="s">
        <v>1014</v>
      </c>
      <c r="O24" s="95" t="s">
        <v>675</v>
      </c>
      <c r="P24" s="95" t="s">
        <v>685</v>
      </c>
      <c r="Q24" s="148" t="s">
        <v>375</v>
      </c>
      <c r="R24" s="96" t="str">
        <f t="shared" si="0"/>
        <v>Planned Shutdown (h)_Target_NJ</v>
      </c>
      <c r="S24" s="265">
        <f>C19</f>
        <v>168</v>
      </c>
      <c r="T24" t="str">
        <f t="shared" si="1"/>
        <v>(HOT) K201 Kettle</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168</v>
      </c>
      <c r="T25" t="str">
        <f t="shared" si="1"/>
        <v>(HOT) K201 Kettle</v>
      </c>
      <c r="U25" t="s">
        <v>877</v>
      </c>
    </row>
    <row r="26" spans="1:21">
      <c r="A26" s="126" t="s">
        <v>7</v>
      </c>
      <c r="B26" s="161">
        <f>INDEX(TableOEE[Sum of ComercialLossInHours],MATCH($B$2,TableOEE[Unit],0))</f>
        <v>2180.6133330405501</v>
      </c>
      <c r="C26" s="85"/>
      <c r="D26" s="161">
        <f>B26</f>
        <v>2180.6133330405501</v>
      </c>
      <c r="E26" s="159"/>
      <c r="F26" s="282"/>
      <c r="G26" s="294">
        <f>IFERROR(-(I26-D26),"")</f>
        <v>-87.247678482191986</v>
      </c>
      <c r="H26" s="295"/>
      <c r="I26" s="161">
        <f>I25-I28</f>
        <v>2267.861011522742</v>
      </c>
      <c r="J26" s="206"/>
      <c r="O26" s="95" t="s">
        <v>675</v>
      </c>
      <c r="P26" s="95" t="s">
        <v>685</v>
      </c>
      <c r="Q26" s="147" t="s">
        <v>715</v>
      </c>
      <c r="R26" s="96" t="str">
        <f t="shared" si="0"/>
        <v>Planned Maintenance Increase_Target_NJ</v>
      </c>
      <c r="S26" s="264">
        <f>C21</f>
        <v>29.723901479049179</v>
      </c>
      <c r="T26" t="str">
        <f t="shared" si="1"/>
        <v>(HOT) K201 Kettle</v>
      </c>
      <c r="U26" t="s">
        <v>877</v>
      </c>
    </row>
    <row r="27" spans="1:21" ht="13.5" thickBot="1">
      <c r="A27" s="127" t="s">
        <v>704</v>
      </c>
      <c r="B27" s="230"/>
      <c r="C27" s="231"/>
      <c r="D27" s="232">
        <f>B5</f>
        <v>189</v>
      </c>
      <c r="E27" s="233"/>
      <c r="F27" s="382">
        <f>IFERROR(IF(F24="hours decrease",G27,""),"")</f>
        <v>189</v>
      </c>
      <c r="G27" s="296">
        <f>IFERROR(-(I27-D27),"")</f>
        <v>189</v>
      </c>
      <c r="H27" s="283"/>
      <c r="I27" s="230">
        <v>0</v>
      </c>
      <c r="J27" s="234"/>
      <c r="O27" s="95" t="s">
        <v>676</v>
      </c>
      <c r="P27" s="95"/>
      <c r="Q27" s="149" t="s">
        <v>318</v>
      </c>
      <c r="R27" s="96" t="str">
        <f t="shared" si="0"/>
        <v>Justification/Remarks</v>
      </c>
      <c r="S27" s="266">
        <f>E12</f>
        <v>0</v>
      </c>
      <c r="T27" t="str">
        <f t="shared" si="1"/>
        <v>(HOT) K201 Kettle</v>
      </c>
      <c r="U27" t="s">
        <v>706</v>
      </c>
    </row>
    <row r="28" spans="1:21">
      <c r="A28" s="128" t="s">
        <v>14</v>
      </c>
      <c r="B28" s="162">
        <f>INDEX(TableOEE[Sum of AvailableInHours],MATCH($B$2,TableOEE[Unit],0))+B40</f>
        <v>6603.3866669594499</v>
      </c>
      <c r="C28" s="110">
        <f>IFERROR($B28/$B$28,)</f>
        <v>1</v>
      </c>
      <c r="D28" s="162">
        <f>D25-D26-D27</f>
        <v>6414.3866669594499</v>
      </c>
      <c r="E28" s="163">
        <v>1</v>
      </c>
      <c r="F28" s="284"/>
      <c r="G28" s="297">
        <f>D28-I28</f>
        <v>-77.752321517808014</v>
      </c>
      <c r="H28" s="298"/>
      <c r="I28" s="162">
        <f>IFERROR(IF(B15="OEE",I45/F48,I30+I29),0)</f>
        <v>6492.138988477258</v>
      </c>
      <c r="J28" s="207">
        <v>1</v>
      </c>
      <c r="O28" s="95" t="s">
        <v>674</v>
      </c>
      <c r="P28" s="95" t="s">
        <v>686</v>
      </c>
      <c r="Q28" s="150" t="s">
        <v>10</v>
      </c>
      <c r="R28" s="96" t="str">
        <f t="shared" si="0"/>
        <v>OEE_Actuals_LJ</v>
      </c>
      <c r="S28" s="264">
        <f>B48</f>
        <v>0.91244144243119019</v>
      </c>
      <c r="T28" t="str">
        <f t="shared" si="1"/>
        <v>(HOT) K201 Kettle</v>
      </c>
      <c r="U28" t="s">
        <v>141</v>
      </c>
    </row>
    <row r="29" spans="1:21" ht="13.5" thickBot="1">
      <c r="A29" s="129" t="s">
        <v>17</v>
      </c>
      <c r="B29" s="164">
        <f>INDEX(TableOEE[Sum of Planned Maintenance Hours],MATCH($B$2,TableOEE[Unit],0))</f>
        <v>5.4680555499945296</v>
      </c>
      <c r="C29" s="16">
        <f>IFERROR($B29/$B$28,)</f>
        <v>8.2806835731040311E-4</v>
      </c>
      <c r="D29" s="164">
        <f>B29</f>
        <v>5.4680555499945296</v>
      </c>
      <c r="E29" s="165">
        <f>D29/$D$28</f>
        <v>8.5246740396248974E-4</v>
      </c>
      <c r="F29" s="285"/>
      <c r="G29" s="299">
        <f>-(I29-D29)</f>
        <v>-162.53194445000548</v>
      </c>
      <c r="H29" s="285">
        <f>IFERROR($C29-$J29,)</f>
        <v>-2.5049381324247427E-2</v>
      </c>
      <c r="I29" s="164">
        <f>C20</f>
        <v>168</v>
      </c>
      <c r="J29" s="208">
        <f>IFERROR(I29/I28,)</f>
        <v>2.5877449681557831E-2</v>
      </c>
      <c r="O29" s="95" t="s">
        <v>674</v>
      </c>
      <c r="P29" s="95" t="s">
        <v>686</v>
      </c>
      <c r="Q29" s="150" t="s">
        <v>666</v>
      </c>
      <c r="R29" s="96" t="str">
        <f t="shared" si="0"/>
        <v>Running OEE_Actuals_LJ</v>
      </c>
      <c r="S29" s="264">
        <f t="shared" ref="S29:S31" si="4">B49</f>
        <v>0.91319763249462982</v>
      </c>
      <c r="T29" t="str">
        <f t="shared" si="1"/>
        <v>(HOT) K201 Kettle</v>
      </c>
      <c r="U29" t="s">
        <v>141</v>
      </c>
    </row>
    <row r="30" spans="1:21">
      <c r="A30" s="128" t="s">
        <v>665</v>
      </c>
      <c r="B30" s="162">
        <f>B28-B29</f>
        <v>6597.9186114094555</v>
      </c>
      <c r="C30" s="110">
        <f>B30/B28</f>
        <v>0.99917193164268958</v>
      </c>
      <c r="D30" s="162">
        <f>D28-D29</f>
        <v>6408.9186114094555</v>
      </c>
      <c r="E30" s="163">
        <f>D30/D28</f>
        <v>0.9991475325960375</v>
      </c>
      <c r="F30" s="284"/>
      <c r="G30" s="297">
        <f>D30-I30</f>
        <v>84.779622932197526</v>
      </c>
      <c r="H30" s="298"/>
      <c r="I30" s="162">
        <f>IF(B15="OEE",I28-I29,I45/F49)</f>
        <v>6324.138988477258</v>
      </c>
      <c r="J30" s="209"/>
      <c r="O30" s="95" t="s">
        <v>674</v>
      </c>
      <c r="P30" s="95" t="s">
        <v>686</v>
      </c>
      <c r="Q30" s="150" t="s">
        <v>8</v>
      </c>
      <c r="R30" s="96" t="str">
        <f t="shared" si="0"/>
        <v>Utilization_Actuals_LJ</v>
      </c>
      <c r="S30" s="264">
        <f t="shared" si="4"/>
        <v>0.75175166973582075</v>
      </c>
      <c r="T30" t="str">
        <f t="shared" si="1"/>
        <v>(HOT) K201 Kettle</v>
      </c>
      <c r="U30" t="s">
        <v>141</v>
      </c>
    </row>
    <row r="31" spans="1:21">
      <c r="A31" s="130" t="s">
        <v>18</v>
      </c>
      <c r="B31" s="166">
        <f>INDEX(TableCategories[Equipment Reliability],MATCH($B$2,TableCategories[Row Labels],0))-B29</f>
        <v>358.32999974981448</v>
      </c>
      <c r="C31" s="71">
        <f t="shared" ref="C31:C39" si="5">IFERROR($B31/$B$28,)</f>
        <v>5.4264579347253136E-2</v>
      </c>
      <c r="D31" s="166">
        <f>IFERROR(IF($B$8="Exclude",B31,IF($B$9="No",B31,IF(B31&lt;0,B31+$C$7*(1-$D$7)*B31/$D$6,B31+(($C$7*$D$7)*B31/$C$6)))),0)</f>
        <v>358.32999974981448</v>
      </c>
      <c r="E31" s="167">
        <f>D31/$D$28</f>
        <v>5.5863485997121876E-2</v>
      </c>
      <c r="F31" s="325">
        <v>0</v>
      </c>
      <c r="G31" s="166">
        <f>IF($F$24="% decrease",D31-I31,F31)</f>
        <v>0</v>
      </c>
      <c r="H31" s="327">
        <f t="shared" ref="H31:H39" si="6">IF($F$24="% decrease",$F31,$E31-$J31)</f>
        <v>6.6904231903583411E-4</v>
      </c>
      <c r="I31" s="166">
        <f>IF($F$24="% decrease",J31*$I$28,$D31-$G31)</f>
        <v>358.32999974981448</v>
      </c>
      <c r="J31" s="210">
        <f t="shared" ref="J31:J39" si="7">IF($F$24="% decrease",$E31-$H31,I31/I$28)</f>
        <v>5.5194443678086041E-2</v>
      </c>
      <c r="O31" s="95" t="s">
        <v>674</v>
      </c>
      <c r="P31" s="95" t="s">
        <v>686</v>
      </c>
      <c r="Q31" s="150" t="s">
        <v>376</v>
      </c>
      <c r="R31" s="96" t="str">
        <f t="shared" si="0"/>
        <v>OAU_Actuals_LJ</v>
      </c>
      <c r="S31" s="264">
        <f t="shared" si="4"/>
        <v>0.68592937788380803</v>
      </c>
      <c r="T31" t="str">
        <f t="shared" si="1"/>
        <v>(HOT) K201 Kettle</v>
      </c>
      <c r="U31" t="s">
        <v>141</v>
      </c>
    </row>
    <row r="32" spans="1:21">
      <c r="A32" s="131" t="s">
        <v>1</v>
      </c>
      <c r="B32" s="168">
        <f>INDEX(TableCategories[Operational Reliability],MATCH($B$2,TableCategories[Row Labels],0))</f>
        <v>1160.09110912193</v>
      </c>
      <c r="C32" s="9">
        <f t="shared" si="5"/>
        <v>0.17568123262060883</v>
      </c>
      <c r="D32" s="168">
        <f t="shared" ref="D32:D39" si="8">IFERROR(IF($B$8="Exclude",B32,IF($B$9="No",B32,IF(B32&lt;0,B32+$C$7*(1-$D$7)*B32/$D$6,B32+(($C$7*$D$7)*B32/$C$6)))),0)</f>
        <v>1160.09110912193</v>
      </c>
      <c r="E32" s="169">
        <f t="shared" ref="E32:E41" si="9">D32/$D$28</f>
        <v>0.18085768279258363</v>
      </c>
      <c r="F32" s="325">
        <v>0</v>
      </c>
      <c r="G32" s="168">
        <f t="shared" ref="G32:G41" si="10">IF($F$24="% decrease",D32-I32,F32)</f>
        <v>0</v>
      </c>
      <c r="H32" s="327">
        <f t="shared" si="6"/>
        <v>2.1660202787422145E-3</v>
      </c>
      <c r="I32" s="168">
        <f t="shared" ref="I32:I41" si="11">IF($F$24="% decrease",J32*$I$28,$D32-$G32)</f>
        <v>1160.09110912193</v>
      </c>
      <c r="J32" s="211">
        <f t="shared" si="7"/>
        <v>0.17869166251384141</v>
      </c>
      <c r="O32" s="95" t="s">
        <v>675</v>
      </c>
      <c r="P32" s="95" t="s">
        <v>719</v>
      </c>
      <c r="Q32" s="13" t="s">
        <v>10</v>
      </c>
      <c r="R32" s="96" t="str">
        <f t="shared" si="0"/>
        <v>OEE_Actuals_LJ_corrected</v>
      </c>
      <c r="S32" s="264">
        <f>C48</f>
        <v>0.93932654331040499</v>
      </c>
      <c r="T32" t="str">
        <f t="shared" si="1"/>
        <v>(HOT) K201 Kettle</v>
      </c>
      <c r="U32" t="s">
        <v>141</v>
      </c>
    </row>
    <row r="33" spans="1:21">
      <c r="A33" s="130" t="s">
        <v>2</v>
      </c>
      <c r="B33" s="166">
        <f>INDEX(TableCategories[Technology Reliability],MATCH($B$2,TableCategories[Row Labels],0))</f>
        <v>238.16805523330601</v>
      </c>
      <c r="C33" s="71">
        <f t="shared" si="5"/>
        <v>3.606756157790942E-2</v>
      </c>
      <c r="D33" s="166">
        <f t="shared" si="8"/>
        <v>238.16805523330601</v>
      </c>
      <c r="E33" s="167">
        <f t="shared" si="9"/>
        <v>3.7130292824427209E-2</v>
      </c>
      <c r="F33" s="355">
        <v>0</v>
      </c>
      <c r="G33" s="166">
        <f t="shared" si="10"/>
        <v>0</v>
      </c>
      <c r="H33" s="327">
        <f t="shared" si="6"/>
        <v>4.4468648481790773E-4</v>
      </c>
      <c r="I33" s="166">
        <f t="shared" si="11"/>
        <v>238.16805523330601</v>
      </c>
      <c r="J33" s="210">
        <f t="shared" si="7"/>
        <v>3.6685606339609302E-2</v>
      </c>
      <c r="O33" s="95" t="s">
        <v>675</v>
      </c>
      <c r="P33" s="95" t="s">
        <v>719</v>
      </c>
      <c r="Q33" s="13" t="s">
        <v>666</v>
      </c>
      <c r="R33" s="96" t="str">
        <f t="shared" si="0"/>
        <v>Running OEE_Actuals_LJ_corrected</v>
      </c>
      <c r="S33" s="264">
        <f>C49</f>
        <v>0.94012797176188534</v>
      </c>
      <c r="T33" t="str">
        <f t="shared" si="1"/>
        <v>(HOT) K201 Kettle</v>
      </c>
      <c r="U33" t="s">
        <v>141</v>
      </c>
    </row>
    <row r="34" spans="1:21">
      <c r="A34" s="131" t="s">
        <v>3</v>
      </c>
      <c r="B34" s="168">
        <f>INDEX(TableCategories[Material Reliability],MATCH($B$2,TableCategories[Row Labels],0))</f>
        <v>0</v>
      </c>
      <c r="C34" s="9">
        <f t="shared" si="5"/>
        <v>0</v>
      </c>
      <c r="D34" s="168">
        <f t="shared" si="8"/>
        <v>0</v>
      </c>
      <c r="E34" s="169">
        <f t="shared" si="9"/>
        <v>0</v>
      </c>
      <c r="F34" s="273">
        <v>0</v>
      </c>
      <c r="G34" s="168">
        <f t="shared" si="10"/>
        <v>0</v>
      </c>
      <c r="H34" s="327">
        <f t="shared" si="6"/>
        <v>0</v>
      </c>
      <c r="I34" s="168">
        <f t="shared" si="11"/>
        <v>0</v>
      </c>
      <c r="J34" s="211">
        <f t="shared" si="7"/>
        <v>0</v>
      </c>
      <c r="O34" s="95" t="s">
        <v>675</v>
      </c>
      <c r="P34" s="95" t="s">
        <v>719</v>
      </c>
      <c r="Q34" s="13" t="s">
        <v>8</v>
      </c>
      <c r="R34" s="96" t="str">
        <f t="shared" si="0"/>
        <v>Utilization_Actuals_LJ_corrected</v>
      </c>
      <c r="S34" s="264">
        <f>C50</f>
        <v>0.73023527629319784</v>
      </c>
      <c r="T34" t="str">
        <f t="shared" si="1"/>
        <v>(HOT) K201 Kettle</v>
      </c>
      <c r="U34" t="s">
        <v>141</v>
      </c>
    </row>
    <row r="35" spans="1:21">
      <c r="A35" s="130" t="s">
        <v>4</v>
      </c>
      <c r="B35" s="166">
        <f>INDEX(TableCategories[Logistics/Supply Reliability],MATCH($B$2,TableCategories[Row Labels],0))</f>
        <v>216.15638876627801</v>
      </c>
      <c r="C35" s="71">
        <f t="shared" si="5"/>
        <v>3.2734171065255502E-2</v>
      </c>
      <c r="D35" s="166">
        <f t="shared" si="8"/>
        <v>216.15638876627801</v>
      </c>
      <c r="E35" s="167">
        <f t="shared" si="9"/>
        <v>3.3698683909983332E-2</v>
      </c>
      <c r="F35" s="325">
        <v>0</v>
      </c>
      <c r="G35" s="166">
        <f t="shared" si="10"/>
        <v>0</v>
      </c>
      <c r="H35" s="327">
        <f t="shared" si="6"/>
        <v>4.0358823351540479E-4</v>
      </c>
      <c r="I35" s="166">
        <f t="shared" si="11"/>
        <v>216.15638876627801</v>
      </c>
      <c r="J35" s="210">
        <f t="shared" si="7"/>
        <v>3.3295095676467927E-2</v>
      </c>
      <c r="O35" s="95" t="s">
        <v>675</v>
      </c>
      <c r="P35" s="95" t="s">
        <v>719</v>
      </c>
      <c r="Q35" s="13" t="s">
        <v>376</v>
      </c>
      <c r="R35" s="96" t="str">
        <f t="shared" si="0"/>
        <v>OAU_Actuals_LJ_corrected</v>
      </c>
      <c r="S35" s="264">
        <f>C51</f>
        <v>0.68592937788380803</v>
      </c>
      <c r="T35" t="str">
        <f t="shared" si="1"/>
        <v>(HOT) K201 Kettle</v>
      </c>
      <c r="U35" t="s">
        <v>141</v>
      </c>
    </row>
    <row r="36" spans="1:21">
      <c r="A36" s="131" t="s">
        <v>5</v>
      </c>
      <c r="B36" s="168">
        <f>INDEX(TableCategories[External Reliability],MATCH($B$2,TableCategories[Row Labels],0))</f>
        <v>188.96249990000001</v>
      </c>
      <c r="C36" s="9">
        <f t="shared" si="5"/>
        <v>2.8615998037111522E-2</v>
      </c>
      <c r="D36" s="168">
        <f t="shared" si="8"/>
        <v>188.96249990000001</v>
      </c>
      <c r="E36" s="169">
        <f t="shared" si="9"/>
        <v>2.9459168851380158E-2</v>
      </c>
      <c r="F36" s="355">
        <v>0</v>
      </c>
      <c r="G36" s="168">
        <f t="shared" si="10"/>
        <v>0</v>
      </c>
      <c r="H36" s="327">
        <f t="shared" si="6"/>
        <v>3.5281419147761492E-4</v>
      </c>
      <c r="I36" s="168">
        <f t="shared" si="11"/>
        <v>188.96249990000001</v>
      </c>
      <c r="J36" s="211">
        <f t="shared" si="7"/>
        <v>2.9106354659902543E-2</v>
      </c>
      <c r="O36" s="95" t="s">
        <v>676</v>
      </c>
      <c r="P36" s="95" t="s">
        <v>684</v>
      </c>
      <c r="Q36" s="150" t="s">
        <v>10</v>
      </c>
      <c r="R36" s="96" t="str">
        <f t="shared" si="0"/>
        <v>OEE_Normalized_LJ</v>
      </c>
      <c r="S36" s="264">
        <f>D48</f>
        <v>0.83576677088260898</v>
      </c>
      <c r="T36" t="str">
        <f t="shared" si="1"/>
        <v>(HOT) K201 Kettle</v>
      </c>
      <c r="U36" t="s">
        <v>141</v>
      </c>
    </row>
    <row r="37" spans="1:21">
      <c r="A37" s="130" t="s">
        <v>11</v>
      </c>
      <c r="B37" s="166">
        <f>INDEX(TableCategories[Other Reliability],MATCH($B$2,TableCategories[Row Labels],0))</f>
        <v>-1610.0069958101401</v>
      </c>
      <c r="C37" s="71">
        <f t="shared" si="5"/>
        <v>-0.24381534461186913</v>
      </c>
      <c r="D37" s="166">
        <f t="shared" si="8"/>
        <v>-1610.0069958101401</v>
      </c>
      <c r="E37" s="167">
        <f t="shared" si="9"/>
        <v>-0.25099936742250001</v>
      </c>
      <c r="F37" s="325">
        <v>0</v>
      </c>
      <c r="G37" s="166">
        <f t="shared" si="10"/>
        <v>0</v>
      </c>
      <c r="H37" s="327">
        <f t="shared" si="6"/>
        <v>-3.0060637258750578E-3</v>
      </c>
      <c r="I37" s="166">
        <f t="shared" si="11"/>
        <v>-1610.0069958101401</v>
      </c>
      <c r="J37" s="210">
        <f t="shared" si="7"/>
        <v>-0.24799330369662495</v>
      </c>
      <c r="O37" s="95" t="s">
        <v>676</v>
      </c>
      <c r="P37" s="95" t="s">
        <v>684</v>
      </c>
      <c r="Q37" s="150" t="s">
        <v>666</v>
      </c>
      <c r="R37" s="96" t="str">
        <f t="shared" si="0"/>
        <v>Running OEE_Normalized_LJ</v>
      </c>
      <c r="S37" s="264">
        <f>D49</f>
        <v>0.83645941645755184</v>
      </c>
      <c r="T37" t="str">
        <f t="shared" si="1"/>
        <v>(HOT) K201 Kettle</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0.75175166973476204</v>
      </c>
      <c r="T38" t="str">
        <f t="shared" si="1"/>
        <v>(HOT) K201 Kettle</v>
      </c>
      <c r="U38" t="s">
        <v>141</v>
      </c>
    </row>
    <row r="39" spans="1:21">
      <c r="A39" s="131" t="s">
        <v>16</v>
      </c>
      <c r="B39" s="166">
        <f>INDEX(TableOEE[Sum of UndetectedInHours],MATCH($B$2,TableOEE[Unit],0))</f>
        <v>21.013899116882701</v>
      </c>
      <c r="C39" s="71">
        <f t="shared" si="5"/>
        <v>3.1822911752279102E-3</v>
      </c>
      <c r="D39" s="166">
        <f t="shared" si="8"/>
        <v>21.013899116882701</v>
      </c>
      <c r="E39" s="167">
        <f t="shared" si="9"/>
        <v>3.2760574327589946E-3</v>
      </c>
      <c r="F39" s="355">
        <v>0</v>
      </c>
      <c r="G39" s="166">
        <f t="shared" si="10"/>
        <v>0</v>
      </c>
      <c r="H39" s="327">
        <f t="shared" si="6"/>
        <v>3.9235307696705232E-5</v>
      </c>
      <c r="I39" s="166">
        <f t="shared" si="11"/>
        <v>21.013899116882701</v>
      </c>
      <c r="J39" s="210">
        <f t="shared" si="7"/>
        <v>3.2368221250622894E-3</v>
      </c>
      <c r="O39" s="95" t="s">
        <v>676</v>
      </c>
      <c r="P39" s="95" t="s">
        <v>684</v>
      </c>
      <c r="Q39" s="150" t="s">
        <v>376</v>
      </c>
      <c r="R39" s="96" t="str">
        <f t="shared" si="0"/>
        <v>OAU_Normalized_LJ</v>
      </c>
      <c r="S39" s="264">
        <f>D51</f>
        <v>0.62828906551983199</v>
      </c>
      <c r="T39" t="str">
        <f t="shared" si="1"/>
        <v>(HOT) K201 Kettle</v>
      </c>
      <c r="U39" t="s">
        <v>141</v>
      </c>
    </row>
    <row r="40" spans="1:21">
      <c r="A40" s="132" t="s">
        <v>664</v>
      </c>
      <c r="B40" s="168"/>
      <c r="C40" s="9"/>
      <c r="D40" s="170">
        <f>-B5</f>
        <v>-189</v>
      </c>
      <c r="E40" s="169">
        <f t="shared" si="9"/>
        <v>-2.9465015100124895E-2</v>
      </c>
      <c r="F40" s="168">
        <f>IF(F24="% decrease",H40,G40)</f>
        <v>-189</v>
      </c>
      <c r="G40" s="168">
        <f>D40</f>
        <v>-189</v>
      </c>
      <c r="H40" s="328">
        <f>E40</f>
        <v>-2.9465015100124895E-2</v>
      </c>
      <c r="I40" s="168">
        <f t="shared" si="11"/>
        <v>0</v>
      </c>
      <c r="J40" s="211">
        <f>$E40-$H40</f>
        <v>0</v>
      </c>
      <c r="O40" s="95" t="s">
        <v>677</v>
      </c>
      <c r="P40" s="95" t="s">
        <v>720</v>
      </c>
      <c r="Q40" s="13" t="s">
        <v>10</v>
      </c>
      <c r="R40" s="96" t="str">
        <f t="shared" si="0"/>
        <v>OEE_Baseline target setting</v>
      </c>
      <c r="S40" s="264">
        <f>E48</f>
        <v>0.93932654331040499</v>
      </c>
      <c r="T40" t="str">
        <f t="shared" si="1"/>
        <v>(HOT) K201 Kettle</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0.94012797176188534</v>
      </c>
      <c r="T41" t="str">
        <f t="shared" si="1"/>
        <v>(HOT) K201 Kettle</v>
      </c>
      <c r="U41" t="s">
        <v>141</v>
      </c>
    </row>
    <row r="42" spans="1:21" ht="13.5" thickBot="1">
      <c r="A42" s="134" t="s">
        <v>705</v>
      </c>
      <c r="B42" s="172"/>
      <c r="C42" s="72"/>
      <c r="D42" s="172">
        <f>D30-D31-D32-D33-D34-D35-D36-D37-D38-D39-D40-D41-D45</f>
        <v>1.546140993013978E-11</v>
      </c>
      <c r="E42" s="173"/>
      <c r="F42" s="287"/>
      <c r="G42" s="306"/>
      <c r="H42" s="307">
        <f>IFERROR(I42/I28,0)</f>
        <v>3.9635213959478999E-2</v>
      </c>
      <c r="I42" s="184">
        <f>-(I43-I31-I32-I33-I34-I35-I36-I37-I38-I39-I41-I40)</f>
        <v>257.31731786297166</v>
      </c>
      <c r="J42" s="212">
        <f>-H42</f>
        <v>-3.9635213959478999E-2</v>
      </c>
      <c r="O42" s="95" t="s">
        <v>677</v>
      </c>
      <c r="P42" s="95" t="s">
        <v>720</v>
      </c>
      <c r="Q42" s="13" t="s">
        <v>8</v>
      </c>
      <c r="R42" s="96" t="str">
        <f t="shared" si="0"/>
        <v>Utilization_Baseline target setting</v>
      </c>
      <c r="S42" s="264">
        <f>E50</f>
        <v>0.73023527629319784</v>
      </c>
      <c r="T42" t="str">
        <f t="shared" si="1"/>
        <v>(HOT) K201 Kettle</v>
      </c>
      <c r="U42" t="s">
        <v>141</v>
      </c>
    </row>
    <row r="43" spans="1:21" ht="13.5" hidden="1" thickBot="1">
      <c r="A43" s="135" t="s">
        <v>397</v>
      </c>
      <c r="B43" s="174">
        <f>SUBTOTAL(109,B31:B40)</f>
        <v>572.7149560780714</v>
      </c>
      <c r="C43" s="106">
        <f>IFERROR($B43/$B$28,)</f>
        <v>8.6730489211497258E-2</v>
      </c>
      <c r="D43" s="174">
        <f>SUBTOTAL(109,D31:D41)</f>
        <v>383.7149560780714</v>
      </c>
      <c r="E43" s="175">
        <f>D43/D28</f>
        <v>5.9820989285630344E-2</v>
      </c>
      <c r="F43" s="288"/>
      <c r="G43" s="308">
        <f>I43-D43</f>
        <v>-68.31731786297189</v>
      </c>
      <c r="H43" s="309">
        <f>E43-J43</f>
        <v>1.1239521948764764E-2</v>
      </c>
      <c r="I43" s="174">
        <f>I30-I45</f>
        <v>315.39763821509951</v>
      </c>
      <c r="J43" s="213">
        <f>SUM(J31:J42)</f>
        <v>4.858146733686558E-2</v>
      </c>
      <c r="O43" s="95" t="s">
        <v>677</v>
      </c>
      <c r="P43" s="95"/>
      <c r="Q43" s="13" t="s">
        <v>722</v>
      </c>
      <c r="R43" s="96" t="str">
        <f t="shared" si="0"/>
        <v>BLANK1</v>
      </c>
      <c r="S43" s="264"/>
      <c r="T43" t="str">
        <f t="shared" si="1"/>
        <v>(HOT) K201 Kettle</v>
      </c>
      <c r="U43" t="s">
        <v>141</v>
      </c>
    </row>
    <row r="44" spans="1:21" ht="13.5" hidden="1" thickBot="1">
      <c r="A44" s="136" t="s">
        <v>398</v>
      </c>
      <c r="B44" s="176">
        <f>B43+B29</f>
        <v>578.18301162806597</v>
      </c>
      <c r="C44" s="31">
        <f>IFERROR($B44/$B$28,)</f>
        <v>8.7558557568807663E-2</v>
      </c>
      <c r="D44" s="176">
        <f>D43+D29</f>
        <v>389.18301162806591</v>
      </c>
      <c r="E44" s="177">
        <f>D44/D28</f>
        <v>6.0673456689592835E-2</v>
      </c>
      <c r="F44" s="289"/>
      <c r="G44" s="310">
        <f>I44-D44</f>
        <v>94.214626587033592</v>
      </c>
      <c r="H44" s="311">
        <f>IFERROR(E44-J44,)</f>
        <v>-1.3785460328830608E-2</v>
      </c>
      <c r="I44" s="176">
        <f>I28-I45</f>
        <v>483.39763821509951</v>
      </c>
      <c r="J44" s="214">
        <f>IFERROR(1-J45,)</f>
        <v>7.4458917018423443E-2</v>
      </c>
      <c r="O44" s="95" t="s">
        <v>677</v>
      </c>
      <c r="P44" s="95"/>
      <c r="Q44" s="151" t="s">
        <v>721</v>
      </c>
      <c r="R44" s="96" t="str">
        <f t="shared" si="0"/>
        <v>BLANK2</v>
      </c>
      <c r="S44" s="264"/>
      <c r="T44" t="str">
        <f t="shared" si="1"/>
        <v>(HOT) K201 Kettle</v>
      </c>
      <c r="U44" t="s">
        <v>141</v>
      </c>
    </row>
    <row r="45" spans="1:21" ht="13.5" thickBot="1">
      <c r="A45" s="137" t="s">
        <v>712</v>
      </c>
      <c r="B45" s="178">
        <f>INDEX(TableOEE[Sum of ActualInHours],MATCH($B$2,TableOEE[Unit],0))</f>
        <v>6025.2036553313701</v>
      </c>
      <c r="C45" s="139">
        <f>IFERROR($B45/$B$28,)</f>
        <v>0.91244144243119019</v>
      </c>
      <c r="D45" s="178">
        <f>IF(B8="Include",B45/(1+B7),B45)</f>
        <v>6025.2036553313701</v>
      </c>
      <c r="E45" s="179">
        <f>D45/D28</f>
        <v>0.93932654331040499</v>
      </c>
      <c r="F45" s="290"/>
      <c r="G45" s="312">
        <f>I45-D45</f>
        <v>-16.462305069211652</v>
      </c>
      <c r="H45" s="290">
        <f>H43+H29+H42+H41</f>
        <v>2.5825354583996336E-2</v>
      </c>
      <c r="I45" s="178">
        <f>D45*(1+B6)*I25/B25</f>
        <v>6008.7413502621584</v>
      </c>
      <c r="J45" s="215">
        <f>F48</f>
        <v>0.92554108298157656</v>
      </c>
      <c r="O45" s="95" t="s">
        <v>677</v>
      </c>
      <c r="P45" s="95" t="s">
        <v>720</v>
      </c>
      <c r="Q45" s="13" t="s">
        <v>376</v>
      </c>
      <c r="R45" s="96" t="str">
        <f t="shared" si="0"/>
        <v>OAU_Baseline target setting</v>
      </c>
      <c r="S45" s="264">
        <f>E51</f>
        <v>0.68592937788380803</v>
      </c>
      <c r="T45" t="str">
        <f t="shared" si="1"/>
        <v>(HOT) K201 Kettle</v>
      </c>
      <c r="U45" t="s">
        <v>141</v>
      </c>
    </row>
    <row r="46" spans="1:21">
      <c r="F46" t="s">
        <v>713</v>
      </c>
      <c r="O46" s="95" t="s">
        <v>678</v>
      </c>
      <c r="P46" s="95" t="s">
        <v>880</v>
      </c>
      <c r="Q46" s="150" t="s">
        <v>10</v>
      </c>
      <c r="R46" s="96" t="str">
        <f t="shared" si="0"/>
        <v>OEE_Targets_NJ</v>
      </c>
      <c r="S46" s="264">
        <f>F48</f>
        <v>0.92554108298157656</v>
      </c>
      <c r="T46" t="str">
        <f t="shared" si="1"/>
        <v>(HOT) K201 Kettle</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0.95012797176188535</v>
      </c>
      <c r="T47" t="str">
        <f t="shared" si="1"/>
        <v>(HOT) K201 Kettle</v>
      </c>
      <c r="U47" t="s">
        <v>141</v>
      </c>
    </row>
    <row r="48" spans="1:21">
      <c r="A48" s="88" t="s">
        <v>10</v>
      </c>
      <c r="B48" s="89">
        <f>IFERROR(B45/(B28-B40),)</f>
        <v>0.91244144243119019</v>
      </c>
      <c r="C48" s="69">
        <f>IFERROR(B45/(B28-B5),)</f>
        <v>0.93932654331040499</v>
      </c>
      <c r="D48" s="89">
        <f>IFERROR(IF(INDEX(TableOEEnormalized[LastYear Normalized OEE],MATCH($B$2,TableOEEnormalized[Unit],0))&gt;0,
        INDEX(TableOEEnormalized[LastYear Normalized OEE],MATCH($B$2,TableOEEnormalized[Unit],0)),""),Table101291221[[#This Row],[Actual 2024]])</f>
        <v>0.83576677088260898</v>
      </c>
      <c r="E48" s="69">
        <f>IF(B8="Include",C48/(1+B7),C48)</f>
        <v>0.93932654331040499</v>
      </c>
      <c r="F48" s="275">
        <f>IFERROR(IF(B15="OEE", E48+B14,I45/I28),)</f>
        <v>0.92554108298157656</v>
      </c>
      <c r="G48" s="276" t="s">
        <v>707</v>
      </c>
      <c r="O48" s="95" t="s">
        <v>678</v>
      </c>
      <c r="P48" s="95" t="s">
        <v>880</v>
      </c>
      <c r="Q48" s="150" t="s">
        <v>8</v>
      </c>
      <c r="R48" s="96" t="str">
        <f t="shared" si="0"/>
        <v>Utilization_Targets_NJ</v>
      </c>
      <c r="S48" s="264">
        <f>F50</f>
        <v>0.74111175667548612</v>
      </c>
      <c r="T48" t="str">
        <f t="shared" si="1"/>
        <v>(HOT) K201 Kettle</v>
      </c>
      <c r="U48" t="s">
        <v>141</v>
      </c>
    </row>
    <row r="49" spans="1:35">
      <c r="A49" s="90" t="s">
        <v>666</v>
      </c>
      <c r="B49" s="69">
        <f>IFERROR(B45/(B30-B40),)</f>
        <v>0.91319763249462982</v>
      </c>
      <c r="C49" s="69">
        <f>IFERROR(B45/(B30-B5),)</f>
        <v>0.94012797176188534</v>
      </c>
      <c r="D49" s="123">
        <f>IFERROR(B45/(1+B7)/(B28-B29),)</f>
        <v>0.83645941645755184</v>
      </c>
      <c r="E49" s="69">
        <f>IFERROR(D45/(D30),)</f>
        <v>0.94012797176188534</v>
      </c>
      <c r="F49" s="123">
        <f>IFERROR(IF(B15="OEE",(I45/I30),E49+B14),)</f>
        <v>0.95012797176188535</v>
      </c>
      <c r="G49" s="274" t="s">
        <v>669</v>
      </c>
      <c r="O49" s="95" t="s">
        <v>678</v>
      </c>
      <c r="P49" s="95" t="s">
        <v>880</v>
      </c>
      <c r="Q49" s="150" t="s">
        <v>376</v>
      </c>
      <c r="R49" s="96" t="str">
        <f t="shared" si="0"/>
        <v>OAU_Targets_NJ</v>
      </c>
      <c r="S49" s="264">
        <f>F51</f>
        <v>0.68592937788380803</v>
      </c>
      <c r="T49" t="str">
        <f t="shared" si="1"/>
        <v>(HOT) K201 Kettle</v>
      </c>
      <c r="U49" t="s">
        <v>141</v>
      </c>
    </row>
    <row r="50" spans="1:35">
      <c r="A50" s="90" t="s">
        <v>8</v>
      </c>
      <c r="B50" s="5">
        <f>IFERROR((B28+B27)/(B25),)</f>
        <v>0.75175166973582075</v>
      </c>
      <c r="C50" s="69">
        <f>IFERROR((B28-B5)/B25,)</f>
        <v>0.73023527629319784</v>
      </c>
      <c r="D50" s="123">
        <f>IFERROR(IF(INDEX(TableOEEnormalized[LastYear Normalized Utilization],MATCH($B$2,TableOEEnormalized[Unit],0))&gt;0,
      INDEX(TableOEEnormalized[LastYear Normalized Utilization],MATCH($B$2,TableOEEnormalized[Unit],0)),""),Table101291221[[#This Row],[Actual 2024]])</f>
        <v>0.75175166973476204</v>
      </c>
      <c r="E50" s="69">
        <f>IFERROR(D28/D25,)</f>
        <v>0.73023527629319784</v>
      </c>
      <c r="F50" s="69">
        <f>IFERROR(I28/I25,)</f>
        <v>0.74111175667548612</v>
      </c>
      <c r="G50" s="91" t="s">
        <v>1188</v>
      </c>
      <c r="O50" s="95" t="s">
        <v>679</v>
      </c>
      <c r="P50" s="95" t="s">
        <v>706</v>
      </c>
      <c r="Q50" s="13" t="s">
        <v>10</v>
      </c>
      <c r="R50" s="96" t="str">
        <f t="shared" si="0"/>
        <v>OEE_Remarks</v>
      </c>
      <c r="S50" s="264" t="str">
        <f>G48</f>
        <v>OEE target</v>
      </c>
      <c r="T50" t="str">
        <f t="shared" si="1"/>
        <v>(HOT) K201 Kettle</v>
      </c>
      <c r="U50" t="s">
        <v>878</v>
      </c>
    </row>
    <row r="51" spans="1:35">
      <c r="A51" s="90" t="s">
        <v>376</v>
      </c>
      <c r="B51" s="69">
        <f>IFERROR(B45/B25,)</f>
        <v>0.68592937788380803</v>
      </c>
      <c r="C51" s="6">
        <f>Table101291221[[#This Row],[Actual 2024]]</f>
        <v>0.68592937788380803</v>
      </c>
      <c r="D51" s="123">
        <f>IFERROR(IF(INDEX(TableOEEnormalized[LastYear Normalized OAU],MATCH($B$2,TableOEEnormalized[Unit],0))&gt;0,
   INDEX(TableOEEnormalized[LastYear Normalized OAU],MATCH($B$2,TableOEEnormalized[Unit],0)),""),Table101291221[[#This Row],[Actual 2024]])</f>
        <v>0.62828906551983199</v>
      </c>
      <c r="E51" s="5">
        <f>D45/D25</f>
        <v>0.68592937788380803</v>
      </c>
      <c r="F51" s="69">
        <f>I45/I25</f>
        <v>0.68592937788380803</v>
      </c>
      <c r="G51" s="91"/>
      <c r="O51" s="95" t="s">
        <v>679</v>
      </c>
      <c r="P51" s="95" t="s">
        <v>706</v>
      </c>
      <c r="Q51" s="13" t="s">
        <v>666</v>
      </c>
      <c r="R51" s="96" t="str">
        <f t="shared" si="0"/>
        <v>Running OEE_Remarks</v>
      </c>
      <c r="S51" s="264" t="str">
        <f>G49</f>
        <v>Running OEE target</v>
      </c>
      <c r="T51" t="str">
        <f t="shared" si="1"/>
        <v>(HOT) K201 Kettle</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K201 Kettle</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K201 Kettle</v>
      </c>
      <c r="U53" t="s">
        <v>878</v>
      </c>
    </row>
    <row r="54" spans="1:35">
      <c r="A54" s="65" t="str">
        <f>B2</f>
        <v>(HOT) K201 Kettle</v>
      </c>
      <c r="B54" s="75">
        <f>B48</f>
        <v>0.91244144243119019</v>
      </c>
      <c r="C54" s="75">
        <f>D48</f>
        <v>0.83576677088260898</v>
      </c>
      <c r="D54" s="75">
        <f>E48</f>
        <v>0.93932654331040499</v>
      </c>
      <c r="E54" s="75">
        <f>F48</f>
        <v>0.92554108298157656</v>
      </c>
      <c r="F54" s="76">
        <f>B6</f>
        <v>0</v>
      </c>
      <c r="G54" s="97">
        <f>B5</f>
        <v>189</v>
      </c>
      <c r="H54" s="76">
        <f>B14</f>
        <v>0.01</v>
      </c>
      <c r="I54" s="76" t="str">
        <f>B11</f>
        <v>Playbook Matrix value</v>
      </c>
      <c r="J54" s="76" t="str">
        <f>B15</f>
        <v>Running OEE</v>
      </c>
      <c r="K54" s="102">
        <f>C18</f>
        <v>0</v>
      </c>
      <c r="L54" s="102">
        <f>C19</f>
        <v>168</v>
      </c>
      <c r="M54" s="104">
        <f>F49</f>
        <v>0.95012797176188535</v>
      </c>
      <c r="O54" s="95" t="s">
        <v>674</v>
      </c>
      <c r="P54" s="95" t="s">
        <v>683</v>
      </c>
      <c r="Q54" s="142" t="s">
        <v>13</v>
      </c>
      <c r="R54" s="96" t="str">
        <f t="shared" si="0"/>
        <v>MAC - Calender hours_Loss_Hours_LJ</v>
      </c>
      <c r="S54" s="267">
        <f>B25</f>
        <v>8784</v>
      </c>
      <c r="T54" t="str">
        <f t="shared" si="1"/>
        <v>(HOT) K201 Kettle</v>
      </c>
      <c r="U54" t="s">
        <v>876</v>
      </c>
    </row>
    <row r="55" spans="1:35">
      <c r="O55" s="95" t="s">
        <v>674</v>
      </c>
      <c r="P55" s="95" t="s">
        <v>683</v>
      </c>
      <c r="Q55" s="152" t="s">
        <v>7</v>
      </c>
      <c r="R55" s="96" t="str">
        <f t="shared" si="0"/>
        <v>Commercial Reliability_Loss_Hours_LJ</v>
      </c>
      <c r="S55" s="267">
        <f t="shared" ref="S55:S74" si="12">B26</f>
        <v>2180.6133330405501</v>
      </c>
      <c r="T55" t="str">
        <f t="shared" si="1"/>
        <v>(HOT) K201 Kettle</v>
      </c>
      <c r="U55" t="s">
        <v>876</v>
      </c>
    </row>
    <row r="56" spans="1:35">
      <c r="D56" s="5"/>
      <c r="O56" s="95" t="s">
        <v>674</v>
      </c>
      <c r="P56" s="95" t="s">
        <v>683</v>
      </c>
      <c r="Q56" s="152" t="s">
        <v>704</v>
      </c>
      <c r="R56" s="96" t="str">
        <f t="shared" si="0"/>
        <v>Exception hours (loss excluded from OEE)_Loss_Hours_LJ</v>
      </c>
      <c r="S56" s="267">
        <f t="shared" si="12"/>
        <v>0</v>
      </c>
      <c r="T56" t="str">
        <f t="shared" si="1"/>
        <v>(HOT) K201 Kettle</v>
      </c>
      <c r="U56" t="s">
        <v>876</v>
      </c>
    </row>
    <row r="57" spans="1:35">
      <c r="D57" s="5"/>
      <c r="F57" s="54"/>
      <c r="O57" s="95" t="s">
        <v>674</v>
      </c>
      <c r="P57" s="95" t="s">
        <v>683</v>
      </c>
      <c r="Q57" s="152" t="s">
        <v>14</v>
      </c>
      <c r="R57" s="96" t="str">
        <f t="shared" si="0"/>
        <v>Available OEE - Scheduled hours_Loss_Hours_LJ</v>
      </c>
      <c r="S57" s="267">
        <f t="shared" si="12"/>
        <v>6603.3866669594499</v>
      </c>
      <c r="T57" t="str">
        <f t="shared" si="1"/>
        <v>(HOT) K201 Kettle</v>
      </c>
      <c r="U57" t="s">
        <v>876</v>
      </c>
    </row>
    <row r="58" spans="1:35">
      <c r="B58" s="83"/>
      <c r="C58" s="51"/>
      <c r="O58" s="95" t="s">
        <v>674</v>
      </c>
      <c r="P58" s="95" t="s">
        <v>683</v>
      </c>
      <c r="Q58" s="152" t="s">
        <v>17</v>
      </c>
      <c r="R58" s="96" t="str">
        <f t="shared" si="0"/>
        <v>Equipment Reliability - Planned TA &amp; Planned SD_Loss_Hours_LJ</v>
      </c>
      <c r="S58" s="267">
        <f t="shared" si="12"/>
        <v>5.4680555499945296</v>
      </c>
      <c r="T58" t="str">
        <f t="shared" si="1"/>
        <v>(HOT) K201 Kettle</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6597.9186114094555</v>
      </c>
      <c r="T59" t="str">
        <f t="shared" si="1"/>
        <v>(HOT) K201 Kettle</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358.32999974981448</v>
      </c>
      <c r="T60" t="str">
        <f t="shared" si="1"/>
        <v>(HOT) K201 Kettle</v>
      </c>
      <c r="U60" t="s">
        <v>876</v>
      </c>
    </row>
    <row r="61" spans="1:35">
      <c r="B61" s="53"/>
      <c r="C61" s="53"/>
      <c r="O61" s="95" t="s">
        <v>674</v>
      </c>
      <c r="P61" s="95" t="s">
        <v>683</v>
      </c>
      <c r="Q61" s="152" t="s">
        <v>1</v>
      </c>
      <c r="R61" s="96" t="str">
        <f t="shared" si="0"/>
        <v>Operational Reliability_Loss_Hours_LJ</v>
      </c>
      <c r="S61" s="267">
        <f t="shared" si="12"/>
        <v>1160.09110912193</v>
      </c>
      <c r="T61" t="str">
        <f t="shared" si="1"/>
        <v>(HOT) K201 Kettle</v>
      </c>
      <c r="U61" t="s">
        <v>876</v>
      </c>
    </row>
    <row r="62" spans="1:35">
      <c r="B62" s="53"/>
      <c r="C62" s="53"/>
      <c r="I62" s="6"/>
      <c r="J62" s="6"/>
      <c r="K62" s="6"/>
      <c r="L62" s="6"/>
      <c r="M62" s="6"/>
      <c r="O62" s="95" t="s">
        <v>674</v>
      </c>
      <c r="P62" s="95" t="s">
        <v>683</v>
      </c>
      <c r="Q62" s="152" t="s">
        <v>2</v>
      </c>
      <c r="R62" s="96" t="str">
        <f t="shared" si="0"/>
        <v>Technology Reliability_Loss_Hours_LJ</v>
      </c>
      <c r="S62" s="267">
        <f t="shared" si="12"/>
        <v>238.16805523330601</v>
      </c>
      <c r="T62" t="str">
        <f t="shared" si="1"/>
        <v>(HOT) K201 Kettle</v>
      </c>
      <c r="U62" t="s">
        <v>876</v>
      </c>
    </row>
    <row r="63" spans="1:35">
      <c r="B63" s="82"/>
      <c r="C63" s="2"/>
      <c r="O63" s="95" t="s">
        <v>674</v>
      </c>
      <c r="P63" s="95" t="s">
        <v>683</v>
      </c>
      <c r="Q63" s="152" t="s">
        <v>3</v>
      </c>
      <c r="R63" s="96" t="str">
        <f t="shared" si="0"/>
        <v>Material Reliability_Loss_Hours_LJ</v>
      </c>
      <c r="S63" s="267">
        <f t="shared" si="12"/>
        <v>0</v>
      </c>
      <c r="T63" t="str">
        <f t="shared" si="1"/>
        <v>(HOT) K201 Kettle</v>
      </c>
      <c r="U63" t="s">
        <v>876</v>
      </c>
    </row>
    <row r="64" spans="1:35">
      <c r="B64" s="5"/>
      <c r="O64" s="95" t="s">
        <v>674</v>
      </c>
      <c r="P64" s="95" t="s">
        <v>683</v>
      </c>
      <c r="Q64" s="152" t="s">
        <v>4</v>
      </c>
      <c r="R64" s="96" t="str">
        <f t="shared" si="0"/>
        <v>Logistics/Supply Reliability_Loss_Hours_LJ</v>
      </c>
      <c r="S64" s="267">
        <f t="shared" si="12"/>
        <v>216.15638876627801</v>
      </c>
      <c r="T64" t="str">
        <f t="shared" si="1"/>
        <v>(HOT) K201 Kettle</v>
      </c>
      <c r="U64" t="s">
        <v>876</v>
      </c>
    </row>
    <row r="65" spans="15:35">
      <c r="O65" s="95" t="s">
        <v>674</v>
      </c>
      <c r="P65" s="95" t="s">
        <v>683</v>
      </c>
      <c r="Q65" s="152" t="s">
        <v>5</v>
      </c>
      <c r="R65" s="96" t="str">
        <f t="shared" si="0"/>
        <v>External Reliability_Loss_Hours_LJ</v>
      </c>
      <c r="S65" s="267">
        <f t="shared" si="12"/>
        <v>188.96249990000001</v>
      </c>
      <c r="T65" t="str">
        <f t="shared" si="1"/>
        <v>(HOT) K201 Kettle</v>
      </c>
      <c r="U65" t="s">
        <v>876</v>
      </c>
    </row>
    <row r="66" spans="15:35">
      <c r="O66" s="95" t="s">
        <v>674</v>
      </c>
      <c r="P66" s="95" t="s">
        <v>683</v>
      </c>
      <c r="Q66" s="152" t="s">
        <v>11</v>
      </c>
      <c r="R66" s="96" t="str">
        <f t="shared" ref="R66:R129" si="13">IF(ISBLANK(P66),Q66,_xlfn.CONCAT(Q66,"_",P66))</f>
        <v>Other Reliability_Loss_Hours_LJ</v>
      </c>
      <c r="S66" s="267">
        <f t="shared" si="12"/>
        <v>-1610.0069958101401</v>
      </c>
      <c r="T66" t="str">
        <f t="shared" si="1"/>
        <v>(HOT) K201 Kettle</v>
      </c>
      <c r="U66" t="s">
        <v>876</v>
      </c>
    </row>
    <row r="67" spans="15:35">
      <c r="O67" s="95" t="s">
        <v>674</v>
      </c>
      <c r="P67" s="95" t="s">
        <v>683</v>
      </c>
      <c r="Q67" s="152" t="s">
        <v>15</v>
      </c>
      <c r="R67" s="96" t="str">
        <f t="shared" si="13"/>
        <v>Unspecified_Loss_Hours_LJ</v>
      </c>
      <c r="S67" s="267">
        <f t="shared" si="12"/>
        <v>0</v>
      </c>
      <c r="T67" t="str">
        <f t="shared" ref="T67:T130" si="14">$B$2</f>
        <v>(HOT) K201 Kettle</v>
      </c>
      <c r="U67" t="s">
        <v>876</v>
      </c>
    </row>
    <row r="68" spans="15:35">
      <c r="O68" s="95" t="s">
        <v>674</v>
      </c>
      <c r="P68" s="95" t="s">
        <v>683</v>
      </c>
      <c r="Q68" s="152" t="s">
        <v>16</v>
      </c>
      <c r="R68" s="96" t="str">
        <f t="shared" si="13"/>
        <v>Undetected_Loss_Hours_LJ</v>
      </c>
      <c r="S68" s="267">
        <f t="shared" si="12"/>
        <v>21.013899116882701</v>
      </c>
      <c r="T68" t="str">
        <f t="shared" si="14"/>
        <v>(HOT) K201 Kettle</v>
      </c>
      <c r="U68" t="s">
        <v>876</v>
      </c>
      <c r="AH68" s="6"/>
      <c r="AI68" s="6"/>
    </row>
    <row r="69" spans="15:35">
      <c r="O69" s="95" t="s">
        <v>674</v>
      </c>
      <c r="P69" s="95" t="s">
        <v>683</v>
      </c>
      <c r="Q69" s="152" t="s">
        <v>664</v>
      </c>
      <c r="R69" s="96" t="str">
        <f t="shared" si="13"/>
        <v>Exception hours_Loss_Hours_LJ</v>
      </c>
      <c r="S69" s="267">
        <f t="shared" si="12"/>
        <v>0</v>
      </c>
      <c r="T69" t="str">
        <f t="shared" si="14"/>
        <v>(HOT) K201 Kettle</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K201 Kettle</v>
      </c>
      <c r="U70" t="s">
        <v>876</v>
      </c>
      <c r="AH70" s="6"/>
      <c r="AI70" s="6"/>
    </row>
    <row r="71" spans="15:35">
      <c r="O71" s="95" t="s">
        <v>674</v>
      </c>
      <c r="P71" s="95" t="s">
        <v>683</v>
      </c>
      <c r="Q71" s="152" t="s">
        <v>705</v>
      </c>
      <c r="R71" s="96" t="str">
        <f t="shared" si="13"/>
        <v>Improvement target not assigned_Loss_Hours_LJ</v>
      </c>
      <c r="S71" s="267">
        <f t="shared" si="12"/>
        <v>0</v>
      </c>
      <c r="T71" t="str">
        <f t="shared" si="14"/>
        <v>(HOT) K201 Kettle</v>
      </c>
      <c r="U71" t="s">
        <v>876</v>
      </c>
    </row>
    <row r="72" spans="15:35">
      <c r="O72" s="95" t="s">
        <v>674</v>
      </c>
      <c r="P72" s="95" t="s">
        <v>683</v>
      </c>
      <c r="Q72" s="152" t="s">
        <v>397</v>
      </c>
      <c r="R72" s="96" t="str">
        <f t="shared" si="13"/>
        <v>Sum OEE losses (exluding Planned Maintenance)_Loss_Hours_LJ</v>
      </c>
      <c r="S72" s="267">
        <f t="shared" si="12"/>
        <v>572.7149560780714</v>
      </c>
      <c r="T72" t="str">
        <f t="shared" si="14"/>
        <v>(HOT) K201 Kettle</v>
      </c>
      <c r="U72" t="s">
        <v>876</v>
      </c>
    </row>
    <row r="73" spans="15:35">
      <c r="O73" s="95" t="s">
        <v>675</v>
      </c>
      <c r="P73" s="95" t="s">
        <v>683</v>
      </c>
      <c r="Q73" s="152" t="s">
        <v>398</v>
      </c>
      <c r="R73" s="96" t="str">
        <f t="shared" si="13"/>
        <v>Sum OEE losses (Including Planned Maintenance)_Loss_Hours_LJ</v>
      </c>
      <c r="S73" s="267">
        <f t="shared" si="12"/>
        <v>578.18301162806597</v>
      </c>
      <c r="T73" t="str">
        <f t="shared" si="14"/>
        <v>(HOT) K201 Kettle</v>
      </c>
      <c r="U73" t="s">
        <v>876</v>
      </c>
    </row>
    <row r="74" spans="15:35">
      <c r="O74" s="95" t="s">
        <v>675</v>
      </c>
      <c r="P74" s="95" t="s">
        <v>683</v>
      </c>
      <c r="Q74" s="152" t="s">
        <v>712</v>
      </c>
      <c r="R74" s="96" t="str">
        <f t="shared" si="13"/>
        <v>Production hours on MAC (h) / OEE (%)_Loss_Hours_LJ</v>
      </c>
      <c r="S74" s="267">
        <f t="shared" si="12"/>
        <v>6025.2036553313701</v>
      </c>
      <c r="T74" t="str">
        <f t="shared" si="14"/>
        <v>(HOT) K201 Kettle</v>
      </c>
      <c r="U74" t="s">
        <v>876</v>
      </c>
    </row>
    <row r="75" spans="15:35">
      <c r="O75" s="95" t="s">
        <v>675</v>
      </c>
      <c r="P75" s="95" t="s">
        <v>682</v>
      </c>
      <c r="Q75" s="143" t="s">
        <v>13</v>
      </c>
      <c r="R75" s="96" t="str">
        <f t="shared" si="13"/>
        <v>MAC - Calender hours_Loss_Percentage_LJ</v>
      </c>
      <c r="S75" s="268">
        <f>C25</f>
        <v>0</v>
      </c>
      <c r="T75" t="str">
        <f t="shared" si="14"/>
        <v>(HOT) K201 Kettle</v>
      </c>
      <c r="U75" t="s">
        <v>876</v>
      </c>
    </row>
    <row r="76" spans="15:35">
      <c r="O76" s="95" t="s">
        <v>675</v>
      </c>
      <c r="P76" s="95" t="s">
        <v>682</v>
      </c>
      <c r="Q76" s="153" t="s">
        <v>7</v>
      </c>
      <c r="R76" s="96" t="str">
        <f t="shared" si="13"/>
        <v>Commercial Reliability_Loss_Percentage_LJ</v>
      </c>
      <c r="S76" s="268">
        <f t="shared" ref="S76:S95" si="15">C26</f>
        <v>0</v>
      </c>
      <c r="T76" t="str">
        <f t="shared" si="14"/>
        <v>(HOT) K201 Kettle</v>
      </c>
      <c r="U76" t="s">
        <v>876</v>
      </c>
    </row>
    <row r="77" spans="15:35">
      <c r="O77" s="95" t="s">
        <v>675</v>
      </c>
      <c r="P77" s="95" t="s">
        <v>682</v>
      </c>
      <c r="Q77" s="153" t="s">
        <v>704</v>
      </c>
      <c r="R77" s="96" t="str">
        <f t="shared" si="13"/>
        <v>Exception hours (loss excluded from OEE)_Loss_Percentage_LJ</v>
      </c>
      <c r="S77" s="268">
        <f t="shared" si="15"/>
        <v>0</v>
      </c>
      <c r="T77" t="str">
        <f t="shared" si="14"/>
        <v>(HOT) K201 Kettle</v>
      </c>
      <c r="U77" t="s">
        <v>876</v>
      </c>
    </row>
    <row r="78" spans="15:35">
      <c r="O78" s="95" t="s">
        <v>675</v>
      </c>
      <c r="P78" s="95" t="s">
        <v>682</v>
      </c>
      <c r="Q78" s="153" t="s">
        <v>14</v>
      </c>
      <c r="R78" s="96" t="str">
        <f t="shared" si="13"/>
        <v>Available OEE - Scheduled hours_Loss_Percentage_LJ</v>
      </c>
      <c r="S78" s="268">
        <f t="shared" si="15"/>
        <v>1</v>
      </c>
      <c r="T78" t="str">
        <f t="shared" si="14"/>
        <v>(HOT) K201 Kettle</v>
      </c>
      <c r="U78" t="s">
        <v>876</v>
      </c>
    </row>
    <row r="79" spans="15:35">
      <c r="O79" s="95" t="s">
        <v>675</v>
      </c>
      <c r="P79" s="95" t="s">
        <v>682</v>
      </c>
      <c r="Q79" s="153" t="s">
        <v>17</v>
      </c>
      <c r="R79" s="96" t="str">
        <f t="shared" si="13"/>
        <v>Equipment Reliability - Planned TA &amp; Planned SD_Loss_Percentage_LJ</v>
      </c>
      <c r="S79" s="268">
        <f t="shared" si="15"/>
        <v>8.2806835731040311E-4</v>
      </c>
      <c r="T79" t="str">
        <f t="shared" si="14"/>
        <v>(HOT) K201 Kettle</v>
      </c>
      <c r="U79" t="s">
        <v>876</v>
      </c>
    </row>
    <row r="80" spans="15:35">
      <c r="O80" s="95" t="s">
        <v>675</v>
      </c>
      <c r="P80" s="95" t="s">
        <v>682</v>
      </c>
      <c r="Q80" s="153" t="s">
        <v>665</v>
      </c>
      <c r="R80" s="96" t="str">
        <f t="shared" si="13"/>
        <v>Available running OEE - Running hours_Loss_Percentage_LJ</v>
      </c>
      <c r="S80" s="268">
        <f t="shared" si="15"/>
        <v>0.99917193164268958</v>
      </c>
      <c r="T80" t="str">
        <f t="shared" si="14"/>
        <v>(HOT) K201 Kettle</v>
      </c>
      <c r="U80" t="s">
        <v>876</v>
      </c>
    </row>
    <row r="81" spans="15:21">
      <c r="O81" s="95" t="s">
        <v>675</v>
      </c>
      <c r="P81" s="95" t="s">
        <v>682</v>
      </c>
      <c r="Q81" s="153" t="s">
        <v>18</v>
      </c>
      <c r="R81" s="96" t="str">
        <f t="shared" si="13"/>
        <v>Equipment Reliability - Equipment Failure_Loss_Percentage_LJ</v>
      </c>
      <c r="S81" s="268">
        <f t="shared" si="15"/>
        <v>5.4264579347253136E-2</v>
      </c>
      <c r="T81" t="str">
        <f t="shared" si="14"/>
        <v>(HOT) K201 Kettle</v>
      </c>
      <c r="U81" t="s">
        <v>876</v>
      </c>
    </row>
    <row r="82" spans="15:21">
      <c r="O82" s="95" t="s">
        <v>675</v>
      </c>
      <c r="P82" s="95" t="s">
        <v>682</v>
      </c>
      <c r="Q82" s="153" t="s">
        <v>1</v>
      </c>
      <c r="R82" s="96" t="str">
        <f t="shared" si="13"/>
        <v>Operational Reliability_Loss_Percentage_LJ</v>
      </c>
      <c r="S82" s="268">
        <f t="shared" si="15"/>
        <v>0.17568123262060883</v>
      </c>
      <c r="T82" t="str">
        <f t="shared" si="14"/>
        <v>(HOT) K201 Kettle</v>
      </c>
      <c r="U82" t="s">
        <v>876</v>
      </c>
    </row>
    <row r="83" spans="15:21">
      <c r="O83" s="95" t="s">
        <v>675</v>
      </c>
      <c r="P83" s="95" t="s">
        <v>682</v>
      </c>
      <c r="Q83" s="153" t="s">
        <v>2</v>
      </c>
      <c r="R83" s="96" t="str">
        <f t="shared" si="13"/>
        <v>Technology Reliability_Loss_Percentage_LJ</v>
      </c>
      <c r="S83" s="268">
        <f t="shared" si="15"/>
        <v>3.606756157790942E-2</v>
      </c>
      <c r="T83" t="str">
        <f t="shared" si="14"/>
        <v>(HOT) K201 Kettle</v>
      </c>
      <c r="U83" t="s">
        <v>876</v>
      </c>
    </row>
    <row r="84" spans="15:21">
      <c r="O84" s="95" t="s">
        <v>675</v>
      </c>
      <c r="P84" s="95" t="s">
        <v>682</v>
      </c>
      <c r="Q84" s="153" t="s">
        <v>3</v>
      </c>
      <c r="R84" s="96" t="str">
        <f t="shared" si="13"/>
        <v>Material Reliability_Loss_Percentage_LJ</v>
      </c>
      <c r="S84" s="268">
        <f t="shared" si="15"/>
        <v>0</v>
      </c>
      <c r="T84" t="str">
        <f t="shared" si="14"/>
        <v>(HOT) K201 Kettle</v>
      </c>
      <c r="U84" t="s">
        <v>876</v>
      </c>
    </row>
    <row r="85" spans="15:21">
      <c r="O85" s="95" t="s">
        <v>675</v>
      </c>
      <c r="P85" s="95" t="s">
        <v>682</v>
      </c>
      <c r="Q85" s="153" t="s">
        <v>4</v>
      </c>
      <c r="R85" s="96" t="str">
        <f t="shared" si="13"/>
        <v>Logistics/Supply Reliability_Loss_Percentage_LJ</v>
      </c>
      <c r="S85" s="268">
        <f t="shared" si="15"/>
        <v>3.2734171065255502E-2</v>
      </c>
      <c r="T85" t="str">
        <f t="shared" si="14"/>
        <v>(HOT) K201 Kettle</v>
      </c>
      <c r="U85" t="s">
        <v>876</v>
      </c>
    </row>
    <row r="86" spans="15:21">
      <c r="O86" s="95" t="s">
        <v>675</v>
      </c>
      <c r="P86" s="95" t="s">
        <v>682</v>
      </c>
      <c r="Q86" s="153" t="s">
        <v>5</v>
      </c>
      <c r="R86" s="96" t="str">
        <f t="shared" si="13"/>
        <v>External Reliability_Loss_Percentage_LJ</v>
      </c>
      <c r="S86" s="268">
        <f t="shared" si="15"/>
        <v>2.8615998037111522E-2</v>
      </c>
      <c r="T86" t="str">
        <f t="shared" si="14"/>
        <v>(HOT) K201 Kettle</v>
      </c>
      <c r="U86" t="s">
        <v>876</v>
      </c>
    </row>
    <row r="87" spans="15:21">
      <c r="O87" s="95" t="s">
        <v>675</v>
      </c>
      <c r="P87" s="95" t="s">
        <v>682</v>
      </c>
      <c r="Q87" s="153" t="s">
        <v>11</v>
      </c>
      <c r="R87" s="96" t="str">
        <f t="shared" si="13"/>
        <v>Other Reliability_Loss_Percentage_LJ</v>
      </c>
      <c r="S87" s="268">
        <f t="shared" si="15"/>
        <v>-0.24381534461186913</v>
      </c>
      <c r="T87" t="str">
        <f t="shared" si="14"/>
        <v>(HOT) K201 Kettle</v>
      </c>
      <c r="U87" t="s">
        <v>876</v>
      </c>
    </row>
    <row r="88" spans="15:21">
      <c r="O88" s="95" t="s">
        <v>675</v>
      </c>
      <c r="P88" s="95" t="s">
        <v>682</v>
      </c>
      <c r="Q88" s="153" t="s">
        <v>15</v>
      </c>
      <c r="R88" s="96" t="str">
        <f t="shared" si="13"/>
        <v>Unspecified_Loss_Percentage_LJ</v>
      </c>
      <c r="S88" s="268">
        <f t="shared" si="15"/>
        <v>0</v>
      </c>
      <c r="T88" t="str">
        <f t="shared" si="14"/>
        <v>(HOT) K201 Kettle</v>
      </c>
      <c r="U88" t="s">
        <v>876</v>
      </c>
    </row>
    <row r="89" spans="15:21">
      <c r="O89" s="95" t="s">
        <v>675</v>
      </c>
      <c r="P89" s="95" t="s">
        <v>682</v>
      </c>
      <c r="Q89" s="153" t="s">
        <v>16</v>
      </c>
      <c r="R89" s="96" t="str">
        <f t="shared" si="13"/>
        <v>Undetected_Loss_Percentage_LJ</v>
      </c>
      <c r="S89" s="268">
        <f t="shared" si="15"/>
        <v>3.1822911752279102E-3</v>
      </c>
      <c r="T89" t="str">
        <f t="shared" si="14"/>
        <v>(HOT) K201 Kettle</v>
      </c>
      <c r="U89" t="s">
        <v>876</v>
      </c>
    </row>
    <row r="90" spans="15:21">
      <c r="O90" s="95" t="s">
        <v>675</v>
      </c>
      <c r="P90" s="95" t="s">
        <v>682</v>
      </c>
      <c r="Q90" s="153" t="s">
        <v>664</v>
      </c>
      <c r="R90" s="96" t="str">
        <f t="shared" si="13"/>
        <v>Exception hours_Loss_Percentage_LJ</v>
      </c>
      <c r="S90" s="268">
        <f t="shared" si="15"/>
        <v>0</v>
      </c>
      <c r="T90" t="str">
        <f t="shared" si="14"/>
        <v>(HOT) K201 Kettle</v>
      </c>
      <c r="U90" t="s">
        <v>876</v>
      </c>
    </row>
    <row r="91" spans="15:21">
      <c r="O91" s="95" t="s">
        <v>675</v>
      </c>
      <c r="P91" s="95" t="s">
        <v>682</v>
      </c>
      <c r="Q91" s="153" t="s">
        <v>703</v>
      </c>
      <c r="R91" s="96" t="str">
        <f t="shared" si="13"/>
        <v>Extra loss hours in baseline due to MAC change_Loss_Percentage_LJ</v>
      </c>
      <c r="S91" s="268">
        <f t="shared" si="15"/>
        <v>0</v>
      </c>
      <c r="T91" t="str">
        <f t="shared" si="14"/>
        <v>(HOT) K201 Kettle</v>
      </c>
      <c r="U91" t="s">
        <v>876</v>
      </c>
    </row>
    <row r="92" spans="15:21">
      <c r="O92" s="95" t="s">
        <v>675</v>
      </c>
      <c r="P92" s="95" t="s">
        <v>682</v>
      </c>
      <c r="Q92" s="153" t="s">
        <v>705</v>
      </c>
      <c r="R92" s="96" t="str">
        <f t="shared" si="13"/>
        <v>Improvement target not assigned_Loss_Percentage_LJ</v>
      </c>
      <c r="S92" s="268">
        <f t="shared" si="15"/>
        <v>0</v>
      </c>
      <c r="T92" t="str">
        <f t="shared" si="14"/>
        <v>(HOT) K201 Kettle</v>
      </c>
      <c r="U92" t="s">
        <v>876</v>
      </c>
    </row>
    <row r="93" spans="15:21">
      <c r="O93" s="95" t="s">
        <v>675</v>
      </c>
      <c r="P93" s="95" t="s">
        <v>682</v>
      </c>
      <c r="Q93" s="153" t="s">
        <v>397</v>
      </c>
      <c r="R93" s="96" t="str">
        <f t="shared" si="13"/>
        <v>Sum OEE losses (exluding Planned Maintenance)_Loss_Percentage_LJ</v>
      </c>
      <c r="S93" s="268">
        <f t="shared" si="15"/>
        <v>8.6730489211497258E-2</v>
      </c>
      <c r="T93" t="str">
        <f t="shared" si="14"/>
        <v>(HOT) K201 Kettle</v>
      </c>
      <c r="U93" t="s">
        <v>876</v>
      </c>
    </row>
    <row r="94" spans="15:21">
      <c r="O94" s="95" t="s">
        <v>675</v>
      </c>
      <c r="P94" s="95" t="s">
        <v>682</v>
      </c>
      <c r="Q94" s="153" t="s">
        <v>398</v>
      </c>
      <c r="R94" s="96" t="str">
        <f t="shared" si="13"/>
        <v>Sum OEE losses (Including Planned Maintenance)_Loss_Percentage_LJ</v>
      </c>
      <c r="S94" s="268">
        <f t="shared" si="15"/>
        <v>8.7558557568807663E-2</v>
      </c>
      <c r="T94" t="str">
        <f t="shared" si="14"/>
        <v>(HOT) K201 Kettle</v>
      </c>
      <c r="U94" t="s">
        <v>876</v>
      </c>
    </row>
    <row r="95" spans="15:21">
      <c r="O95" s="95" t="s">
        <v>675</v>
      </c>
      <c r="P95" s="95" t="s">
        <v>682</v>
      </c>
      <c r="Q95" s="153" t="s">
        <v>712</v>
      </c>
      <c r="R95" s="96" t="str">
        <f t="shared" si="13"/>
        <v>Production hours on MAC (h) / OEE (%)_Loss_Percentage_LJ</v>
      </c>
      <c r="S95" s="268">
        <f t="shared" si="15"/>
        <v>0.91244144243119019</v>
      </c>
      <c r="T95" t="str">
        <f t="shared" si="14"/>
        <v>(HOT) K201 Kettle</v>
      </c>
      <c r="U95" t="s">
        <v>876</v>
      </c>
    </row>
    <row r="96" spans="15:21">
      <c r="O96" s="95" t="s">
        <v>676</v>
      </c>
      <c r="P96" s="95" t="s">
        <v>725</v>
      </c>
      <c r="Q96" s="142" t="s">
        <v>13</v>
      </c>
      <c r="R96" s="96" t="str">
        <f t="shared" si="13"/>
        <v>MAC - Calender hours_Corrected_loss_hours_LY</v>
      </c>
      <c r="S96" s="265">
        <f>D25</f>
        <v>8784</v>
      </c>
      <c r="T96" t="str">
        <f t="shared" si="14"/>
        <v>(HOT) K201 Kettle</v>
      </c>
      <c r="U96" t="s">
        <v>876</v>
      </c>
    </row>
    <row r="97" spans="15:21">
      <c r="O97" s="95" t="s">
        <v>676</v>
      </c>
      <c r="P97" s="95" t="s">
        <v>725</v>
      </c>
      <c r="Q97" s="152" t="s">
        <v>7</v>
      </c>
      <c r="R97" s="96" t="str">
        <f t="shared" si="13"/>
        <v>Commercial Reliability_Corrected_loss_hours_LY</v>
      </c>
      <c r="S97" s="265">
        <f t="shared" ref="S97:S116" si="16">D26</f>
        <v>2180.6133330405501</v>
      </c>
      <c r="T97" t="str">
        <f t="shared" si="14"/>
        <v>(HOT) K201 Kettle</v>
      </c>
      <c r="U97" t="s">
        <v>876</v>
      </c>
    </row>
    <row r="98" spans="15:21">
      <c r="O98" s="95" t="s">
        <v>676</v>
      </c>
      <c r="P98" s="95" t="s">
        <v>725</v>
      </c>
      <c r="Q98" s="152" t="s">
        <v>704</v>
      </c>
      <c r="R98" s="96" t="str">
        <f t="shared" si="13"/>
        <v>Exception hours (loss excluded from OEE)_Corrected_loss_hours_LY</v>
      </c>
      <c r="S98" s="265">
        <f t="shared" si="16"/>
        <v>189</v>
      </c>
      <c r="T98" t="str">
        <f t="shared" si="14"/>
        <v>(HOT) K201 Kettle</v>
      </c>
      <c r="U98" t="s">
        <v>876</v>
      </c>
    </row>
    <row r="99" spans="15:21">
      <c r="O99" s="95" t="s">
        <v>676</v>
      </c>
      <c r="P99" s="95" t="s">
        <v>725</v>
      </c>
      <c r="Q99" s="152" t="s">
        <v>14</v>
      </c>
      <c r="R99" s="96" t="str">
        <f t="shared" si="13"/>
        <v>Available OEE - Scheduled hours_Corrected_loss_hours_LY</v>
      </c>
      <c r="S99" s="265">
        <f t="shared" si="16"/>
        <v>6414.3866669594499</v>
      </c>
      <c r="T99" t="str">
        <f t="shared" si="14"/>
        <v>(HOT) K201 Kettle</v>
      </c>
      <c r="U99" t="s">
        <v>876</v>
      </c>
    </row>
    <row r="100" spans="15:21">
      <c r="O100" s="95" t="s">
        <v>676</v>
      </c>
      <c r="P100" s="95" t="s">
        <v>725</v>
      </c>
      <c r="Q100" s="152" t="s">
        <v>17</v>
      </c>
      <c r="R100" s="96" t="str">
        <f t="shared" si="13"/>
        <v>Equipment Reliability - Planned TA &amp; Planned SD_Corrected_loss_hours_LY</v>
      </c>
      <c r="S100" s="265">
        <f t="shared" si="16"/>
        <v>5.4680555499945296</v>
      </c>
      <c r="T100" t="str">
        <f t="shared" si="14"/>
        <v>(HOT) K201 Kettle</v>
      </c>
      <c r="U100" t="s">
        <v>876</v>
      </c>
    </row>
    <row r="101" spans="15:21">
      <c r="O101" s="95" t="s">
        <v>676</v>
      </c>
      <c r="P101" s="95" t="s">
        <v>725</v>
      </c>
      <c r="Q101" s="152" t="s">
        <v>665</v>
      </c>
      <c r="R101" s="96" t="str">
        <f t="shared" si="13"/>
        <v>Available running OEE - Running hours_Corrected_loss_hours_LY</v>
      </c>
      <c r="S101" s="265">
        <f t="shared" si="16"/>
        <v>6408.9186114094555</v>
      </c>
      <c r="T101" t="str">
        <f t="shared" si="14"/>
        <v>(HOT) K201 Kettle</v>
      </c>
      <c r="U101" t="s">
        <v>876</v>
      </c>
    </row>
    <row r="102" spans="15:21">
      <c r="O102" s="95" t="s">
        <v>676</v>
      </c>
      <c r="P102" s="95" t="s">
        <v>725</v>
      </c>
      <c r="Q102" s="152" t="s">
        <v>18</v>
      </c>
      <c r="R102" s="96" t="str">
        <f t="shared" si="13"/>
        <v>Equipment Reliability - Equipment Failure_Corrected_loss_hours_LY</v>
      </c>
      <c r="S102" s="265">
        <f t="shared" si="16"/>
        <v>358.32999974981448</v>
      </c>
      <c r="T102" t="str">
        <f t="shared" si="14"/>
        <v>(HOT) K201 Kettle</v>
      </c>
      <c r="U102" t="s">
        <v>876</v>
      </c>
    </row>
    <row r="103" spans="15:21">
      <c r="O103" s="95" t="s">
        <v>676</v>
      </c>
      <c r="P103" s="95" t="s">
        <v>725</v>
      </c>
      <c r="Q103" s="152" t="s">
        <v>1</v>
      </c>
      <c r="R103" s="96" t="str">
        <f t="shared" si="13"/>
        <v>Operational Reliability_Corrected_loss_hours_LY</v>
      </c>
      <c r="S103" s="265">
        <f t="shared" si="16"/>
        <v>1160.09110912193</v>
      </c>
      <c r="T103" t="str">
        <f t="shared" si="14"/>
        <v>(HOT) K201 Kettle</v>
      </c>
      <c r="U103" t="s">
        <v>876</v>
      </c>
    </row>
    <row r="104" spans="15:21">
      <c r="O104" s="95" t="s">
        <v>676</v>
      </c>
      <c r="P104" s="95" t="s">
        <v>725</v>
      </c>
      <c r="Q104" s="152" t="s">
        <v>2</v>
      </c>
      <c r="R104" s="96" t="str">
        <f t="shared" si="13"/>
        <v>Technology Reliability_Corrected_loss_hours_LY</v>
      </c>
      <c r="S104" s="265">
        <f t="shared" si="16"/>
        <v>238.16805523330601</v>
      </c>
      <c r="T104" t="str">
        <f t="shared" si="14"/>
        <v>(HOT) K201 Kettle</v>
      </c>
      <c r="U104" t="s">
        <v>876</v>
      </c>
    </row>
    <row r="105" spans="15:21">
      <c r="O105" s="95" t="s">
        <v>676</v>
      </c>
      <c r="P105" s="95" t="s">
        <v>725</v>
      </c>
      <c r="Q105" s="152" t="s">
        <v>3</v>
      </c>
      <c r="R105" s="96" t="str">
        <f t="shared" si="13"/>
        <v>Material Reliability_Corrected_loss_hours_LY</v>
      </c>
      <c r="S105" s="265">
        <f t="shared" si="16"/>
        <v>0</v>
      </c>
      <c r="T105" t="str">
        <f t="shared" si="14"/>
        <v>(HOT) K201 Kettle</v>
      </c>
      <c r="U105" t="s">
        <v>876</v>
      </c>
    </row>
    <row r="106" spans="15:21">
      <c r="O106" s="95" t="s">
        <v>676</v>
      </c>
      <c r="P106" s="95" t="s">
        <v>725</v>
      </c>
      <c r="Q106" s="152" t="s">
        <v>4</v>
      </c>
      <c r="R106" s="96" t="str">
        <f t="shared" si="13"/>
        <v>Logistics/Supply Reliability_Corrected_loss_hours_LY</v>
      </c>
      <c r="S106" s="265">
        <f t="shared" si="16"/>
        <v>216.15638876627801</v>
      </c>
      <c r="T106" t="str">
        <f t="shared" si="14"/>
        <v>(HOT) K201 Kettle</v>
      </c>
      <c r="U106" t="s">
        <v>876</v>
      </c>
    </row>
    <row r="107" spans="15:21">
      <c r="O107" s="95" t="s">
        <v>676</v>
      </c>
      <c r="P107" s="95" t="s">
        <v>725</v>
      </c>
      <c r="Q107" s="152" t="s">
        <v>5</v>
      </c>
      <c r="R107" s="96" t="str">
        <f t="shared" si="13"/>
        <v>External Reliability_Corrected_loss_hours_LY</v>
      </c>
      <c r="S107" s="265">
        <f t="shared" si="16"/>
        <v>188.96249990000001</v>
      </c>
      <c r="T107" t="str">
        <f t="shared" si="14"/>
        <v>(HOT) K201 Kettle</v>
      </c>
      <c r="U107" t="s">
        <v>876</v>
      </c>
    </row>
    <row r="108" spans="15:21">
      <c r="O108" s="95" t="s">
        <v>676</v>
      </c>
      <c r="P108" s="95" t="s">
        <v>725</v>
      </c>
      <c r="Q108" s="152" t="s">
        <v>11</v>
      </c>
      <c r="R108" s="96" t="str">
        <f t="shared" si="13"/>
        <v>Other Reliability_Corrected_loss_hours_LY</v>
      </c>
      <c r="S108" s="265">
        <f t="shared" si="16"/>
        <v>-1610.0069958101401</v>
      </c>
      <c r="T108" t="str">
        <f t="shared" si="14"/>
        <v>(HOT) K201 Kettle</v>
      </c>
      <c r="U108" t="s">
        <v>876</v>
      </c>
    </row>
    <row r="109" spans="15:21">
      <c r="O109" s="95" t="s">
        <v>676</v>
      </c>
      <c r="P109" s="95" t="s">
        <v>725</v>
      </c>
      <c r="Q109" s="152" t="s">
        <v>15</v>
      </c>
      <c r="R109" s="96" t="str">
        <f t="shared" si="13"/>
        <v>Unspecified_Corrected_loss_hours_LY</v>
      </c>
      <c r="S109" s="265">
        <f t="shared" si="16"/>
        <v>0</v>
      </c>
      <c r="T109" t="str">
        <f t="shared" si="14"/>
        <v>(HOT) K201 Kettle</v>
      </c>
      <c r="U109" t="s">
        <v>876</v>
      </c>
    </row>
    <row r="110" spans="15:21">
      <c r="O110" s="95" t="s">
        <v>676</v>
      </c>
      <c r="P110" s="95" t="s">
        <v>725</v>
      </c>
      <c r="Q110" s="152" t="s">
        <v>16</v>
      </c>
      <c r="R110" s="96" t="str">
        <f t="shared" si="13"/>
        <v>Undetected_Corrected_loss_hours_LY</v>
      </c>
      <c r="S110" s="265">
        <f t="shared" si="16"/>
        <v>21.013899116882701</v>
      </c>
      <c r="T110" t="str">
        <f t="shared" si="14"/>
        <v>(HOT) K201 Kettle</v>
      </c>
      <c r="U110" t="s">
        <v>876</v>
      </c>
    </row>
    <row r="111" spans="15:21">
      <c r="O111" s="95" t="s">
        <v>676</v>
      </c>
      <c r="P111" s="95" t="s">
        <v>725</v>
      </c>
      <c r="Q111" s="152" t="s">
        <v>664</v>
      </c>
      <c r="R111" s="96" t="str">
        <f t="shared" si="13"/>
        <v>Exception hours_Corrected_loss_hours_LY</v>
      </c>
      <c r="S111" s="265">
        <f t="shared" si="16"/>
        <v>-189</v>
      </c>
      <c r="T111" t="str">
        <f t="shared" si="14"/>
        <v>(HOT) K201 Kettle</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(HOT) K201 Kettle</v>
      </c>
      <c r="U112" t="s">
        <v>876</v>
      </c>
    </row>
    <row r="113" spans="15:21">
      <c r="O113" s="95" t="s">
        <v>676</v>
      </c>
      <c r="P113" s="95" t="s">
        <v>725</v>
      </c>
      <c r="Q113" s="152" t="s">
        <v>705</v>
      </c>
      <c r="R113" s="96" t="str">
        <f t="shared" si="13"/>
        <v>Improvement target not assigned_Corrected_loss_hours_LY</v>
      </c>
      <c r="S113" s="265">
        <f t="shared" si="16"/>
        <v>1.546140993013978E-11</v>
      </c>
      <c r="T113" t="str">
        <f t="shared" si="14"/>
        <v>(HOT) K201 Kettle</v>
      </c>
      <c r="U113" t="s">
        <v>876</v>
      </c>
    </row>
    <row r="114" spans="15:21">
      <c r="O114" s="95" t="s">
        <v>676</v>
      </c>
      <c r="P114" s="95" t="s">
        <v>725</v>
      </c>
      <c r="Q114" s="152" t="s">
        <v>397</v>
      </c>
      <c r="R114" s="96" t="str">
        <f t="shared" si="13"/>
        <v>Sum OEE losses (exluding Planned Maintenance)_Corrected_loss_hours_LY</v>
      </c>
      <c r="S114" s="265">
        <f t="shared" si="16"/>
        <v>383.7149560780714</v>
      </c>
      <c r="T114" t="str">
        <f t="shared" si="14"/>
        <v>(HOT) K201 Kettle</v>
      </c>
      <c r="U114" t="s">
        <v>876</v>
      </c>
    </row>
    <row r="115" spans="15:21">
      <c r="O115" s="95" t="s">
        <v>676</v>
      </c>
      <c r="P115" s="95" t="s">
        <v>725</v>
      </c>
      <c r="Q115" s="152" t="s">
        <v>398</v>
      </c>
      <c r="R115" s="96" t="str">
        <f t="shared" si="13"/>
        <v>Sum OEE losses (Including Planned Maintenance)_Corrected_loss_hours_LY</v>
      </c>
      <c r="S115" s="265">
        <f t="shared" si="16"/>
        <v>389.18301162806591</v>
      </c>
      <c r="T115" t="str">
        <f t="shared" si="14"/>
        <v>(HOT) K201 Kettle</v>
      </c>
      <c r="U115" t="s">
        <v>876</v>
      </c>
    </row>
    <row r="116" spans="15:21">
      <c r="O116" s="95" t="s">
        <v>676</v>
      </c>
      <c r="P116" s="95" t="s">
        <v>725</v>
      </c>
      <c r="Q116" s="152" t="s">
        <v>712</v>
      </c>
      <c r="R116" s="96" t="str">
        <f t="shared" si="13"/>
        <v>Production hours on MAC (h) / OEE (%)_Corrected_loss_hours_LY</v>
      </c>
      <c r="S116" s="265">
        <f t="shared" si="16"/>
        <v>6025.2036553313701</v>
      </c>
      <c r="T116" t="str">
        <f t="shared" si="14"/>
        <v>(HOT) K201 Kettle</v>
      </c>
      <c r="U116" t="s">
        <v>876</v>
      </c>
    </row>
    <row r="117" spans="15:21">
      <c r="O117" s="95" t="s">
        <v>677</v>
      </c>
      <c r="P117" s="95" t="s">
        <v>726</v>
      </c>
      <c r="Q117" s="143" t="s">
        <v>13</v>
      </c>
      <c r="R117" s="96" t="str">
        <f t="shared" si="13"/>
        <v>MAC - Calender hours_Corrected_loss_percentage_LY</v>
      </c>
      <c r="S117" s="264">
        <f>E25</f>
        <v>0</v>
      </c>
      <c r="T117" t="str">
        <f t="shared" si="14"/>
        <v>(HOT) K201 Kettle</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K201 Kettle</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K201 Kettle</v>
      </c>
      <c r="U119" t="s">
        <v>876</v>
      </c>
    </row>
    <row r="120" spans="15:21">
      <c r="O120" s="95" t="s">
        <v>677</v>
      </c>
      <c r="P120" s="95" t="s">
        <v>726</v>
      </c>
      <c r="Q120" s="153" t="s">
        <v>14</v>
      </c>
      <c r="R120" s="96" t="str">
        <f t="shared" si="13"/>
        <v>Available OEE - Scheduled hours_Corrected_loss_percentage_LY</v>
      </c>
      <c r="S120" s="264">
        <f t="shared" si="17"/>
        <v>1</v>
      </c>
      <c r="T120" t="str">
        <f t="shared" si="14"/>
        <v>(HOT) K201 Kettle</v>
      </c>
      <c r="U120" t="s">
        <v>876</v>
      </c>
    </row>
    <row r="121" spans="15:21">
      <c r="O121" s="95" t="s">
        <v>677</v>
      </c>
      <c r="P121" s="95" t="s">
        <v>726</v>
      </c>
      <c r="Q121" s="153" t="s">
        <v>17</v>
      </c>
      <c r="R121" s="96" t="str">
        <f t="shared" si="13"/>
        <v>Equipment Reliability - Planned TA &amp; Planned SD_Corrected_loss_percentage_LY</v>
      </c>
      <c r="S121" s="264">
        <f t="shared" si="17"/>
        <v>8.5246740396248974E-4</v>
      </c>
      <c r="T121" t="str">
        <f t="shared" si="14"/>
        <v>(HOT) K201 Kettle</v>
      </c>
      <c r="U121" t="s">
        <v>876</v>
      </c>
    </row>
    <row r="122" spans="15:21">
      <c r="O122" s="95" t="s">
        <v>677</v>
      </c>
      <c r="P122" s="95" t="s">
        <v>726</v>
      </c>
      <c r="Q122" s="153" t="s">
        <v>665</v>
      </c>
      <c r="R122" s="96" t="str">
        <f t="shared" si="13"/>
        <v>Available running OEE - Running hours_Corrected_loss_percentage_LY</v>
      </c>
      <c r="S122" s="264">
        <f t="shared" si="17"/>
        <v>0.9991475325960375</v>
      </c>
      <c r="T122" t="str">
        <f t="shared" si="14"/>
        <v>(HOT) K201 Kettle</v>
      </c>
      <c r="U122" t="s">
        <v>876</v>
      </c>
    </row>
    <row r="123" spans="15:21">
      <c r="O123" s="95" t="s">
        <v>677</v>
      </c>
      <c r="P123" s="95" t="s">
        <v>726</v>
      </c>
      <c r="Q123" s="153" t="s">
        <v>18</v>
      </c>
      <c r="R123" s="96" t="str">
        <f t="shared" si="13"/>
        <v>Equipment Reliability - Equipment Failure_Corrected_loss_percentage_LY</v>
      </c>
      <c r="S123" s="264">
        <f t="shared" si="17"/>
        <v>5.5863485997121876E-2</v>
      </c>
      <c r="T123" t="str">
        <f t="shared" si="14"/>
        <v>(HOT) K201 Kettle</v>
      </c>
      <c r="U123" t="s">
        <v>876</v>
      </c>
    </row>
    <row r="124" spans="15:21">
      <c r="O124" s="95" t="s">
        <v>677</v>
      </c>
      <c r="P124" s="95" t="s">
        <v>726</v>
      </c>
      <c r="Q124" s="153" t="s">
        <v>1</v>
      </c>
      <c r="R124" s="96" t="str">
        <f t="shared" si="13"/>
        <v>Operational Reliability_Corrected_loss_percentage_LY</v>
      </c>
      <c r="S124" s="264">
        <f t="shared" si="17"/>
        <v>0.18085768279258363</v>
      </c>
      <c r="T124" t="str">
        <f t="shared" si="14"/>
        <v>(HOT) K201 Kettle</v>
      </c>
      <c r="U124" t="s">
        <v>876</v>
      </c>
    </row>
    <row r="125" spans="15:21">
      <c r="O125" s="95" t="s">
        <v>677</v>
      </c>
      <c r="P125" s="95" t="s">
        <v>726</v>
      </c>
      <c r="Q125" s="153" t="s">
        <v>2</v>
      </c>
      <c r="R125" s="96" t="str">
        <f t="shared" si="13"/>
        <v>Technology Reliability_Corrected_loss_percentage_LY</v>
      </c>
      <c r="S125" s="264">
        <f t="shared" si="17"/>
        <v>3.7130292824427209E-2</v>
      </c>
      <c r="T125" t="str">
        <f t="shared" si="14"/>
        <v>(HOT) K201 Kettle</v>
      </c>
      <c r="U125" t="s">
        <v>876</v>
      </c>
    </row>
    <row r="126" spans="15:21">
      <c r="O126" s="95" t="s">
        <v>677</v>
      </c>
      <c r="P126" s="95" t="s">
        <v>726</v>
      </c>
      <c r="Q126" s="153" t="s">
        <v>3</v>
      </c>
      <c r="R126" s="96" t="str">
        <f t="shared" si="13"/>
        <v>Material Reliability_Corrected_loss_percentage_LY</v>
      </c>
      <c r="S126" s="264">
        <f t="shared" si="17"/>
        <v>0</v>
      </c>
      <c r="T126" t="str">
        <f t="shared" si="14"/>
        <v>(HOT) K201 Kettle</v>
      </c>
      <c r="U126" t="s">
        <v>876</v>
      </c>
    </row>
    <row r="127" spans="15:21">
      <c r="O127" s="95" t="s">
        <v>677</v>
      </c>
      <c r="P127" s="95" t="s">
        <v>726</v>
      </c>
      <c r="Q127" s="153" t="s">
        <v>4</v>
      </c>
      <c r="R127" s="96" t="str">
        <f t="shared" si="13"/>
        <v>Logistics/Supply Reliability_Corrected_loss_percentage_LY</v>
      </c>
      <c r="S127" s="264">
        <f t="shared" si="17"/>
        <v>3.3698683909983332E-2</v>
      </c>
      <c r="T127" t="str">
        <f t="shared" si="14"/>
        <v>(HOT) K201 Kettle</v>
      </c>
      <c r="U127" t="s">
        <v>876</v>
      </c>
    </row>
    <row r="128" spans="15:21">
      <c r="O128" s="95" t="s">
        <v>677</v>
      </c>
      <c r="P128" s="95" t="s">
        <v>726</v>
      </c>
      <c r="Q128" s="153" t="s">
        <v>5</v>
      </c>
      <c r="R128" s="96" t="str">
        <f t="shared" si="13"/>
        <v>External Reliability_Corrected_loss_percentage_LY</v>
      </c>
      <c r="S128" s="264">
        <f t="shared" si="17"/>
        <v>2.9459168851380158E-2</v>
      </c>
      <c r="T128" t="str">
        <f t="shared" si="14"/>
        <v>(HOT) K201 Kettle</v>
      </c>
      <c r="U128" t="s">
        <v>876</v>
      </c>
    </row>
    <row r="129" spans="15:21">
      <c r="O129" s="95" t="s">
        <v>677</v>
      </c>
      <c r="P129" s="95" t="s">
        <v>726</v>
      </c>
      <c r="Q129" s="153" t="s">
        <v>11</v>
      </c>
      <c r="R129" s="96" t="str">
        <f t="shared" si="13"/>
        <v>Other Reliability_Corrected_loss_percentage_LY</v>
      </c>
      <c r="S129" s="264">
        <f t="shared" si="17"/>
        <v>-0.25099936742250001</v>
      </c>
      <c r="T129" t="str">
        <f t="shared" si="14"/>
        <v>(HOT) K201 Kettle</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(HOT) K201 Kettle</v>
      </c>
      <c r="U130" t="s">
        <v>876</v>
      </c>
    </row>
    <row r="131" spans="15:21">
      <c r="O131" s="95" t="s">
        <v>677</v>
      </c>
      <c r="P131" s="95" t="s">
        <v>726</v>
      </c>
      <c r="Q131" s="153" t="s">
        <v>16</v>
      </c>
      <c r="R131" s="96" t="str">
        <f t="shared" si="18"/>
        <v>Undetected_Corrected_loss_percentage_LY</v>
      </c>
      <c r="S131" s="264">
        <f t="shared" si="17"/>
        <v>3.2760574327589946E-3</v>
      </c>
      <c r="T131" t="str">
        <f t="shared" ref="T131:T194" si="19">$B$2</f>
        <v>(HOT) K201 Kettle</v>
      </c>
      <c r="U131" t="s">
        <v>876</v>
      </c>
    </row>
    <row r="132" spans="15:21">
      <c r="O132" s="95" t="s">
        <v>677</v>
      </c>
      <c r="P132" s="95" t="s">
        <v>726</v>
      </c>
      <c r="Q132" s="153" t="s">
        <v>664</v>
      </c>
      <c r="R132" s="96" t="str">
        <f t="shared" si="18"/>
        <v>Exception hours_Corrected_loss_percentage_LY</v>
      </c>
      <c r="S132" s="264">
        <f t="shared" si="17"/>
        <v>-2.9465015100124895E-2</v>
      </c>
      <c r="T132" t="str">
        <f t="shared" si="19"/>
        <v>(HOT) K201 Kettle</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(HOT) K201 Kettle</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K201 Kettle</v>
      </c>
      <c r="U134" t="s">
        <v>876</v>
      </c>
    </row>
    <row r="135" spans="15:21">
      <c r="O135" s="95" t="s">
        <v>677</v>
      </c>
      <c r="P135" s="95" t="s">
        <v>726</v>
      </c>
      <c r="Q135" s="153" t="s">
        <v>397</v>
      </c>
      <c r="R135" s="96" t="str">
        <f t="shared" si="18"/>
        <v>Sum OEE losses (exluding Planned Maintenance)_Corrected_loss_percentage_LY</v>
      </c>
      <c r="S135" s="264">
        <f t="shared" si="17"/>
        <v>5.9820989285630344E-2</v>
      </c>
      <c r="T135" t="str">
        <f t="shared" si="19"/>
        <v>(HOT) K201 Kettle</v>
      </c>
      <c r="U135" t="s">
        <v>876</v>
      </c>
    </row>
    <row r="136" spans="15:21">
      <c r="O136" s="95" t="s">
        <v>677</v>
      </c>
      <c r="P136" s="95" t="s">
        <v>726</v>
      </c>
      <c r="Q136" s="153" t="s">
        <v>398</v>
      </c>
      <c r="R136" s="96" t="str">
        <f t="shared" si="18"/>
        <v>Sum OEE losses (Including Planned Maintenance)_Corrected_loss_percentage_LY</v>
      </c>
      <c r="S136" s="264">
        <f t="shared" si="17"/>
        <v>6.0673456689592835E-2</v>
      </c>
      <c r="T136" t="str">
        <f t="shared" si="19"/>
        <v>(HOT) K201 Kettle</v>
      </c>
      <c r="U136" t="s">
        <v>876</v>
      </c>
    </row>
    <row r="137" spans="15:21">
      <c r="O137" s="95" t="s">
        <v>677</v>
      </c>
      <c r="P137" s="95" t="s">
        <v>726</v>
      </c>
      <c r="Q137" s="153" t="s">
        <v>712</v>
      </c>
      <c r="R137" s="96" t="str">
        <f t="shared" si="18"/>
        <v>Production hours on MAC (h) / OEE (%)_Corrected_loss_percentage_LY</v>
      </c>
      <c r="S137" s="264">
        <f t="shared" si="17"/>
        <v>0.93932654331040499</v>
      </c>
      <c r="T137" t="str">
        <f t="shared" si="19"/>
        <v>(HOT) K201 Kettle</v>
      </c>
      <c r="U137" t="s">
        <v>876</v>
      </c>
    </row>
    <row r="138" spans="15:21">
      <c r="O138" s="95" t="s">
        <v>679</v>
      </c>
      <c r="P138" s="95" t="s">
        <v>688</v>
      </c>
      <c r="Q138" s="142" t="s">
        <v>13</v>
      </c>
      <c r="R138" s="96" t="str">
        <f t="shared" si="18"/>
        <v>MAC - Calender hours_OEE Improvement_Hours</v>
      </c>
      <c r="S138" s="265">
        <f t="shared" ref="S138:S158" si="20">G25</f>
        <v>0</v>
      </c>
      <c r="T138" t="str">
        <f t="shared" si="19"/>
        <v>(HOT) K201 Kettle</v>
      </c>
      <c r="U138" t="s">
        <v>876</v>
      </c>
    </row>
    <row r="139" spans="15:21">
      <c r="O139" s="95" t="s">
        <v>679</v>
      </c>
      <c r="P139" s="95" t="s">
        <v>688</v>
      </c>
      <c r="Q139" s="152" t="s">
        <v>7</v>
      </c>
      <c r="R139" s="96" t="str">
        <f t="shared" si="18"/>
        <v>Commercial Reliability_OEE Improvement_Hours</v>
      </c>
      <c r="S139" s="265">
        <f t="shared" si="20"/>
        <v>-87.247678482191986</v>
      </c>
      <c r="T139" t="str">
        <f t="shared" si="19"/>
        <v>(HOT) K201 Kettle</v>
      </c>
      <c r="U139" t="s">
        <v>876</v>
      </c>
    </row>
    <row r="140" spans="15:21">
      <c r="O140" s="95" t="s">
        <v>679</v>
      </c>
      <c r="P140" s="95" t="s">
        <v>688</v>
      </c>
      <c r="Q140" s="152" t="s">
        <v>704</v>
      </c>
      <c r="R140" s="96" t="str">
        <f t="shared" si="18"/>
        <v>Exception hours (loss excluded from OEE)_OEE Improvement_Hours</v>
      </c>
      <c r="S140" s="265">
        <f t="shared" si="20"/>
        <v>189</v>
      </c>
      <c r="T140" t="str">
        <f t="shared" si="19"/>
        <v>(HOT) K201 Kettle</v>
      </c>
      <c r="U140" t="s">
        <v>876</v>
      </c>
    </row>
    <row r="141" spans="15:21">
      <c r="O141" s="95" t="s">
        <v>679</v>
      </c>
      <c r="P141" s="95" t="s">
        <v>688</v>
      </c>
      <c r="Q141" s="152" t="s">
        <v>14</v>
      </c>
      <c r="R141" s="96" t="str">
        <f t="shared" si="18"/>
        <v>Available OEE - Scheduled hours_OEE Improvement_Hours</v>
      </c>
      <c r="S141" s="265">
        <f t="shared" si="20"/>
        <v>-77.752321517808014</v>
      </c>
      <c r="T141" t="str">
        <f t="shared" si="19"/>
        <v>(HOT) K201 Kettle</v>
      </c>
      <c r="U141" t="s">
        <v>876</v>
      </c>
    </row>
    <row r="142" spans="15:21">
      <c r="O142" s="95" t="s">
        <v>679</v>
      </c>
      <c r="P142" s="95" t="s">
        <v>688</v>
      </c>
      <c r="Q142" s="152" t="s">
        <v>17</v>
      </c>
      <c r="R142" s="96" t="str">
        <f t="shared" si="18"/>
        <v>Equipment Reliability - Planned TA &amp; Planned SD_OEE Improvement_Hours</v>
      </c>
      <c r="S142" s="265">
        <f t="shared" si="20"/>
        <v>-162.53194445000548</v>
      </c>
      <c r="T142" t="str">
        <f t="shared" si="19"/>
        <v>(HOT) K201 Kettle</v>
      </c>
      <c r="U142" t="s">
        <v>876</v>
      </c>
    </row>
    <row r="143" spans="15:21">
      <c r="O143" s="95" t="s">
        <v>679</v>
      </c>
      <c r="P143" s="95" t="s">
        <v>688</v>
      </c>
      <c r="Q143" s="152" t="s">
        <v>665</v>
      </c>
      <c r="R143" s="96" t="str">
        <f t="shared" si="18"/>
        <v>Available running OEE - Running hours_OEE Improvement_Hours</v>
      </c>
      <c r="S143" s="265">
        <f t="shared" si="20"/>
        <v>84.779622932197526</v>
      </c>
      <c r="T143" t="str">
        <f t="shared" si="19"/>
        <v>(HOT) K201 Kettle</v>
      </c>
      <c r="U143" t="s">
        <v>876</v>
      </c>
    </row>
    <row r="144" spans="15:21">
      <c r="O144" s="95" t="s">
        <v>679</v>
      </c>
      <c r="P144" s="95" t="s">
        <v>688</v>
      </c>
      <c r="Q144" s="152" t="s">
        <v>18</v>
      </c>
      <c r="R144" s="96" t="str">
        <f t="shared" si="18"/>
        <v>Equipment Reliability - Equipment Failure_OEE Improvement_Hours</v>
      </c>
      <c r="S144" s="265">
        <f t="shared" si="20"/>
        <v>0</v>
      </c>
      <c r="T144" t="str">
        <f t="shared" si="19"/>
        <v>(HOT) K201 Kettle</v>
      </c>
      <c r="U144" t="s">
        <v>876</v>
      </c>
    </row>
    <row r="145" spans="15:21">
      <c r="O145" s="95" t="s">
        <v>679</v>
      </c>
      <c r="P145" s="95" t="s">
        <v>688</v>
      </c>
      <c r="Q145" s="152" t="s">
        <v>1</v>
      </c>
      <c r="R145" s="96" t="str">
        <f t="shared" si="18"/>
        <v>Operational Reliability_OEE Improvement_Hours</v>
      </c>
      <c r="S145" s="265">
        <f t="shared" si="20"/>
        <v>0</v>
      </c>
      <c r="T145" t="str">
        <f t="shared" si="19"/>
        <v>(HOT) K201 Kettle</v>
      </c>
      <c r="U145" t="s">
        <v>876</v>
      </c>
    </row>
    <row r="146" spans="15:21">
      <c r="O146" s="95" t="s">
        <v>679</v>
      </c>
      <c r="P146" s="95" t="s">
        <v>688</v>
      </c>
      <c r="Q146" s="152" t="s">
        <v>2</v>
      </c>
      <c r="R146" s="96" t="str">
        <f t="shared" si="18"/>
        <v>Technology Reliability_OEE Improvement_Hours</v>
      </c>
      <c r="S146" s="265">
        <f t="shared" si="20"/>
        <v>0</v>
      </c>
      <c r="T146" t="str">
        <f t="shared" si="19"/>
        <v>(HOT) K201 Kettle</v>
      </c>
      <c r="U146" t="s">
        <v>876</v>
      </c>
    </row>
    <row r="147" spans="15:21">
      <c r="O147" s="95" t="s">
        <v>679</v>
      </c>
      <c r="P147" s="95" t="s">
        <v>688</v>
      </c>
      <c r="Q147" s="152" t="s">
        <v>3</v>
      </c>
      <c r="R147" s="96" t="str">
        <f t="shared" si="18"/>
        <v>Material Reliability_OEE Improvement_Hours</v>
      </c>
      <c r="S147" s="265">
        <f t="shared" si="20"/>
        <v>0</v>
      </c>
      <c r="T147" t="str">
        <f t="shared" si="19"/>
        <v>(HOT) K201 Kettle</v>
      </c>
      <c r="U147" t="s">
        <v>876</v>
      </c>
    </row>
    <row r="148" spans="15:21">
      <c r="O148" s="95" t="s">
        <v>679</v>
      </c>
      <c r="P148" s="95" t="s">
        <v>688</v>
      </c>
      <c r="Q148" s="152" t="s">
        <v>4</v>
      </c>
      <c r="R148" s="96" t="str">
        <f t="shared" si="18"/>
        <v>Logistics/Supply Reliability_OEE Improvement_Hours</v>
      </c>
      <c r="S148" s="265">
        <f t="shared" si="20"/>
        <v>0</v>
      </c>
      <c r="T148" t="str">
        <f t="shared" si="19"/>
        <v>(HOT) K201 Kettle</v>
      </c>
      <c r="U148" t="s">
        <v>876</v>
      </c>
    </row>
    <row r="149" spans="15:21">
      <c r="O149" s="95" t="s">
        <v>679</v>
      </c>
      <c r="P149" s="95" t="s">
        <v>688</v>
      </c>
      <c r="Q149" s="152" t="s">
        <v>5</v>
      </c>
      <c r="R149" s="96" t="str">
        <f t="shared" si="18"/>
        <v>External Reliability_OEE Improvement_Hours</v>
      </c>
      <c r="S149" s="265">
        <f t="shared" si="20"/>
        <v>0</v>
      </c>
      <c r="T149" t="str">
        <f t="shared" si="19"/>
        <v>(HOT) K201 Kettle</v>
      </c>
      <c r="U149" t="s">
        <v>876</v>
      </c>
    </row>
    <row r="150" spans="15:21">
      <c r="O150" s="95" t="s">
        <v>679</v>
      </c>
      <c r="P150" s="95" t="s">
        <v>688</v>
      </c>
      <c r="Q150" s="152" t="s">
        <v>11</v>
      </c>
      <c r="R150" s="96" t="str">
        <f t="shared" si="18"/>
        <v>Other Reliability_OEE Improvement_Hours</v>
      </c>
      <c r="S150" s="265">
        <f t="shared" si="20"/>
        <v>0</v>
      </c>
      <c r="T150" t="str">
        <f t="shared" si="19"/>
        <v>(HOT) K201 Kettle</v>
      </c>
      <c r="U150" t="s">
        <v>876</v>
      </c>
    </row>
    <row r="151" spans="15:21">
      <c r="O151" s="95" t="s">
        <v>679</v>
      </c>
      <c r="P151" s="95" t="s">
        <v>688</v>
      </c>
      <c r="Q151" s="152" t="s">
        <v>15</v>
      </c>
      <c r="R151" s="96" t="str">
        <f t="shared" si="18"/>
        <v>Unspecified_OEE Improvement_Hours</v>
      </c>
      <c r="S151" s="265">
        <f t="shared" si="20"/>
        <v>0</v>
      </c>
      <c r="T151" t="str">
        <f t="shared" si="19"/>
        <v>(HOT) K201 Kettle</v>
      </c>
      <c r="U151" t="s">
        <v>876</v>
      </c>
    </row>
    <row r="152" spans="15:21">
      <c r="O152" s="95" t="s">
        <v>679</v>
      </c>
      <c r="P152" s="95" t="s">
        <v>688</v>
      </c>
      <c r="Q152" s="152" t="s">
        <v>16</v>
      </c>
      <c r="R152" s="96" t="str">
        <f t="shared" si="18"/>
        <v>Undetected_OEE Improvement_Hours</v>
      </c>
      <c r="S152" s="265">
        <f t="shared" si="20"/>
        <v>0</v>
      </c>
      <c r="T152" t="str">
        <f t="shared" si="19"/>
        <v>(HOT) K201 Kettle</v>
      </c>
      <c r="U152" t="s">
        <v>876</v>
      </c>
    </row>
    <row r="153" spans="15:21">
      <c r="O153" s="95" t="s">
        <v>679</v>
      </c>
      <c r="P153" s="95" t="s">
        <v>688</v>
      </c>
      <c r="Q153" s="152" t="s">
        <v>664</v>
      </c>
      <c r="R153" s="96" t="str">
        <f t="shared" si="18"/>
        <v>Exception hours_OEE Improvement_Hours</v>
      </c>
      <c r="S153" s="265">
        <f t="shared" si="20"/>
        <v>-189</v>
      </c>
      <c r="T153" t="str">
        <f t="shared" si="19"/>
        <v>(HOT) K201 Kettle</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(HOT) K201 Kettle</v>
      </c>
      <c r="U154" t="s">
        <v>876</v>
      </c>
    </row>
    <row r="155" spans="15:21">
      <c r="O155" s="95" t="s">
        <v>679</v>
      </c>
      <c r="P155" s="95" t="s">
        <v>688</v>
      </c>
      <c r="Q155" s="152" t="s">
        <v>705</v>
      </c>
      <c r="R155" s="96" t="str">
        <f t="shared" si="18"/>
        <v>Improvement target not assigned_OEE Improvement_Hours</v>
      </c>
      <c r="S155" s="265">
        <f t="shared" si="20"/>
        <v>0</v>
      </c>
      <c r="T155" t="str">
        <f t="shared" si="19"/>
        <v>(HOT) K201 Kettle</v>
      </c>
      <c r="U155" t="s">
        <v>876</v>
      </c>
    </row>
    <row r="156" spans="15:21">
      <c r="O156" s="95" t="s">
        <v>679</v>
      </c>
      <c r="P156" s="95" t="s">
        <v>688</v>
      </c>
      <c r="Q156" s="152" t="s">
        <v>397</v>
      </c>
      <c r="R156" s="96" t="str">
        <f t="shared" si="18"/>
        <v>Sum OEE losses (exluding Planned Maintenance)_OEE Improvement_Hours</v>
      </c>
      <c r="S156" s="265">
        <f t="shared" si="20"/>
        <v>-68.31731786297189</v>
      </c>
      <c r="T156" t="str">
        <f t="shared" si="19"/>
        <v>(HOT) K201 Kettle</v>
      </c>
      <c r="U156" t="s">
        <v>876</v>
      </c>
    </row>
    <row r="157" spans="15:21">
      <c r="O157" s="95" t="s">
        <v>679</v>
      </c>
      <c r="P157" s="95" t="s">
        <v>688</v>
      </c>
      <c r="Q157" s="152" t="s">
        <v>398</v>
      </c>
      <c r="R157" s="96" t="str">
        <f t="shared" si="18"/>
        <v>Sum OEE losses (Including Planned Maintenance)_OEE Improvement_Hours</v>
      </c>
      <c r="S157" s="265">
        <f t="shared" si="20"/>
        <v>94.214626587033592</v>
      </c>
      <c r="T157" t="str">
        <f t="shared" si="19"/>
        <v>(HOT) K201 Kettle</v>
      </c>
      <c r="U157" t="s">
        <v>876</v>
      </c>
    </row>
    <row r="158" spans="15:21">
      <c r="O158" s="95" t="s">
        <v>679</v>
      </c>
      <c r="P158" s="95" t="s">
        <v>688</v>
      </c>
      <c r="Q158" s="152" t="s">
        <v>712</v>
      </c>
      <c r="R158" s="96" t="str">
        <f t="shared" si="18"/>
        <v>Production hours on MAC (h) / OEE (%)_OEE Improvement_Hours</v>
      </c>
      <c r="S158" s="265">
        <f t="shared" si="20"/>
        <v>-16.462305069211652</v>
      </c>
      <c r="T158" t="str">
        <f t="shared" si="19"/>
        <v>(HOT) K201 Kettle</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K201 Kettle</v>
      </c>
      <c r="U159" t="s">
        <v>876</v>
      </c>
    </row>
    <row r="160" spans="15:21">
      <c r="O160" s="95" t="s">
        <v>723</v>
      </c>
      <c r="P160" s="95" t="s">
        <v>689</v>
      </c>
      <c r="Q160" s="153" t="s">
        <v>7</v>
      </c>
      <c r="R160" s="96" t="str">
        <f t="shared" si="18"/>
        <v>Commercial Reliability_OEE_Improvement_Percentage</v>
      </c>
      <c r="S160" s="264">
        <f t="shared" si="21"/>
        <v>0</v>
      </c>
      <c r="T160" t="str">
        <f t="shared" si="19"/>
        <v>(HOT) K201 Kettle</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K201 Kettle</v>
      </c>
      <c r="U161" t="s">
        <v>876</v>
      </c>
    </row>
    <row r="162" spans="15:21">
      <c r="O162" s="95" t="s">
        <v>723</v>
      </c>
      <c r="P162" s="95" t="s">
        <v>689</v>
      </c>
      <c r="Q162" s="153" t="s">
        <v>14</v>
      </c>
      <c r="R162" s="96" t="str">
        <f t="shared" si="18"/>
        <v>Available OEE - Scheduled hours_OEE_Improvement_Percentage</v>
      </c>
      <c r="S162" s="264">
        <f t="shared" si="21"/>
        <v>0</v>
      </c>
      <c r="T162" t="str">
        <f t="shared" si="19"/>
        <v>(HOT) K201 Kettle</v>
      </c>
      <c r="U162" t="s">
        <v>876</v>
      </c>
    </row>
    <row r="163" spans="15:21">
      <c r="O163" s="95" t="s">
        <v>723</v>
      </c>
      <c r="P163" s="95" t="s">
        <v>689</v>
      </c>
      <c r="Q163" s="153" t="s">
        <v>17</v>
      </c>
      <c r="R163" s="96" t="str">
        <f t="shared" si="18"/>
        <v>Equipment Reliability - Planned TA &amp; Planned SD_OEE_Improvement_Percentage</v>
      </c>
      <c r="S163" s="264">
        <f t="shared" si="21"/>
        <v>-2.5049381324247427E-2</v>
      </c>
      <c r="T163" t="str">
        <f t="shared" si="19"/>
        <v>(HOT) K201 Kettle</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K201 Kettle</v>
      </c>
      <c r="U164" t="s">
        <v>876</v>
      </c>
    </row>
    <row r="165" spans="15:21">
      <c r="O165" s="95" t="s">
        <v>723</v>
      </c>
      <c r="P165" s="95" t="s">
        <v>689</v>
      </c>
      <c r="Q165" s="153" t="s">
        <v>18</v>
      </c>
      <c r="R165" s="96" t="str">
        <f t="shared" si="18"/>
        <v>Equipment Reliability - Equipment Failure_OEE_Improvement_Percentage</v>
      </c>
      <c r="S165" s="264">
        <f t="shared" si="21"/>
        <v>6.6904231903583411E-4</v>
      </c>
      <c r="T165" t="str">
        <f t="shared" si="19"/>
        <v>(HOT) K201 Kettle</v>
      </c>
      <c r="U165" t="s">
        <v>876</v>
      </c>
    </row>
    <row r="166" spans="15:21">
      <c r="O166" s="95" t="s">
        <v>723</v>
      </c>
      <c r="P166" s="95" t="s">
        <v>689</v>
      </c>
      <c r="Q166" s="153" t="s">
        <v>1</v>
      </c>
      <c r="R166" s="96" t="str">
        <f t="shared" si="18"/>
        <v>Operational Reliability_OEE_Improvement_Percentage</v>
      </c>
      <c r="S166" s="264">
        <f t="shared" si="21"/>
        <v>2.1660202787422145E-3</v>
      </c>
      <c r="T166" t="str">
        <f t="shared" si="19"/>
        <v>(HOT) K201 Kettle</v>
      </c>
      <c r="U166" t="s">
        <v>876</v>
      </c>
    </row>
    <row r="167" spans="15:21">
      <c r="O167" s="95" t="s">
        <v>723</v>
      </c>
      <c r="P167" s="95" t="s">
        <v>689</v>
      </c>
      <c r="Q167" s="153" t="s">
        <v>2</v>
      </c>
      <c r="R167" s="96" t="str">
        <f t="shared" si="18"/>
        <v>Technology Reliability_OEE_Improvement_Percentage</v>
      </c>
      <c r="S167" s="264">
        <f t="shared" si="21"/>
        <v>4.4468648481790773E-4</v>
      </c>
      <c r="T167" t="str">
        <f t="shared" si="19"/>
        <v>(HOT) K201 Kettle</v>
      </c>
      <c r="U167" t="s">
        <v>876</v>
      </c>
    </row>
    <row r="168" spans="15:21">
      <c r="O168" s="95" t="s">
        <v>723</v>
      </c>
      <c r="P168" s="95" t="s">
        <v>689</v>
      </c>
      <c r="Q168" s="153" t="s">
        <v>3</v>
      </c>
      <c r="R168" s="96" t="str">
        <f t="shared" si="18"/>
        <v>Material Reliability_OEE_Improvement_Percentage</v>
      </c>
      <c r="S168" s="264">
        <f t="shared" si="21"/>
        <v>0</v>
      </c>
      <c r="T168" t="str">
        <f t="shared" si="19"/>
        <v>(HOT) K201 Kettle</v>
      </c>
      <c r="U168" t="s">
        <v>876</v>
      </c>
    </row>
    <row r="169" spans="15:21">
      <c r="O169" s="95" t="s">
        <v>723</v>
      </c>
      <c r="P169" s="95" t="s">
        <v>689</v>
      </c>
      <c r="Q169" s="153" t="s">
        <v>4</v>
      </c>
      <c r="R169" s="96" t="str">
        <f t="shared" si="18"/>
        <v>Logistics/Supply Reliability_OEE_Improvement_Percentage</v>
      </c>
      <c r="S169" s="264">
        <f t="shared" si="21"/>
        <v>4.0358823351540479E-4</v>
      </c>
      <c r="T169" t="str">
        <f t="shared" si="19"/>
        <v>(HOT) K201 Kettle</v>
      </c>
      <c r="U169" t="s">
        <v>876</v>
      </c>
    </row>
    <row r="170" spans="15:21">
      <c r="O170" s="95" t="s">
        <v>723</v>
      </c>
      <c r="P170" s="95" t="s">
        <v>689</v>
      </c>
      <c r="Q170" s="153" t="s">
        <v>5</v>
      </c>
      <c r="R170" s="96" t="str">
        <f t="shared" si="18"/>
        <v>External Reliability_OEE_Improvement_Percentage</v>
      </c>
      <c r="S170" s="264">
        <f t="shared" si="21"/>
        <v>3.5281419147761492E-4</v>
      </c>
      <c r="T170" t="str">
        <f t="shared" si="19"/>
        <v>(HOT) K201 Kettle</v>
      </c>
      <c r="U170" t="s">
        <v>876</v>
      </c>
    </row>
    <row r="171" spans="15:21">
      <c r="O171" s="95" t="s">
        <v>723</v>
      </c>
      <c r="P171" s="95" t="s">
        <v>689</v>
      </c>
      <c r="Q171" s="153" t="s">
        <v>11</v>
      </c>
      <c r="R171" s="96" t="str">
        <f t="shared" si="18"/>
        <v>Other Reliability_OEE_Improvement_Percentage</v>
      </c>
      <c r="S171" s="264">
        <f t="shared" si="21"/>
        <v>-3.0060637258750578E-3</v>
      </c>
      <c r="T171" t="str">
        <f t="shared" si="19"/>
        <v>(HOT) K201 Kettle</v>
      </c>
      <c r="U171" t="s">
        <v>876</v>
      </c>
    </row>
    <row r="172" spans="15:21">
      <c r="O172" s="95" t="s">
        <v>723</v>
      </c>
      <c r="P172" s="95" t="s">
        <v>689</v>
      </c>
      <c r="Q172" s="153" t="s">
        <v>15</v>
      </c>
      <c r="R172" s="96" t="str">
        <f t="shared" si="18"/>
        <v>Unspecified_OEE_Improvement_Percentage</v>
      </c>
      <c r="S172" s="264">
        <f t="shared" si="21"/>
        <v>0</v>
      </c>
      <c r="T172" t="str">
        <f t="shared" si="19"/>
        <v>(HOT) K201 Kettle</v>
      </c>
      <c r="U172" t="s">
        <v>876</v>
      </c>
    </row>
    <row r="173" spans="15:21">
      <c r="O173" s="95" t="s">
        <v>723</v>
      </c>
      <c r="P173" s="95" t="s">
        <v>689</v>
      </c>
      <c r="Q173" s="153" t="s">
        <v>16</v>
      </c>
      <c r="R173" s="96" t="str">
        <f t="shared" si="18"/>
        <v>Undetected_OEE_Improvement_Percentage</v>
      </c>
      <c r="S173" s="264">
        <f t="shared" si="21"/>
        <v>3.9235307696705232E-5</v>
      </c>
      <c r="T173" t="str">
        <f t="shared" si="19"/>
        <v>(HOT) K201 Kettle</v>
      </c>
      <c r="U173" t="s">
        <v>876</v>
      </c>
    </row>
    <row r="174" spans="15:21">
      <c r="O174" s="95" t="s">
        <v>723</v>
      </c>
      <c r="P174" s="95" t="s">
        <v>689</v>
      </c>
      <c r="Q174" s="153" t="s">
        <v>664</v>
      </c>
      <c r="R174" s="96" t="str">
        <f t="shared" si="18"/>
        <v>Exception hours_OEE_Improvement_Percentage</v>
      </c>
      <c r="S174" s="264">
        <f t="shared" si="21"/>
        <v>-2.9465015100124895E-2</v>
      </c>
      <c r="T174" t="str">
        <f t="shared" si="19"/>
        <v>(HOT) K201 Kettle</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(HOT) K201 Kettle</v>
      </c>
      <c r="U175" t="s">
        <v>876</v>
      </c>
    </row>
    <row r="176" spans="15:21">
      <c r="O176" s="95" t="s">
        <v>723</v>
      </c>
      <c r="P176" s="95" t="s">
        <v>689</v>
      </c>
      <c r="Q176" s="153" t="s">
        <v>705</v>
      </c>
      <c r="R176" s="96" t="str">
        <f t="shared" si="18"/>
        <v>Improvement target not assigned_OEE_Improvement_Percentage</v>
      </c>
      <c r="S176" s="264">
        <f t="shared" si="21"/>
        <v>3.9635213959478999E-2</v>
      </c>
      <c r="T176" t="str">
        <f t="shared" si="19"/>
        <v>(HOT) K201 Kettle</v>
      </c>
      <c r="U176" t="s">
        <v>876</v>
      </c>
    </row>
    <row r="177" spans="15:21">
      <c r="O177" s="95" t="s">
        <v>723</v>
      </c>
      <c r="P177" s="95" t="s">
        <v>689</v>
      </c>
      <c r="Q177" s="153" t="s">
        <v>397</v>
      </c>
      <c r="R177" s="96" t="str">
        <f t="shared" si="18"/>
        <v>Sum OEE losses (exluding Planned Maintenance)_OEE_Improvement_Percentage</v>
      </c>
      <c r="S177" s="264">
        <f t="shared" si="21"/>
        <v>1.1239521948764764E-2</v>
      </c>
      <c r="T177" t="str">
        <f t="shared" si="19"/>
        <v>(HOT) K201 Kettle</v>
      </c>
      <c r="U177" t="s">
        <v>876</v>
      </c>
    </row>
    <row r="178" spans="15:21">
      <c r="O178" s="95" t="s">
        <v>723</v>
      </c>
      <c r="P178" s="95" t="s">
        <v>689</v>
      </c>
      <c r="Q178" s="153" t="s">
        <v>398</v>
      </c>
      <c r="R178" s="96" t="str">
        <f t="shared" si="18"/>
        <v>Sum OEE losses (Including Planned Maintenance)_OEE_Improvement_Percentage</v>
      </c>
      <c r="S178" s="264">
        <f t="shared" si="21"/>
        <v>-1.3785460328830608E-2</v>
      </c>
      <c r="T178" t="str">
        <f t="shared" si="19"/>
        <v>(HOT) K201 Kettle</v>
      </c>
      <c r="U178" t="s">
        <v>876</v>
      </c>
    </row>
    <row r="179" spans="15:21">
      <c r="O179" s="95" t="s">
        <v>723</v>
      </c>
      <c r="P179" s="95" t="s">
        <v>689</v>
      </c>
      <c r="Q179" s="153" t="s">
        <v>712</v>
      </c>
      <c r="R179" s="96" t="str">
        <f t="shared" si="18"/>
        <v>Production hours on MAC (h) / OEE (%)_OEE_Improvement_Percentage</v>
      </c>
      <c r="S179" s="264">
        <f t="shared" si="21"/>
        <v>2.5825354583996336E-2</v>
      </c>
      <c r="T179" t="str">
        <f t="shared" si="19"/>
        <v>(HOT) K201 Kettle</v>
      </c>
      <c r="U179" t="s">
        <v>876</v>
      </c>
    </row>
    <row r="180" spans="15:21">
      <c r="O180" s="95" t="s">
        <v>724</v>
      </c>
      <c r="P180" s="95" t="s">
        <v>687</v>
      </c>
      <c r="Q180" s="142" t="s">
        <v>13</v>
      </c>
      <c r="R180" s="96" t="str">
        <f t="shared" si="18"/>
        <v>MAC - Calender hours_Loss_Hours_NJ</v>
      </c>
      <c r="S180" s="265">
        <f t="shared" ref="S180:S200" si="22">I25</f>
        <v>8760</v>
      </c>
      <c r="T180" t="str">
        <f t="shared" si="19"/>
        <v>(HOT) K201 Kettle</v>
      </c>
      <c r="U180" t="s">
        <v>876</v>
      </c>
    </row>
    <row r="181" spans="15:21">
      <c r="O181" s="95" t="s">
        <v>724</v>
      </c>
      <c r="P181" s="95" t="s">
        <v>687</v>
      </c>
      <c r="Q181" s="152" t="s">
        <v>7</v>
      </c>
      <c r="R181" s="96" t="str">
        <f t="shared" si="18"/>
        <v>Commercial Reliability_Loss_Hours_NJ</v>
      </c>
      <c r="S181" s="265">
        <f t="shared" si="22"/>
        <v>2267.861011522742</v>
      </c>
      <c r="T181" t="str">
        <f t="shared" si="19"/>
        <v>(HOT) K201 Kettle</v>
      </c>
      <c r="U181" t="s">
        <v>876</v>
      </c>
    </row>
    <row r="182" spans="15:21">
      <c r="O182" s="95" t="s">
        <v>724</v>
      </c>
      <c r="P182" s="95" t="s">
        <v>687</v>
      </c>
      <c r="Q182" s="152" t="s">
        <v>704</v>
      </c>
      <c r="R182" s="96" t="str">
        <f t="shared" si="18"/>
        <v>Exception hours (loss excluded from OEE)_Loss_Hours_NJ</v>
      </c>
      <c r="S182" s="265">
        <f t="shared" si="22"/>
        <v>0</v>
      </c>
      <c r="T182" t="str">
        <f t="shared" si="19"/>
        <v>(HOT) K201 Kettle</v>
      </c>
      <c r="U182" t="s">
        <v>876</v>
      </c>
    </row>
    <row r="183" spans="15:21">
      <c r="O183" s="95" t="s">
        <v>724</v>
      </c>
      <c r="P183" s="95" t="s">
        <v>687</v>
      </c>
      <c r="Q183" s="152" t="s">
        <v>14</v>
      </c>
      <c r="R183" s="96" t="str">
        <f t="shared" si="18"/>
        <v>Available OEE - Scheduled hours_Loss_Hours_NJ</v>
      </c>
      <c r="S183" s="265">
        <f t="shared" si="22"/>
        <v>6492.138988477258</v>
      </c>
      <c r="T183" t="str">
        <f t="shared" si="19"/>
        <v>(HOT) K201 Kettle</v>
      </c>
      <c r="U183" t="s">
        <v>876</v>
      </c>
    </row>
    <row r="184" spans="15:21">
      <c r="O184" s="95" t="s">
        <v>724</v>
      </c>
      <c r="P184" s="95" t="s">
        <v>687</v>
      </c>
      <c r="Q184" s="152" t="s">
        <v>17</v>
      </c>
      <c r="R184" s="96" t="str">
        <f t="shared" si="18"/>
        <v>Equipment Reliability - Planned TA &amp; Planned SD_Loss_Hours_NJ</v>
      </c>
      <c r="S184" s="265">
        <f t="shared" si="22"/>
        <v>168</v>
      </c>
      <c r="T184" t="str">
        <f t="shared" si="19"/>
        <v>(HOT) K201 Kettle</v>
      </c>
      <c r="U184" t="s">
        <v>876</v>
      </c>
    </row>
    <row r="185" spans="15:21">
      <c r="O185" s="95" t="s">
        <v>724</v>
      </c>
      <c r="P185" s="95" t="s">
        <v>687</v>
      </c>
      <c r="Q185" s="152" t="s">
        <v>665</v>
      </c>
      <c r="R185" s="96" t="str">
        <f t="shared" si="18"/>
        <v>Available running OEE - Running hours_Loss_Hours_NJ</v>
      </c>
      <c r="S185" s="265">
        <f t="shared" si="22"/>
        <v>6324.138988477258</v>
      </c>
      <c r="T185" t="str">
        <f t="shared" si="19"/>
        <v>(HOT) K201 Kettle</v>
      </c>
      <c r="U185" t="s">
        <v>876</v>
      </c>
    </row>
    <row r="186" spans="15:21">
      <c r="O186" s="95" t="s">
        <v>724</v>
      </c>
      <c r="P186" s="95" t="s">
        <v>687</v>
      </c>
      <c r="Q186" s="152" t="s">
        <v>18</v>
      </c>
      <c r="R186" s="96" t="str">
        <f t="shared" si="18"/>
        <v>Equipment Reliability - Equipment Failure_Loss_Hours_NJ</v>
      </c>
      <c r="S186" s="265">
        <f t="shared" si="22"/>
        <v>358.32999974981448</v>
      </c>
      <c r="T186" t="str">
        <f t="shared" si="19"/>
        <v>(HOT) K201 Kettle</v>
      </c>
      <c r="U186" t="s">
        <v>876</v>
      </c>
    </row>
    <row r="187" spans="15:21">
      <c r="O187" s="95" t="s">
        <v>724</v>
      </c>
      <c r="P187" s="95" t="s">
        <v>687</v>
      </c>
      <c r="Q187" s="152" t="s">
        <v>1</v>
      </c>
      <c r="R187" s="96" t="str">
        <f t="shared" si="18"/>
        <v>Operational Reliability_Loss_Hours_NJ</v>
      </c>
      <c r="S187" s="265">
        <f t="shared" si="22"/>
        <v>1160.09110912193</v>
      </c>
      <c r="T187" t="str">
        <f t="shared" si="19"/>
        <v>(HOT) K201 Kettle</v>
      </c>
      <c r="U187" t="s">
        <v>876</v>
      </c>
    </row>
    <row r="188" spans="15:21">
      <c r="O188" s="95" t="s">
        <v>724</v>
      </c>
      <c r="P188" s="95" t="s">
        <v>687</v>
      </c>
      <c r="Q188" s="152" t="s">
        <v>2</v>
      </c>
      <c r="R188" s="96" t="str">
        <f t="shared" si="18"/>
        <v>Technology Reliability_Loss_Hours_NJ</v>
      </c>
      <c r="S188" s="265">
        <f t="shared" si="22"/>
        <v>238.16805523330601</v>
      </c>
      <c r="T188" t="str">
        <f t="shared" si="19"/>
        <v>(HOT) K201 Kettle</v>
      </c>
      <c r="U188" t="s">
        <v>876</v>
      </c>
    </row>
    <row r="189" spans="15:21">
      <c r="O189" s="95" t="s">
        <v>724</v>
      </c>
      <c r="P189" s="95" t="s">
        <v>687</v>
      </c>
      <c r="Q189" s="152" t="s">
        <v>3</v>
      </c>
      <c r="R189" s="96" t="str">
        <f t="shared" si="18"/>
        <v>Material Reliability_Loss_Hours_NJ</v>
      </c>
      <c r="S189" s="265">
        <f t="shared" si="22"/>
        <v>0</v>
      </c>
      <c r="T189" t="str">
        <f t="shared" si="19"/>
        <v>(HOT) K201 Kettle</v>
      </c>
      <c r="U189" t="s">
        <v>876</v>
      </c>
    </row>
    <row r="190" spans="15:21">
      <c r="O190" s="95" t="s">
        <v>724</v>
      </c>
      <c r="P190" s="95" t="s">
        <v>687</v>
      </c>
      <c r="Q190" s="152" t="s">
        <v>4</v>
      </c>
      <c r="R190" s="96" t="str">
        <f t="shared" si="18"/>
        <v>Logistics/Supply Reliability_Loss_Hours_NJ</v>
      </c>
      <c r="S190" s="265">
        <f t="shared" si="22"/>
        <v>216.15638876627801</v>
      </c>
      <c r="T190" t="str">
        <f t="shared" si="19"/>
        <v>(HOT) K201 Kettle</v>
      </c>
      <c r="U190" t="s">
        <v>876</v>
      </c>
    </row>
    <row r="191" spans="15:21">
      <c r="O191" s="95" t="s">
        <v>724</v>
      </c>
      <c r="P191" s="95" t="s">
        <v>687</v>
      </c>
      <c r="Q191" s="152" t="s">
        <v>5</v>
      </c>
      <c r="R191" s="96" t="str">
        <f t="shared" si="18"/>
        <v>External Reliability_Loss_Hours_NJ</v>
      </c>
      <c r="S191" s="265">
        <f t="shared" si="22"/>
        <v>188.96249990000001</v>
      </c>
      <c r="T191" t="str">
        <f t="shared" si="19"/>
        <v>(HOT) K201 Kettle</v>
      </c>
      <c r="U191" t="s">
        <v>876</v>
      </c>
    </row>
    <row r="192" spans="15:21">
      <c r="O192" s="95" t="s">
        <v>724</v>
      </c>
      <c r="P192" s="95" t="s">
        <v>687</v>
      </c>
      <c r="Q192" s="152" t="s">
        <v>11</v>
      </c>
      <c r="R192" s="96" t="str">
        <f t="shared" si="18"/>
        <v>Other Reliability_Loss_Hours_NJ</v>
      </c>
      <c r="S192" s="265">
        <f t="shared" si="22"/>
        <v>-1610.0069958101401</v>
      </c>
      <c r="T192" t="str">
        <f t="shared" si="19"/>
        <v>(HOT) K201 Kettle</v>
      </c>
      <c r="U192" t="s">
        <v>876</v>
      </c>
    </row>
    <row r="193" spans="15:21">
      <c r="O193" s="95" t="s">
        <v>724</v>
      </c>
      <c r="P193" s="95" t="s">
        <v>687</v>
      </c>
      <c r="Q193" s="152" t="s">
        <v>15</v>
      </c>
      <c r="R193" s="96" t="str">
        <f t="shared" si="18"/>
        <v>Unspecified_Loss_Hours_NJ</v>
      </c>
      <c r="S193" s="265">
        <f t="shared" si="22"/>
        <v>0</v>
      </c>
      <c r="T193" t="str">
        <f t="shared" si="19"/>
        <v>(HOT) K201 Kettle</v>
      </c>
      <c r="U193" t="s">
        <v>876</v>
      </c>
    </row>
    <row r="194" spans="15:21">
      <c r="O194" s="95" t="s">
        <v>724</v>
      </c>
      <c r="P194" s="95" t="s">
        <v>687</v>
      </c>
      <c r="Q194" s="152" t="s">
        <v>16</v>
      </c>
      <c r="R194" s="96" t="str">
        <f t="shared" ref="R194:R248" si="23">IF(ISBLANK(P194),Q194,_xlfn.CONCAT(Q194,"_",P194))</f>
        <v>Undetected_Loss_Hours_NJ</v>
      </c>
      <c r="S194" s="265">
        <f t="shared" si="22"/>
        <v>21.013899116882701</v>
      </c>
      <c r="T194" t="str">
        <f t="shared" si="19"/>
        <v>(HOT) K201 Kettle</v>
      </c>
      <c r="U194" t="s">
        <v>876</v>
      </c>
    </row>
    <row r="195" spans="15:21">
      <c r="O195" s="95" t="s">
        <v>724</v>
      </c>
      <c r="P195" s="95" t="s">
        <v>687</v>
      </c>
      <c r="Q195" s="152" t="s">
        <v>664</v>
      </c>
      <c r="R195" s="96" t="str">
        <f t="shared" si="23"/>
        <v>Exception hours_Loss_Hours_NJ</v>
      </c>
      <c r="S195" s="265">
        <f t="shared" si="22"/>
        <v>0</v>
      </c>
      <c r="T195" t="str">
        <f t="shared" ref="T195:T248" si="24">$B$2</f>
        <v>(HOT) K201 Kettle</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K201 Kettle</v>
      </c>
      <c r="U196" t="s">
        <v>876</v>
      </c>
    </row>
    <row r="197" spans="15:21">
      <c r="O197" s="95" t="s">
        <v>724</v>
      </c>
      <c r="P197" s="95" t="s">
        <v>687</v>
      </c>
      <c r="Q197" s="152" t="s">
        <v>705</v>
      </c>
      <c r="R197" s="96" t="str">
        <f t="shared" si="23"/>
        <v>Improvement target not assigned_Loss_Hours_NJ</v>
      </c>
      <c r="S197" s="265">
        <f t="shared" si="22"/>
        <v>257.31731786297166</v>
      </c>
      <c r="T197" t="str">
        <f t="shared" si="24"/>
        <v>(HOT) K201 Kettle</v>
      </c>
      <c r="U197" t="s">
        <v>876</v>
      </c>
    </row>
    <row r="198" spans="15:21">
      <c r="O198" s="95" t="s">
        <v>724</v>
      </c>
      <c r="P198" s="95" t="s">
        <v>687</v>
      </c>
      <c r="Q198" s="152" t="s">
        <v>397</v>
      </c>
      <c r="R198" s="96" t="str">
        <f t="shared" si="23"/>
        <v>Sum OEE losses (exluding Planned Maintenance)_Loss_Hours_NJ</v>
      </c>
      <c r="S198" s="265">
        <f t="shared" si="22"/>
        <v>315.39763821509951</v>
      </c>
      <c r="T198" t="str">
        <f t="shared" si="24"/>
        <v>(HOT) K201 Kettle</v>
      </c>
      <c r="U198" t="s">
        <v>876</v>
      </c>
    </row>
    <row r="199" spans="15:21">
      <c r="O199" s="95" t="s">
        <v>724</v>
      </c>
      <c r="P199" s="95" t="s">
        <v>687</v>
      </c>
      <c r="Q199" s="152" t="s">
        <v>398</v>
      </c>
      <c r="R199" s="96" t="str">
        <f t="shared" si="23"/>
        <v>Sum OEE losses (Including Planned Maintenance)_Loss_Hours_NJ</v>
      </c>
      <c r="S199" s="265">
        <f t="shared" si="22"/>
        <v>483.39763821509951</v>
      </c>
      <c r="T199" t="str">
        <f t="shared" si="24"/>
        <v>(HOT) K201 Kettle</v>
      </c>
      <c r="U199" t="s">
        <v>876</v>
      </c>
    </row>
    <row r="200" spans="15:21">
      <c r="O200" s="95" t="s">
        <v>724</v>
      </c>
      <c r="P200" s="95" t="s">
        <v>687</v>
      </c>
      <c r="Q200" s="152" t="s">
        <v>712</v>
      </c>
      <c r="R200" s="96" t="str">
        <f t="shared" si="23"/>
        <v>Production hours on MAC (h) / OEE (%)_Loss_Hours_NJ</v>
      </c>
      <c r="S200" s="265">
        <f t="shared" si="22"/>
        <v>6008.7413502621584</v>
      </c>
      <c r="T200" t="str">
        <f t="shared" si="24"/>
        <v>(HOT) K201 Kettle</v>
      </c>
      <c r="U200" t="s">
        <v>876</v>
      </c>
    </row>
    <row r="201" spans="15:21">
      <c r="O201" s="95" t="s">
        <v>1183</v>
      </c>
      <c r="P201" s="95" t="s">
        <v>681</v>
      </c>
      <c r="Q201" s="143" t="s">
        <v>13</v>
      </c>
      <c r="R201" s="96" t="str">
        <f t="shared" si="23"/>
        <v>MAC - Calender hours_Loss Percentage_NJ</v>
      </c>
      <c r="S201" s="268">
        <f>J25</f>
        <v>0</v>
      </c>
      <c r="T201" t="str">
        <f t="shared" si="24"/>
        <v>(HOT) K201 Kettle</v>
      </c>
      <c r="U201" t="s">
        <v>876</v>
      </c>
    </row>
    <row r="202" spans="15:21">
      <c r="O202" s="95" t="s">
        <v>1183</v>
      </c>
      <c r="P202" s="95" t="s">
        <v>681</v>
      </c>
      <c r="Q202" s="153" t="s">
        <v>7</v>
      </c>
      <c r="R202" s="96" t="str">
        <f t="shared" si="23"/>
        <v>Commercial Reliability_Loss Percentage_NJ</v>
      </c>
      <c r="S202" s="268">
        <f t="shared" ref="S202:S221" si="25">J26</f>
        <v>0</v>
      </c>
      <c r="T202" t="str">
        <f t="shared" si="24"/>
        <v>(HOT) K201 Kettle</v>
      </c>
      <c r="U202" t="s">
        <v>876</v>
      </c>
    </row>
    <row r="203" spans="15:21">
      <c r="O203" s="95" t="s">
        <v>1183</v>
      </c>
      <c r="P203" s="95" t="s">
        <v>681</v>
      </c>
      <c r="Q203" s="153" t="s">
        <v>704</v>
      </c>
      <c r="R203" s="96" t="str">
        <f t="shared" si="23"/>
        <v>Exception hours (loss excluded from OEE)_Loss Percentage_NJ</v>
      </c>
      <c r="S203" s="268">
        <f t="shared" si="25"/>
        <v>0</v>
      </c>
      <c r="T203" t="str">
        <f t="shared" si="24"/>
        <v>(HOT) K201 Kettle</v>
      </c>
      <c r="U203" t="s">
        <v>876</v>
      </c>
    </row>
    <row r="204" spans="15:21">
      <c r="O204" s="95" t="s">
        <v>1183</v>
      </c>
      <c r="P204" s="95" t="s">
        <v>681</v>
      </c>
      <c r="Q204" s="153" t="s">
        <v>14</v>
      </c>
      <c r="R204" s="96" t="str">
        <f t="shared" si="23"/>
        <v>Available OEE - Scheduled hours_Loss Percentage_NJ</v>
      </c>
      <c r="S204" s="268">
        <f t="shared" si="25"/>
        <v>1</v>
      </c>
      <c r="T204" t="str">
        <f t="shared" si="24"/>
        <v>(HOT) K201 Kettle</v>
      </c>
      <c r="U204" t="s">
        <v>876</v>
      </c>
    </row>
    <row r="205" spans="15:21">
      <c r="O205" s="95" t="s">
        <v>1183</v>
      </c>
      <c r="P205" s="95" t="s">
        <v>681</v>
      </c>
      <c r="Q205" s="153" t="s">
        <v>17</v>
      </c>
      <c r="R205" s="96" t="str">
        <f t="shared" si="23"/>
        <v>Equipment Reliability - Planned TA &amp; Planned SD_Loss Percentage_NJ</v>
      </c>
      <c r="S205" s="268">
        <f t="shared" si="25"/>
        <v>2.5877449681557831E-2</v>
      </c>
      <c r="T205" t="str">
        <f t="shared" si="24"/>
        <v>(HOT) K201 Kettle</v>
      </c>
      <c r="U205" t="s">
        <v>876</v>
      </c>
    </row>
    <row r="206" spans="15:21">
      <c r="O206" s="95" t="s">
        <v>1183</v>
      </c>
      <c r="P206" s="95" t="s">
        <v>681</v>
      </c>
      <c r="Q206" s="153" t="s">
        <v>665</v>
      </c>
      <c r="R206" s="96" t="str">
        <f t="shared" si="23"/>
        <v>Available running OEE - Running hours_Loss Percentage_NJ</v>
      </c>
      <c r="S206" s="268">
        <f t="shared" si="25"/>
        <v>0</v>
      </c>
      <c r="T206" t="str">
        <f t="shared" si="24"/>
        <v>(HOT) K201 Kettle</v>
      </c>
      <c r="U206" t="s">
        <v>876</v>
      </c>
    </row>
    <row r="207" spans="15:21">
      <c r="O207" s="95" t="s">
        <v>1183</v>
      </c>
      <c r="P207" s="95" t="s">
        <v>681</v>
      </c>
      <c r="Q207" s="153" t="s">
        <v>18</v>
      </c>
      <c r="R207" s="96" t="str">
        <f t="shared" si="23"/>
        <v>Equipment Reliability - Equipment Failure_Loss Percentage_NJ</v>
      </c>
      <c r="S207" s="268">
        <f t="shared" si="25"/>
        <v>5.5194443678086041E-2</v>
      </c>
      <c r="T207" t="str">
        <f t="shared" si="24"/>
        <v>(HOT) K201 Kettle</v>
      </c>
      <c r="U207" t="s">
        <v>876</v>
      </c>
    </row>
    <row r="208" spans="15:21">
      <c r="O208" s="95" t="s">
        <v>1183</v>
      </c>
      <c r="P208" s="95" t="s">
        <v>681</v>
      </c>
      <c r="Q208" s="153" t="s">
        <v>1</v>
      </c>
      <c r="R208" s="96" t="str">
        <f t="shared" si="23"/>
        <v>Operational Reliability_Loss Percentage_NJ</v>
      </c>
      <c r="S208" s="268">
        <f t="shared" si="25"/>
        <v>0.17869166251384141</v>
      </c>
      <c r="T208" t="str">
        <f t="shared" si="24"/>
        <v>(HOT) K201 Kettle</v>
      </c>
      <c r="U208" t="s">
        <v>876</v>
      </c>
    </row>
    <row r="209" spans="15:21">
      <c r="O209" s="95" t="s">
        <v>1183</v>
      </c>
      <c r="P209" s="95" t="s">
        <v>681</v>
      </c>
      <c r="Q209" s="153" t="s">
        <v>2</v>
      </c>
      <c r="R209" s="96" t="str">
        <f t="shared" si="23"/>
        <v>Technology Reliability_Loss Percentage_NJ</v>
      </c>
      <c r="S209" s="268">
        <f t="shared" si="25"/>
        <v>3.6685606339609302E-2</v>
      </c>
      <c r="T209" t="str">
        <f t="shared" si="24"/>
        <v>(HOT) K201 Kettle</v>
      </c>
      <c r="U209" t="s">
        <v>876</v>
      </c>
    </row>
    <row r="210" spans="15:21">
      <c r="O210" s="95" t="s">
        <v>1183</v>
      </c>
      <c r="P210" s="95" t="s">
        <v>681</v>
      </c>
      <c r="Q210" s="153" t="s">
        <v>3</v>
      </c>
      <c r="R210" s="96" t="str">
        <f t="shared" si="23"/>
        <v>Material Reliability_Loss Percentage_NJ</v>
      </c>
      <c r="S210" s="268">
        <f t="shared" si="25"/>
        <v>0</v>
      </c>
      <c r="T210" t="str">
        <f t="shared" si="24"/>
        <v>(HOT) K201 Kettle</v>
      </c>
      <c r="U210" t="s">
        <v>876</v>
      </c>
    </row>
    <row r="211" spans="15:21">
      <c r="O211" s="95" t="s">
        <v>1183</v>
      </c>
      <c r="P211" s="95" t="s">
        <v>681</v>
      </c>
      <c r="Q211" s="153" t="s">
        <v>4</v>
      </c>
      <c r="R211" s="96" t="str">
        <f t="shared" si="23"/>
        <v>Logistics/Supply Reliability_Loss Percentage_NJ</v>
      </c>
      <c r="S211" s="268">
        <f t="shared" si="25"/>
        <v>3.3295095676467927E-2</v>
      </c>
      <c r="T211" t="str">
        <f t="shared" si="24"/>
        <v>(HOT) K201 Kettle</v>
      </c>
      <c r="U211" t="s">
        <v>876</v>
      </c>
    </row>
    <row r="212" spans="15:21">
      <c r="O212" s="95" t="s">
        <v>1183</v>
      </c>
      <c r="P212" s="95" t="s">
        <v>681</v>
      </c>
      <c r="Q212" s="153" t="s">
        <v>5</v>
      </c>
      <c r="R212" s="96" t="str">
        <f t="shared" si="23"/>
        <v>External Reliability_Loss Percentage_NJ</v>
      </c>
      <c r="S212" s="268">
        <f t="shared" si="25"/>
        <v>2.9106354659902543E-2</v>
      </c>
      <c r="T212" t="str">
        <f t="shared" si="24"/>
        <v>(HOT) K201 Kettle</v>
      </c>
      <c r="U212" t="s">
        <v>876</v>
      </c>
    </row>
    <row r="213" spans="15:21">
      <c r="O213" s="95" t="s">
        <v>1183</v>
      </c>
      <c r="P213" s="95" t="s">
        <v>681</v>
      </c>
      <c r="Q213" s="153" t="s">
        <v>11</v>
      </c>
      <c r="R213" s="96" t="str">
        <f t="shared" si="23"/>
        <v>Other Reliability_Loss Percentage_NJ</v>
      </c>
      <c r="S213" s="268">
        <f t="shared" si="25"/>
        <v>-0.24799330369662495</v>
      </c>
      <c r="T213" t="str">
        <f t="shared" si="24"/>
        <v>(HOT) K201 Kettle</v>
      </c>
      <c r="U213" t="s">
        <v>876</v>
      </c>
    </row>
    <row r="214" spans="15:21">
      <c r="O214" s="95" t="s">
        <v>1183</v>
      </c>
      <c r="P214" s="95" t="s">
        <v>681</v>
      </c>
      <c r="Q214" s="153" t="s">
        <v>15</v>
      </c>
      <c r="R214" s="96" t="str">
        <f t="shared" si="23"/>
        <v>Unspecified_Loss Percentage_NJ</v>
      </c>
      <c r="S214" s="268">
        <f t="shared" si="25"/>
        <v>0</v>
      </c>
      <c r="T214" t="str">
        <f t="shared" si="24"/>
        <v>(HOT) K201 Kettle</v>
      </c>
      <c r="U214" t="s">
        <v>876</v>
      </c>
    </row>
    <row r="215" spans="15:21">
      <c r="O215" s="95" t="s">
        <v>1183</v>
      </c>
      <c r="P215" s="95" t="s">
        <v>681</v>
      </c>
      <c r="Q215" s="153" t="s">
        <v>16</v>
      </c>
      <c r="R215" s="96" t="str">
        <f t="shared" si="23"/>
        <v>Undetected_Loss Percentage_NJ</v>
      </c>
      <c r="S215" s="268">
        <f t="shared" si="25"/>
        <v>3.2368221250622894E-3</v>
      </c>
      <c r="T215" t="str">
        <f t="shared" si="24"/>
        <v>(HOT) K201 Kettle</v>
      </c>
      <c r="U215" t="s">
        <v>876</v>
      </c>
    </row>
    <row r="216" spans="15:21">
      <c r="O216" s="95" t="s">
        <v>1183</v>
      </c>
      <c r="P216" s="95" t="s">
        <v>681</v>
      </c>
      <c r="Q216" s="153" t="s">
        <v>664</v>
      </c>
      <c r="R216" s="96" t="str">
        <f t="shared" si="23"/>
        <v>Exception hours_Loss Percentage_NJ</v>
      </c>
      <c r="S216" s="268">
        <f t="shared" si="25"/>
        <v>0</v>
      </c>
      <c r="T216" t="str">
        <f t="shared" si="24"/>
        <v>(HOT) K201 Kettle</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K201 Kettle</v>
      </c>
      <c r="U217" t="s">
        <v>876</v>
      </c>
    </row>
    <row r="218" spans="15:21">
      <c r="O218" s="95" t="s">
        <v>1183</v>
      </c>
      <c r="P218" s="95" t="s">
        <v>681</v>
      </c>
      <c r="Q218" s="153" t="s">
        <v>705</v>
      </c>
      <c r="R218" s="96" t="str">
        <f t="shared" si="23"/>
        <v>Improvement target not assigned_Loss Percentage_NJ</v>
      </c>
      <c r="S218" s="268">
        <f t="shared" si="25"/>
        <v>-3.9635213959478999E-2</v>
      </c>
      <c r="T218" t="str">
        <f t="shared" si="24"/>
        <v>(HOT) K201 Kettle</v>
      </c>
      <c r="U218" t="s">
        <v>876</v>
      </c>
    </row>
    <row r="219" spans="15:21">
      <c r="O219" s="95" t="s">
        <v>1183</v>
      </c>
      <c r="P219" s="95" t="s">
        <v>681</v>
      </c>
      <c r="Q219" s="153" t="s">
        <v>397</v>
      </c>
      <c r="R219" s="96" t="str">
        <f t="shared" si="23"/>
        <v>Sum OEE losses (exluding Planned Maintenance)_Loss Percentage_NJ</v>
      </c>
      <c r="S219" s="268">
        <f t="shared" si="25"/>
        <v>4.858146733686558E-2</v>
      </c>
      <c r="T219" t="str">
        <f t="shared" si="24"/>
        <v>(HOT) K201 Kettle</v>
      </c>
      <c r="U219" t="s">
        <v>876</v>
      </c>
    </row>
    <row r="220" spans="15:21">
      <c r="O220" s="95" t="s">
        <v>1183</v>
      </c>
      <c r="P220" s="95" t="s">
        <v>681</v>
      </c>
      <c r="Q220" s="153" t="s">
        <v>398</v>
      </c>
      <c r="R220" s="96" t="str">
        <f t="shared" si="23"/>
        <v>Sum OEE losses (Including Planned Maintenance)_Loss Percentage_NJ</v>
      </c>
      <c r="S220" s="268">
        <f t="shared" si="25"/>
        <v>7.4458917018423443E-2</v>
      </c>
      <c r="T220" t="str">
        <f t="shared" si="24"/>
        <v>(HOT) K201 Kettle</v>
      </c>
      <c r="U220" t="s">
        <v>876</v>
      </c>
    </row>
    <row r="221" spans="15:21">
      <c r="O221" s="95" t="s">
        <v>1183</v>
      </c>
      <c r="P221" s="95" t="s">
        <v>681</v>
      </c>
      <c r="Q221" s="153" t="s">
        <v>712</v>
      </c>
      <c r="R221" s="96" t="str">
        <f t="shared" si="23"/>
        <v>Production hours on MAC (h) / OEE (%)_Loss Percentage_NJ</v>
      </c>
      <c r="S221" s="268">
        <f t="shared" si="25"/>
        <v>0.92554108298157656</v>
      </c>
      <c r="T221" t="str">
        <f t="shared" si="24"/>
        <v>(HOT) K201 Kettle</v>
      </c>
      <c r="U221" t="s">
        <v>876</v>
      </c>
    </row>
    <row r="222" spans="15:21">
      <c r="O222" s="95" t="s">
        <v>676</v>
      </c>
      <c r="P222" s="95" t="s">
        <v>994</v>
      </c>
      <c r="Q222" s="144" t="s">
        <v>374</v>
      </c>
      <c r="R222" s="96" t="str">
        <f t="shared" si="23"/>
        <v>Planned Turnaround (h)_NJ_Maintenance_plan</v>
      </c>
      <c r="S222" s="1" t="str">
        <f>D18</f>
        <v/>
      </c>
      <c r="T222" t="str">
        <f t="shared" si="24"/>
        <v>(HOT) K201 Kettle</v>
      </c>
      <c r="U222" t="s">
        <v>877</v>
      </c>
    </row>
    <row r="223" spans="15:21">
      <c r="O223" s="95" t="s">
        <v>676</v>
      </c>
      <c r="P223" s="95" t="s">
        <v>994</v>
      </c>
      <c r="Q223" s="144" t="s">
        <v>375</v>
      </c>
      <c r="R223" s="96" t="str">
        <f t="shared" si="23"/>
        <v>Planned Shutdown (h)_NJ_Maintenance_plan</v>
      </c>
      <c r="S223" s="1" t="str">
        <f t="shared" ref="S223:S224" si="26">D19</f>
        <v/>
      </c>
      <c r="T223" t="str">
        <f t="shared" si="24"/>
        <v>(HOT) K201 Kettle</v>
      </c>
      <c r="U223" t="s">
        <v>877</v>
      </c>
    </row>
    <row r="224" spans="15:21">
      <c r="O224" s="95" t="s">
        <v>676</v>
      </c>
      <c r="P224" s="95" t="s">
        <v>994</v>
      </c>
      <c r="Q224" s="144" t="s">
        <v>716</v>
      </c>
      <c r="R224" s="96" t="str">
        <f t="shared" si="23"/>
        <v>Total Planned Maintenance (h)_NJ_Maintenance_plan</v>
      </c>
      <c r="S224" s="1" t="str">
        <f t="shared" si="26"/>
        <v/>
      </c>
      <c r="T224" t="str">
        <f t="shared" si="24"/>
        <v>(HOT) K201 Kettle</v>
      </c>
      <c r="U224" t="s">
        <v>877</v>
      </c>
    </row>
    <row r="225" spans="15:21">
      <c r="O225" s="95" t="s">
        <v>674</v>
      </c>
      <c r="Q225" s="144" t="s">
        <v>1184</v>
      </c>
      <c r="R225" s="96" t="str">
        <f t="shared" si="23"/>
        <v>OEE_Running OEE Override</v>
      </c>
      <c r="S225" s="1" t="str">
        <f>B60</f>
        <v>Automatic</v>
      </c>
      <c r="T225" t="str">
        <f t="shared" si="24"/>
        <v>(HOT) K201 Kettle</v>
      </c>
      <c r="U225" t="s">
        <v>875</v>
      </c>
    </row>
    <row r="226" spans="15:21">
      <c r="O226" s="95" t="s">
        <v>678</v>
      </c>
      <c r="Q226" s="144" t="s">
        <v>1182</v>
      </c>
      <c r="R226" s="96" t="str">
        <f t="shared" si="23"/>
        <v>Unit of Loss Decrease entry</v>
      </c>
      <c r="S226" s="370" t="str">
        <f>F24</f>
        <v>hours decrease</v>
      </c>
      <c r="T226" t="str">
        <f t="shared" si="24"/>
        <v>(HOT) K201 Kettle</v>
      </c>
      <c r="U226" t="s">
        <v>875</v>
      </c>
    </row>
    <row r="227" spans="15:21">
      <c r="O227" s="95" t="s">
        <v>678</v>
      </c>
      <c r="P227" s="95" t="s">
        <v>1185</v>
      </c>
      <c r="Q227" s="142" t="s">
        <v>13</v>
      </c>
      <c r="R227" s="96" t="str">
        <f t="shared" si="23"/>
        <v>MAC - Calender hours_OEE_Improvement_Entry</v>
      </c>
      <c r="S227" s="371">
        <f>F25</f>
        <v>0</v>
      </c>
      <c r="T227" t="str">
        <f t="shared" si="24"/>
        <v>(HOT) K201 Kettle</v>
      </c>
      <c r="U227" t="s">
        <v>876</v>
      </c>
    </row>
    <row r="228" spans="15:21">
      <c r="O228" s="95" t="s">
        <v>678</v>
      </c>
      <c r="P228" s="95" t="s">
        <v>1185</v>
      </c>
      <c r="Q228" s="152" t="s">
        <v>7</v>
      </c>
      <c r="R228" s="96" t="str">
        <f t="shared" si="23"/>
        <v>Commercial Reliability_OEE_Improvement_Entry</v>
      </c>
      <c r="S228" s="371">
        <f t="shared" ref="S228:S247" si="27">F26</f>
        <v>0</v>
      </c>
      <c r="T228" t="str">
        <f t="shared" si="24"/>
        <v>(HOT) K201 Kettle</v>
      </c>
      <c r="U228" t="s">
        <v>876</v>
      </c>
    </row>
    <row r="229" spans="15:21">
      <c r="O229" s="95" t="s">
        <v>678</v>
      </c>
      <c r="P229" s="95" t="s">
        <v>1185</v>
      </c>
      <c r="Q229" s="152" t="s">
        <v>704</v>
      </c>
      <c r="R229" s="96" t="str">
        <f t="shared" si="23"/>
        <v>Exception hours (loss excluded from OEE)_OEE_Improvement_Entry</v>
      </c>
      <c r="S229" s="371">
        <f t="shared" si="27"/>
        <v>189</v>
      </c>
      <c r="T229" t="str">
        <f t="shared" si="24"/>
        <v>(HOT) K201 Kettle</v>
      </c>
      <c r="U229" t="s">
        <v>876</v>
      </c>
    </row>
    <row r="230" spans="15:21">
      <c r="O230" s="95" t="s">
        <v>678</v>
      </c>
      <c r="P230" s="95" t="s">
        <v>1185</v>
      </c>
      <c r="Q230" s="152" t="s">
        <v>14</v>
      </c>
      <c r="R230" s="96" t="str">
        <f t="shared" si="23"/>
        <v>Available OEE - Scheduled hours_OEE_Improvement_Entry</v>
      </c>
      <c r="S230" s="371">
        <f t="shared" si="27"/>
        <v>0</v>
      </c>
      <c r="T230" t="str">
        <f t="shared" si="24"/>
        <v>(HOT) K201 Kettle</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K201 Kettle</v>
      </c>
      <c r="U231" t="s">
        <v>876</v>
      </c>
    </row>
    <row r="232" spans="15:21">
      <c r="O232" s="95" t="s">
        <v>678</v>
      </c>
      <c r="P232" s="95" t="s">
        <v>1185</v>
      </c>
      <c r="Q232" s="152" t="s">
        <v>665</v>
      </c>
      <c r="R232" s="96" t="str">
        <f t="shared" si="23"/>
        <v>Available running OEE - Running hours_OEE_Improvement_Entry</v>
      </c>
      <c r="S232" s="371">
        <f t="shared" si="27"/>
        <v>0</v>
      </c>
      <c r="T232" t="str">
        <f t="shared" si="24"/>
        <v>(HOT) K201 Kettle</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K201 Kettle</v>
      </c>
      <c r="U233" t="s">
        <v>876</v>
      </c>
    </row>
    <row r="234" spans="15:21">
      <c r="O234" s="95" t="s">
        <v>678</v>
      </c>
      <c r="P234" s="95" t="s">
        <v>1185</v>
      </c>
      <c r="Q234" s="152" t="s">
        <v>1</v>
      </c>
      <c r="R234" s="96" t="str">
        <f t="shared" si="23"/>
        <v>Operational Reliability_OEE_Improvement_Entry</v>
      </c>
      <c r="S234" s="371">
        <f t="shared" si="27"/>
        <v>0</v>
      </c>
      <c r="T234" t="str">
        <f t="shared" si="24"/>
        <v>(HOT) K201 Kettle</v>
      </c>
      <c r="U234" t="s">
        <v>876</v>
      </c>
    </row>
    <row r="235" spans="15:21">
      <c r="O235" s="95" t="s">
        <v>678</v>
      </c>
      <c r="P235" s="95" t="s">
        <v>1185</v>
      </c>
      <c r="Q235" s="152" t="s">
        <v>2</v>
      </c>
      <c r="R235" s="96" t="str">
        <f t="shared" si="23"/>
        <v>Technology Reliability_OEE_Improvement_Entry</v>
      </c>
      <c r="S235" s="371">
        <f t="shared" si="27"/>
        <v>0</v>
      </c>
      <c r="T235" t="str">
        <f t="shared" si="24"/>
        <v>(HOT) K201 Kettle</v>
      </c>
      <c r="U235" t="s">
        <v>876</v>
      </c>
    </row>
    <row r="236" spans="15:21">
      <c r="O236" s="95" t="s">
        <v>678</v>
      </c>
      <c r="P236" s="95" t="s">
        <v>1185</v>
      </c>
      <c r="Q236" s="152" t="s">
        <v>3</v>
      </c>
      <c r="R236" s="96" t="str">
        <f t="shared" si="23"/>
        <v>Material Reliability_OEE_Improvement_Entry</v>
      </c>
      <c r="S236" s="371">
        <f t="shared" si="27"/>
        <v>0</v>
      </c>
      <c r="T236" t="str">
        <f t="shared" si="24"/>
        <v>(HOT) K201 Kettle</v>
      </c>
      <c r="U236" t="s">
        <v>876</v>
      </c>
    </row>
    <row r="237" spans="15:21">
      <c r="O237" s="95" t="s">
        <v>678</v>
      </c>
      <c r="P237" s="95" t="s">
        <v>1185</v>
      </c>
      <c r="Q237" s="152" t="s">
        <v>4</v>
      </c>
      <c r="R237" s="96" t="str">
        <f t="shared" si="23"/>
        <v>Logistics/Supply Reliability_OEE_Improvement_Entry</v>
      </c>
      <c r="S237" s="371">
        <f t="shared" si="27"/>
        <v>0</v>
      </c>
      <c r="T237" t="str">
        <f t="shared" si="24"/>
        <v>(HOT) K201 Kettle</v>
      </c>
      <c r="U237" t="s">
        <v>876</v>
      </c>
    </row>
    <row r="238" spans="15:21">
      <c r="O238" s="95" t="s">
        <v>678</v>
      </c>
      <c r="P238" s="95" t="s">
        <v>1185</v>
      </c>
      <c r="Q238" s="152" t="s">
        <v>5</v>
      </c>
      <c r="R238" s="96" t="str">
        <f t="shared" si="23"/>
        <v>External Reliability_OEE_Improvement_Entry</v>
      </c>
      <c r="S238" s="371">
        <f t="shared" si="27"/>
        <v>0</v>
      </c>
      <c r="T238" t="str">
        <f t="shared" si="24"/>
        <v>(HOT) K201 Kettle</v>
      </c>
      <c r="U238" t="s">
        <v>876</v>
      </c>
    </row>
    <row r="239" spans="15:21">
      <c r="O239" s="95" t="s">
        <v>678</v>
      </c>
      <c r="P239" s="95" t="s">
        <v>1185</v>
      </c>
      <c r="Q239" s="152" t="s">
        <v>11</v>
      </c>
      <c r="R239" s="96" t="str">
        <f t="shared" si="23"/>
        <v>Other Reliability_OEE_Improvement_Entry</v>
      </c>
      <c r="S239" s="371">
        <f t="shared" si="27"/>
        <v>0</v>
      </c>
      <c r="T239" t="str">
        <f t="shared" si="24"/>
        <v>(HOT) K201 Kettle</v>
      </c>
      <c r="U239" t="s">
        <v>876</v>
      </c>
    </row>
    <row r="240" spans="15:21">
      <c r="O240" s="95" t="s">
        <v>678</v>
      </c>
      <c r="P240" s="95" t="s">
        <v>1185</v>
      </c>
      <c r="Q240" s="152" t="s">
        <v>15</v>
      </c>
      <c r="R240" s="96" t="str">
        <f t="shared" si="23"/>
        <v>Unspecified_OEE_Improvement_Entry</v>
      </c>
      <c r="S240" s="371">
        <f t="shared" si="27"/>
        <v>0</v>
      </c>
      <c r="T240" t="str">
        <f t="shared" si="24"/>
        <v>(HOT) K201 Kettle</v>
      </c>
      <c r="U240" t="s">
        <v>876</v>
      </c>
    </row>
    <row r="241" spans="15:21">
      <c r="O241" s="95" t="s">
        <v>678</v>
      </c>
      <c r="P241" s="95" t="s">
        <v>1185</v>
      </c>
      <c r="Q241" s="152" t="s">
        <v>16</v>
      </c>
      <c r="R241" s="96" t="str">
        <f t="shared" si="23"/>
        <v>Undetected_OEE_Improvement_Entry</v>
      </c>
      <c r="S241" s="371">
        <f t="shared" si="27"/>
        <v>0</v>
      </c>
      <c r="T241" t="str">
        <f t="shared" si="24"/>
        <v>(HOT) K201 Kettle</v>
      </c>
      <c r="U241" t="s">
        <v>876</v>
      </c>
    </row>
    <row r="242" spans="15:21">
      <c r="O242" s="95" t="s">
        <v>678</v>
      </c>
      <c r="P242" s="95" t="s">
        <v>1185</v>
      </c>
      <c r="Q242" s="152" t="s">
        <v>664</v>
      </c>
      <c r="R242" s="96" t="str">
        <f t="shared" si="23"/>
        <v>Exception hours_OEE_Improvement_Entry</v>
      </c>
      <c r="S242" s="371">
        <f t="shared" si="27"/>
        <v>-189</v>
      </c>
      <c r="T242" t="str">
        <f t="shared" si="24"/>
        <v>(HOT) K201 Kettle</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K201 Kettle</v>
      </c>
      <c r="U243" t="s">
        <v>876</v>
      </c>
    </row>
    <row r="244" spans="15:21">
      <c r="O244" s="95" t="s">
        <v>678</v>
      </c>
      <c r="P244" s="95" t="s">
        <v>1185</v>
      </c>
      <c r="Q244" s="152" t="s">
        <v>705</v>
      </c>
      <c r="R244" s="96" t="str">
        <f t="shared" si="23"/>
        <v>Improvement target not assigned_OEE_Improvement_Entry</v>
      </c>
      <c r="S244" s="371">
        <f t="shared" si="27"/>
        <v>0</v>
      </c>
      <c r="T244" t="str">
        <f t="shared" si="24"/>
        <v>(HOT) K201 Kettle</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K201 Kettle</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K201 Kettle</v>
      </c>
      <c r="U246" t="s">
        <v>876</v>
      </c>
    </row>
    <row r="247" spans="15:21">
      <c r="O247" s="95" t="s">
        <v>678</v>
      </c>
      <c r="P247" s="95" t="s">
        <v>1185</v>
      </c>
      <c r="Q247" s="152" t="s">
        <v>712</v>
      </c>
      <c r="R247" s="96" t="str">
        <f t="shared" si="23"/>
        <v>Production hours on MAC (h) / OEE (%)_OEE_Improvement_Entry</v>
      </c>
      <c r="S247" s="371">
        <f t="shared" si="27"/>
        <v>0</v>
      </c>
      <c r="T247" t="str">
        <f t="shared" si="24"/>
        <v>(HOT) K201 Kettle</v>
      </c>
      <c r="U247" t="s">
        <v>876</v>
      </c>
    </row>
    <row r="248" spans="15:21">
      <c r="O248" s="95" t="s">
        <v>1192</v>
      </c>
      <c r="Q248" s="144" t="s">
        <v>1191</v>
      </c>
      <c r="R248" s="96" t="str">
        <f t="shared" si="23"/>
        <v>Sheet used for target setting</v>
      </c>
      <c r="S248" s="1" t="s">
        <v>1190</v>
      </c>
      <c r="T248" t="str">
        <f t="shared" si="24"/>
        <v>(HOT) K201 Kettle</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362" priority="25">
      <formula>$B$22=""</formula>
    </cfRule>
  </conditionalFormatting>
  <conditionalFormatting sqref="B6">
    <cfRule type="cellIs" dxfId="361" priority="21" operator="lessThan">
      <formula>-0.1</formula>
    </cfRule>
    <cfRule type="cellIs" dxfId="360" priority="22" operator="greaterThan">
      <formula>0.1</formula>
    </cfRule>
    <cfRule type="cellIs" dxfId="359" priority="23" operator="between">
      <formula>-0.1</formula>
      <formula>0.1</formula>
    </cfRule>
  </conditionalFormatting>
  <conditionalFormatting sqref="C21">
    <cfRule type="cellIs" dxfId="358" priority="18" operator="lessThan">
      <formula>-0.1</formula>
    </cfRule>
    <cfRule type="cellIs" dxfId="357" priority="19" operator="greaterThan">
      <formula>0.1</formula>
    </cfRule>
    <cfRule type="cellIs" dxfId="356" priority="20" operator="between">
      <formula>-0.1</formula>
      <formula>0.1</formula>
    </cfRule>
  </conditionalFormatting>
  <conditionalFormatting sqref="A9:B9">
    <cfRule type="expression" dxfId="355" priority="16">
      <formula>$B$8="Exclude"</formula>
    </cfRule>
    <cfRule type="expression" dxfId="354" priority="17">
      <formula>$B$8="Include"</formula>
    </cfRule>
  </conditionalFormatting>
  <conditionalFormatting sqref="C9">
    <cfRule type="expression" dxfId="353" priority="26">
      <formula>$B$8="Exclude"</formula>
    </cfRule>
    <cfRule type="expression" dxfId="352" priority="27">
      <formula>$B$9="No"</formula>
    </cfRule>
    <cfRule type="expression" dxfId="351" priority="28">
      <formula xml:space="preserve"> $B$9="Yes"</formula>
    </cfRule>
  </conditionalFormatting>
  <conditionalFormatting sqref="C15">
    <cfRule type="expression" dxfId="350" priority="29">
      <formula>$B$15=$D$15</formula>
    </cfRule>
    <cfRule type="expression" dxfId="349" priority="30">
      <formula>$B$1&lt;&gt;$D$15</formula>
    </cfRule>
  </conditionalFormatting>
  <conditionalFormatting sqref="F50:F51">
    <cfRule type="cellIs" dxfId="348" priority="14" operator="greaterThan">
      <formula>1</formula>
    </cfRule>
    <cfRule type="cellIs" dxfId="347" priority="15" operator="lessThanOrEqual">
      <formula>1</formula>
    </cfRule>
  </conditionalFormatting>
  <conditionalFormatting sqref="D17">
    <cfRule type="expression" dxfId="346" priority="12">
      <formula>$D$20=""</formula>
    </cfRule>
    <cfRule type="expression" dxfId="345" priority="13">
      <formula>$D$20&gt;0</formula>
    </cfRule>
  </conditionalFormatting>
  <conditionalFormatting sqref="D19">
    <cfRule type="expression" dxfId="344" priority="10">
      <formula>$D$20=""</formula>
    </cfRule>
    <cfRule type="expression" dxfId="343" priority="11">
      <formula>$D$20&gt;0</formula>
    </cfRule>
  </conditionalFormatting>
  <conditionalFormatting sqref="C10">
    <cfRule type="expression" dxfId="342" priority="5">
      <formula>$B$8="Exclude"</formula>
    </cfRule>
    <cfRule type="expression" dxfId="341" priority="6">
      <formula>$B$9="No"</formula>
    </cfRule>
    <cfRule type="expression" dxfId="340" priority="7">
      <formula>$B$10="No Gain"</formula>
    </cfRule>
    <cfRule type="expression" dxfId="339" priority="8">
      <formula xml:space="preserve"> $B$9="Yes"</formula>
    </cfRule>
    <cfRule type="expression" dxfId="338" priority="9">
      <formula>$B$10="Gain"</formula>
    </cfRule>
  </conditionalFormatting>
  <conditionalFormatting sqref="H31:H39">
    <cfRule type="expression" dxfId="337" priority="33">
      <formula>$F$24="% decrease"</formula>
    </cfRule>
  </conditionalFormatting>
  <conditionalFormatting sqref="H32 H34 H36 H38">
    <cfRule type="expression" dxfId="336" priority="34">
      <formula>$F$24="hours decrease"</formula>
    </cfRule>
  </conditionalFormatting>
  <conditionalFormatting sqref="G31:G39">
    <cfRule type="expression" dxfId="335" priority="35">
      <formula>$F$24="hours decrease"</formula>
    </cfRule>
  </conditionalFormatting>
  <conditionalFormatting sqref="G32 G34 G36 G38">
    <cfRule type="expression" dxfId="334" priority="36">
      <formula>$F$24="% decrease"</formula>
    </cfRule>
  </conditionalFormatting>
  <conditionalFormatting sqref="G40">
    <cfRule type="expression" dxfId="333" priority="4">
      <formula>$F$24="% decrease"</formula>
    </cfRule>
  </conditionalFormatting>
  <conditionalFormatting sqref="F31:F40">
    <cfRule type="expression" dxfId="332" priority="31">
      <formula>$F$24="% decrease"</formula>
    </cfRule>
    <cfRule type="expression" dxfId="331" priority="32">
      <formula>$F$24="hours decrease"</formula>
    </cfRule>
  </conditionalFormatting>
  <conditionalFormatting sqref="C4:C5">
    <cfRule type="expression" dxfId="330" priority="1">
      <formula>$C$5=0</formula>
    </cfRule>
    <cfRule type="expression" dxfId="329" priority="2">
      <formula>$C$5=""</formula>
    </cfRule>
    <cfRule type="expression" dxfId="328" priority="3">
      <formula>$C$5&gt;0</formula>
    </cfRule>
  </conditionalFormatting>
  <dataValidations count="6">
    <dataValidation type="list" allowBlank="1" showInputMessage="1" showErrorMessage="1" sqref="B60" xr:uid="{BF8B0C6D-DBCC-4290-B9CD-1BFEFC700509}">
      <formula1>"Automatic, Force OEE, Force Running OEE"</formula1>
    </dataValidation>
    <dataValidation type="list" allowBlank="1" showInputMessage="1" showErrorMessage="1" sqref="F24" xr:uid="{350217D7-9AB0-4A71-9AAA-48EDCC4F87CA}">
      <formula1>"% decrease,hours decrease"</formula1>
    </dataValidation>
    <dataValidation type="list" allowBlank="1" showInputMessage="1" showErrorMessage="1" sqref="B8" xr:uid="{E80911B8-374B-46DF-B31C-DF94EB19E60F}">
      <formula1>"Include,Exclude"</formula1>
    </dataValidation>
    <dataValidation type="list" allowBlank="1" showInputMessage="1" showErrorMessage="1" sqref="B9" xr:uid="{9FB43BB1-2463-492A-83F3-A0D6DC9AD3DD}">
      <formula1>"Yes,No"</formula1>
    </dataValidation>
    <dataValidation type="list" allowBlank="1" showInputMessage="1" showErrorMessage="1" sqref="B11" xr:uid="{A59EEBC2-56FD-4D6B-8A00-20BF0845D649}">
      <formula1>"Playbook Matrix value, Manual OEE target"</formula1>
    </dataValidation>
    <dataValidation type="list" allowBlank="1" showInputMessage="1" showErrorMessage="1" sqref="B2" xr:uid="{A3142438-9A42-4DA9-A7C1-2CE8FA23A6EB}">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25954"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25955"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25956"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AA2B1-B19D-420A-AFDF-DE9D1F04CAFE}">
  <sheetPr codeName="Sheet5">
    <tabColor rgb="FF00B0F0"/>
  </sheetPr>
  <dimension ref="A1:AI248"/>
  <sheetViews>
    <sheetView showGridLines="0" zoomScaleNormal="100" workbookViewId="0">
      <selection activeCell="A45" sqref="A45"/>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201</v>
      </c>
      <c r="E2" s="314" t="s">
        <v>303</v>
      </c>
      <c r="G2" s="37" t="s">
        <v>670</v>
      </c>
      <c r="H2" s="40">
        <v>5.3</v>
      </c>
      <c r="O2" s="94" t="s">
        <v>679</v>
      </c>
      <c r="P2" s="94"/>
      <c r="Q2" s="145" t="s">
        <v>670</v>
      </c>
      <c r="R2" s="96" t="str">
        <f t="shared" ref="R2:R65" si="0">IF(ISBLANK(P2),Q2,_xlfn.CONCAT(Q2,"_",P2))</f>
        <v>Template Version:</v>
      </c>
      <c r="S2" s="261">
        <f>H2</f>
        <v>5.3</v>
      </c>
      <c r="T2" t="str">
        <f>$B$2</f>
        <v>(HOT) K600 Kettle</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K600 Kettle</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K600 Kettle</v>
      </c>
      <c r="U4" t="s">
        <v>874</v>
      </c>
    </row>
    <row r="5" spans="1:21">
      <c r="A5" s="34" t="s">
        <v>733</v>
      </c>
      <c r="B5" s="42">
        <v>0</v>
      </c>
      <c r="C5">
        <f>IFERROR(INDEX(Table1[Loss Hours Exclusion],MATCH('(HOT) K600 Kettle'!B2,Table1[Unit3],0)),"")</f>
        <v>0</v>
      </c>
      <c r="E5" s="317" t="s">
        <v>637</v>
      </c>
      <c r="F5" s="64"/>
      <c r="G5" s="360"/>
      <c r="H5" s="361"/>
      <c r="O5" s="95" t="s">
        <v>674</v>
      </c>
      <c r="P5" s="95"/>
      <c r="Q5" s="146" t="s">
        <v>604</v>
      </c>
      <c r="R5" s="96" t="str">
        <f t="shared" si="0"/>
        <v>Unit Name</v>
      </c>
      <c r="S5" s="264" t="str">
        <f>B2</f>
        <v>(HOT) K600 Kettle</v>
      </c>
      <c r="T5" t="str">
        <f t="shared" si="1"/>
        <v>(HOT) K600 Kettle</v>
      </c>
      <c r="U5" t="s">
        <v>875</v>
      </c>
    </row>
    <row r="6" spans="1:21">
      <c r="A6" s="34" t="s">
        <v>735</v>
      </c>
      <c r="B6" s="219">
        <v>0</v>
      </c>
      <c r="C6" s="270">
        <f>SUMIF(B31:B39,"&gt;0",B31:B39)</f>
        <v>3078.7956850799546</v>
      </c>
      <c r="D6" s="270">
        <f>SUMIF(B31:B39,"&lt;0",B31:B39)</f>
        <v>-1394.9006754843101</v>
      </c>
      <c r="E6" s="318" t="s">
        <v>1032</v>
      </c>
      <c r="F6" s="64"/>
      <c r="G6" s="360"/>
      <c r="H6" s="361"/>
      <c r="O6" s="95" t="s">
        <v>674</v>
      </c>
      <c r="P6" s="95"/>
      <c r="Q6" s="146" t="s">
        <v>139</v>
      </c>
      <c r="R6" s="96" t="str">
        <f t="shared" si="0"/>
        <v>Unit Type</v>
      </c>
      <c r="S6" s="264" t="str">
        <f t="shared" ref="S6" si="2">B3</f>
        <v>Batch</v>
      </c>
      <c r="T6" t="str">
        <f t="shared" si="1"/>
        <v>(HOT) K600 Kettle</v>
      </c>
      <c r="U6" t="s">
        <v>875</v>
      </c>
    </row>
    <row r="7" spans="1:21">
      <c r="A7" t="s">
        <v>702</v>
      </c>
      <c r="B7" s="6">
        <f>IFERROR(B48/D48-1,0)</f>
        <v>-1.2282148747564836E-2</v>
      </c>
      <c r="C7" s="121">
        <f>IF(B8="Include",B45*B7/(1+B7),0)</f>
        <v>-68.31494820348793</v>
      </c>
      <c r="D7" s="59">
        <f>IFERROR(C6/(C6-D6),0)</f>
        <v>0.68819951935486912</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0</v>
      </c>
      <c r="T7" t="str">
        <f t="shared" si="1"/>
        <v>(HOT) K600 Kettle</v>
      </c>
      <c r="U7" t="s">
        <v>875</v>
      </c>
    </row>
    <row r="8" spans="1:21">
      <c r="A8" t="s">
        <v>710</v>
      </c>
      <c r="B8" s="119" t="s">
        <v>1293</v>
      </c>
      <c r="E8" s="320" t="s">
        <v>1034</v>
      </c>
      <c r="F8" s="64"/>
      <c r="G8" s="64"/>
      <c r="H8" s="64"/>
      <c r="O8" s="95" t="s">
        <v>674</v>
      </c>
      <c r="P8" s="95"/>
      <c r="Q8" s="223" t="s">
        <v>735</v>
      </c>
      <c r="R8" s="96" t="str">
        <f t="shared" si="0"/>
        <v>Estimated production volume growth vs Last Year</v>
      </c>
      <c r="S8" s="264">
        <f t="shared" ref="S8:S17" si="3">B6</f>
        <v>0</v>
      </c>
      <c r="T8" t="str">
        <f t="shared" si="1"/>
        <v>(HOT) K600 Kettle</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-1.2282148747564836E-2</v>
      </c>
      <c r="T9" t="str">
        <f t="shared" si="1"/>
        <v>(HOT) K600 Kettle</v>
      </c>
      <c r="U9" t="s">
        <v>875</v>
      </c>
    </row>
    <row r="10" spans="1:21">
      <c r="A10" s="141" t="s">
        <v>718</v>
      </c>
      <c r="B10" s="59" t="str">
        <f>IF(MIN(C31:C39)&lt;-1%,"Gain","No Gain")</f>
        <v>Gain</v>
      </c>
      <c r="C10" s="226" t="s">
        <v>1186</v>
      </c>
      <c r="E10" s="3"/>
      <c r="F10" s="363"/>
      <c r="G10" s="363"/>
      <c r="H10" s="363"/>
      <c r="O10" s="95" t="s">
        <v>674</v>
      </c>
      <c r="P10" s="95"/>
      <c r="Q10" s="222" t="s">
        <v>710</v>
      </c>
      <c r="R10" s="96" t="str">
        <f t="shared" si="0"/>
        <v>Include/exclude MAC change impact on target setting</v>
      </c>
      <c r="S10" s="264" t="str">
        <f t="shared" si="3"/>
        <v>Include</v>
      </c>
      <c r="T10" t="str">
        <f t="shared" si="1"/>
        <v>(HOT) K600 Kettle</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K600 Kettle</v>
      </c>
      <c r="U11" t="s">
        <v>875</v>
      </c>
    </row>
    <row r="12" spans="1:21">
      <c r="A12" s="30" t="s">
        <v>1016</v>
      </c>
      <c r="B12" s="5">
        <f>IF($B$3="Batch",INDEX(BatchMatrix[Target Improvement],MATCH(E48,BatchMatrix[Min OEE],1)),IF($B$3="Continuous",INDEX(ContinousMatrix[Target Improvement],MATCH(E48,ContinousMatrix[Min OEE],1)),""))</f>
        <v>0.02</v>
      </c>
      <c r="C12" s="3"/>
      <c r="E12" s="387"/>
      <c r="F12" s="388"/>
      <c r="G12" s="388"/>
      <c r="H12" s="388"/>
      <c r="I12" s="389"/>
      <c r="O12" s="95" t="s">
        <v>674</v>
      </c>
      <c r="P12" s="95"/>
      <c r="Q12" s="222" t="s">
        <v>718</v>
      </c>
      <c r="R12" s="96" t="str">
        <f t="shared" si="0"/>
        <v>Running OEE LY &gt;100%</v>
      </c>
      <c r="S12" s="264" t="str">
        <f t="shared" si="3"/>
        <v>Gain</v>
      </c>
      <c r="T12" t="str">
        <f t="shared" si="1"/>
        <v>(HOT) K600 Kettle</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K600 Kettle</v>
      </c>
      <c r="U13" t="s">
        <v>875</v>
      </c>
    </row>
    <row r="14" spans="1:21">
      <c r="A14" s="33" t="s">
        <v>309</v>
      </c>
      <c r="B14" s="36">
        <f>IF(B11="Manual OEE target",B13,IF(B11="Playbook Matrix value",B12,""))</f>
        <v>0.02</v>
      </c>
      <c r="C14" s="3"/>
      <c r="E14" s="390"/>
      <c r="F14" s="391"/>
      <c r="G14" s="391"/>
      <c r="H14" s="391"/>
      <c r="I14" s="392"/>
      <c r="O14" s="95" t="s">
        <v>674</v>
      </c>
      <c r="P14" s="95"/>
      <c r="Q14" s="224" t="s">
        <v>1292</v>
      </c>
      <c r="R14" s="96" t="str">
        <f t="shared" si="0"/>
        <v>Target OEE Improvement (playbook)</v>
      </c>
      <c r="S14" s="264">
        <f t="shared" si="3"/>
        <v>0.02</v>
      </c>
      <c r="T14" t="str">
        <f t="shared" si="1"/>
        <v>(HOT) K600 Kettle</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K600 Kettle</v>
      </c>
      <c r="U15" t="s">
        <v>875</v>
      </c>
    </row>
    <row r="16" spans="1:21">
      <c r="E16" s="390"/>
      <c r="F16" s="391"/>
      <c r="G16" s="391"/>
      <c r="H16" s="391"/>
      <c r="I16" s="392"/>
      <c r="O16" s="95" t="s">
        <v>674</v>
      </c>
      <c r="P16" s="95"/>
      <c r="Q16" s="225" t="s">
        <v>309</v>
      </c>
      <c r="R16" s="96" t="str">
        <f t="shared" si="0"/>
        <v>Selected OEE target (used in table below)</v>
      </c>
      <c r="S16" s="264">
        <f t="shared" si="3"/>
        <v>0.02</v>
      </c>
      <c r="T16" t="str">
        <f t="shared" si="1"/>
        <v>(HOT) K600 Kettle</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K600 Kettle</v>
      </c>
      <c r="U17" t="s">
        <v>875</v>
      </c>
    </row>
    <row r="18" spans="1:21">
      <c r="A18" s="44" t="s">
        <v>374</v>
      </c>
      <c r="B18" s="7">
        <f>INDEX(TableOEE[Sum of Planned Turnaround Hours],MATCH($B$2,TableOEE[Unit],0))</f>
        <v>0</v>
      </c>
      <c r="C18" s="42">
        <v>0</v>
      </c>
      <c r="D18" s="1" t="str">
        <f>IFERROR(INDEX(Table13[Distributed Turnaround (hrs) matching?],MATCH('(HOT) K600 Kettle'!B2,Table13[ 2025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K600 Kettle</v>
      </c>
      <c r="U18" t="s">
        <v>877</v>
      </c>
    </row>
    <row r="19" spans="1:21">
      <c r="A19" s="45" t="s">
        <v>375</v>
      </c>
      <c r="B19" s="46">
        <f>INDEX(TableOEE[Sum of Planned Shutdown Hours],MATCH($B$2,TableOEE[Unit],0))</f>
        <v>95.7605555165417</v>
      </c>
      <c r="C19" s="42">
        <v>0</v>
      </c>
      <c r="D19" s="259" t="str">
        <f>IFERROR(INDEX(Table12[Distributed Shutdown (hrs) matching?],MATCH('(HOT) K600 Kettle'!B2,Table12[ 2025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95.7605555165417</v>
      </c>
      <c r="T19" t="str">
        <f t="shared" si="1"/>
        <v>(HOT) K600 Kettle</v>
      </c>
      <c r="U19" t="s">
        <v>877</v>
      </c>
    </row>
    <row r="20" spans="1:21">
      <c r="A20" s="30" t="s">
        <v>716</v>
      </c>
      <c r="B20" s="7">
        <f>INDEX(TableOEE[Sum of Planned Maintenance Hours],MATCH($B$2,TableOEE[Unit],0))</f>
        <v>95.7605555165417</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95.7605555165417</v>
      </c>
      <c r="T20" t="str">
        <f t="shared" si="1"/>
        <v>(HOT) K600 Kettle</v>
      </c>
      <c r="U20" t="s">
        <v>877</v>
      </c>
    </row>
    <row r="21" spans="1:21" ht="13.5" thickBot="1">
      <c r="A21" s="43" t="s">
        <v>715</v>
      </c>
      <c r="B21" s="7">
        <f>C20-B20</f>
        <v>-95.7605555165417</v>
      </c>
      <c r="C21" s="5">
        <f>IF(B20&gt;0,C20/B20-1,0)</f>
        <v>-1</v>
      </c>
      <c r="D21" s="269"/>
      <c r="E21" s="393"/>
      <c r="F21" s="394"/>
      <c r="G21" s="394"/>
      <c r="H21" s="394"/>
      <c r="I21" s="395"/>
      <c r="O21" s="95" t="s">
        <v>674</v>
      </c>
      <c r="P21" s="95" t="s">
        <v>879</v>
      </c>
      <c r="Q21" s="147" t="s">
        <v>715</v>
      </c>
      <c r="R21" s="96" t="str">
        <f t="shared" si="0"/>
        <v>Planned Maintenance Increase_Actual_LJ</v>
      </c>
      <c r="S21" s="265">
        <f>B21</f>
        <v>-95.7605555165417</v>
      </c>
      <c r="T21" t="str">
        <f t="shared" si="1"/>
        <v>(HOT) K600 Kettle</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K600 Kettle</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K600 Kettle</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(HOT) K600 Kettle</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(HOT) K600 Kettle</v>
      </c>
      <c r="U25" t="s">
        <v>877</v>
      </c>
    </row>
    <row r="26" spans="1:21">
      <c r="A26" s="126" t="s">
        <v>7</v>
      </c>
      <c r="B26" s="161">
        <f>INDEX(TableOEE[Sum of ComercialLossInHours],MATCH($B$2,TableOEE[Unit],0))</f>
        <v>1510.52611084668</v>
      </c>
      <c r="C26" s="85"/>
      <c r="D26" s="161">
        <f>B26</f>
        <v>1510.52611084668</v>
      </c>
      <c r="E26" s="159"/>
      <c r="F26" s="282"/>
      <c r="G26" s="294">
        <f>IFERROR(-(I26-D26),"")</f>
        <v>-271.46859929636071</v>
      </c>
      <c r="H26" s="295"/>
      <c r="I26" s="161">
        <f>I25-I28</f>
        <v>1781.9947101430407</v>
      </c>
      <c r="J26" s="206"/>
      <c r="O26" s="95" t="s">
        <v>675</v>
      </c>
      <c r="P26" s="95" t="s">
        <v>685</v>
      </c>
      <c r="Q26" s="147" t="s">
        <v>715</v>
      </c>
      <c r="R26" s="96" t="str">
        <f t="shared" si="0"/>
        <v>Planned Maintenance Increase_Target_NJ</v>
      </c>
      <c r="S26" s="264">
        <f>C21</f>
        <v>-1</v>
      </c>
      <c r="T26" t="str">
        <f t="shared" si="1"/>
        <v>(HOT) K600 Kettle</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f>E12</f>
        <v>0</v>
      </c>
      <c r="T27" t="str">
        <f t="shared" si="1"/>
        <v>(HOT) K600 Kettle</v>
      </c>
      <c r="U27" t="s">
        <v>706</v>
      </c>
    </row>
    <row r="28" spans="1:21">
      <c r="A28" s="128" t="s">
        <v>14</v>
      </c>
      <c r="B28" s="162">
        <f>INDEX(TableOEE[Sum of AvailableInHours],MATCH($B$2,TableOEE[Unit],0))+B40</f>
        <v>7273.4738891533098</v>
      </c>
      <c r="C28" s="110">
        <f>IFERROR($B28/$B$28,)</f>
        <v>1</v>
      </c>
      <c r="D28" s="162">
        <f>D25-D26-D27</f>
        <v>7273.4738891533198</v>
      </c>
      <c r="E28" s="163">
        <v>1</v>
      </c>
      <c r="F28" s="284"/>
      <c r="G28" s="297">
        <f>D28-I28</f>
        <v>295.46859929636048</v>
      </c>
      <c r="H28" s="298"/>
      <c r="I28" s="162">
        <f>IFERROR(IF(B15="OEE",I45/F48,I30+I29),0)</f>
        <v>6978.0052898569593</v>
      </c>
      <c r="J28" s="207">
        <v>1</v>
      </c>
      <c r="O28" s="95" t="s">
        <v>674</v>
      </c>
      <c r="P28" s="95" t="s">
        <v>686</v>
      </c>
      <c r="Q28" s="150" t="s">
        <v>10</v>
      </c>
      <c r="R28" s="96" t="str">
        <f t="shared" si="0"/>
        <v>OEE_Actuals_LJ</v>
      </c>
      <c r="S28" s="264">
        <f>B48</f>
        <v>0.75532247833237964</v>
      </c>
      <c r="T28" t="str">
        <f t="shared" si="1"/>
        <v>(HOT) K600 Kettle</v>
      </c>
      <c r="U28" t="s">
        <v>141</v>
      </c>
    </row>
    <row r="29" spans="1:21" ht="13.5" thickBot="1">
      <c r="A29" s="129" t="s">
        <v>17</v>
      </c>
      <c r="B29" s="164">
        <f>INDEX(TableOEE[Sum of Planned Maintenance Hours],MATCH($B$2,TableOEE[Unit],0))</f>
        <v>95.7605555165417</v>
      </c>
      <c r="C29" s="16">
        <f>IFERROR($B29/$B$28,)</f>
        <v>1.3165724793395662E-2</v>
      </c>
      <c r="D29" s="164">
        <f>B29</f>
        <v>95.7605555165417</v>
      </c>
      <c r="E29" s="165">
        <f>D29/$D$28</f>
        <v>1.3165724793395644E-2</v>
      </c>
      <c r="F29" s="285"/>
      <c r="G29" s="299">
        <f>-(I29-D29)</f>
        <v>95.7605555165417</v>
      </c>
      <c r="H29" s="285">
        <f>IFERROR($C29-$J29,)</f>
        <v>1.3165724793395662E-2</v>
      </c>
      <c r="I29" s="164">
        <f>C20</f>
        <v>0</v>
      </c>
      <c r="J29" s="208">
        <f>IFERROR(I29/I28,)</f>
        <v>0</v>
      </c>
      <c r="O29" s="95" t="s">
        <v>674</v>
      </c>
      <c r="P29" s="95" t="s">
        <v>686</v>
      </c>
      <c r="Q29" s="150" t="s">
        <v>666</v>
      </c>
      <c r="R29" s="96" t="str">
        <f t="shared" si="0"/>
        <v>Running OEE_Actuals_LJ</v>
      </c>
      <c r="S29" s="264">
        <f t="shared" ref="S29:S31" si="4">B49</f>
        <v>0.76539951773994153</v>
      </c>
      <c r="T29" t="str">
        <f t="shared" si="1"/>
        <v>(HOT) K600 Kettle</v>
      </c>
      <c r="U29" t="s">
        <v>141</v>
      </c>
    </row>
    <row r="30" spans="1:21">
      <c r="A30" s="128" t="s">
        <v>665</v>
      </c>
      <c r="B30" s="162">
        <f>B28-B29</f>
        <v>7177.7133336367679</v>
      </c>
      <c r="C30" s="110">
        <f>B30/B28</f>
        <v>0.98683427520660427</v>
      </c>
      <c r="D30" s="162">
        <f>D28-D29</f>
        <v>7177.7133336367779</v>
      </c>
      <c r="E30" s="163">
        <f>D30/D28</f>
        <v>0.98683427520660438</v>
      </c>
      <c r="F30" s="284"/>
      <c r="G30" s="297">
        <f>D30-I30</f>
        <v>199.70804377981858</v>
      </c>
      <c r="H30" s="298"/>
      <c r="I30" s="162">
        <f>IF(B15="OEE",I28-I29,I45/F49)</f>
        <v>6978.0052898569593</v>
      </c>
      <c r="J30" s="209"/>
      <c r="O30" s="95" t="s">
        <v>674</v>
      </c>
      <c r="P30" s="95" t="s">
        <v>686</v>
      </c>
      <c r="Q30" s="150" t="s">
        <v>8</v>
      </c>
      <c r="R30" s="96" t="str">
        <f t="shared" si="0"/>
        <v>Utilization_Actuals_LJ</v>
      </c>
      <c r="S30" s="264">
        <f t="shared" si="4"/>
        <v>0.82803664494003981</v>
      </c>
      <c r="T30" t="str">
        <f t="shared" si="1"/>
        <v>(HOT) K600 Kettle</v>
      </c>
      <c r="U30" t="s">
        <v>141</v>
      </c>
    </row>
    <row r="31" spans="1:21">
      <c r="A31" s="130" t="s">
        <v>18</v>
      </c>
      <c r="B31" s="166">
        <f>INDEX(TableCategories[Equipment Reliability],MATCH($B$2,TableCategories[Row Labels],0))-B29</f>
        <v>244.16972203322828</v>
      </c>
      <c r="C31" s="71">
        <f t="shared" ref="C31:C39" si="5">IFERROR($B31/$B$28,)</f>
        <v>3.356989050271432E-2</v>
      </c>
      <c r="D31" s="166">
        <f>IFERROR(IF($B$8="Exclude",B31,IF($B$9="No",B31,IF(B31&lt;0,B31+$C$7*(1-$D$7)*B31/$D$6,B31+(($C$7*$D$7)*B31/$C$6)))),0)</f>
        <v>244.16972203322828</v>
      </c>
      <c r="E31" s="167">
        <f>D31/$D$28</f>
        <v>3.3569890502714271E-2</v>
      </c>
      <c r="F31" s="325">
        <v>0</v>
      </c>
      <c r="G31" s="166">
        <f>IF($F$24="% decrease",D31-I31,F31)</f>
        <v>9.9188485253692136</v>
      </c>
      <c r="H31" s="327">
        <f t="shared" ref="H31:H39" si="6">IF($F$24="% decrease",$F31,$E31-$J31)</f>
        <v>0</v>
      </c>
      <c r="I31" s="166">
        <f>IF($F$24="% decrease",J31*$I$28,$D31-$G31)</f>
        <v>234.25087350785907</v>
      </c>
      <c r="J31" s="210">
        <f t="shared" ref="J31:J39" si="7">IF($F$24="% decrease",$E31-$H31,I31/I$28)</f>
        <v>3.3569890502714271E-2</v>
      </c>
      <c r="O31" s="95" t="s">
        <v>674</v>
      </c>
      <c r="P31" s="95" t="s">
        <v>686</v>
      </c>
      <c r="Q31" s="150" t="s">
        <v>376</v>
      </c>
      <c r="R31" s="96" t="str">
        <f t="shared" si="0"/>
        <v>OAU_Actuals_LJ</v>
      </c>
      <c r="S31" s="264">
        <f t="shared" si="4"/>
        <v>0.62543469080613956</v>
      </c>
      <c r="T31" t="str">
        <f t="shared" si="1"/>
        <v>(HOT) K600 Kettle</v>
      </c>
      <c r="U31" t="s">
        <v>141</v>
      </c>
    </row>
    <row r="32" spans="1:21">
      <c r="A32" s="131" t="s">
        <v>1</v>
      </c>
      <c r="B32" s="168">
        <f>INDEX(TableCategories[Operational Reliability],MATCH($B$2,TableCategories[Row Labels],0))</f>
        <v>1939.0180865213599</v>
      </c>
      <c r="C32" s="9">
        <f t="shared" si="5"/>
        <v>0.2665876190760722</v>
      </c>
      <c r="D32" s="168">
        <f t="shared" ref="D32:D39" si="8">IFERROR(IF($B$8="Exclude",B32,IF($B$9="No",B32,IF(B32&lt;0,B32+$C$7*(1-$D$7)*B32/$D$6,B32+(($C$7*$D$7)*B32/$C$6)))),0)</f>
        <v>1939.0180865213599</v>
      </c>
      <c r="E32" s="169">
        <f t="shared" ref="E32:E41" si="9">D32/$D$28</f>
        <v>0.26658761907607181</v>
      </c>
      <c r="F32" s="325">
        <v>0</v>
      </c>
      <c r="G32" s="168">
        <f t="shared" ref="G32:G41" si="10">IF($F$24="% decrease",D32-I32,F32)</f>
        <v>78.768270398158847</v>
      </c>
      <c r="H32" s="327">
        <f t="shared" si="6"/>
        <v>0</v>
      </c>
      <c r="I32" s="168">
        <f t="shared" ref="I32:I41" si="11">IF($F$24="% decrease",J32*$I$28,$D32-$G32)</f>
        <v>1860.2498161232011</v>
      </c>
      <c r="J32" s="211">
        <f t="shared" si="7"/>
        <v>0.26658761907607181</v>
      </c>
      <c r="O32" s="95" t="s">
        <v>675</v>
      </c>
      <c r="P32" s="95" t="s">
        <v>719</v>
      </c>
      <c r="Q32" s="13" t="s">
        <v>10</v>
      </c>
      <c r="R32" s="96" t="str">
        <f t="shared" si="0"/>
        <v>OEE_Actuals_LJ_corrected</v>
      </c>
      <c r="S32" s="264">
        <f>C48</f>
        <v>0.75532247833237964</v>
      </c>
      <c r="T32" t="str">
        <f t="shared" si="1"/>
        <v>(HOT) K600 Kettle</v>
      </c>
      <c r="U32" t="s">
        <v>141</v>
      </c>
    </row>
    <row r="33" spans="1:21">
      <c r="A33" s="130" t="s">
        <v>2</v>
      </c>
      <c r="B33" s="166">
        <f>INDEX(TableCategories[Technology Reliability],MATCH($B$2,TableCategories[Row Labels],0))</f>
        <v>570.43666586657002</v>
      </c>
      <c r="C33" s="71">
        <f t="shared" si="5"/>
        <v>7.8426990260767049E-2</v>
      </c>
      <c r="D33" s="166">
        <f t="shared" si="8"/>
        <v>570.43666586657002</v>
      </c>
      <c r="E33" s="167">
        <f t="shared" si="9"/>
        <v>7.8426990260766938E-2</v>
      </c>
      <c r="F33" s="355">
        <v>0</v>
      </c>
      <c r="G33" s="166">
        <f t="shared" si="10"/>
        <v>23.172712959378146</v>
      </c>
      <c r="H33" s="327">
        <f t="shared" si="6"/>
        <v>0</v>
      </c>
      <c r="I33" s="166">
        <f t="shared" si="11"/>
        <v>547.26395290719188</v>
      </c>
      <c r="J33" s="210">
        <f t="shared" si="7"/>
        <v>7.8426990260766938E-2</v>
      </c>
      <c r="O33" s="95" t="s">
        <v>675</v>
      </c>
      <c r="P33" s="95" t="s">
        <v>719</v>
      </c>
      <c r="Q33" s="13" t="s">
        <v>666</v>
      </c>
      <c r="R33" s="96" t="str">
        <f t="shared" si="0"/>
        <v>Running OEE_Actuals_LJ_corrected</v>
      </c>
      <c r="S33" s="264">
        <f>C49</f>
        <v>0.76539951773994153</v>
      </c>
      <c r="T33" t="str">
        <f t="shared" si="1"/>
        <v>(HOT) K600 Kettle</v>
      </c>
      <c r="U33" t="s">
        <v>141</v>
      </c>
    </row>
    <row r="34" spans="1:21">
      <c r="A34" s="131" t="s">
        <v>3</v>
      </c>
      <c r="B34" s="168">
        <f>INDEX(TableCategories[Material Reliability],MATCH($B$2,TableCategories[Row Labels],0))</f>
        <v>67.009166583333297</v>
      </c>
      <c r="C34" s="9">
        <f t="shared" si="5"/>
        <v>9.2128146198836077E-3</v>
      </c>
      <c r="D34" s="168">
        <f t="shared" si="8"/>
        <v>67.009166583333297</v>
      </c>
      <c r="E34" s="169">
        <f t="shared" si="9"/>
        <v>9.2128146198835956E-3</v>
      </c>
      <c r="F34" s="273">
        <v>0</v>
      </c>
      <c r="G34" s="168">
        <f t="shared" si="10"/>
        <v>2.7220974313140403</v>
      </c>
      <c r="H34" s="327">
        <f t="shared" si="6"/>
        <v>0</v>
      </c>
      <c r="I34" s="168">
        <f t="shared" si="11"/>
        <v>64.287069152019257</v>
      </c>
      <c r="J34" s="211">
        <f t="shared" si="7"/>
        <v>9.2128146198835956E-3</v>
      </c>
      <c r="O34" s="95" t="s">
        <v>675</v>
      </c>
      <c r="P34" s="95" t="s">
        <v>719</v>
      </c>
      <c r="Q34" s="13" t="s">
        <v>8</v>
      </c>
      <c r="R34" s="96" t="str">
        <f t="shared" si="0"/>
        <v>Utilization_Actuals_LJ_corrected</v>
      </c>
      <c r="S34" s="264">
        <f>C50</f>
        <v>0.82803664494003981</v>
      </c>
      <c r="T34" t="str">
        <f t="shared" si="1"/>
        <v>(HOT) K600 Kettle</v>
      </c>
      <c r="U34" t="s">
        <v>141</v>
      </c>
    </row>
    <row r="35" spans="1:21">
      <c r="A35" s="130" t="s">
        <v>4</v>
      </c>
      <c r="B35" s="166">
        <f>INDEX(TableCategories[Logistics/Supply Reliability],MATCH($B$2,TableCategories[Row Labels],0))</f>
        <v>55.172499983281597</v>
      </c>
      <c r="C35" s="71">
        <f t="shared" si="5"/>
        <v>7.585440028259195E-3</v>
      </c>
      <c r="D35" s="166">
        <f t="shared" si="8"/>
        <v>55.172499983281597</v>
      </c>
      <c r="E35" s="167">
        <f t="shared" si="9"/>
        <v>7.5854400282591846E-3</v>
      </c>
      <c r="F35" s="325">
        <v>0</v>
      </c>
      <c r="G35" s="166">
        <f t="shared" si="10"/>
        <v>2.2412593401962866</v>
      </c>
      <c r="H35" s="327">
        <f t="shared" si="6"/>
        <v>0</v>
      </c>
      <c r="I35" s="166">
        <f t="shared" si="11"/>
        <v>52.93124064308531</v>
      </c>
      <c r="J35" s="210">
        <f t="shared" si="7"/>
        <v>7.5854400282591846E-3</v>
      </c>
      <c r="O35" s="95" t="s">
        <v>675</v>
      </c>
      <c r="P35" s="95" t="s">
        <v>719</v>
      </c>
      <c r="Q35" s="13" t="s">
        <v>376</v>
      </c>
      <c r="R35" s="96" t="str">
        <f t="shared" si="0"/>
        <v>OAU_Actuals_LJ_corrected</v>
      </c>
      <c r="S35" s="264">
        <f>C51</f>
        <v>0.62543469080613956</v>
      </c>
      <c r="T35" t="str">
        <f t="shared" si="1"/>
        <v>(HOT) K600 Kettle</v>
      </c>
      <c r="U35" t="s">
        <v>141</v>
      </c>
    </row>
    <row r="36" spans="1:21">
      <c r="A36" s="131" t="s">
        <v>5</v>
      </c>
      <c r="B36" s="168">
        <f>INDEX(TableCategories[External Reliability],MATCH($B$2,TableCategories[Row Labels],0))</f>
        <v>153.13777773298699</v>
      </c>
      <c r="C36" s="9">
        <f t="shared" si="5"/>
        <v>2.105428301067476E-2</v>
      </c>
      <c r="D36" s="168">
        <f t="shared" si="8"/>
        <v>153.13777773298699</v>
      </c>
      <c r="E36" s="169">
        <f t="shared" si="9"/>
        <v>2.1054283010674728E-2</v>
      </c>
      <c r="F36" s="355">
        <v>0</v>
      </c>
      <c r="G36" s="168">
        <f t="shared" si="10"/>
        <v>6.2208795103532282</v>
      </c>
      <c r="H36" s="327">
        <f t="shared" si="6"/>
        <v>0</v>
      </c>
      <c r="I36" s="168">
        <f t="shared" si="11"/>
        <v>146.91689822263376</v>
      </c>
      <c r="J36" s="211">
        <f t="shared" si="7"/>
        <v>2.1054283010674728E-2</v>
      </c>
      <c r="O36" s="95" t="s">
        <v>676</v>
      </c>
      <c r="P36" s="95" t="s">
        <v>684</v>
      </c>
      <c r="Q36" s="150" t="s">
        <v>10</v>
      </c>
      <c r="R36" s="96" t="str">
        <f t="shared" si="0"/>
        <v>OEE_Normalized_LJ</v>
      </c>
      <c r="S36" s="264">
        <f>D48</f>
        <v>0.76471481949488296</v>
      </c>
      <c r="T36" t="str">
        <f t="shared" si="1"/>
        <v>(HOT) K600 Kettle</v>
      </c>
      <c r="U36" t="s">
        <v>141</v>
      </c>
    </row>
    <row r="37" spans="1:21">
      <c r="A37" s="130" t="s">
        <v>11</v>
      </c>
      <c r="B37" s="166">
        <f>INDEX(TableCategories[Other Reliability],MATCH($B$2,TableCategories[Row Labels],0))</f>
        <v>-1394.9006754843101</v>
      </c>
      <c r="C37" s="71">
        <f t="shared" si="5"/>
        <v>-0.19177915487735223</v>
      </c>
      <c r="D37" s="166">
        <f t="shared" si="8"/>
        <v>-1394.9006754843101</v>
      </c>
      <c r="E37" s="167">
        <f t="shared" si="9"/>
        <v>-0.19177915487735198</v>
      </c>
      <c r="F37" s="325">
        <v>0</v>
      </c>
      <c r="G37" s="166">
        <f t="shared" si="10"/>
        <v>-56.664718265850979</v>
      </c>
      <c r="H37" s="327">
        <f t="shared" si="6"/>
        <v>0</v>
      </c>
      <c r="I37" s="166">
        <f t="shared" si="11"/>
        <v>-1338.2359572184591</v>
      </c>
      <c r="J37" s="210">
        <f t="shared" si="7"/>
        <v>-0.19177915487735198</v>
      </c>
      <c r="O37" s="95" t="s">
        <v>676</v>
      </c>
      <c r="P37" s="95" t="s">
        <v>684</v>
      </c>
      <c r="Q37" s="150" t="s">
        <v>666</v>
      </c>
      <c r="R37" s="96" t="str">
        <f t="shared" si="0"/>
        <v>Running OEE_Normalized_LJ</v>
      </c>
      <c r="S37" s="264">
        <f>D49</f>
        <v>0.77491716563531576</v>
      </c>
      <c r="T37" t="str">
        <f t="shared" si="1"/>
        <v>(HOT) K600 Kettle</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0.828036644939663</v>
      </c>
      <c r="T38" t="str">
        <f t="shared" si="1"/>
        <v>(HOT) K600 Kettle</v>
      </c>
      <c r="U38" t="s">
        <v>141</v>
      </c>
    </row>
    <row r="39" spans="1:21">
      <c r="A39" s="131" t="s">
        <v>16</v>
      </c>
      <c r="B39" s="166">
        <f>INDEX(TableOEE[Sum of UndetectedInHours],MATCH($B$2,TableOEE[Unit],0))</f>
        <v>49.851766359194201</v>
      </c>
      <c r="C39" s="71">
        <f t="shared" si="5"/>
        <v>6.8539142532066397E-3</v>
      </c>
      <c r="D39" s="166">
        <f t="shared" si="8"/>
        <v>49.851766359194201</v>
      </c>
      <c r="E39" s="167">
        <f t="shared" si="9"/>
        <v>6.8539142532066302E-3</v>
      </c>
      <c r="F39" s="355">
        <v>0</v>
      </c>
      <c r="G39" s="166">
        <f t="shared" si="10"/>
        <v>2.0251164440923262</v>
      </c>
      <c r="H39" s="327">
        <f t="shared" si="6"/>
        <v>0</v>
      </c>
      <c r="I39" s="166">
        <f t="shared" si="11"/>
        <v>47.826649915101875</v>
      </c>
      <c r="J39" s="210">
        <f t="shared" si="7"/>
        <v>6.8539142532066302E-3</v>
      </c>
      <c r="O39" s="95" t="s">
        <v>676</v>
      </c>
      <c r="P39" s="95" t="s">
        <v>684</v>
      </c>
      <c r="Q39" s="150" t="s">
        <v>376</v>
      </c>
      <c r="R39" s="96" t="str">
        <f t="shared" si="0"/>
        <v>OAU_Normalized_LJ</v>
      </c>
      <c r="S39" s="264">
        <f>D51</f>
        <v>0.63321189347018303</v>
      </c>
      <c r="T39" t="str">
        <f t="shared" si="1"/>
        <v>(HOT) K600 Kettle</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0.76471481949488296</v>
      </c>
      <c r="T40" t="str">
        <f t="shared" si="1"/>
        <v>(HOT) K600 Kettle</v>
      </c>
      <c r="U40" t="s">
        <v>141</v>
      </c>
    </row>
    <row r="41" spans="1:21">
      <c r="A41" s="133" t="s">
        <v>703</v>
      </c>
      <c r="B41" s="166"/>
      <c r="C41" s="221"/>
      <c r="D41" s="220">
        <f>IF(AND(B9="No",B8="Include"),B45*B7/(1+B7),0)</f>
        <v>-68.31494820348793</v>
      </c>
      <c r="E41" s="167">
        <f t="shared" si="9"/>
        <v>-9.3923411625033322E-3</v>
      </c>
      <c r="F41" s="286"/>
      <c r="G41" s="171">
        <f t="shared" si="10"/>
        <v>-68.31494820348793</v>
      </c>
      <c r="H41" s="305">
        <f>E41</f>
        <v>-9.3923411625033322E-3</v>
      </c>
      <c r="I41" s="166">
        <f t="shared" si="11"/>
        <v>0</v>
      </c>
      <c r="J41" s="210">
        <f>$E41-$H41</f>
        <v>0</v>
      </c>
      <c r="O41" s="95" t="s">
        <v>677</v>
      </c>
      <c r="P41" s="95" t="s">
        <v>720</v>
      </c>
      <c r="Q41" s="13" t="s">
        <v>666</v>
      </c>
      <c r="R41" s="96" t="str">
        <f t="shared" si="0"/>
        <v>Running OEE_Baseline target setting</v>
      </c>
      <c r="S41" s="264">
        <f>E49</f>
        <v>0.77491716563531465</v>
      </c>
      <c r="T41" t="str">
        <f t="shared" si="1"/>
        <v>(HOT) K600 Kettle</v>
      </c>
      <c r="U41" t="s">
        <v>141</v>
      </c>
    </row>
    <row r="42" spans="1:21" ht="13.5" thickBot="1">
      <c r="A42" s="134" t="s">
        <v>705</v>
      </c>
      <c r="B42" s="172"/>
      <c r="C42" s="72"/>
      <c r="D42" s="172">
        <f>D30-D31-D32-D33-D34-D35-D36-D37-D38-D39-D40-D41-D45</f>
        <v>0</v>
      </c>
      <c r="E42" s="173"/>
      <c r="F42" s="287"/>
      <c r="G42" s="306"/>
      <c r="H42" s="307">
        <f>IFERROR(I42/I28,0)</f>
        <v>2.6428962509539883E-2</v>
      </c>
      <c r="I42" s="184">
        <f>-(I43-I31-I32-I33-I34-I35-I36-I37-I38-I39-I41-I40)</f>
        <v>184.42144019700055</v>
      </c>
      <c r="J42" s="212">
        <f>-H42</f>
        <v>-2.6428962509539883E-2</v>
      </c>
      <c r="O42" s="95" t="s">
        <v>677</v>
      </c>
      <c r="P42" s="95" t="s">
        <v>720</v>
      </c>
      <c r="Q42" s="13" t="s">
        <v>8</v>
      </c>
      <c r="R42" s="96" t="str">
        <f t="shared" si="0"/>
        <v>Utilization_Baseline target setting</v>
      </c>
      <c r="S42" s="264">
        <f>E50</f>
        <v>0.82803664494004092</v>
      </c>
      <c r="T42" t="str">
        <f t="shared" si="1"/>
        <v>(HOT) K600 Kettle</v>
      </c>
      <c r="U42" t="s">
        <v>141</v>
      </c>
    </row>
    <row r="43" spans="1:21" ht="13.5" hidden="1" thickBot="1">
      <c r="A43" s="135" t="s">
        <v>397</v>
      </c>
      <c r="B43" s="174">
        <f>SUBTOTAL(109,B31:B40)</f>
        <v>1683.8950095956445</v>
      </c>
      <c r="C43" s="106">
        <f>IFERROR($B43/$B$28,)</f>
        <v>0.23151179687422557</v>
      </c>
      <c r="D43" s="174">
        <f>SUBTOTAL(109,D31:D41)</f>
        <v>1615.5800613921565</v>
      </c>
      <c r="E43" s="175">
        <f>D43/D28</f>
        <v>0.2221194557117219</v>
      </c>
      <c r="F43" s="288"/>
      <c r="G43" s="308">
        <f>I43-D43</f>
        <v>-184.5109583365238</v>
      </c>
      <c r="H43" s="309">
        <f>E43-J43</f>
        <v>1.7036621347036596E-2</v>
      </c>
      <c r="I43" s="174">
        <f>I30-I45</f>
        <v>1431.0691030556327</v>
      </c>
      <c r="J43" s="213">
        <f>SUM(J31:J42)</f>
        <v>0.2050828343646853</v>
      </c>
      <c r="O43" s="95" t="s">
        <v>677</v>
      </c>
      <c r="P43" s="95"/>
      <c r="Q43" s="13" t="s">
        <v>722</v>
      </c>
      <c r="R43" s="96" t="str">
        <f t="shared" si="0"/>
        <v>BLANK1</v>
      </c>
      <c r="S43" s="264"/>
      <c r="T43" t="str">
        <f t="shared" si="1"/>
        <v>(HOT) K600 Kettle</v>
      </c>
      <c r="U43" t="s">
        <v>141</v>
      </c>
    </row>
    <row r="44" spans="1:21" ht="13.5" hidden="1" thickBot="1">
      <c r="A44" s="136" t="s">
        <v>398</v>
      </c>
      <c r="B44" s="176">
        <f>B43+B29</f>
        <v>1779.6555651121862</v>
      </c>
      <c r="C44" s="31">
        <f>IFERROR($B44/$B$28,)</f>
        <v>0.24467752166762122</v>
      </c>
      <c r="D44" s="176">
        <f>D43+D29</f>
        <v>1711.3406169086982</v>
      </c>
      <c r="E44" s="177">
        <f>D44/D28</f>
        <v>0.23528518050511754</v>
      </c>
      <c r="F44" s="289"/>
      <c r="G44" s="310">
        <f>I44-D44</f>
        <v>-280.27151385306547</v>
      </c>
      <c r="H44" s="311">
        <f>IFERROR(E44-J44,)</f>
        <v>3.0202346140432212E-2</v>
      </c>
      <c r="I44" s="176">
        <f>I28-I45</f>
        <v>1431.0691030556327</v>
      </c>
      <c r="J44" s="214">
        <f>IFERROR(1-J45,)</f>
        <v>0.20508283436468533</v>
      </c>
      <c r="O44" s="95" t="s">
        <v>677</v>
      </c>
      <c r="P44" s="95"/>
      <c r="Q44" s="151" t="s">
        <v>721</v>
      </c>
      <c r="R44" s="96" t="str">
        <f t="shared" si="0"/>
        <v>BLANK2</v>
      </c>
      <c r="S44" s="264"/>
      <c r="T44" t="str">
        <f t="shared" si="1"/>
        <v>(HOT) K600 Kettle</v>
      </c>
      <c r="U44" t="s">
        <v>141</v>
      </c>
    </row>
    <row r="45" spans="1:21" ht="13.5" thickBot="1">
      <c r="A45" s="137" t="s">
        <v>712</v>
      </c>
      <c r="B45" s="178">
        <f>INDEX(TableOEE[Sum of ActualInHours],MATCH($B$2,TableOEE[Unit],0))</f>
        <v>5493.8183240411299</v>
      </c>
      <c r="C45" s="139">
        <f>IFERROR($B45/$B$28,)</f>
        <v>0.75532247833237964</v>
      </c>
      <c r="D45" s="178">
        <f>IF(B8="Include",B45/(1+B7),B45)</f>
        <v>5562.1332722446177</v>
      </c>
      <c r="E45" s="179">
        <f>D45/D28</f>
        <v>0.76471481949488196</v>
      </c>
      <c r="F45" s="290"/>
      <c r="G45" s="312">
        <f>I45-D45</f>
        <v>-15.197085443291144</v>
      </c>
      <c r="H45" s="290">
        <f>H43+H29+H42+H41</f>
        <v>4.7238967487468808E-2</v>
      </c>
      <c r="I45" s="178">
        <f>D45*(1+B6)*I25/B25</f>
        <v>5546.9361868013266</v>
      </c>
      <c r="J45" s="215">
        <f>F48</f>
        <v>0.79491716563531467</v>
      </c>
      <c r="O45" s="95" t="s">
        <v>677</v>
      </c>
      <c r="P45" s="95" t="s">
        <v>720</v>
      </c>
      <c r="Q45" s="13" t="s">
        <v>376</v>
      </c>
      <c r="R45" s="96" t="str">
        <f t="shared" si="0"/>
        <v>OAU_Baseline target setting</v>
      </c>
      <c r="S45" s="264">
        <f>E51</f>
        <v>0.63321189347047102</v>
      </c>
      <c r="T45" t="str">
        <f t="shared" si="1"/>
        <v>(HOT) K600 Kettle</v>
      </c>
      <c r="U45" t="s">
        <v>141</v>
      </c>
    </row>
    <row r="46" spans="1:21">
      <c r="F46" t="s">
        <v>713</v>
      </c>
      <c r="O46" s="95" t="s">
        <v>678</v>
      </c>
      <c r="P46" s="95" t="s">
        <v>880</v>
      </c>
      <c r="Q46" s="150" t="s">
        <v>10</v>
      </c>
      <c r="R46" s="96" t="str">
        <f t="shared" si="0"/>
        <v>OEE_Targets_NJ</v>
      </c>
      <c r="S46" s="264">
        <f>F48</f>
        <v>0.79491716563531467</v>
      </c>
      <c r="T46" t="str">
        <f t="shared" si="1"/>
        <v>(HOT) K600 Kettle</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0.79491716563531467</v>
      </c>
      <c r="T47" t="str">
        <f t="shared" si="1"/>
        <v>(HOT) K600 Kettle</v>
      </c>
      <c r="U47" t="s">
        <v>141</v>
      </c>
    </row>
    <row r="48" spans="1:21">
      <c r="A48" s="88" t="s">
        <v>10</v>
      </c>
      <c r="B48" s="89">
        <f>IFERROR(B45/(B28-B40),)</f>
        <v>0.75532247833237964</v>
      </c>
      <c r="C48" s="69">
        <f>IFERROR(B45/(B28-B5),)</f>
        <v>0.75532247833237964</v>
      </c>
      <c r="D48" s="89">
        <f>IFERROR(IF(INDEX(TableOEEnormalized[LastYear Normalized OEE],MATCH($B$2,TableOEEnormalized[Unit],0))&gt;0,
        INDEX(TableOEEnormalized[LastYear Normalized OEE],MATCH($B$2,TableOEEnormalized[Unit],0)),""),Table101291220[[#This Row],[Actual 2024]])</f>
        <v>0.76471481949488296</v>
      </c>
      <c r="E48" s="69">
        <f>IF(B8="Include",C48/(1+B7),C48)</f>
        <v>0.76471481949488296</v>
      </c>
      <c r="F48" s="275">
        <f>IFERROR(IF(B15="OEE", E48+B14,I45/I28),)</f>
        <v>0.79491716563531467</v>
      </c>
      <c r="G48" s="276" t="s">
        <v>707</v>
      </c>
      <c r="O48" s="95" t="s">
        <v>678</v>
      </c>
      <c r="P48" s="95" t="s">
        <v>880</v>
      </c>
      <c r="Q48" s="150" t="s">
        <v>8</v>
      </c>
      <c r="R48" s="96" t="str">
        <f t="shared" si="0"/>
        <v>Utilization_Targets_NJ</v>
      </c>
      <c r="S48" s="264">
        <f>F50</f>
        <v>0.79657594633070317</v>
      </c>
      <c r="T48" t="str">
        <f t="shared" si="1"/>
        <v>(HOT) K600 Kettle</v>
      </c>
      <c r="U48" t="s">
        <v>141</v>
      </c>
    </row>
    <row r="49" spans="1:35">
      <c r="A49" s="90" t="s">
        <v>666</v>
      </c>
      <c r="B49" s="69">
        <f>IFERROR(B45/(B30-B40),)</f>
        <v>0.76539951773994153</v>
      </c>
      <c r="C49" s="69">
        <f>IFERROR(B45/(B30-B5),)</f>
        <v>0.76539951773994153</v>
      </c>
      <c r="D49" s="123">
        <f>IFERROR(B45/(1+B7)/(B28-B29),)</f>
        <v>0.77491716563531576</v>
      </c>
      <c r="E49" s="69">
        <f>IFERROR(D45/(D30),)</f>
        <v>0.77491716563531465</v>
      </c>
      <c r="F49" s="123">
        <f>IFERROR(IF(B15="OEE",(I45/I30),E49+B14),)</f>
        <v>0.79491716563531467</v>
      </c>
      <c r="G49" s="274" t="s">
        <v>669</v>
      </c>
      <c r="O49" s="95" t="s">
        <v>678</v>
      </c>
      <c r="P49" s="95" t="s">
        <v>880</v>
      </c>
      <c r="Q49" s="150" t="s">
        <v>376</v>
      </c>
      <c r="R49" s="96" t="str">
        <f t="shared" si="0"/>
        <v>OAU_Targets_NJ</v>
      </c>
      <c r="S49" s="264">
        <f>F51</f>
        <v>0.63321189347047102</v>
      </c>
      <c r="T49" t="str">
        <f t="shared" si="1"/>
        <v>(HOT) K600 Kettle</v>
      </c>
      <c r="U49" t="s">
        <v>141</v>
      </c>
    </row>
    <row r="50" spans="1:35">
      <c r="A50" s="90" t="s">
        <v>8</v>
      </c>
      <c r="B50" s="5">
        <f>IFERROR((B28+B27)/(B25),)</f>
        <v>0.82803664494003981</v>
      </c>
      <c r="C50" s="69">
        <f>IFERROR((B28-B5)/B25,)</f>
        <v>0.82803664494003981</v>
      </c>
      <c r="D50" s="123">
        <f>IFERROR(IF(INDEX(TableOEEnormalized[LastYear Normalized Utilization],MATCH($B$2,TableOEEnormalized[Unit],0))&gt;0,
      INDEX(TableOEEnormalized[LastYear Normalized Utilization],MATCH($B$2,TableOEEnormalized[Unit],0)),""),Table101291220[[#This Row],[Actual 2024]])</f>
        <v>0.828036644939663</v>
      </c>
      <c r="E50" s="69">
        <f>IFERROR(D28/D25,)</f>
        <v>0.82803664494004092</v>
      </c>
      <c r="F50" s="69">
        <f>IFERROR(I28/I25,)</f>
        <v>0.79657594633070317</v>
      </c>
      <c r="G50" s="91" t="s">
        <v>1188</v>
      </c>
      <c r="O50" s="95" t="s">
        <v>679</v>
      </c>
      <c r="P50" s="95" t="s">
        <v>706</v>
      </c>
      <c r="Q50" s="13" t="s">
        <v>10</v>
      </c>
      <c r="R50" s="96" t="str">
        <f t="shared" si="0"/>
        <v>OEE_Remarks</v>
      </c>
      <c r="S50" s="264" t="str">
        <f>G48</f>
        <v>OEE target</v>
      </c>
      <c r="T50" t="str">
        <f t="shared" si="1"/>
        <v>(HOT) K600 Kettle</v>
      </c>
      <c r="U50" t="s">
        <v>878</v>
      </c>
    </row>
    <row r="51" spans="1:35">
      <c r="A51" s="90" t="s">
        <v>376</v>
      </c>
      <c r="B51" s="69">
        <f>IFERROR(B45/B25,)</f>
        <v>0.62543469080613956</v>
      </c>
      <c r="C51" s="6">
        <f>Table101291220[[#This Row],[Actual 2024]]</f>
        <v>0.62543469080613956</v>
      </c>
      <c r="D51" s="123">
        <f>IFERROR(IF(INDEX(TableOEEnormalized[LastYear Normalized OAU],MATCH($B$2,TableOEEnormalized[Unit],0))&gt;0,
   INDEX(TableOEEnormalized[LastYear Normalized OAU],MATCH($B$2,TableOEEnormalized[Unit],0)),""),Table101291220[[#This Row],[Actual 2024]])</f>
        <v>0.63321189347018303</v>
      </c>
      <c r="E51" s="5">
        <f>D45/D25</f>
        <v>0.63321189347047102</v>
      </c>
      <c r="F51" s="69">
        <f>I45/I25</f>
        <v>0.63321189347047102</v>
      </c>
      <c r="G51" s="91"/>
      <c r="O51" s="95" t="s">
        <v>679</v>
      </c>
      <c r="P51" s="95" t="s">
        <v>706</v>
      </c>
      <c r="Q51" s="13" t="s">
        <v>666</v>
      </c>
      <c r="R51" s="96" t="str">
        <f t="shared" si="0"/>
        <v>Running OEE_Remarks</v>
      </c>
      <c r="S51" s="264" t="str">
        <f>G49</f>
        <v>Running OEE target</v>
      </c>
      <c r="T51" t="str">
        <f t="shared" si="1"/>
        <v>(HOT) K600 Kettle</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K600 Kettle</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K600 Kettle</v>
      </c>
      <c r="U53" t="s">
        <v>878</v>
      </c>
    </row>
    <row r="54" spans="1:35">
      <c r="A54" s="65" t="str">
        <f>B2</f>
        <v>(HOT) K600 Kettle</v>
      </c>
      <c r="B54" s="75">
        <f>B48</f>
        <v>0.75532247833237964</v>
      </c>
      <c r="C54" s="75">
        <f>D48</f>
        <v>0.76471481949488296</v>
      </c>
      <c r="D54" s="75">
        <f>E48</f>
        <v>0.76471481949488296</v>
      </c>
      <c r="E54" s="75">
        <f>F48</f>
        <v>0.79491716563531467</v>
      </c>
      <c r="F54" s="76">
        <f>B6</f>
        <v>0</v>
      </c>
      <c r="G54" s="97">
        <f>B5</f>
        <v>0</v>
      </c>
      <c r="H54" s="76">
        <f>B14</f>
        <v>0.02</v>
      </c>
      <c r="I54" s="76" t="str">
        <f>B11</f>
        <v>Playbook Matrix Value</v>
      </c>
      <c r="J54" s="76" t="str">
        <f>B15</f>
        <v>Running OEE</v>
      </c>
      <c r="K54" s="102">
        <f>C18</f>
        <v>0</v>
      </c>
      <c r="L54" s="102">
        <f>C19</f>
        <v>0</v>
      </c>
      <c r="M54" s="104">
        <f>F49</f>
        <v>0.79491716563531467</v>
      </c>
      <c r="O54" s="95" t="s">
        <v>674</v>
      </c>
      <c r="P54" s="95" t="s">
        <v>683</v>
      </c>
      <c r="Q54" s="142" t="s">
        <v>13</v>
      </c>
      <c r="R54" s="96" t="str">
        <f t="shared" si="0"/>
        <v>MAC - Calender hours_Loss_Hours_LJ</v>
      </c>
      <c r="S54" s="267">
        <f>B25</f>
        <v>8784</v>
      </c>
      <c r="T54" t="str">
        <f t="shared" si="1"/>
        <v>(HOT) K600 Kettle</v>
      </c>
      <c r="U54" t="s">
        <v>876</v>
      </c>
    </row>
    <row r="55" spans="1:35">
      <c r="O55" s="95" t="s">
        <v>674</v>
      </c>
      <c r="P55" s="95" t="s">
        <v>683</v>
      </c>
      <c r="Q55" s="152" t="s">
        <v>7</v>
      </c>
      <c r="R55" s="96" t="str">
        <f t="shared" si="0"/>
        <v>Commercial Reliability_Loss_Hours_LJ</v>
      </c>
      <c r="S55" s="267">
        <f t="shared" ref="S55:S74" si="12">B26</f>
        <v>1510.52611084668</v>
      </c>
      <c r="T55" t="str">
        <f t="shared" si="1"/>
        <v>(HOT) K600 Kettle</v>
      </c>
      <c r="U55" t="s">
        <v>876</v>
      </c>
    </row>
    <row r="56" spans="1:35">
      <c r="D56" s="5"/>
      <c r="O56" s="95" t="s">
        <v>674</v>
      </c>
      <c r="P56" s="95" t="s">
        <v>683</v>
      </c>
      <c r="Q56" s="152" t="s">
        <v>704</v>
      </c>
      <c r="R56" s="96" t="str">
        <f t="shared" si="0"/>
        <v>Exception hours (loss excluded from OEE)_Loss_Hours_LJ</v>
      </c>
      <c r="S56" s="267">
        <f t="shared" si="12"/>
        <v>0</v>
      </c>
      <c r="T56" t="str">
        <f t="shared" si="1"/>
        <v>(HOT) K600 Kettle</v>
      </c>
      <c r="U56" t="s">
        <v>876</v>
      </c>
    </row>
    <row r="57" spans="1:35">
      <c r="D57" s="5"/>
      <c r="F57" s="54"/>
      <c r="O57" s="95" t="s">
        <v>674</v>
      </c>
      <c r="P57" s="95" t="s">
        <v>683</v>
      </c>
      <c r="Q57" s="152" t="s">
        <v>14</v>
      </c>
      <c r="R57" s="96" t="str">
        <f t="shared" si="0"/>
        <v>Available OEE - Scheduled hours_Loss_Hours_LJ</v>
      </c>
      <c r="S57" s="267">
        <f t="shared" si="12"/>
        <v>7273.4738891533098</v>
      </c>
      <c r="T57" t="str">
        <f t="shared" si="1"/>
        <v>(HOT) K600 Kettle</v>
      </c>
      <c r="U57" t="s">
        <v>876</v>
      </c>
    </row>
    <row r="58" spans="1:35">
      <c r="B58" s="83"/>
      <c r="C58" s="51"/>
      <c r="O58" s="95" t="s">
        <v>674</v>
      </c>
      <c r="P58" s="95" t="s">
        <v>683</v>
      </c>
      <c r="Q58" s="152" t="s">
        <v>17</v>
      </c>
      <c r="R58" s="96" t="str">
        <f t="shared" si="0"/>
        <v>Equipment Reliability - Planned TA &amp; Planned SD_Loss_Hours_LJ</v>
      </c>
      <c r="S58" s="267">
        <f t="shared" si="12"/>
        <v>95.7605555165417</v>
      </c>
      <c r="T58" t="str">
        <f t="shared" si="1"/>
        <v>(HOT) K600 Kettle</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7177.7133336367679</v>
      </c>
      <c r="T59" t="str">
        <f t="shared" si="1"/>
        <v>(HOT) K600 Kettle</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244.16972203322828</v>
      </c>
      <c r="T60" t="str">
        <f t="shared" si="1"/>
        <v>(HOT) K600 Kettle</v>
      </c>
      <c r="U60" t="s">
        <v>876</v>
      </c>
    </row>
    <row r="61" spans="1:35">
      <c r="B61" s="53"/>
      <c r="C61" s="53"/>
      <c r="O61" s="95" t="s">
        <v>674</v>
      </c>
      <c r="P61" s="95" t="s">
        <v>683</v>
      </c>
      <c r="Q61" s="152" t="s">
        <v>1</v>
      </c>
      <c r="R61" s="96" t="str">
        <f t="shared" si="0"/>
        <v>Operational Reliability_Loss_Hours_LJ</v>
      </c>
      <c r="S61" s="267">
        <f t="shared" si="12"/>
        <v>1939.0180865213599</v>
      </c>
      <c r="T61" t="str">
        <f t="shared" si="1"/>
        <v>(HOT) K600 Kettle</v>
      </c>
      <c r="U61" t="s">
        <v>876</v>
      </c>
    </row>
    <row r="62" spans="1:35">
      <c r="B62" s="53"/>
      <c r="C62" s="53"/>
      <c r="I62" s="6"/>
      <c r="J62" s="6"/>
      <c r="K62" s="6"/>
      <c r="L62" s="6"/>
      <c r="M62" s="6"/>
      <c r="O62" s="95" t="s">
        <v>674</v>
      </c>
      <c r="P62" s="95" t="s">
        <v>683</v>
      </c>
      <c r="Q62" s="152" t="s">
        <v>2</v>
      </c>
      <c r="R62" s="96" t="str">
        <f t="shared" si="0"/>
        <v>Technology Reliability_Loss_Hours_LJ</v>
      </c>
      <c r="S62" s="267">
        <f t="shared" si="12"/>
        <v>570.43666586657002</v>
      </c>
      <c r="T62" t="str">
        <f t="shared" si="1"/>
        <v>(HOT) K600 Kettle</v>
      </c>
      <c r="U62" t="s">
        <v>876</v>
      </c>
    </row>
    <row r="63" spans="1:35">
      <c r="B63" s="82"/>
      <c r="C63" s="2"/>
      <c r="O63" s="95" t="s">
        <v>674</v>
      </c>
      <c r="P63" s="95" t="s">
        <v>683</v>
      </c>
      <c r="Q63" s="152" t="s">
        <v>3</v>
      </c>
      <c r="R63" s="96" t="str">
        <f t="shared" si="0"/>
        <v>Material Reliability_Loss_Hours_LJ</v>
      </c>
      <c r="S63" s="267">
        <f t="shared" si="12"/>
        <v>67.009166583333297</v>
      </c>
      <c r="T63" t="str">
        <f t="shared" si="1"/>
        <v>(HOT) K600 Kettle</v>
      </c>
      <c r="U63" t="s">
        <v>876</v>
      </c>
    </row>
    <row r="64" spans="1:35">
      <c r="B64" s="5"/>
      <c r="O64" s="95" t="s">
        <v>674</v>
      </c>
      <c r="P64" s="95" t="s">
        <v>683</v>
      </c>
      <c r="Q64" s="152" t="s">
        <v>4</v>
      </c>
      <c r="R64" s="96" t="str">
        <f t="shared" si="0"/>
        <v>Logistics/Supply Reliability_Loss_Hours_LJ</v>
      </c>
      <c r="S64" s="267">
        <f t="shared" si="12"/>
        <v>55.172499983281597</v>
      </c>
      <c r="T64" t="str">
        <f t="shared" si="1"/>
        <v>(HOT) K600 Kettle</v>
      </c>
      <c r="U64" t="s">
        <v>876</v>
      </c>
    </row>
    <row r="65" spans="15:35">
      <c r="O65" s="95" t="s">
        <v>674</v>
      </c>
      <c r="P65" s="95" t="s">
        <v>683</v>
      </c>
      <c r="Q65" s="152" t="s">
        <v>5</v>
      </c>
      <c r="R65" s="96" t="str">
        <f t="shared" si="0"/>
        <v>External Reliability_Loss_Hours_LJ</v>
      </c>
      <c r="S65" s="267">
        <f t="shared" si="12"/>
        <v>153.13777773298699</v>
      </c>
      <c r="T65" t="str">
        <f t="shared" si="1"/>
        <v>(HOT) K600 Kettle</v>
      </c>
      <c r="U65" t="s">
        <v>876</v>
      </c>
    </row>
    <row r="66" spans="15:35">
      <c r="O66" s="95" t="s">
        <v>674</v>
      </c>
      <c r="P66" s="95" t="s">
        <v>683</v>
      </c>
      <c r="Q66" s="152" t="s">
        <v>11</v>
      </c>
      <c r="R66" s="96" t="str">
        <f t="shared" ref="R66:R129" si="13">IF(ISBLANK(P66),Q66,_xlfn.CONCAT(Q66,"_",P66))</f>
        <v>Other Reliability_Loss_Hours_LJ</v>
      </c>
      <c r="S66" s="267">
        <f t="shared" si="12"/>
        <v>-1394.9006754843101</v>
      </c>
      <c r="T66" t="str">
        <f t="shared" si="1"/>
        <v>(HOT) K600 Kettle</v>
      </c>
      <c r="U66" t="s">
        <v>876</v>
      </c>
    </row>
    <row r="67" spans="15:35">
      <c r="O67" s="95" t="s">
        <v>674</v>
      </c>
      <c r="P67" s="95" t="s">
        <v>683</v>
      </c>
      <c r="Q67" s="152" t="s">
        <v>15</v>
      </c>
      <c r="R67" s="96" t="str">
        <f t="shared" si="13"/>
        <v>Unspecified_Loss_Hours_LJ</v>
      </c>
      <c r="S67" s="267">
        <f t="shared" si="12"/>
        <v>0</v>
      </c>
      <c r="T67" t="str">
        <f t="shared" ref="T67:T130" si="14">$B$2</f>
        <v>(HOT) K600 Kettle</v>
      </c>
      <c r="U67" t="s">
        <v>876</v>
      </c>
    </row>
    <row r="68" spans="15:35">
      <c r="O68" s="95" t="s">
        <v>674</v>
      </c>
      <c r="P68" s="95" t="s">
        <v>683</v>
      </c>
      <c r="Q68" s="152" t="s">
        <v>16</v>
      </c>
      <c r="R68" s="96" t="str">
        <f t="shared" si="13"/>
        <v>Undetected_Loss_Hours_LJ</v>
      </c>
      <c r="S68" s="267">
        <f t="shared" si="12"/>
        <v>49.851766359194201</v>
      </c>
      <c r="T68" t="str">
        <f t="shared" si="14"/>
        <v>(HOT) K600 Kettle</v>
      </c>
      <c r="U68" t="s">
        <v>876</v>
      </c>
      <c r="AH68" s="6"/>
      <c r="AI68" s="6"/>
    </row>
    <row r="69" spans="15:35">
      <c r="O69" s="95" t="s">
        <v>674</v>
      </c>
      <c r="P69" s="95" t="s">
        <v>683</v>
      </c>
      <c r="Q69" s="152" t="s">
        <v>664</v>
      </c>
      <c r="R69" s="96" t="str">
        <f t="shared" si="13"/>
        <v>Exception hours_Loss_Hours_LJ</v>
      </c>
      <c r="S69" s="267">
        <f t="shared" si="12"/>
        <v>0</v>
      </c>
      <c r="T69" t="str">
        <f t="shared" si="14"/>
        <v>(HOT) K600 Kettle</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K600 Kettle</v>
      </c>
      <c r="U70" t="s">
        <v>876</v>
      </c>
      <c r="AH70" s="6"/>
      <c r="AI70" s="6"/>
    </row>
    <row r="71" spans="15:35">
      <c r="O71" s="95" t="s">
        <v>674</v>
      </c>
      <c r="P71" s="95" t="s">
        <v>683</v>
      </c>
      <c r="Q71" s="152" t="s">
        <v>705</v>
      </c>
      <c r="R71" s="96" t="str">
        <f t="shared" si="13"/>
        <v>Improvement target not assigned_Loss_Hours_LJ</v>
      </c>
      <c r="S71" s="267">
        <f t="shared" si="12"/>
        <v>0</v>
      </c>
      <c r="T71" t="str">
        <f t="shared" si="14"/>
        <v>(HOT) K600 Kettle</v>
      </c>
      <c r="U71" t="s">
        <v>876</v>
      </c>
    </row>
    <row r="72" spans="15:35">
      <c r="O72" s="95" t="s">
        <v>674</v>
      </c>
      <c r="P72" s="95" t="s">
        <v>683</v>
      </c>
      <c r="Q72" s="152" t="s">
        <v>397</v>
      </c>
      <c r="R72" s="96" t="str">
        <f t="shared" si="13"/>
        <v>Sum OEE losses (exluding Planned Maintenance)_Loss_Hours_LJ</v>
      </c>
      <c r="S72" s="267">
        <f t="shared" si="12"/>
        <v>1683.8950095956445</v>
      </c>
      <c r="T72" t="str">
        <f t="shared" si="14"/>
        <v>(HOT) K600 Kettle</v>
      </c>
      <c r="U72" t="s">
        <v>876</v>
      </c>
    </row>
    <row r="73" spans="15:35">
      <c r="O73" s="95" t="s">
        <v>675</v>
      </c>
      <c r="P73" s="95" t="s">
        <v>683</v>
      </c>
      <c r="Q73" s="152" t="s">
        <v>398</v>
      </c>
      <c r="R73" s="96" t="str">
        <f t="shared" si="13"/>
        <v>Sum OEE losses (Including Planned Maintenance)_Loss_Hours_LJ</v>
      </c>
      <c r="S73" s="267">
        <f t="shared" si="12"/>
        <v>1779.6555651121862</v>
      </c>
      <c r="T73" t="str">
        <f t="shared" si="14"/>
        <v>(HOT) K600 Kettle</v>
      </c>
      <c r="U73" t="s">
        <v>876</v>
      </c>
    </row>
    <row r="74" spans="15:35">
      <c r="O74" s="95" t="s">
        <v>675</v>
      </c>
      <c r="P74" s="95" t="s">
        <v>683</v>
      </c>
      <c r="Q74" s="152" t="s">
        <v>712</v>
      </c>
      <c r="R74" s="96" t="str">
        <f t="shared" si="13"/>
        <v>Production hours on MAC (h) / OEE (%)_Loss_Hours_LJ</v>
      </c>
      <c r="S74" s="267">
        <f t="shared" si="12"/>
        <v>5493.8183240411299</v>
      </c>
      <c r="T74" t="str">
        <f t="shared" si="14"/>
        <v>(HOT) K600 Kettle</v>
      </c>
      <c r="U74" t="s">
        <v>876</v>
      </c>
    </row>
    <row r="75" spans="15:35">
      <c r="O75" s="95" t="s">
        <v>675</v>
      </c>
      <c r="P75" s="95" t="s">
        <v>682</v>
      </c>
      <c r="Q75" s="143" t="s">
        <v>13</v>
      </c>
      <c r="R75" s="96" t="str">
        <f t="shared" si="13"/>
        <v>MAC - Calender hours_Loss_Percentage_LJ</v>
      </c>
      <c r="S75" s="268">
        <f>C25</f>
        <v>0</v>
      </c>
      <c r="T75" t="str">
        <f t="shared" si="14"/>
        <v>(HOT) K600 Kettle</v>
      </c>
      <c r="U75" t="s">
        <v>876</v>
      </c>
    </row>
    <row r="76" spans="15:35">
      <c r="O76" s="95" t="s">
        <v>675</v>
      </c>
      <c r="P76" s="95" t="s">
        <v>682</v>
      </c>
      <c r="Q76" s="153" t="s">
        <v>7</v>
      </c>
      <c r="R76" s="96" t="str">
        <f t="shared" si="13"/>
        <v>Commercial Reliability_Loss_Percentage_LJ</v>
      </c>
      <c r="S76" s="268">
        <f t="shared" ref="S76:S95" si="15">C26</f>
        <v>0</v>
      </c>
      <c r="T76" t="str">
        <f t="shared" si="14"/>
        <v>(HOT) K600 Kettle</v>
      </c>
      <c r="U76" t="s">
        <v>876</v>
      </c>
    </row>
    <row r="77" spans="15:35">
      <c r="O77" s="95" t="s">
        <v>675</v>
      </c>
      <c r="P77" s="95" t="s">
        <v>682</v>
      </c>
      <c r="Q77" s="153" t="s">
        <v>704</v>
      </c>
      <c r="R77" s="96" t="str">
        <f t="shared" si="13"/>
        <v>Exception hours (loss excluded from OEE)_Loss_Percentage_LJ</v>
      </c>
      <c r="S77" s="268">
        <f t="shared" si="15"/>
        <v>0</v>
      </c>
      <c r="T77" t="str">
        <f t="shared" si="14"/>
        <v>(HOT) K600 Kettle</v>
      </c>
      <c r="U77" t="s">
        <v>876</v>
      </c>
    </row>
    <row r="78" spans="15:35">
      <c r="O78" s="95" t="s">
        <v>675</v>
      </c>
      <c r="P78" s="95" t="s">
        <v>682</v>
      </c>
      <c r="Q78" s="153" t="s">
        <v>14</v>
      </c>
      <c r="R78" s="96" t="str">
        <f t="shared" si="13"/>
        <v>Available OEE - Scheduled hours_Loss_Percentage_LJ</v>
      </c>
      <c r="S78" s="268">
        <f t="shared" si="15"/>
        <v>1</v>
      </c>
      <c r="T78" t="str">
        <f t="shared" si="14"/>
        <v>(HOT) K600 Kettle</v>
      </c>
      <c r="U78" t="s">
        <v>876</v>
      </c>
    </row>
    <row r="79" spans="15:35">
      <c r="O79" s="95" t="s">
        <v>675</v>
      </c>
      <c r="P79" s="95" t="s">
        <v>682</v>
      </c>
      <c r="Q79" s="153" t="s">
        <v>17</v>
      </c>
      <c r="R79" s="96" t="str">
        <f t="shared" si="13"/>
        <v>Equipment Reliability - Planned TA &amp; Planned SD_Loss_Percentage_LJ</v>
      </c>
      <c r="S79" s="268">
        <f t="shared" si="15"/>
        <v>1.3165724793395662E-2</v>
      </c>
      <c r="T79" t="str">
        <f t="shared" si="14"/>
        <v>(HOT) K600 Kettle</v>
      </c>
      <c r="U79" t="s">
        <v>876</v>
      </c>
    </row>
    <row r="80" spans="15:35">
      <c r="O80" s="95" t="s">
        <v>675</v>
      </c>
      <c r="P80" s="95" t="s">
        <v>682</v>
      </c>
      <c r="Q80" s="153" t="s">
        <v>665</v>
      </c>
      <c r="R80" s="96" t="str">
        <f t="shared" si="13"/>
        <v>Available running OEE - Running hours_Loss_Percentage_LJ</v>
      </c>
      <c r="S80" s="268">
        <f t="shared" si="15"/>
        <v>0.98683427520660427</v>
      </c>
      <c r="T80" t="str">
        <f t="shared" si="14"/>
        <v>(HOT) K600 Kettle</v>
      </c>
      <c r="U80" t="s">
        <v>876</v>
      </c>
    </row>
    <row r="81" spans="15:21">
      <c r="O81" s="95" t="s">
        <v>675</v>
      </c>
      <c r="P81" s="95" t="s">
        <v>682</v>
      </c>
      <c r="Q81" s="153" t="s">
        <v>18</v>
      </c>
      <c r="R81" s="96" t="str">
        <f t="shared" si="13"/>
        <v>Equipment Reliability - Equipment Failure_Loss_Percentage_LJ</v>
      </c>
      <c r="S81" s="268">
        <f t="shared" si="15"/>
        <v>3.356989050271432E-2</v>
      </c>
      <c r="T81" t="str">
        <f t="shared" si="14"/>
        <v>(HOT) K600 Kettle</v>
      </c>
      <c r="U81" t="s">
        <v>876</v>
      </c>
    </row>
    <row r="82" spans="15:21">
      <c r="O82" s="95" t="s">
        <v>675</v>
      </c>
      <c r="P82" s="95" t="s">
        <v>682</v>
      </c>
      <c r="Q82" s="153" t="s">
        <v>1</v>
      </c>
      <c r="R82" s="96" t="str">
        <f t="shared" si="13"/>
        <v>Operational Reliability_Loss_Percentage_LJ</v>
      </c>
      <c r="S82" s="268">
        <f t="shared" si="15"/>
        <v>0.2665876190760722</v>
      </c>
      <c r="T82" t="str">
        <f t="shared" si="14"/>
        <v>(HOT) K600 Kettle</v>
      </c>
      <c r="U82" t="s">
        <v>876</v>
      </c>
    </row>
    <row r="83" spans="15:21">
      <c r="O83" s="95" t="s">
        <v>675</v>
      </c>
      <c r="P83" s="95" t="s">
        <v>682</v>
      </c>
      <c r="Q83" s="153" t="s">
        <v>2</v>
      </c>
      <c r="R83" s="96" t="str">
        <f t="shared" si="13"/>
        <v>Technology Reliability_Loss_Percentage_LJ</v>
      </c>
      <c r="S83" s="268">
        <f t="shared" si="15"/>
        <v>7.8426990260767049E-2</v>
      </c>
      <c r="T83" t="str">
        <f t="shared" si="14"/>
        <v>(HOT) K600 Kettle</v>
      </c>
      <c r="U83" t="s">
        <v>876</v>
      </c>
    </row>
    <row r="84" spans="15:21">
      <c r="O84" s="95" t="s">
        <v>675</v>
      </c>
      <c r="P84" s="95" t="s">
        <v>682</v>
      </c>
      <c r="Q84" s="153" t="s">
        <v>3</v>
      </c>
      <c r="R84" s="96" t="str">
        <f t="shared" si="13"/>
        <v>Material Reliability_Loss_Percentage_LJ</v>
      </c>
      <c r="S84" s="268">
        <f t="shared" si="15"/>
        <v>9.2128146198836077E-3</v>
      </c>
      <c r="T84" t="str">
        <f t="shared" si="14"/>
        <v>(HOT) K600 Kettle</v>
      </c>
      <c r="U84" t="s">
        <v>876</v>
      </c>
    </row>
    <row r="85" spans="15:21">
      <c r="O85" s="95" t="s">
        <v>675</v>
      </c>
      <c r="P85" s="95" t="s">
        <v>682</v>
      </c>
      <c r="Q85" s="153" t="s">
        <v>4</v>
      </c>
      <c r="R85" s="96" t="str">
        <f t="shared" si="13"/>
        <v>Logistics/Supply Reliability_Loss_Percentage_LJ</v>
      </c>
      <c r="S85" s="268">
        <f t="shared" si="15"/>
        <v>7.585440028259195E-3</v>
      </c>
      <c r="T85" t="str">
        <f t="shared" si="14"/>
        <v>(HOT) K600 Kettle</v>
      </c>
      <c r="U85" t="s">
        <v>876</v>
      </c>
    </row>
    <row r="86" spans="15:21">
      <c r="O86" s="95" t="s">
        <v>675</v>
      </c>
      <c r="P86" s="95" t="s">
        <v>682</v>
      </c>
      <c r="Q86" s="153" t="s">
        <v>5</v>
      </c>
      <c r="R86" s="96" t="str">
        <f t="shared" si="13"/>
        <v>External Reliability_Loss_Percentage_LJ</v>
      </c>
      <c r="S86" s="268">
        <f t="shared" si="15"/>
        <v>2.105428301067476E-2</v>
      </c>
      <c r="T86" t="str">
        <f t="shared" si="14"/>
        <v>(HOT) K600 Kettle</v>
      </c>
      <c r="U86" t="s">
        <v>876</v>
      </c>
    </row>
    <row r="87" spans="15:21">
      <c r="O87" s="95" t="s">
        <v>675</v>
      </c>
      <c r="P87" s="95" t="s">
        <v>682</v>
      </c>
      <c r="Q87" s="153" t="s">
        <v>11</v>
      </c>
      <c r="R87" s="96" t="str">
        <f t="shared" si="13"/>
        <v>Other Reliability_Loss_Percentage_LJ</v>
      </c>
      <c r="S87" s="268">
        <f t="shared" si="15"/>
        <v>-0.19177915487735223</v>
      </c>
      <c r="T87" t="str">
        <f t="shared" si="14"/>
        <v>(HOT) K600 Kettle</v>
      </c>
      <c r="U87" t="s">
        <v>876</v>
      </c>
    </row>
    <row r="88" spans="15:21">
      <c r="O88" s="95" t="s">
        <v>675</v>
      </c>
      <c r="P88" s="95" t="s">
        <v>682</v>
      </c>
      <c r="Q88" s="153" t="s">
        <v>15</v>
      </c>
      <c r="R88" s="96" t="str">
        <f t="shared" si="13"/>
        <v>Unspecified_Loss_Percentage_LJ</v>
      </c>
      <c r="S88" s="268">
        <f t="shared" si="15"/>
        <v>0</v>
      </c>
      <c r="T88" t="str">
        <f t="shared" si="14"/>
        <v>(HOT) K600 Kettle</v>
      </c>
      <c r="U88" t="s">
        <v>876</v>
      </c>
    </row>
    <row r="89" spans="15:21">
      <c r="O89" s="95" t="s">
        <v>675</v>
      </c>
      <c r="P89" s="95" t="s">
        <v>682</v>
      </c>
      <c r="Q89" s="153" t="s">
        <v>16</v>
      </c>
      <c r="R89" s="96" t="str">
        <f t="shared" si="13"/>
        <v>Undetected_Loss_Percentage_LJ</v>
      </c>
      <c r="S89" s="268">
        <f t="shared" si="15"/>
        <v>6.8539142532066397E-3</v>
      </c>
      <c r="T89" t="str">
        <f t="shared" si="14"/>
        <v>(HOT) K600 Kettle</v>
      </c>
      <c r="U89" t="s">
        <v>876</v>
      </c>
    </row>
    <row r="90" spans="15:21">
      <c r="O90" s="95" t="s">
        <v>675</v>
      </c>
      <c r="P90" s="95" t="s">
        <v>682</v>
      </c>
      <c r="Q90" s="153" t="s">
        <v>664</v>
      </c>
      <c r="R90" s="96" t="str">
        <f t="shared" si="13"/>
        <v>Exception hours_Loss_Percentage_LJ</v>
      </c>
      <c r="S90" s="268">
        <f t="shared" si="15"/>
        <v>0</v>
      </c>
      <c r="T90" t="str">
        <f t="shared" si="14"/>
        <v>(HOT) K600 Kettle</v>
      </c>
      <c r="U90" t="s">
        <v>876</v>
      </c>
    </row>
    <row r="91" spans="15:21">
      <c r="O91" s="95" t="s">
        <v>675</v>
      </c>
      <c r="P91" s="95" t="s">
        <v>682</v>
      </c>
      <c r="Q91" s="153" t="s">
        <v>703</v>
      </c>
      <c r="R91" s="96" t="str">
        <f t="shared" si="13"/>
        <v>Extra loss hours in baseline due to MAC change_Loss_Percentage_LJ</v>
      </c>
      <c r="S91" s="268">
        <f t="shared" si="15"/>
        <v>0</v>
      </c>
      <c r="T91" t="str">
        <f t="shared" si="14"/>
        <v>(HOT) K600 Kettle</v>
      </c>
      <c r="U91" t="s">
        <v>876</v>
      </c>
    </row>
    <row r="92" spans="15:21">
      <c r="O92" s="95" t="s">
        <v>675</v>
      </c>
      <c r="P92" s="95" t="s">
        <v>682</v>
      </c>
      <c r="Q92" s="153" t="s">
        <v>705</v>
      </c>
      <c r="R92" s="96" t="str">
        <f t="shared" si="13"/>
        <v>Improvement target not assigned_Loss_Percentage_LJ</v>
      </c>
      <c r="S92" s="268">
        <f t="shared" si="15"/>
        <v>0</v>
      </c>
      <c r="T92" t="str">
        <f t="shared" si="14"/>
        <v>(HOT) K600 Kettle</v>
      </c>
      <c r="U92" t="s">
        <v>876</v>
      </c>
    </row>
    <row r="93" spans="15:21">
      <c r="O93" s="95" t="s">
        <v>675</v>
      </c>
      <c r="P93" s="95" t="s">
        <v>682</v>
      </c>
      <c r="Q93" s="153" t="s">
        <v>397</v>
      </c>
      <c r="R93" s="96" t="str">
        <f t="shared" si="13"/>
        <v>Sum OEE losses (exluding Planned Maintenance)_Loss_Percentage_LJ</v>
      </c>
      <c r="S93" s="268">
        <f t="shared" si="15"/>
        <v>0.23151179687422557</v>
      </c>
      <c r="T93" t="str">
        <f t="shared" si="14"/>
        <v>(HOT) K600 Kettle</v>
      </c>
      <c r="U93" t="s">
        <v>876</v>
      </c>
    </row>
    <row r="94" spans="15:21">
      <c r="O94" s="95" t="s">
        <v>675</v>
      </c>
      <c r="P94" s="95" t="s">
        <v>682</v>
      </c>
      <c r="Q94" s="153" t="s">
        <v>398</v>
      </c>
      <c r="R94" s="96" t="str">
        <f t="shared" si="13"/>
        <v>Sum OEE losses (Including Planned Maintenance)_Loss_Percentage_LJ</v>
      </c>
      <c r="S94" s="268">
        <f t="shared" si="15"/>
        <v>0.24467752166762122</v>
      </c>
      <c r="T94" t="str">
        <f t="shared" si="14"/>
        <v>(HOT) K600 Kettle</v>
      </c>
      <c r="U94" t="s">
        <v>876</v>
      </c>
    </row>
    <row r="95" spans="15:21">
      <c r="O95" s="95" t="s">
        <v>675</v>
      </c>
      <c r="P95" s="95" t="s">
        <v>682</v>
      </c>
      <c r="Q95" s="153" t="s">
        <v>712</v>
      </c>
      <c r="R95" s="96" t="str">
        <f t="shared" si="13"/>
        <v>Production hours on MAC (h) / OEE (%)_Loss_Percentage_LJ</v>
      </c>
      <c r="S95" s="268">
        <f t="shared" si="15"/>
        <v>0.75532247833237964</v>
      </c>
      <c r="T95" t="str">
        <f t="shared" si="14"/>
        <v>(HOT) K600 Kettle</v>
      </c>
      <c r="U95" t="s">
        <v>876</v>
      </c>
    </row>
    <row r="96" spans="15:21">
      <c r="O96" s="95" t="s">
        <v>676</v>
      </c>
      <c r="P96" s="95" t="s">
        <v>725</v>
      </c>
      <c r="Q96" s="142" t="s">
        <v>13</v>
      </c>
      <c r="R96" s="96" t="str">
        <f t="shared" si="13"/>
        <v>MAC - Calender hours_Corrected_loss_hours_LY</v>
      </c>
      <c r="S96" s="265">
        <f>D25</f>
        <v>8784</v>
      </c>
      <c r="T96" t="str">
        <f t="shared" si="14"/>
        <v>(HOT) K600 Kettle</v>
      </c>
      <c r="U96" t="s">
        <v>876</v>
      </c>
    </row>
    <row r="97" spans="15:21">
      <c r="O97" s="95" t="s">
        <v>676</v>
      </c>
      <c r="P97" s="95" t="s">
        <v>725</v>
      </c>
      <c r="Q97" s="152" t="s">
        <v>7</v>
      </c>
      <c r="R97" s="96" t="str">
        <f t="shared" si="13"/>
        <v>Commercial Reliability_Corrected_loss_hours_LY</v>
      </c>
      <c r="S97" s="265">
        <f t="shared" ref="S97:S116" si="16">D26</f>
        <v>1510.52611084668</v>
      </c>
      <c r="T97" t="str">
        <f t="shared" si="14"/>
        <v>(HOT) K600 Kettle</v>
      </c>
      <c r="U97" t="s">
        <v>876</v>
      </c>
    </row>
    <row r="98" spans="15:21">
      <c r="O98" s="95" t="s">
        <v>676</v>
      </c>
      <c r="P98" s="95" t="s">
        <v>725</v>
      </c>
      <c r="Q98" s="152" t="s">
        <v>704</v>
      </c>
      <c r="R98" s="96" t="str">
        <f t="shared" si="13"/>
        <v>Exception hours (loss excluded from OEE)_Corrected_loss_hours_LY</v>
      </c>
      <c r="S98" s="265">
        <f t="shared" si="16"/>
        <v>0</v>
      </c>
      <c r="T98" t="str">
        <f t="shared" si="14"/>
        <v>(HOT) K600 Kettle</v>
      </c>
      <c r="U98" t="s">
        <v>876</v>
      </c>
    </row>
    <row r="99" spans="15:21">
      <c r="O99" s="95" t="s">
        <v>676</v>
      </c>
      <c r="P99" s="95" t="s">
        <v>725</v>
      </c>
      <c r="Q99" s="152" t="s">
        <v>14</v>
      </c>
      <c r="R99" s="96" t="str">
        <f t="shared" si="13"/>
        <v>Available OEE - Scheduled hours_Corrected_loss_hours_LY</v>
      </c>
      <c r="S99" s="265">
        <f t="shared" si="16"/>
        <v>7273.4738891533198</v>
      </c>
      <c r="T99" t="str">
        <f t="shared" si="14"/>
        <v>(HOT) K600 Kettle</v>
      </c>
      <c r="U99" t="s">
        <v>876</v>
      </c>
    </row>
    <row r="100" spans="15:21">
      <c r="O100" s="95" t="s">
        <v>676</v>
      </c>
      <c r="P100" s="95" t="s">
        <v>725</v>
      </c>
      <c r="Q100" s="152" t="s">
        <v>17</v>
      </c>
      <c r="R100" s="96" t="str">
        <f t="shared" si="13"/>
        <v>Equipment Reliability - Planned TA &amp; Planned SD_Corrected_loss_hours_LY</v>
      </c>
      <c r="S100" s="265">
        <f t="shared" si="16"/>
        <v>95.7605555165417</v>
      </c>
      <c r="T100" t="str">
        <f t="shared" si="14"/>
        <v>(HOT) K600 Kettle</v>
      </c>
      <c r="U100" t="s">
        <v>876</v>
      </c>
    </row>
    <row r="101" spans="15:21">
      <c r="O101" s="95" t="s">
        <v>676</v>
      </c>
      <c r="P101" s="95" t="s">
        <v>725</v>
      </c>
      <c r="Q101" s="152" t="s">
        <v>665</v>
      </c>
      <c r="R101" s="96" t="str">
        <f t="shared" si="13"/>
        <v>Available running OEE - Running hours_Corrected_loss_hours_LY</v>
      </c>
      <c r="S101" s="265">
        <f t="shared" si="16"/>
        <v>7177.7133336367779</v>
      </c>
      <c r="T101" t="str">
        <f t="shared" si="14"/>
        <v>(HOT) K600 Kettle</v>
      </c>
      <c r="U101" t="s">
        <v>876</v>
      </c>
    </row>
    <row r="102" spans="15:21">
      <c r="O102" s="95" t="s">
        <v>676</v>
      </c>
      <c r="P102" s="95" t="s">
        <v>725</v>
      </c>
      <c r="Q102" s="152" t="s">
        <v>18</v>
      </c>
      <c r="R102" s="96" t="str">
        <f t="shared" si="13"/>
        <v>Equipment Reliability - Equipment Failure_Corrected_loss_hours_LY</v>
      </c>
      <c r="S102" s="265">
        <f t="shared" si="16"/>
        <v>244.16972203322828</v>
      </c>
      <c r="T102" t="str">
        <f t="shared" si="14"/>
        <v>(HOT) K600 Kettle</v>
      </c>
      <c r="U102" t="s">
        <v>876</v>
      </c>
    </row>
    <row r="103" spans="15:21">
      <c r="O103" s="95" t="s">
        <v>676</v>
      </c>
      <c r="P103" s="95" t="s">
        <v>725</v>
      </c>
      <c r="Q103" s="152" t="s">
        <v>1</v>
      </c>
      <c r="R103" s="96" t="str">
        <f t="shared" si="13"/>
        <v>Operational Reliability_Corrected_loss_hours_LY</v>
      </c>
      <c r="S103" s="265">
        <f t="shared" si="16"/>
        <v>1939.0180865213599</v>
      </c>
      <c r="T103" t="str">
        <f t="shared" si="14"/>
        <v>(HOT) K600 Kettle</v>
      </c>
      <c r="U103" t="s">
        <v>876</v>
      </c>
    </row>
    <row r="104" spans="15:21">
      <c r="O104" s="95" t="s">
        <v>676</v>
      </c>
      <c r="P104" s="95" t="s">
        <v>725</v>
      </c>
      <c r="Q104" s="152" t="s">
        <v>2</v>
      </c>
      <c r="R104" s="96" t="str">
        <f t="shared" si="13"/>
        <v>Technology Reliability_Corrected_loss_hours_LY</v>
      </c>
      <c r="S104" s="265">
        <f t="shared" si="16"/>
        <v>570.43666586657002</v>
      </c>
      <c r="T104" t="str">
        <f t="shared" si="14"/>
        <v>(HOT) K600 Kettle</v>
      </c>
      <c r="U104" t="s">
        <v>876</v>
      </c>
    </row>
    <row r="105" spans="15:21">
      <c r="O105" s="95" t="s">
        <v>676</v>
      </c>
      <c r="P105" s="95" t="s">
        <v>725</v>
      </c>
      <c r="Q105" s="152" t="s">
        <v>3</v>
      </c>
      <c r="R105" s="96" t="str">
        <f t="shared" si="13"/>
        <v>Material Reliability_Corrected_loss_hours_LY</v>
      </c>
      <c r="S105" s="265">
        <f t="shared" si="16"/>
        <v>67.009166583333297</v>
      </c>
      <c r="T105" t="str">
        <f t="shared" si="14"/>
        <v>(HOT) K600 Kettle</v>
      </c>
      <c r="U105" t="s">
        <v>876</v>
      </c>
    </row>
    <row r="106" spans="15:21">
      <c r="O106" s="95" t="s">
        <v>676</v>
      </c>
      <c r="P106" s="95" t="s">
        <v>725</v>
      </c>
      <c r="Q106" s="152" t="s">
        <v>4</v>
      </c>
      <c r="R106" s="96" t="str">
        <f t="shared" si="13"/>
        <v>Logistics/Supply Reliability_Corrected_loss_hours_LY</v>
      </c>
      <c r="S106" s="265">
        <f t="shared" si="16"/>
        <v>55.172499983281597</v>
      </c>
      <c r="T106" t="str">
        <f t="shared" si="14"/>
        <v>(HOT) K600 Kettle</v>
      </c>
      <c r="U106" t="s">
        <v>876</v>
      </c>
    </row>
    <row r="107" spans="15:21">
      <c r="O107" s="95" t="s">
        <v>676</v>
      </c>
      <c r="P107" s="95" t="s">
        <v>725</v>
      </c>
      <c r="Q107" s="152" t="s">
        <v>5</v>
      </c>
      <c r="R107" s="96" t="str">
        <f t="shared" si="13"/>
        <v>External Reliability_Corrected_loss_hours_LY</v>
      </c>
      <c r="S107" s="265">
        <f t="shared" si="16"/>
        <v>153.13777773298699</v>
      </c>
      <c r="T107" t="str">
        <f t="shared" si="14"/>
        <v>(HOT) K600 Kettle</v>
      </c>
      <c r="U107" t="s">
        <v>876</v>
      </c>
    </row>
    <row r="108" spans="15:21">
      <c r="O108" s="95" t="s">
        <v>676</v>
      </c>
      <c r="P108" s="95" t="s">
        <v>725</v>
      </c>
      <c r="Q108" s="152" t="s">
        <v>11</v>
      </c>
      <c r="R108" s="96" t="str">
        <f t="shared" si="13"/>
        <v>Other Reliability_Corrected_loss_hours_LY</v>
      </c>
      <c r="S108" s="265">
        <f t="shared" si="16"/>
        <v>-1394.9006754843101</v>
      </c>
      <c r="T108" t="str">
        <f t="shared" si="14"/>
        <v>(HOT) K600 Kettle</v>
      </c>
      <c r="U108" t="s">
        <v>876</v>
      </c>
    </row>
    <row r="109" spans="15:21">
      <c r="O109" s="95" t="s">
        <v>676</v>
      </c>
      <c r="P109" s="95" t="s">
        <v>725</v>
      </c>
      <c r="Q109" s="152" t="s">
        <v>15</v>
      </c>
      <c r="R109" s="96" t="str">
        <f t="shared" si="13"/>
        <v>Unspecified_Corrected_loss_hours_LY</v>
      </c>
      <c r="S109" s="265">
        <f t="shared" si="16"/>
        <v>0</v>
      </c>
      <c r="T109" t="str">
        <f t="shared" si="14"/>
        <v>(HOT) K600 Kettle</v>
      </c>
      <c r="U109" t="s">
        <v>876</v>
      </c>
    </row>
    <row r="110" spans="15:21">
      <c r="O110" s="95" t="s">
        <v>676</v>
      </c>
      <c r="P110" s="95" t="s">
        <v>725</v>
      </c>
      <c r="Q110" s="152" t="s">
        <v>16</v>
      </c>
      <c r="R110" s="96" t="str">
        <f t="shared" si="13"/>
        <v>Undetected_Corrected_loss_hours_LY</v>
      </c>
      <c r="S110" s="265">
        <f t="shared" si="16"/>
        <v>49.851766359194201</v>
      </c>
      <c r="T110" t="str">
        <f t="shared" si="14"/>
        <v>(HOT) K600 Kettle</v>
      </c>
      <c r="U110" t="s">
        <v>876</v>
      </c>
    </row>
    <row r="111" spans="15:21">
      <c r="O111" s="95" t="s">
        <v>676</v>
      </c>
      <c r="P111" s="95" t="s">
        <v>725</v>
      </c>
      <c r="Q111" s="152" t="s">
        <v>664</v>
      </c>
      <c r="R111" s="96" t="str">
        <f t="shared" si="13"/>
        <v>Exception hours_Corrected_loss_hours_LY</v>
      </c>
      <c r="S111" s="265">
        <f t="shared" si="16"/>
        <v>0</v>
      </c>
      <c r="T111" t="str">
        <f t="shared" si="14"/>
        <v>(HOT) K600 Kettle</v>
      </c>
      <c r="U111" t="s">
        <v>876</v>
      </c>
    </row>
    <row r="112" spans="15:21">
      <c r="O112" s="95" t="s">
        <v>676</v>
      </c>
      <c r="P112" s="95" t="s">
        <v>725</v>
      </c>
      <c r="Q112" s="152" t="s">
        <v>703</v>
      </c>
      <c r="R112" s="96" t="str">
        <f t="shared" si="13"/>
        <v>Extra loss hours in baseline due to MAC change_Corrected_loss_hours_LY</v>
      </c>
      <c r="S112" s="265">
        <f t="shared" si="16"/>
        <v>-68.31494820348793</v>
      </c>
      <c r="T112" t="str">
        <f t="shared" si="14"/>
        <v>(HOT) K600 Kettle</v>
      </c>
      <c r="U112" t="s">
        <v>876</v>
      </c>
    </row>
    <row r="113" spans="15:21">
      <c r="O113" s="95" t="s">
        <v>676</v>
      </c>
      <c r="P113" s="95" t="s">
        <v>725</v>
      </c>
      <c r="Q113" s="152" t="s">
        <v>705</v>
      </c>
      <c r="R113" s="96" t="str">
        <f t="shared" si="13"/>
        <v>Improvement target not assigned_Corrected_loss_hours_LY</v>
      </c>
      <c r="S113" s="265">
        <f t="shared" si="16"/>
        <v>0</v>
      </c>
      <c r="T113" t="str">
        <f t="shared" si="14"/>
        <v>(HOT) K600 Kettle</v>
      </c>
      <c r="U113" t="s">
        <v>876</v>
      </c>
    </row>
    <row r="114" spans="15:21">
      <c r="O114" s="95" t="s">
        <v>676</v>
      </c>
      <c r="P114" s="95" t="s">
        <v>725</v>
      </c>
      <c r="Q114" s="152" t="s">
        <v>397</v>
      </c>
      <c r="R114" s="96" t="str">
        <f t="shared" si="13"/>
        <v>Sum OEE losses (exluding Planned Maintenance)_Corrected_loss_hours_LY</v>
      </c>
      <c r="S114" s="265">
        <f t="shared" si="16"/>
        <v>1615.5800613921565</v>
      </c>
      <c r="T114" t="str">
        <f t="shared" si="14"/>
        <v>(HOT) K600 Kettle</v>
      </c>
      <c r="U114" t="s">
        <v>876</v>
      </c>
    </row>
    <row r="115" spans="15:21">
      <c r="O115" s="95" t="s">
        <v>676</v>
      </c>
      <c r="P115" s="95" t="s">
        <v>725</v>
      </c>
      <c r="Q115" s="152" t="s">
        <v>398</v>
      </c>
      <c r="R115" s="96" t="str">
        <f t="shared" si="13"/>
        <v>Sum OEE losses (Including Planned Maintenance)_Corrected_loss_hours_LY</v>
      </c>
      <c r="S115" s="265">
        <f t="shared" si="16"/>
        <v>1711.3406169086982</v>
      </c>
      <c r="T115" t="str">
        <f t="shared" si="14"/>
        <v>(HOT) K600 Kettle</v>
      </c>
      <c r="U115" t="s">
        <v>876</v>
      </c>
    </row>
    <row r="116" spans="15:21">
      <c r="O116" s="95" t="s">
        <v>676</v>
      </c>
      <c r="P116" s="95" t="s">
        <v>725</v>
      </c>
      <c r="Q116" s="152" t="s">
        <v>712</v>
      </c>
      <c r="R116" s="96" t="str">
        <f t="shared" si="13"/>
        <v>Production hours on MAC (h) / OEE (%)_Corrected_loss_hours_LY</v>
      </c>
      <c r="S116" s="265">
        <f t="shared" si="16"/>
        <v>5562.1332722446177</v>
      </c>
      <c r="T116" t="str">
        <f t="shared" si="14"/>
        <v>(HOT) K600 Kettle</v>
      </c>
      <c r="U116" t="s">
        <v>876</v>
      </c>
    </row>
    <row r="117" spans="15:21">
      <c r="O117" s="95" t="s">
        <v>677</v>
      </c>
      <c r="P117" s="95" t="s">
        <v>726</v>
      </c>
      <c r="Q117" s="143" t="s">
        <v>13</v>
      </c>
      <c r="R117" s="96" t="str">
        <f t="shared" si="13"/>
        <v>MAC - Calender hours_Corrected_loss_percentage_LY</v>
      </c>
      <c r="S117" s="264">
        <f>E25</f>
        <v>0</v>
      </c>
      <c r="T117" t="str">
        <f t="shared" si="14"/>
        <v>(HOT) K600 Kettle</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K600 Kettle</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K600 Kettle</v>
      </c>
      <c r="U119" t="s">
        <v>876</v>
      </c>
    </row>
    <row r="120" spans="15:21">
      <c r="O120" s="95" t="s">
        <v>677</v>
      </c>
      <c r="P120" s="95" t="s">
        <v>726</v>
      </c>
      <c r="Q120" s="153" t="s">
        <v>14</v>
      </c>
      <c r="R120" s="96" t="str">
        <f t="shared" si="13"/>
        <v>Available OEE - Scheduled hours_Corrected_loss_percentage_LY</v>
      </c>
      <c r="S120" s="264">
        <f t="shared" si="17"/>
        <v>1</v>
      </c>
      <c r="T120" t="str">
        <f t="shared" si="14"/>
        <v>(HOT) K600 Kettle</v>
      </c>
      <c r="U120" t="s">
        <v>876</v>
      </c>
    </row>
    <row r="121" spans="15:21">
      <c r="O121" s="95" t="s">
        <v>677</v>
      </c>
      <c r="P121" s="95" t="s">
        <v>726</v>
      </c>
      <c r="Q121" s="153" t="s">
        <v>17</v>
      </c>
      <c r="R121" s="96" t="str">
        <f t="shared" si="13"/>
        <v>Equipment Reliability - Planned TA &amp; Planned SD_Corrected_loss_percentage_LY</v>
      </c>
      <c r="S121" s="264">
        <f t="shared" si="17"/>
        <v>1.3165724793395644E-2</v>
      </c>
      <c r="T121" t="str">
        <f t="shared" si="14"/>
        <v>(HOT) K600 Kettle</v>
      </c>
      <c r="U121" t="s">
        <v>876</v>
      </c>
    </row>
    <row r="122" spans="15:21">
      <c r="O122" s="95" t="s">
        <v>677</v>
      </c>
      <c r="P122" s="95" t="s">
        <v>726</v>
      </c>
      <c r="Q122" s="153" t="s">
        <v>665</v>
      </c>
      <c r="R122" s="96" t="str">
        <f t="shared" si="13"/>
        <v>Available running OEE - Running hours_Corrected_loss_percentage_LY</v>
      </c>
      <c r="S122" s="264">
        <f t="shared" si="17"/>
        <v>0.98683427520660438</v>
      </c>
      <c r="T122" t="str">
        <f t="shared" si="14"/>
        <v>(HOT) K600 Kettle</v>
      </c>
      <c r="U122" t="s">
        <v>876</v>
      </c>
    </row>
    <row r="123" spans="15:21">
      <c r="O123" s="95" t="s">
        <v>677</v>
      </c>
      <c r="P123" s="95" t="s">
        <v>726</v>
      </c>
      <c r="Q123" s="153" t="s">
        <v>18</v>
      </c>
      <c r="R123" s="96" t="str">
        <f t="shared" si="13"/>
        <v>Equipment Reliability - Equipment Failure_Corrected_loss_percentage_LY</v>
      </c>
      <c r="S123" s="264">
        <f t="shared" si="17"/>
        <v>3.3569890502714271E-2</v>
      </c>
      <c r="T123" t="str">
        <f t="shared" si="14"/>
        <v>(HOT) K600 Kettle</v>
      </c>
      <c r="U123" t="s">
        <v>876</v>
      </c>
    </row>
    <row r="124" spans="15:21">
      <c r="O124" s="95" t="s">
        <v>677</v>
      </c>
      <c r="P124" s="95" t="s">
        <v>726</v>
      </c>
      <c r="Q124" s="153" t="s">
        <v>1</v>
      </c>
      <c r="R124" s="96" t="str">
        <f t="shared" si="13"/>
        <v>Operational Reliability_Corrected_loss_percentage_LY</v>
      </c>
      <c r="S124" s="264">
        <f t="shared" si="17"/>
        <v>0.26658761907607181</v>
      </c>
      <c r="T124" t="str">
        <f t="shared" si="14"/>
        <v>(HOT) K600 Kettle</v>
      </c>
      <c r="U124" t="s">
        <v>876</v>
      </c>
    </row>
    <row r="125" spans="15:21">
      <c r="O125" s="95" t="s">
        <v>677</v>
      </c>
      <c r="P125" s="95" t="s">
        <v>726</v>
      </c>
      <c r="Q125" s="153" t="s">
        <v>2</v>
      </c>
      <c r="R125" s="96" t="str">
        <f t="shared" si="13"/>
        <v>Technology Reliability_Corrected_loss_percentage_LY</v>
      </c>
      <c r="S125" s="264">
        <f t="shared" si="17"/>
        <v>7.8426990260766938E-2</v>
      </c>
      <c r="T125" t="str">
        <f t="shared" si="14"/>
        <v>(HOT) K600 Kettle</v>
      </c>
      <c r="U125" t="s">
        <v>876</v>
      </c>
    </row>
    <row r="126" spans="15:21">
      <c r="O126" s="95" t="s">
        <v>677</v>
      </c>
      <c r="P126" s="95" t="s">
        <v>726</v>
      </c>
      <c r="Q126" s="153" t="s">
        <v>3</v>
      </c>
      <c r="R126" s="96" t="str">
        <f t="shared" si="13"/>
        <v>Material Reliability_Corrected_loss_percentage_LY</v>
      </c>
      <c r="S126" s="264">
        <f t="shared" si="17"/>
        <v>9.2128146198835956E-3</v>
      </c>
      <c r="T126" t="str">
        <f t="shared" si="14"/>
        <v>(HOT) K600 Kettle</v>
      </c>
      <c r="U126" t="s">
        <v>876</v>
      </c>
    </row>
    <row r="127" spans="15:21">
      <c r="O127" s="95" t="s">
        <v>677</v>
      </c>
      <c r="P127" s="95" t="s">
        <v>726</v>
      </c>
      <c r="Q127" s="153" t="s">
        <v>4</v>
      </c>
      <c r="R127" s="96" t="str">
        <f t="shared" si="13"/>
        <v>Logistics/Supply Reliability_Corrected_loss_percentage_LY</v>
      </c>
      <c r="S127" s="264">
        <f t="shared" si="17"/>
        <v>7.5854400282591846E-3</v>
      </c>
      <c r="T127" t="str">
        <f t="shared" si="14"/>
        <v>(HOT) K600 Kettle</v>
      </c>
      <c r="U127" t="s">
        <v>876</v>
      </c>
    </row>
    <row r="128" spans="15:21">
      <c r="O128" s="95" t="s">
        <v>677</v>
      </c>
      <c r="P128" s="95" t="s">
        <v>726</v>
      </c>
      <c r="Q128" s="153" t="s">
        <v>5</v>
      </c>
      <c r="R128" s="96" t="str">
        <f t="shared" si="13"/>
        <v>External Reliability_Corrected_loss_percentage_LY</v>
      </c>
      <c r="S128" s="264">
        <f t="shared" si="17"/>
        <v>2.1054283010674728E-2</v>
      </c>
      <c r="T128" t="str">
        <f t="shared" si="14"/>
        <v>(HOT) K600 Kettle</v>
      </c>
      <c r="U128" t="s">
        <v>876</v>
      </c>
    </row>
    <row r="129" spans="15:21">
      <c r="O129" s="95" t="s">
        <v>677</v>
      </c>
      <c r="P129" s="95" t="s">
        <v>726</v>
      </c>
      <c r="Q129" s="153" t="s">
        <v>11</v>
      </c>
      <c r="R129" s="96" t="str">
        <f t="shared" si="13"/>
        <v>Other Reliability_Corrected_loss_percentage_LY</v>
      </c>
      <c r="S129" s="264">
        <f t="shared" si="17"/>
        <v>-0.19177915487735198</v>
      </c>
      <c r="T129" t="str">
        <f t="shared" si="14"/>
        <v>(HOT) K600 Kettle</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(HOT) K600 Kettle</v>
      </c>
      <c r="U130" t="s">
        <v>876</v>
      </c>
    </row>
    <row r="131" spans="15:21">
      <c r="O131" s="95" t="s">
        <v>677</v>
      </c>
      <c r="P131" s="95" t="s">
        <v>726</v>
      </c>
      <c r="Q131" s="153" t="s">
        <v>16</v>
      </c>
      <c r="R131" s="96" t="str">
        <f t="shared" si="18"/>
        <v>Undetected_Corrected_loss_percentage_LY</v>
      </c>
      <c r="S131" s="264">
        <f t="shared" si="17"/>
        <v>6.8539142532066302E-3</v>
      </c>
      <c r="T131" t="str">
        <f t="shared" ref="T131:T194" si="19">$B$2</f>
        <v>(HOT) K600 Kettle</v>
      </c>
      <c r="U131" t="s">
        <v>876</v>
      </c>
    </row>
    <row r="132" spans="15:21">
      <c r="O132" s="95" t="s">
        <v>677</v>
      </c>
      <c r="P132" s="95" t="s">
        <v>726</v>
      </c>
      <c r="Q132" s="153" t="s">
        <v>664</v>
      </c>
      <c r="R132" s="96" t="str">
        <f t="shared" si="18"/>
        <v>Exception hours_Corrected_loss_percentage_LY</v>
      </c>
      <c r="S132" s="264">
        <f t="shared" si="17"/>
        <v>0</v>
      </c>
      <c r="T132" t="str">
        <f t="shared" si="19"/>
        <v>(HOT) K600 Kettle</v>
      </c>
      <c r="U132" t="s">
        <v>876</v>
      </c>
    </row>
    <row r="133" spans="15:21">
      <c r="O133" s="95" t="s">
        <v>677</v>
      </c>
      <c r="P133" s="95" t="s">
        <v>726</v>
      </c>
      <c r="Q133" s="153" t="s">
        <v>703</v>
      </c>
      <c r="R133" s="96" t="str">
        <f t="shared" si="18"/>
        <v>Extra loss hours in baseline due to MAC change_Corrected_loss_percentage_LY</v>
      </c>
      <c r="S133" s="264">
        <f t="shared" si="17"/>
        <v>-9.3923411625033322E-3</v>
      </c>
      <c r="T133" t="str">
        <f t="shared" si="19"/>
        <v>(HOT) K600 Kettle</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K600 Kettle</v>
      </c>
      <c r="U134" t="s">
        <v>876</v>
      </c>
    </row>
    <row r="135" spans="15:21">
      <c r="O135" s="95" t="s">
        <v>677</v>
      </c>
      <c r="P135" s="95" t="s">
        <v>726</v>
      </c>
      <c r="Q135" s="153" t="s">
        <v>397</v>
      </c>
      <c r="R135" s="96" t="str">
        <f t="shared" si="18"/>
        <v>Sum OEE losses (exluding Planned Maintenance)_Corrected_loss_percentage_LY</v>
      </c>
      <c r="S135" s="264">
        <f t="shared" si="17"/>
        <v>0.2221194557117219</v>
      </c>
      <c r="T135" t="str">
        <f t="shared" si="19"/>
        <v>(HOT) K600 Kettle</v>
      </c>
      <c r="U135" t="s">
        <v>876</v>
      </c>
    </row>
    <row r="136" spans="15:21">
      <c r="O136" s="95" t="s">
        <v>677</v>
      </c>
      <c r="P136" s="95" t="s">
        <v>726</v>
      </c>
      <c r="Q136" s="153" t="s">
        <v>398</v>
      </c>
      <c r="R136" s="96" t="str">
        <f t="shared" si="18"/>
        <v>Sum OEE losses (Including Planned Maintenance)_Corrected_loss_percentage_LY</v>
      </c>
      <c r="S136" s="264">
        <f t="shared" si="17"/>
        <v>0.23528518050511754</v>
      </c>
      <c r="T136" t="str">
        <f t="shared" si="19"/>
        <v>(HOT) K600 Kettle</v>
      </c>
      <c r="U136" t="s">
        <v>876</v>
      </c>
    </row>
    <row r="137" spans="15:21">
      <c r="O137" s="95" t="s">
        <v>677</v>
      </c>
      <c r="P137" s="95" t="s">
        <v>726</v>
      </c>
      <c r="Q137" s="153" t="s">
        <v>712</v>
      </c>
      <c r="R137" s="96" t="str">
        <f t="shared" si="18"/>
        <v>Production hours on MAC (h) / OEE (%)_Corrected_loss_percentage_LY</v>
      </c>
      <c r="S137" s="264">
        <f t="shared" si="17"/>
        <v>0.76471481949488196</v>
      </c>
      <c r="T137" t="str">
        <f t="shared" si="19"/>
        <v>(HOT) K600 Kettle</v>
      </c>
      <c r="U137" t="s">
        <v>876</v>
      </c>
    </row>
    <row r="138" spans="15:21">
      <c r="O138" s="95" t="s">
        <v>679</v>
      </c>
      <c r="P138" s="95" t="s">
        <v>688</v>
      </c>
      <c r="Q138" s="142" t="s">
        <v>13</v>
      </c>
      <c r="R138" s="96" t="str">
        <f t="shared" si="18"/>
        <v>MAC - Calender hours_OEE Improvement_Hours</v>
      </c>
      <c r="S138" s="265">
        <f t="shared" ref="S138:S158" si="20">G25</f>
        <v>0</v>
      </c>
      <c r="T138" t="str">
        <f t="shared" si="19"/>
        <v>(HOT) K600 Kettle</v>
      </c>
      <c r="U138" t="s">
        <v>876</v>
      </c>
    </row>
    <row r="139" spans="15:21">
      <c r="O139" s="95" t="s">
        <v>679</v>
      </c>
      <c r="P139" s="95" t="s">
        <v>688</v>
      </c>
      <c r="Q139" s="152" t="s">
        <v>7</v>
      </c>
      <c r="R139" s="96" t="str">
        <f t="shared" si="18"/>
        <v>Commercial Reliability_OEE Improvement_Hours</v>
      </c>
      <c r="S139" s="265">
        <f t="shared" si="20"/>
        <v>-271.46859929636071</v>
      </c>
      <c r="T139" t="str">
        <f t="shared" si="19"/>
        <v>(HOT) K600 Kettle</v>
      </c>
      <c r="U139" t="s">
        <v>876</v>
      </c>
    </row>
    <row r="140" spans="15:21">
      <c r="O140" s="95" t="s">
        <v>679</v>
      </c>
      <c r="P140" s="95" t="s">
        <v>688</v>
      </c>
      <c r="Q140" s="152" t="s">
        <v>704</v>
      </c>
      <c r="R140" s="96" t="str">
        <f t="shared" si="18"/>
        <v>Exception hours (loss excluded from OEE)_OEE Improvement_Hours</v>
      </c>
      <c r="S140" s="265">
        <f t="shared" si="20"/>
        <v>0</v>
      </c>
      <c r="T140" t="str">
        <f t="shared" si="19"/>
        <v>(HOT) K600 Kettle</v>
      </c>
      <c r="U140" t="s">
        <v>876</v>
      </c>
    </row>
    <row r="141" spans="15:21">
      <c r="O141" s="95" t="s">
        <v>679</v>
      </c>
      <c r="P141" s="95" t="s">
        <v>688</v>
      </c>
      <c r="Q141" s="152" t="s">
        <v>14</v>
      </c>
      <c r="R141" s="96" t="str">
        <f t="shared" si="18"/>
        <v>Available OEE - Scheduled hours_OEE Improvement_Hours</v>
      </c>
      <c r="S141" s="265">
        <f t="shared" si="20"/>
        <v>295.46859929636048</v>
      </c>
      <c r="T141" t="str">
        <f t="shared" si="19"/>
        <v>(HOT) K600 Kettle</v>
      </c>
      <c r="U141" t="s">
        <v>876</v>
      </c>
    </row>
    <row r="142" spans="15:21">
      <c r="O142" s="95" t="s">
        <v>679</v>
      </c>
      <c r="P142" s="95" t="s">
        <v>688</v>
      </c>
      <c r="Q142" s="152" t="s">
        <v>17</v>
      </c>
      <c r="R142" s="96" t="str">
        <f t="shared" si="18"/>
        <v>Equipment Reliability - Planned TA &amp; Planned SD_OEE Improvement_Hours</v>
      </c>
      <c r="S142" s="265">
        <f t="shared" si="20"/>
        <v>95.7605555165417</v>
      </c>
      <c r="T142" t="str">
        <f t="shared" si="19"/>
        <v>(HOT) K600 Kettle</v>
      </c>
      <c r="U142" t="s">
        <v>876</v>
      </c>
    </row>
    <row r="143" spans="15:21">
      <c r="O143" s="95" t="s">
        <v>679</v>
      </c>
      <c r="P143" s="95" t="s">
        <v>688</v>
      </c>
      <c r="Q143" s="152" t="s">
        <v>665</v>
      </c>
      <c r="R143" s="96" t="str">
        <f t="shared" si="18"/>
        <v>Available running OEE - Running hours_OEE Improvement_Hours</v>
      </c>
      <c r="S143" s="265">
        <f t="shared" si="20"/>
        <v>199.70804377981858</v>
      </c>
      <c r="T143" t="str">
        <f t="shared" si="19"/>
        <v>(HOT) K600 Kettle</v>
      </c>
      <c r="U143" t="s">
        <v>876</v>
      </c>
    </row>
    <row r="144" spans="15:21">
      <c r="O144" s="95" t="s">
        <v>679</v>
      </c>
      <c r="P144" s="95" t="s">
        <v>688</v>
      </c>
      <c r="Q144" s="152" t="s">
        <v>18</v>
      </c>
      <c r="R144" s="96" t="str">
        <f t="shared" si="18"/>
        <v>Equipment Reliability - Equipment Failure_OEE Improvement_Hours</v>
      </c>
      <c r="S144" s="265">
        <f t="shared" si="20"/>
        <v>9.9188485253692136</v>
      </c>
      <c r="T144" t="str">
        <f t="shared" si="19"/>
        <v>(HOT) K600 Kettle</v>
      </c>
      <c r="U144" t="s">
        <v>876</v>
      </c>
    </row>
    <row r="145" spans="15:21">
      <c r="O145" s="95" t="s">
        <v>679</v>
      </c>
      <c r="P145" s="95" t="s">
        <v>688</v>
      </c>
      <c r="Q145" s="152" t="s">
        <v>1</v>
      </c>
      <c r="R145" s="96" t="str">
        <f t="shared" si="18"/>
        <v>Operational Reliability_OEE Improvement_Hours</v>
      </c>
      <c r="S145" s="265">
        <f t="shared" si="20"/>
        <v>78.768270398158847</v>
      </c>
      <c r="T145" t="str">
        <f t="shared" si="19"/>
        <v>(HOT) K600 Kettle</v>
      </c>
      <c r="U145" t="s">
        <v>876</v>
      </c>
    </row>
    <row r="146" spans="15:21">
      <c r="O146" s="95" t="s">
        <v>679</v>
      </c>
      <c r="P146" s="95" t="s">
        <v>688</v>
      </c>
      <c r="Q146" s="152" t="s">
        <v>2</v>
      </c>
      <c r="R146" s="96" t="str">
        <f t="shared" si="18"/>
        <v>Technology Reliability_OEE Improvement_Hours</v>
      </c>
      <c r="S146" s="265">
        <f t="shared" si="20"/>
        <v>23.172712959378146</v>
      </c>
      <c r="T146" t="str">
        <f t="shared" si="19"/>
        <v>(HOT) K600 Kettle</v>
      </c>
      <c r="U146" t="s">
        <v>876</v>
      </c>
    </row>
    <row r="147" spans="15:21">
      <c r="O147" s="95" t="s">
        <v>679</v>
      </c>
      <c r="P147" s="95" t="s">
        <v>688</v>
      </c>
      <c r="Q147" s="152" t="s">
        <v>3</v>
      </c>
      <c r="R147" s="96" t="str">
        <f t="shared" si="18"/>
        <v>Material Reliability_OEE Improvement_Hours</v>
      </c>
      <c r="S147" s="265">
        <f t="shared" si="20"/>
        <v>2.7220974313140403</v>
      </c>
      <c r="T147" t="str">
        <f t="shared" si="19"/>
        <v>(HOT) K600 Kettle</v>
      </c>
      <c r="U147" t="s">
        <v>876</v>
      </c>
    </row>
    <row r="148" spans="15:21">
      <c r="O148" s="95" t="s">
        <v>679</v>
      </c>
      <c r="P148" s="95" t="s">
        <v>688</v>
      </c>
      <c r="Q148" s="152" t="s">
        <v>4</v>
      </c>
      <c r="R148" s="96" t="str">
        <f t="shared" si="18"/>
        <v>Logistics/Supply Reliability_OEE Improvement_Hours</v>
      </c>
      <c r="S148" s="265">
        <f t="shared" si="20"/>
        <v>2.2412593401962866</v>
      </c>
      <c r="T148" t="str">
        <f t="shared" si="19"/>
        <v>(HOT) K600 Kettle</v>
      </c>
      <c r="U148" t="s">
        <v>876</v>
      </c>
    </row>
    <row r="149" spans="15:21">
      <c r="O149" s="95" t="s">
        <v>679</v>
      </c>
      <c r="P149" s="95" t="s">
        <v>688</v>
      </c>
      <c r="Q149" s="152" t="s">
        <v>5</v>
      </c>
      <c r="R149" s="96" t="str">
        <f t="shared" si="18"/>
        <v>External Reliability_OEE Improvement_Hours</v>
      </c>
      <c r="S149" s="265">
        <f t="shared" si="20"/>
        <v>6.2208795103532282</v>
      </c>
      <c r="T149" t="str">
        <f t="shared" si="19"/>
        <v>(HOT) K600 Kettle</v>
      </c>
      <c r="U149" t="s">
        <v>876</v>
      </c>
    </row>
    <row r="150" spans="15:21">
      <c r="O150" s="95" t="s">
        <v>679</v>
      </c>
      <c r="P150" s="95" t="s">
        <v>688</v>
      </c>
      <c r="Q150" s="152" t="s">
        <v>11</v>
      </c>
      <c r="R150" s="96" t="str">
        <f t="shared" si="18"/>
        <v>Other Reliability_OEE Improvement_Hours</v>
      </c>
      <c r="S150" s="265">
        <f t="shared" si="20"/>
        <v>-56.664718265850979</v>
      </c>
      <c r="T150" t="str">
        <f t="shared" si="19"/>
        <v>(HOT) K600 Kettle</v>
      </c>
      <c r="U150" t="s">
        <v>876</v>
      </c>
    </row>
    <row r="151" spans="15:21">
      <c r="O151" s="95" t="s">
        <v>679</v>
      </c>
      <c r="P151" s="95" t="s">
        <v>688</v>
      </c>
      <c r="Q151" s="152" t="s">
        <v>15</v>
      </c>
      <c r="R151" s="96" t="str">
        <f t="shared" si="18"/>
        <v>Unspecified_OEE Improvement_Hours</v>
      </c>
      <c r="S151" s="265">
        <f t="shared" si="20"/>
        <v>0</v>
      </c>
      <c r="T151" t="str">
        <f t="shared" si="19"/>
        <v>(HOT) K600 Kettle</v>
      </c>
      <c r="U151" t="s">
        <v>876</v>
      </c>
    </row>
    <row r="152" spans="15:21">
      <c r="O152" s="95" t="s">
        <v>679</v>
      </c>
      <c r="P152" s="95" t="s">
        <v>688</v>
      </c>
      <c r="Q152" s="152" t="s">
        <v>16</v>
      </c>
      <c r="R152" s="96" t="str">
        <f t="shared" si="18"/>
        <v>Undetected_OEE Improvement_Hours</v>
      </c>
      <c r="S152" s="265">
        <f t="shared" si="20"/>
        <v>2.0251164440923262</v>
      </c>
      <c r="T152" t="str">
        <f t="shared" si="19"/>
        <v>(HOT) K600 Kettle</v>
      </c>
      <c r="U152" t="s">
        <v>876</v>
      </c>
    </row>
    <row r="153" spans="15:21">
      <c r="O153" s="95" t="s">
        <v>679</v>
      </c>
      <c r="P153" s="95" t="s">
        <v>688</v>
      </c>
      <c r="Q153" s="152" t="s">
        <v>664</v>
      </c>
      <c r="R153" s="96" t="str">
        <f t="shared" si="18"/>
        <v>Exception hours_OEE Improvement_Hours</v>
      </c>
      <c r="S153" s="265">
        <f t="shared" si="20"/>
        <v>0</v>
      </c>
      <c r="T153" t="str">
        <f t="shared" si="19"/>
        <v>(HOT) K600 Kettle</v>
      </c>
      <c r="U153" t="s">
        <v>876</v>
      </c>
    </row>
    <row r="154" spans="15:21">
      <c r="O154" s="95" t="s">
        <v>679</v>
      </c>
      <c r="P154" s="95" t="s">
        <v>688</v>
      </c>
      <c r="Q154" s="152" t="s">
        <v>703</v>
      </c>
      <c r="R154" s="96" t="str">
        <f t="shared" si="18"/>
        <v>Extra loss hours in baseline due to MAC change_OEE Improvement_Hours</v>
      </c>
      <c r="S154" s="265">
        <f t="shared" si="20"/>
        <v>-68.31494820348793</v>
      </c>
      <c r="T154" t="str">
        <f t="shared" si="19"/>
        <v>(HOT) K600 Kettle</v>
      </c>
      <c r="U154" t="s">
        <v>876</v>
      </c>
    </row>
    <row r="155" spans="15:21">
      <c r="O155" s="95" t="s">
        <v>679</v>
      </c>
      <c r="P155" s="95" t="s">
        <v>688</v>
      </c>
      <c r="Q155" s="152" t="s">
        <v>705</v>
      </c>
      <c r="R155" s="96" t="str">
        <f t="shared" si="18"/>
        <v>Improvement target not assigned_OEE Improvement_Hours</v>
      </c>
      <c r="S155" s="265">
        <f t="shared" si="20"/>
        <v>0</v>
      </c>
      <c r="T155" t="str">
        <f t="shared" si="19"/>
        <v>(HOT) K600 Kettle</v>
      </c>
      <c r="U155" t="s">
        <v>876</v>
      </c>
    </row>
    <row r="156" spans="15:21">
      <c r="O156" s="95" t="s">
        <v>679</v>
      </c>
      <c r="P156" s="95" t="s">
        <v>688</v>
      </c>
      <c r="Q156" s="152" t="s">
        <v>397</v>
      </c>
      <c r="R156" s="96" t="str">
        <f t="shared" si="18"/>
        <v>Sum OEE losses (exluding Planned Maintenance)_OEE Improvement_Hours</v>
      </c>
      <c r="S156" s="265">
        <f t="shared" si="20"/>
        <v>-184.5109583365238</v>
      </c>
      <c r="T156" t="str">
        <f t="shared" si="19"/>
        <v>(HOT) K600 Kettle</v>
      </c>
      <c r="U156" t="s">
        <v>876</v>
      </c>
    </row>
    <row r="157" spans="15:21">
      <c r="O157" s="95" t="s">
        <v>679</v>
      </c>
      <c r="P157" s="95" t="s">
        <v>688</v>
      </c>
      <c r="Q157" s="152" t="s">
        <v>398</v>
      </c>
      <c r="R157" s="96" t="str">
        <f t="shared" si="18"/>
        <v>Sum OEE losses (Including Planned Maintenance)_OEE Improvement_Hours</v>
      </c>
      <c r="S157" s="265">
        <f t="shared" si="20"/>
        <v>-280.27151385306547</v>
      </c>
      <c r="T157" t="str">
        <f t="shared" si="19"/>
        <v>(HOT) K600 Kettle</v>
      </c>
      <c r="U157" t="s">
        <v>876</v>
      </c>
    </row>
    <row r="158" spans="15:21">
      <c r="O158" s="95" t="s">
        <v>679</v>
      </c>
      <c r="P158" s="95" t="s">
        <v>688</v>
      </c>
      <c r="Q158" s="152" t="s">
        <v>712</v>
      </c>
      <c r="R158" s="96" t="str">
        <f t="shared" si="18"/>
        <v>Production hours on MAC (h) / OEE (%)_OEE Improvement_Hours</v>
      </c>
      <c r="S158" s="265">
        <f t="shared" si="20"/>
        <v>-15.197085443291144</v>
      </c>
      <c r="T158" t="str">
        <f t="shared" si="19"/>
        <v>(HOT) K600 Kettle</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K600 Kettle</v>
      </c>
      <c r="U159" t="s">
        <v>876</v>
      </c>
    </row>
    <row r="160" spans="15:21">
      <c r="O160" s="95" t="s">
        <v>723</v>
      </c>
      <c r="P160" s="95" t="s">
        <v>689</v>
      </c>
      <c r="Q160" s="153" t="s">
        <v>7</v>
      </c>
      <c r="R160" s="96" t="str">
        <f t="shared" si="18"/>
        <v>Commercial Reliability_OEE_Improvement_Percentage</v>
      </c>
      <c r="S160" s="264">
        <f t="shared" si="21"/>
        <v>0</v>
      </c>
      <c r="T160" t="str">
        <f t="shared" si="19"/>
        <v>(HOT) K600 Kettle</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K600 Kettle</v>
      </c>
      <c r="U161" t="s">
        <v>876</v>
      </c>
    </row>
    <row r="162" spans="15:21">
      <c r="O162" s="95" t="s">
        <v>723</v>
      </c>
      <c r="P162" s="95" t="s">
        <v>689</v>
      </c>
      <c r="Q162" s="153" t="s">
        <v>14</v>
      </c>
      <c r="R162" s="96" t="str">
        <f t="shared" si="18"/>
        <v>Available OEE - Scheduled hours_OEE_Improvement_Percentage</v>
      </c>
      <c r="S162" s="264">
        <f t="shared" si="21"/>
        <v>0</v>
      </c>
      <c r="T162" t="str">
        <f t="shared" si="19"/>
        <v>(HOT) K600 Kettle</v>
      </c>
      <c r="U162" t="s">
        <v>876</v>
      </c>
    </row>
    <row r="163" spans="15:21">
      <c r="O163" s="95" t="s">
        <v>723</v>
      </c>
      <c r="P163" s="95" t="s">
        <v>689</v>
      </c>
      <c r="Q163" s="153" t="s">
        <v>17</v>
      </c>
      <c r="R163" s="96" t="str">
        <f t="shared" si="18"/>
        <v>Equipment Reliability - Planned TA &amp; Planned SD_OEE_Improvement_Percentage</v>
      </c>
      <c r="S163" s="264">
        <f t="shared" si="21"/>
        <v>1.3165724793395662E-2</v>
      </c>
      <c r="T163" t="str">
        <f t="shared" si="19"/>
        <v>(HOT) K600 Kettle</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K600 Kettle</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(HOT) K600 Kettle</v>
      </c>
      <c r="U165" t="s">
        <v>876</v>
      </c>
    </row>
    <row r="166" spans="15:21">
      <c r="O166" s="95" t="s">
        <v>723</v>
      </c>
      <c r="P166" s="95" t="s">
        <v>689</v>
      </c>
      <c r="Q166" s="153" t="s">
        <v>1</v>
      </c>
      <c r="R166" s="96" t="str">
        <f t="shared" si="18"/>
        <v>Operational Reliability_OEE_Improvement_Percentage</v>
      </c>
      <c r="S166" s="264">
        <f t="shared" si="21"/>
        <v>0</v>
      </c>
      <c r="T166" t="str">
        <f t="shared" si="19"/>
        <v>(HOT) K600 Kettle</v>
      </c>
      <c r="U166" t="s">
        <v>876</v>
      </c>
    </row>
    <row r="167" spans="15:21">
      <c r="O167" s="95" t="s">
        <v>723</v>
      </c>
      <c r="P167" s="95" t="s">
        <v>689</v>
      </c>
      <c r="Q167" s="153" t="s">
        <v>2</v>
      </c>
      <c r="R167" s="96" t="str">
        <f t="shared" si="18"/>
        <v>Technology Reliability_OEE_Improvement_Percentage</v>
      </c>
      <c r="S167" s="264">
        <f t="shared" si="21"/>
        <v>0</v>
      </c>
      <c r="T167" t="str">
        <f t="shared" si="19"/>
        <v>(HOT) K600 Kettle</v>
      </c>
      <c r="U167" t="s">
        <v>876</v>
      </c>
    </row>
    <row r="168" spans="15:21">
      <c r="O168" s="95" t="s">
        <v>723</v>
      </c>
      <c r="P168" s="95" t="s">
        <v>689</v>
      </c>
      <c r="Q168" s="153" t="s">
        <v>3</v>
      </c>
      <c r="R168" s="96" t="str">
        <f t="shared" si="18"/>
        <v>Material Reliability_OEE_Improvement_Percentage</v>
      </c>
      <c r="S168" s="264">
        <f t="shared" si="21"/>
        <v>0</v>
      </c>
      <c r="T168" t="str">
        <f t="shared" si="19"/>
        <v>(HOT) K600 Kettle</v>
      </c>
      <c r="U168" t="s">
        <v>876</v>
      </c>
    </row>
    <row r="169" spans="15:21">
      <c r="O169" s="95" t="s">
        <v>723</v>
      </c>
      <c r="P169" s="95" t="s">
        <v>689</v>
      </c>
      <c r="Q169" s="153" t="s">
        <v>4</v>
      </c>
      <c r="R169" s="96" t="str">
        <f t="shared" si="18"/>
        <v>Logistics/Supply Reliability_OEE_Improvement_Percentage</v>
      </c>
      <c r="S169" s="264">
        <f t="shared" si="21"/>
        <v>0</v>
      </c>
      <c r="T169" t="str">
        <f t="shared" si="19"/>
        <v>(HOT) K600 Kettle</v>
      </c>
      <c r="U169" t="s">
        <v>876</v>
      </c>
    </row>
    <row r="170" spans="15:21">
      <c r="O170" s="95" t="s">
        <v>723</v>
      </c>
      <c r="P170" s="95" t="s">
        <v>689</v>
      </c>
      <c r="Q170" s="153" t="s">
        <v>5</v>
      </c>
      <c r="R170" s="96" t="str">
        <f t="shared" si="18"/>
        <v>External Reliability_OEE_Improvement_Percentage</v>
      </c>
      <c r="S170" s="264">
        <f t="shared" si="21"/>
        <v>0</v>
      </c>
      <c r="T170" t="str">
        <f t="shared" si="19"/>
        <v>(HOT) K600 Kettle</v>
      </c>
      <c r="U170" t="s">
        <v>876</v>
      </c>
    </row>
    <row r="171" spans="15:21">
      <c r="O171" s="95" t="s">
        <v>723</v>
      </c>
      <c r="P171" s="95" t="s">
        <v>689</v>
      </c>
      <c r="Q171" s="153" t="s">
        <v>11</v>
      </c>
      <c r="R171" s="96" t="str">
        <f t="shared" si="18"/>
        <v>Other Reliability_OEE_Improvement_Percentage</v>
      </c>
      <c r="S171" s="264">
        <f t="shared" si="21"/>
        <v>0</v>
      </c>
      <c r="T171" t="str">
        <f t="shared" si="19"/>
        <v>(HOT) K600 Kettle</v>
      </c>
      <c r="U171" t="s">
        <v>876</v>
      </c>
    </row>
    <row r="172" spans="15:21">
      <c r="O172" s="95" t="s">
        <v>723</v>
      </c>
      <c r="P172" s="95" t="s">
        <v>689</v>
      </c>
      <c r="Q172" s="153" t="s">
        <v>15</v>
      </c>
      <c r="R172" s="96" t="str">
        <f t="shared" si="18"/>
        <v>Unspecified_OEE_Improvement_Percentage</v>
      </c>
      <c r="S172" s="264">
        <f t="shared" si="21"/>
        <v>0</v>
      </c>
      <c r="T172" t="str">
        <f t="shared" si="19"/>
        <v>(HOT) K600 Kettle</v>
      </c>
      <c r="U172" t="s">
        <v>876</v>
      </c>
    </row>
    <row r="173" spans="15:21">
      <c r="O173" s="95" t="s">
        <v>723</v>
      </c>
      <c r="P173" s="95" t="s">
        <v>689</v>
      </c>
      <c r="Q173" s="153" t="s">
        <v>16</v>
      </c>
      <c r="R173" s="96" t="str">
        <f t="shared" si="18"/>
        <v>Undetected_OEE_Improvement_Percentage</v>
      </c>
      <c r="S173" s="264">
        <f t="shared" si="21"/>
        <v>0</v>
      </c>
      <c r="T173" t="str">
        <f t="shared" si="19"/>
        <v>(HOT) K600 Kettle</v>
      </c>
      <c r="U173" t="s">
        <v>876</v>
      </c>
    </row>
    <row r="174" spans="15:21">
      <c r="O174" s="95" t="s">
        <v>723</v>
      </c>
      <c r="P174" s="95" t="s">
        <v>689</v>
      </c>
      <c r="Q174" s="153" t="s">
        <v>664</v>
      </c>
      <c r="R174" s="96" t="str">
        <f t="shared" si="18"/>
        <v>Exception hours_OEE_Improvement_Percentage</v>
      </c>
      <c r="S174" s="264">
        <f t="shared" si="21"/>
        <v>0</v>
      </c>
      <c r="T174" t="str">
        <f t="shared" si="19"/>
        <v>(HOT) K600 Kettle</v>
      </c>
      <c r="U174" t="s">
        <v>876</v>
      </c>
    </row>
    <row r="175" spans="15:21">
      <c r="O175" s="95" t="s">
        <v>723</v>
      </c>
      <c r="P175" s="95" t="s">
        <v>689</v>
      </c>
      <c r="Q175" s="153" t="s">
        <v>703</v>
      </c>
      <c r="R175" s="96" t="str">
        <f t="shared" si="18"/>
        <v>Extra loss hours in baseline due to MAC change_OEE_Improvement_Percentage</v>
      </c>
      <c r="S175" s="264">
        <f t="shared" si="21"/>
        <v>-9.3923411625033322E-3</v>
      </c>
      <c r="T175" t="str">
        <f t="shared" si="19"/>
        <v>(HOT) K600 Kettle</v>
      </c>
      <c r="U175" t="s">
        <v>876</v>
      </c>
    </row>
    <row r="176" spans="15:21">
      <c r="O176" s="95" t="s">
        <v>723</v>
      </c>
      <c r="P176" s="95" t="s">
        <v>689</v>
      </c>
      <c r="Q176" s="153" t="s">
        <v>705</v>
      </c>
      <c r="R176" s="96" t="str">
        <f t="shared" si="18"/>
        <v>Improvement target not assigned_OEE_Improvement_Percentage</v>
      </c>
      <c r="S176" s="264">
        <f t="shared" si="21"/>
        <v>2.6428962509539883E-2</v>
      </c>
      <c r="T176" t="str">
        <f t="shared" si="19"/>
        <v>(HOT) K600 Kettle</v>
      </c>
      <c r="U176" t="s">
        <v>876</v>
      </c>
    </row>
    <row r="177" spans="15:21">
      <c r="O177" s="95" t="s">
        <v>723</v>
      </c>
      <c r="P177" s="95" t="s">
        <v>689</v>
      </c>
      <c r="Q177" s="153" t="s">
        <v>397</v>
      </c>
      <c r="R177" s="96" t="str">
        <f t="shared" si="18"/>
        <v>Sum OEE losses (exluding Planned Maintenance)_OEE_Improvement_Percentage</v>
      </c>
      <c r="S177" s="264">
        <f t="shared" si="21"/>
        <v>1.7036621347036596E-2</v>
      </c>
      <c r="T177" t="str">
        <f t="shared" si="19"/>
        <v>(HOT) K600 Kettle</v>
      </c>
      <c r="U177" t="s">
        <v>876</v>
      </c>
    </row>
    <row r="178" spans="15:21">
      <c r="O178" s="95" t="s">
        <v>723</v>
      </c>
      <c r="P178" s="95" t="s">
        <v>689</v>
      </c>
      <c r="Q178" s="153" t="s">
        <v>398</v>
      </c>
      <c r="R178" s="96" t="str">
        <f t="shared" si="18"/>
        <v>Sum OEE losses (Including Planned Maintenance)_OEE_Improvement_Percentage</v>
      </c>
      <c r="S178" s="264">
        <f t="shared" si="21"/>
        <v>3.0202346140432212E-2</v>
      </c>
      <c r="T178" t="str">
        <f t="shared" si="19"/>
        <v>(HOT) K600 Kettle</v>
      </c>
      <c r="U178" t="s">
        <v>876</v>
      </c>
    </row>
    <row r="179" spans="15:21">
      <c r="O179" s="95" t="s">
        <v>723</v>
      </c>
      <c r="P179" s="95" t="s">
        <v>689</v>
      </c>
      <c r="Q179" s="153" t="s">
        <v>712</v>
      </c>
      <c r="R179" s="96" t="str">
        <f t="shared" si="18"/>
        <v>Production hours on MAC (h) / OEE (%)_OEE_Improvement_Percentage</v>
      </c>
      <c r="S179" s="264">
        <f t="shared" si="21"/>
        <v>4.7238967487468808E-2</v>
      </c>
      <c r="T179" t="str">
        <f t="shared" si="19"/>
        <v>(HOT) K600 Kettle</v>
      </c>
      <c r="U179" t="s">
        <v>876</v>
      </c>
    </row>
    <row r="180" spans="15:21">
      <c r="O180" s="95" t="s">
        <v>724</v>
      </c>
      <c r="P180" s="95" t="s">
        <v>687</v>
      </c>
      <c r="Q180" s="142" t="s">
        <v>13</v>
      </c>
      <c r="R180" s="96" t="str">
        <f t="shared" si="18"/>
        <v>MAC - Calender hours_Loss_Hours_NJ</v>
      </c>
      <c r="S180" s="265">
        <f t="shared" ref="S180:S200" si="22">I25</f>
        <v>8760</v>
      </c>
      <c r="T180" t="str">
        <f t="shared" si="19"/>
        <v>(HOT) K600 Kettle</v>
      </c>
      <c r="U180" t="s">
        <v>876</v>
      </c>
    </row>
    <row r="181" spans="15:21">
      <c r="O181" s="95" t="s">
        <v>724</v>
      </c>
      <c r="P181" s="95" t="s">
        <v>687</v>
      </c>
      <c r="Q181" s="152" t="s">
        <v>7</v>
      </c>
      <c r="R181" s="96" t="str">
        <f t="shared" si="18"/>
        <v>Commercial Reliability_Loss_Hours_NJ</v>
      </c>
      <c r="S181" s="265">
        <f t="shared" si="22"/>
        <v>1781.9947101430407</v>
      </c>
      <c r="T181" t="str">
        <f t="shared" si="19"/>
        <v>(HOT) K600 Kettle</v>
      </c>
      <c r="U181" t="s">
        <v>876</v>
      </c>
    </row>
    <row r="182" spans="15:21">
      <c r="O182" s="95" t="s">
        <v>724</v>
      </c>
      <c r="P182" s="95" t="s">
        <v>687</v>
      </c>
      <c r="Q182" s="152" t="s">
        <v>704</v>
      </c>
      <c r="R182" s="96" t="str">
        <f t="shared" si="18"/>
        <v>Exception hours (loss excluded from OEE)_Loss_Hours_NJ</v>
      </c>
      <c r="S182" s="265">
        <f t="shared" si="22"/>
        <v>0</v>
      </c>
      <c r="T182" t="str">
        <f t="shared" si="19"/>
        <v>(HOT) K600 Kettle</v>
      </c>
      <c r="U182" t="s">
        <v>876</v>
      </c>
    </row>
    <row r="183" spans="15:21">
      <c r="O183" s="95" t="s">
        <v>724</v>
      </c>
      <c r="P183" s="95" t="s">
        <v>687</v>
      </c>
      <c r="Q183" s="152" t="s">
        <v>14</v>
      </c>
      <c r="R183" s="96" t="str">
        <f t="shared" si="18"/>
        <v>Available OEE - Scheduled hours_Loss_Hours_NJ</v>
      </c>
      <c r="S183" s="265">
        <f t="shared" si="22"/>
        <v>6978.0052898569593</v>
      </c>
      <c r="T183" t="str">
        <f t="shared" si="19"/>
        <v>(HOT) K600 Kettle</v>
      </c>
      <c r="U183" t="s">
        <v>876</v>
      </c>
    </row>
    <row r="184" spans="15:21">
      <c r="O184" s="95" t="s">
        <v>724</v>
      </c>
      <c r="P184" s="95" t="s">
        <v>687</v>
      </c>
      <c r="Q184" s="152" t="s">
        <v>17</v>
      </c>
      <c r="R184" s="96" t="str">
        <f t="shared" si="18"/>
        <v>Equipment Reliability - Planned TA &amp; Planned SD_Loss_Hours_NJ</v>
      </c>
      <c r="S184" s="265">
        <f t="shared" si="22"/>
        <v>0</v>
      </c>
      <c r="T184" t="str">
        <f t="shared" si="19"/>
        <v>(HOT) K600 Kettle</v>
      </c>
      <c r="U184" t="s">
        <v>876</v>
      </c>
    </row>
    <row r="185" spans="15:21">
      <c r="O185" s="95" t="s">
        <v>724</v>
      </c>
      <c r="P185" s="95" t="s">
        <v>687</v>
      </c>
      <c r="Q185" s="152" t="s">
        <v>665</v>
      </c>
      <c r="R185" s="96" t="str">
        <f t="shared" si="18"/>
        <v>Available running OEE - Running hours_Loss_Hours_NJ</v>
      </c>
      <c r="S185" s="265">
        <f t="shared" si="22"/>
        <v>6978.0052898569593</v>
      </c>
      <c r="T185" t="str">
        <f t="shared" si="19"/>
        <v>(HOT) K600 Kettle</v>
      </c>
      <c r="U185" t="s">
        <v>876</v>
      </c>
    </row>
    <row r="186" spans="15:21">
      <c r="O186" s="95" t="s">
        <v>724</v>
      </c>
      <c r="P186" s="95" t="s">
        <v>687</v>
      </c>
      <c r="Q186" s="152" t="s">
        <v>18</v>
      </c>
      <c r="R186" s="96" t="str">
        <f t="shared" si="18"/>
        <v>Equipment Reliability - Equipment Failure_Loss_Hours_NJ</v>
      </c>
      <c r="S186" s="265">
        <f t="shared" si="22"/>
        <v>234.25087350785907</v>
      </c>
      <c r="T186" t="str">
        <f t="shared" si="19"/>
        <v>(HOT) K600 Kettle</v>
      </c>
      <c r="U186" t="s">
        <v>876</v>
      </c>
    </row>
    <row r="187" spans="15:21">
      <c r="O187" s="95" t="s">
        <v>724</v>
      </c>
      <c r="P187" s="95" t="s">
        <v>687</v>
      </c>
      <c r="Q187" s="152" t="s">
        <v>1</v>
      </c>
      <c r="R187" s="96" t="str">
        <f t="shared" si="18"/>
        <v>Operational Reliability_Loss_Hours_NJ</v>
      </c>
      <c r="S187" s="265">
        <f t="shared" si="22"/>
        <v>1860.2498161232011</v>
      </c>
      <c r="T187" t="str">
        <f t="shared" si="19"/>
        <v>(HOT) K600 Kettle</v>
      </c>
      <c r="U187" t="s">
        <v>876</v>
      </c>
    </row>
    <row r="188" spans="15:21">
      <c r="O188" s="95" t="s">
        <v>724</v>
      </c>
      <c r="P188" s="95" t="s">
        <v>687</v>
      </c>
      <c r="Q188" s="152" t="s">
        <v>2</v>
      </c>
      <c r="R188" s="96" t="str">
        <f t="shared" si="18"/>
        <v>Technology Reliability_Loss_Hours_NJ</v>
      </c>
      <c r="S188" s="265">
        <f t="shared" si="22"/>
        <v>547.26395290719188</v>
      </c>
      <c r="T188" t="str">
        <f t="shared" si="19"/>
        <v>(HOT) K600 Kettle</v>
      </c>
      <c r="U188" t="s">
        <v>876</v>
      </c>
    </row>
    <row r="189" spans="15:21">
      <c r="O189" s="95" t="s">
        <v>724</v>
      </c>
      <c r="P189" s="95" t="s">
        <v>687</v>
      </c>
      <c r="Q189" s="152" t="s">
        <v>3</v>
      </c>
      <c r="R189" s="96" t="str">
        <f t="shared" si="18"/>
        <v>Material Reliability_Loss_Hours_NJ</v>
      </c>
      <c r="S189" s="265">
        <f t="shared" si="22"/>
        <v>64.287069152019257</v>
      </c>
      <c r="T189" t="str">
        <f t="shared" si="19"/>
        <v>(HOT) K600 Kettle</v>
      </c>
      <c r="U189" t="s">
        <v>876</v>
      </c>
    </row>
    <row r="190" spans="15:21">
      <c r="O190" s="95" t="s">
        <v>724</v>
      </c>
      <c r="P190" s="95" t="s">
        <v>687</v>
      </c>
      <c r="Q190" s="152" t="s">
        <v>4</v>
      </c>
      <c r="R190" s="96" t="str">
        <f t="shared" si="18"/>
        <v>Logistics/Supply Reliability_Loss_Hours_NJ</v>
      </c>
      <c r="S190" s="265">
        <f t="shared" si="22"/>
        <v>52.93124064308531</v>
      </c>
      <c r="T190" t="str">
        <f t="shared" si="19"/>
        <v>(HOT) K600 Kettle</v>
      </c>
      <c r="U190" t="s">
        <v>876</v>
      </c>
    </row>
    <row r="191" spans="15:21">
      <c r="O191" s="95" t="s">
        <v>724</v>
      </c>
      <c r="P191" s="95" t="s">
        <v>687</v>
      </c>
      <c r="Q191" s="152" t="s">
        <v>5</v>
      </c>
      <c r="R191" s="96" t="str">
        <f t="shared" si="18"/>
        <v>External Reliability_Loss_Hours_NJ</v>
      </c>
      <c r="S191" s="265">
        <f t="shared" si="22"/>
        <v>146.91689822263376</v>
      </c>
      <c r="T191" t="str">
        <f t="shared" si="19"/>
        <v>(HOT) K600 Kettle</v>
      </c>
      <c r="U191" t="s">
        <v>876</v>
      </c>
    </row>
    <row r="192" spans="15:21">
      <c r="O192" s="95" t="s">
        <v>724</v>
      </c>
      <c r="P192" s="95" t="s">
        <v>687</v>
      </c>
      <c r="Q192" s="152" t="s">
        <v>11</v>
      </c>
      <c r="R192" s="96" t="str">
        <f t="shared" si="18"/>
        <v>Other Reliability_Loss_Hours_NJ</v>
      </c>
      <c r="S192" s="265">
        <f t="shared" si="22"/>
        <v>-1338.2359572184591</v>
      </c>
      <c r="T192" t="str">
        <f t="shared" si="19"/>
        <v>(HOT) K600 Kettle</v>
      </c>
      <c r="U192" t="s">
        <v>876</v>
      </c>
    </row>
    <row r="193" spans="15:21">
      <c r="O193" s="95" t="s">
        <v>724</v>
      </c>
      <c r="P193" s="95" t="s">
        <v>687</v>
      </c>
      <c r="Q193" s="152" t="s">
        <v>15</v>
      </c>
      <c r="R193" s="96" t="str">
        <f t="shared" si="18"/>
        <v>Unspecified_Loss_Hours_NJ</v>
      </c>
      <c r="S193" s="265">
        <f t="shared" si="22"/>
        <v>0</v>
      </c>
      <c r="T193" t="str">
        <f t="shared" si="19"/>
        <v>(HOT) K600 Kettle</v>
      </c>
      <c r="U193" t="s">
        <v>876</v>
      </c>
    </row>
    <row r="194" spans="15:21">
      <c r="O194" s="95" t="s">
        <v>724</v>
      </c>
      <c r="P194" s="95" t="s">
        <v>687</v>
      </c>
      <c r="Q194" s="152" t="s">
        <v>16</v>
      </c>
      <c r="R194" s="96" t="str">
        <f t="shared" ref="R194:R248" si="23">IF(ISBLANK(P194),Q194,_xlfn.CONCAT(Q194,"_",P194))</f>
        <v>Undetected_Loss_Hours_NJ</v>
      </c>
      <c r="S194" s="265">
        <f t="shared" si="22"/>
        <v>47.826649915101875</v>
      </c>
      <c r="T194" t="str">
        <f t="shared" si="19"/>
        <v>(HOT) K600 Kettle</v>
      </c>
      <c r="U194" t="s">
        <v>876</v>
      </c>
    </row>
    <row r="195" spans="15:21">
      <c r="O195" s="95" t="s">
        <v>724</v>
      </c>
      <c r="P195" s="95" t="s">
        <v>687</v>
      </c>
      <c r="Q195" s="152" t="s">
        <v>664</v>
      </c>
      <c r="R195" s="96" t="str">
        <f t="shared" si="23"/>
        <v>Exception hours_Loss_Hours_NJ</v>
      </c>
      <c r="S195" s="265">
        <f t="shared" si="22"/>
        <v>0</v>
      </c>
      <c r="T195" t="str">
        <f t="shared" ref="T195:T248" si="24">$B$2</f>
        <v>(HOT) K600 Kettle</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K600 Kettle</v>
      </c>
      <c r="U196" t="s">
        <v>876</v>
      </c>
    </row>
    <row r="197" spans="15:21">
      <c r="O197" s="95" t="s">
        <v>724</v>
      </c>
      <c r="P197" s="95" t="s">
        <v>687</v>
      </c>
      <c r="Q197" s="152" t="s">
        <v>705</v>
      </c>
      <c r="R197" s="96" t="str">
        <f t="shared" si="23"/>
        <v>Improvement target not assigned_Loss_Hours_NJ</v>
      </c>
      <c r="S197" s="265">
        <f t="shared" si="22"/>
        <v>184.42144019700055</v>
      </c>
      <c r="T197" t="str">
        <f t="shared" si="24"/>
        <v>(HOT) K600 Kettle</v>
      </c>
      <c r="U197" t="s">
        <v>876</v>
      </c>
    </row>
    <row r="198" spans="15:21">
      <c r="O198" s="95" t="s">
        <v>724</v>
      </c>
      <c r="P198" s="95" t="s">
        <v>687</v>
      </c>
      <c r="Q198" s="152" t="s">
        <v>397</v>
      </c>
      <c r="R198" s="96" t="str">
        <f t="shared" si="23"/>
        <v>Sum OEE losses (exluding Planned Maintenance)_Loss_Hours_NJ</v>
      </c>
      <c r="S198" s="265">
        <f t="shared" si="22"/>
        <v>1431.0691030556327</v>
      </c>
      <c r="T198" t="str">
        <f t="shared" si="24"/>
        <v>(HOT) K600 Kettle</v>
      </c>
      <c r="U198" t="s">
        <v>876</v>
      </c>
    </row>
    <row r="199" spans="15:21">
      <c r="O199" s="95" t="s">
        <v>724</v>
      </c>
      <c r="P199" s="95" t="s">
        <v>687</v>
      </c>
      <c r="Q199" s="152" t="s">
        <v>398</v>
      </c>
      <c r="R199" s="96" t="str">
        <f t="shared" si="23"/>
        <v>Sum OEE losses (Including Planned Maintenance)_Loss_Hours_NJ</v>
      </c>
      <c r="S199" s="265">
        <f t="shared" si="22"/>
        <v>1431.0691030556327</v>
      </c>
      <c r="T199" t="str">
        <f t="shared" si="24"/>
        <v>(HOT) K600 Kettle</v>
      </c>
      <c r="U199" t="s">
        <v>876</v>
      </c>
    </row>
    <row r="200" spans="15:21">
      <c r="O200" s="95" t="s">
        <v>724</v>
      </c>
      <c r="P200" s="95" t="s">
        <v>687</v>
      </c>
      <c r="Q200" s="152" t="s">
        <v>712</v>
      </c>
      <c r="R200" s="96" t="str">
        <f t="shared" si="23"/>
        <v>Production hours on MAC (h) / OEE (%)_Loss_Hours_NJ</v>
      </c>
      <c r="S200" s="265">
        <f t="shared" si="22"/>
        <v>5546.9361868013266</v>
      </c>
      <c r="T200" t="str">
        <f t="shared" si="24"/>
        <v>(HOT) K600 Kettle</v>
      </c>
      <c r="U200" t="s">
        <v>876</v>
      </c>
    </row>
    <row r="201" spans="15:21">
      <c r="O201" s="95" t="s">
        <v>1183</v>
      </c>
      <c r="P201" s="95" t="s">
        <v>681</v>
      </c>
      <c r="Q201" s="143" t="s">
        <v>13</v>
      </c>
      <c r="R201" s="96" t="str">
        <f t="shared" si="23"/>
        <v>MAC - Calender hours_Loss Percentage_NJ</v>
      </c>
      <c r="S201" s="268">
        <f>J25</f>
        <v>0</v>
      </c>
      <c r="T201" t="str">
        <f t="shared" si="24"/>
        <v>(HOT) K600 Kettle</v>
      </c>
      <c r="U201" t="s">
        <v>876</v>
      </c>
    </row>
    <row r="202" spans="15:21">
      <c r="O202" s="95" t="s">
        <v>1183</v>
      </c>
      <c r="P202" s="95" t="s">
        <v>681</v>
      </c>
      <c r="Q202" s="153" t="s">
        <v>7</v>
      </c>
      <c r="R202" s="96" t="str">
        <f t="shared" si="23"/>
        <v>Commercial Reliability_Loss Percentage_NJ</v>
      </c>
      <c r="S202" s="268">
        <f t="shared" ref="S202:S221" si="25">J26</f>
        <v>0</v>
      </c>
      <c r="T202" t="str">
        <f t="shared" si="24"/>
        <v>(HOT) K600 Kettle</v>
      </c>
      <c r="U202" t="s">
        <v>876</v>
      </c>
    </row>
    <row r="203" spans="15:21">
      <c r="O203" s="95" t="s">
        <v>1183</v>
      </c>
      <c r="P203" s="95" t="s">
        <v>681</v>
      </c>
      <c r="Q203" s="153" t="s">
        <v>704</v>
      </c>
      <c r="R203" s="96" t="str">
        <f t="shared" si="23"/>
        <v>Exception hours (loss excluded from OEE)_Loss Percentage_NJ</v>
      </c>
      <c r="S203" s="268">
        <f t="shared" si="25"/>
        <v>0</v>
      </c>
      <c r="T203" t="str">
        <f t="shared" si="24"/>
        <v>(HOT) K600 Kettle</v>
      </c>
      <c r="U203" t="s">
        <v>876</v>
      </c>
    </row>
    <row r="204" spans="15:21">
      <c r="O204" s="95" t="s">
        <v>1183</v>
      </c>
      <c r="P204" s="95" t="s">
        <v>681</v>
      </c>
      <c r="Q204" s="153" t="s">
        <v>14</v>
      </c>
      <c r="R204" s="96" t="str">
        <f t="shared" si="23"/>
        <v>Available OEE - Scheduled hours_Loss Percentage_NJ</v>
      </c>
      <c r="S204" s="268">
        <f t="shared" si="25"/>
        <v>1</v>
      </c>
      <c r="T204" t="str">
        <f t="shared" si="24"/>
        <v>(HOT) K600 Kettle</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(HOT) K600 Kettle</v>
      </c>
      <c r="U205" t="s">
        <v>876</v>
      </c>
    </row>
    <row r="206" spans="15:21">
      <c r="O206" s="95" t="s">
        <v>1183</v>
      </c>
      <c r="P206" s="95" t="s">
        <v>681</v>
      </c>
      <c r="Q206" s="153" t="s">
        <v>665</v>
      </c>
      <c r="R206" s="96" t="str">
        <f t="shared" si="23"/>
        <v>Available running OEE - Running hours_Loss Percentage_NJ</v>
      </c>
      <c r="S206" s="268">
        <f t="shared" si="25"/>
        <v>0</v>
      </c>
      <c r="T206" t="str">
        <f t="shared" si="24"/>
        <v>(HOT) K600 Kettle</v>
      </c>
      <c r="U206" t="s">
        <v>876</v>
      </c>
    </row>
    <row r="207" spans="15:21">
      <c r="O207" s="95" t="s">
        <v>1183</v>
      </c>
      <c r="P207" s="95" t="s">
        <v>681</v>
      </c>
      <c r="Q207" s="153" t="s">
        <v>18</v>
      </c>
      <c r="R207" s="96" t="str">
        <f t="shared" si="23"/>
        <v>Equipment Reliability - Equipment Failure_Loss Percentage_NJ</v>
      </c>
      <c r="S207" s="268">
        <f t="shared" si="25"/>
        <v>3.3569890502714271E-2</v>
      </c>
      <c r="T207" t="str">
        <f t="shared" si="24"/>
        <v>(HOT) K600 Kettle</v>
      </c>
      <c r="U207" t="s">
        <v>876</v>
      </c>
    </row>
    <row r="208" spans="15:21">
      <c r="O208" s="95" t="s">
        <v>1183</v>
      </c>
      <c r="P208" s="95" t="s">
        <v>681</v>
      </c>
      <c r="Q208" s="153" t="s">
        <v>1</v>
      </c>
      <c r="R208" s="96" t="str">
        <f t="shared" si="23"/>
        <v>Operational Reliability_Loss Percentage_NJ</v>
      </c>
      <c r="S208" s="268">
        <f t="shared" si="25"/>
        <v>0.26658761907607181</v>
      </c>
      <c r="T208" t="str">
        <f t="shared" si="24"/>
        <v>(HOT) K600 Kettle</v>
      </c>
      <c r="U208" t="s">
        <v>876</v>
      </c>
    </row>
    <row r="209" spans="15:21">
      <c r="O209" s="95" t="s">
        <v>1183</v>
      </c>
      <c r="P209" s="95" t="s">
        <v>681</v>
      </c>
      <c r="Q209" s="153" t="s">
        <v>2</v>
      </c>
      <c r="R209" s="96" t="str">
        <f t="shared" si="23"/>
        <v>Technology Reliability_Loss Percentage_NJ</v>
      </c>
      <c r="S209" s="268">
        <f t="shared" si="25"/>
        <v>7.8426990260766938E-2</v>
      </c>
      <c r="T209" t="str">
        <f t="shared" si="24"/>
        <v>(HOT) K600 Kettle</v>
      </c>
      <c r="U209" t="s">
        <v>876</v>
      </c>
    </row>
    <row r="210" spans="15:21">
      <c r="O210" s="95" t="s">
        <v>1183</v>
      </c>
      <c r="P210" s="95" t="s">
        <v>681</v>
      </c>
      <c r="Q210" s="153" t="s">
        <v>3</v>
      </c>
      <c r="R210" s="96" t="str">
        <f t="shared" si="23"/>
        <v>Material Reliability_Loss Percentage_NJ</v>
      </c>
      <c r="S210" s="268">
        <f t="shared" si="25"/>
        <v>9.2128146198835956E-3</v>
      </c>
      <c r="T210" t="str">
        <f t="shared" si="24"/>
        <v>(HOT) K600 Kettle</v>
      </c>
      <c r="U210" t="s">
        <v>876</v>
      </c>
    </row>
    <row r="211" spans="15:21">
      <c r="O211" s="95" t="s">
        <v>1183</v>
      </c>
      <c r="P211" s="95" t="s">
        <v>681</v>
      </c>
      <c r="Q211" s="153" t="s">
        <v>4</v>
      </c>
      <c r="R211" s="96" t="str">
        <f t="shared" si="23"/>
        <v>Logistics/Supply Reliability_Loss Percentage_NJ</v>
      </c>
      <c r="S211" s="268">
        <f t="shared" si="25"/>
        <v>7.5854400282591846E-3</v>
      </c>
      <c r="T211" t="str">
        <f t="shared" si="24"/>
        <v>(HOT) K600 Kettle</v>
      </c>
      <c r="U211" t="s">
        <v>876</v>
      </c>
    </row>
    <row r="212" spans="15:21">
      <c r="O212" s="95" t="s">
        <v>1183</v>
      </c>
      <c r="P212" s="95" t="s">
        <v>681</v>
      </c>
      <c r="Q212" s="153" t="s">
        <v>5</v>
      </c>
      <c r="R212" s="96" t="str">
        <f t="shared" si="23"/>
        <v>External Reliability_Loss Percentage_NJ</v>
      </c>
      <c r="S212" s="268">
        <f t="shared" si="25"/>
        <v>2.1054283010674728E-2</v>
      </c>
      <c r="T212" t="str">
        <f t="shared" si="24"/>
        <v>(HOT) K600 Kettle</v>
      </c>
      <c r="U212" t="s">
        <v>876</v>
      </c>
    </row>
    <row r="213" spans="15:21">
      <c r="O213" s="95" t="s">
        <v>1183</v>
      </c>
      <c r="P213" s="95" t="s">
        <v>681</v>
      </c>
      <c r="Q213" s="153" t="s">
        <v>11</v>
      </c>
      <c r="R213" s="96" t="str">
        <f t="shared" si="23"/>
        <v>Other Reliability_Loss Percentage_NJ</v>
      </c>
      <c r="S213" s="268">
        <f t="shared" si="25"/>
        <v>-0.19177915487735198</v>
      </c>
      <c r="T213" t="str">
        <f t="shared" si="24"/>
        <v>(HOT) K600 Kettle</v>
      </c>
      <c r="U213" t="s">
        <v>876</v>
      </c>
    </row>
    <row r="214" spans="15:21">
      <c r="O214" s="95" t="s">
        <v>1183</v>
      </c>
      <c r="P214" s="95" t="s">
        <v>681</v>
      </c>
      <c r="Q214" s="153" t="s">
        <v>15</v>
      </c>
      <c r="R214" s="96" t="str">
        <f t="shared" si="23"/>
        <v>Unspecified_Loss Percentage_NJ</v>
      </c>
      <c r="S214" s="268">
        <f t="shared" si="25"/>
        <v>0</v>
      </c>
      <c r="T214" t="str">
        <f t="shared" si="24"/>
        <v>(HOT) K600 Kettle</v>
      </c>
      <c r="U214" t="s">
        <v>876</v>
      </c>
    </row>
    <row r="215" spans="15:21">
      <c r="O215" s="95" t="s">
        <v>1183</v>
      </c>
      <c r="P215" s="95" t="s">
        <v>681</v>
      </c>
      <c r="Q215" s="153" t="s">
        <v>16</v>
      </c>
      <c r="R215" s="96" t="str">
        <f t="shared" si="23"/>
        <v>Undetected_Loss Percentage_NJ</v>
      </c>
      <c r="S215" s="268">
        <f t="shared" si="25"/>
        <v>6.8539142532066302E-3</v>
      </c>
      <c r="T215" t="str">
        <f t="shared" si="24"/>
        <v>(HOT) K600 Kettle</v>
      </c>
      <c r="U215" t="s">
        <v>876</v>
      </c>
    </row>
    <row r="216" spans="15:21">
      <c r="O216" s="95" t="s">
        <v>1183</v>
      </c>
      <c r="P216" s="95" t="s">
        <v>681</v>
      </c>
      <c r="Q216" s="153" t="s">
        <v>664</v>
      </c>
      <c r="R216" s="96" t="str">
        <f t="shared" si="23"/>
        <v>Exception hours_Loss Percentage_NJ</v>
      </c>
      <c r="S216" s="268">
        <f t="shared" si="25"/>
        <v>0</v>
      </c>
      <c r="T216" t="str">
        <f t="shared" si="24"/>
        <v>(HOT) K600 Kettle</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K600 Kettle</v>
      </c>
      <c r="U217" t="s">
        <v>876</v>
      </c>
    </row>
    <row r="218" spans="15:21">
      <c r="O218" s="95" t="s">
        <v>1183</v>
      </c>
      <c r="P218" s="95" t="s">
        <v>681</v>
      </c>
      <c r="Q218" s="153" t="s">
        <v>705</v>
      </c>
      <c r="R218" s="96" t="str">
        <f t="shared" si="23"/>
        <v>Improvement target not assigned_Loss Percentage_NJ</v>
      </c>
      <c r="S218" s="268">
        <f t="shared" si="25"/>
        <v>-2.6428962509539883E-2</v>
      </c>
      <c r="T218" t="str">
        <f t="shared" si="24"/>
        <v>(HOT) K600 Kettle</v>
      </c>
      <c r="U218" t="s">
        <v>876</v>
      </c>
    </row>
    <row r="219" spans="15:21">
      <c r="O219" s="95" t="s">
        <v>1183</v>
      </c>
      <c r="P219" s="95" t="s">
        <v>681</v>
      </c>
      <c r="Q219" s="153" t="s">
        <v>397</v>
      </c>
      <c r="R219" s="96" t="str">
        <f t="shared" si="23"/>
        <v>Sum OEE losses (exluding Planned Maintenance)_Loss Percentage_NJ</v>
      </c>
      <c r="S219" s="268">
        <f t="shared" si="25"/>
        <v>0.2050828343646853</v>
      </c>
      <c r="T219" t="str">
        <f t="shared" si="24"/>
        <v>(HOT) K600 Kettle</v>
      </c>
      <c r="U219" t="s">
        <v>876</v>
      </c>
    </row>
    <row r="220" spans="15:21">
      <c r="O220" s="95" t="s">
        <v>1183</v>
      </c>
      <c r="P220" s="95" t="s">
        <v>681</v>
      </c>
      <c r="Q220" s="153" t="s">
        <v>398</v>
      </c>
      <c r="R220" s="96" t="str">
        <f t="shared" si="23"/>
        <v>Sum OEE losses (Including Planned Maintenance)_Loss Percentage_NJ</v>
      </c>
      <c r="S220" s="268">
        <f t="shared" si="25"/>
        <v>0.20508283436468533</v>
      </c>
      <c r="T220" t="str">
        <f t="shared" si="24"/>
        <v>(HOT) K600 Kettle</v>
      </c>
      <c r="U220" t="s">
        <v>876</v>
      </c>
    </row>
    <row r="221" spans="15:21">
      <c r="O221" s="95" t="s">
        <v>1183</v>
      </c>
      <c r="P221" s="95" t="s">
        <v>681</v>
      </c>
      <c r="Q221" s="153" t="s">
        <v>712</v>
      </c>
      <c r="R221" s="96" t="str">
        <f t="shared" si="23"/>
        <v>Production hours on MAC (h) / OEE (%)_Loss Percentage_NJ</v>
      </c>
      <c r="S221" s="268">
        <f t="shared" si="25"/>
        <v>0.79491716563531467</v>
      </c>
      <c r="T221" t="str">
        <f t="shared" si="24"/>
        <v>(HOT) K600 Kettle</v>
      </c>
      <c r="U221" t="s">
        <v>876</v>
      </c>
    </row>
    <row r="222" spans="15:21">
      <c r="O222" s="95" t="s">
        <v>676</v>
      </c>
      <c r="P222" s="95" t="s">
        <v>994</v>
      </c>
      <c r="Q222" s="144" t="s">
        <v>374</v>
      </c>
      <c r="R222" s="96" t="str">
        <f t="shared" si="23"/>
        <v>Planned Turnaround (h)_NJ_Maintenance_plan</v>
      </c>
      <c r="S222" s="1" t="str">
        <f>D18</f>
        <v/>
      </c>
      <c r="T222" t="str">
        <f t="shared" si="24"/>
        <v>(HOT) K600 Kettle</v>
      </c>
      <c r="U222" t="s">
        <v>877</v>
      </c>
    </row>
    <row r="223" spans="15:21">
      <c r="O223" s="95" t="s">
        <v>676</v>
      </c>
      <c r="P223" s="95" t="s">
        <v>994</v>
      </c>
      <c r="Q223" s="144" t="s">
        <v>375</v>
      </c>
      <c r="R223" s="96" t="str">
        <f t="shared" si="23"/>
        <v>Planned Shutdown (h)_NJ_Maintenance_plan</v>
      </c>
      <c r="S223" s="1" t="str">
        <f t="shared" ref="S223:S224" si="26">D19</f>
        <v/>
      </c>
      <c r="T223" t="str">
        <f t="shared" si="24"/>
        <v>(HOT) K600 Kettle</v>
      </c>
      <c r="U223" t="s">
        <v>877</v>
      </c>
    </row>
    <row r="224" spans="15:21">
      <c r="O224" s="95" t="s">
        <v>676</v>
      </c>
      <c r="P224" s="95" t="s">
        <v>994</v>
      </c>
      <c r="Q224" s="144" t="s">
        <v>716</v>
      </c>
      <c r="R224" s="96" t="str">
        <f t="shared" si="23"/>
        <v>Total Planned Maintenance (h)_NJ_Maintenance_plan</v>
      </c>
      <c r="S224" s="1" t="str">
        <f t="shared" si="26"/>
        <v/>
      </c>
      <c r="T224" t="str">
        <f t="shared" si="24"/>
        <v>(HOT) K600 Kettle</v>
      </c>
      <c r="U224" t="s">
        <v>877</v>
      </c>
    </row>
    <row r="225" spans="15:21">
      <c r="O225" s="95" t="s">
        <v>674</v>
      </c>
      <c r="Q225" s="144" t="s">
        <v>1184</v>
      </c>
      <c r="R225" s="96" t="str">
        <f t="shared" si="23"/>
        <v>OEE_Running OEE Override</v>
      </c>
      <c r="S225" s="1" t="str">
        <f>B60</f>
        <v>Automatic</v>
      </c>
      <c r="T225" t="str">
        <f t="shared" si="24"/>
        <v>(HOT) K600 Kettle</v>
      </c>
      <c r="U225" t="s">
        <v>875</v>
      </c>
    </row>
    <row r="226" spans="15:21">
      <c r="O226" s="95" t="s">
        <v>678</v>
      </c>
      <c r="Q226" s="144" t="s">
        <v>1182</v>
      </c>
      <c r="R226" s="96" t="str">
        <f t="shared" si="23"/>
        <v>Unit of Loss Decrease entry</v>
      </c>
      <c r="S226" s="370" t="str">
        <f>F24</f>
        <v>% decrease</v>
      </c>
      <c r="T226" t="str">
        <f t="shared" si="24"/>
        <v>(HOT) K600 Kettle</v>
      </c>
      <c r="U226" t="s">
        <v>875</v>
      </c>
    </row>
    <row r="227" spans="15:21">
      <c r="O227" s="95" t="s">
        <v>678</v>
      </c>
      <c r="P227" s="95" t="s">
        <v>1185</v>
      </c>
      <c r="Q227" s="142" t="s">
        <v>13</v>
      </c>
      <c r="R227" s="96" t="str">
        <f t="shared" si="23"/>
        <v>MAC - Calender hours_OEE_Improvement_Entry</v>
      </c>
      <c r="S227" s="371">
        <f>F25</f>
        <v>0</v>
      </c>
      <c r="T227" t="str">
        <f t="shared" si="24"/>
        <v>(HOT) K600 Kettle</v>
      </c>
      <c r="U227" t="s">
        <v>876</v>
      </c>
    </row>
    <row r="228" spans="15:21">
      <c r="O228" s="95" t="s">
        <v>678</v>
      </c>
      <c r="P228" s="95" t="s">
        <v>1185</v>
      </c>
      <c r="Q228" s="152" t="s">
        <v>7</v>
      </c>
      <c r="R228" s="96" t="str">
        <f t="shared" si="23"/>
        <v>Commercial Reliability_OEE_Improvement_Entry</v>
      </c>
      <c r="S228" s="371">
        <f t="shared" ref="S228:S247" si="27">F26</f>
        <v>0</v>
      </c>
      <c r="T228" t="str">
        <f t="shared" si="24"/>
        <v>(HOT) K600 Kettle</v>
      </c>
      <c r="U228" t="s">
        <v>876</v>
      </c>
    </row>
    <row r="229" spans="15:21">
      <c r="O229" s="95" t="s">
        <v>678</v>
      </c>
      <c r="P229" s="95" t="s">
        <v>1185</v>
      </c>
      <c r="Q229" s="152" t="s">
        <v>704</v>
      </c>
      <c r="R229" s="96" t="str">
        <f t="shared" si="23"/>
        <v>Exception hours (loss excluded from OEE)_OEE_Improvement_Entry</v>
      </c>
      <c r="S229" s="371" t="str">
        <f t="shared" si="27"/>
        <v/>
      </c>
      <c r="T229" t="str">
        <f t="shared" si="24"/>
        <v>(HOT) K600 Kettle</v>
      </c>
      <c r="U229" t="s">
        <v>876</v>
      </c>
    </row>
    <row r="230" spans="15:21">
      <c r="O230" s="95" t="s">
        <v>678</v>
      </c>
      <c r="P230" s="95" t="s">
        <v>1185</v>
      </c>
      <c r="Q230" s="152" t="s">
        <v>14</v>
      </c>
      <c r="R230" s="96" t="str">
        <f t="shared" si="23"/>
        <v>Available OEE - Scheduled hours_OEE_Improvement_Entry</v>
      </c>
      <c r="S230" s="371">
        <f t="shared" si="27"/>
        <v>0</v>
      </c>
      <c r="T230" t="str">
        <f t="shared" si="24"/>
        <v>(HOT) K600 Kettle</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K600 Kettle</v>
      </c>
      <c r="U231" t="s">
        <v>876</v>
      </c>
    </row>
    <row r="232" spans="15:21">
      <c r="O232" s="95" t="s">
        <v>678</v>
      </c>
      <c r="P232" s="95" t="s">
        <v>1185</v>
      </c>
      <c r="Q232" s="152" t="s">
        <v>665</v>
      </c>
      <c r="R232" s="96" t="str">
        <f t="shared" si="23"/>
        <v>Available running OEE - Running hours_OEE_Improvement_Entry</v>
      </c>
      <c r="S232" s="371">
        <f t="shared" si="27"/>
        <v>0</v>
      </c>
      <c r="T232" t="str">
        <f t="shared" si="24"/>
        <v>(HOT) K600 Kettle</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K600 Kettle</v>
      </c>
      <c r="U233" t="s">
        <v>876</v>
      </c>
    </row>
    <row r="234" spans="15:21">
      <c r="O234" s="95" t="s">
        <v>678</v>
      </c>
      <c r="P234" s="95" t="s">
        <v>1185</v>
      </c>
      <c r="Q234" s="152" t="s">
        <v>1</v>
      </c>
      <c r="R234" s="96" t="str">
        <f t="shared" si="23"/>
        <v>Operational Reliability_OEE_Improvement_Entry</v>
      </c>
      <c r="S234" s="371">
        <f t="shared" si="27"/>
        <v>0</v>
      </c>
      <c r="T234" t="str">
        <f t="shared" si="24"/>
        <v>(HOT) K600 Kettle</v>
      </c>
      <c r="U234" t="s">
        <v>876</v>
      </c>
    </row>
    <row r="235" spans="15:21">
      <c r="O235" s="95" t="s">
        <v>678</v>
      </c>
      <c r="P235" s="95" t="s">
        <v>1185</v>
      </c>
      <c r="Q235" s="152" t="s">
        <v>2</v>
      </c>
      <c r="R235" s="96" t="str">
        <f t="shared" si="23"/>
        <v>Technology Reliability_OEE_Improvement_Entry</v>
      </c>
      <c r="S235" s="371">
        <f t="shared" si="27"/>
        <v>0</v>
      </c>
      <c r="T235" t="str">
        <f t="shared" si="24"/>
        <v>(HOT) K600 Kettle</v>
      </c>
      <c r="U235" t="s">
        <v>876</v>
      </c>
    </row>
    <row r="236" spans="15:21">
      <c r="O236" s="95" t="s">
        <v>678</v>
      </c>
      <c r="P236" s="95" t="s">
        <v>1185</v>
      </c>
      <c r="Q236" s="152" t="s">
        <v>3</v>
      </c>
      <c r="R236" s="96" t="str">
        <f t="shared" si="23"/>
        <v>Material Reliability_OEE_Improvement_Entry</v>
      </c>
      <c r="S236" s="371">
        <f t="shared" si="27"/>
        <v>0</v>
      </c>
      <c r="T236" t="str">
        <f t="shared" si="24"/>
        <v>(HOT) K600 Kettle</v>
      </c>
      <c r="U236" t="s">
        <v>876</v>
      </c>
    </row>
    <row r="237" spans="15:21">
      <c r="O237" s="95" t="s">
        <v>678</v>
      </c>
      <c r="P237" s="95" t="s">
        <v>1185</v>
      </c>
      <c r="Q237" s="152" t="s">
        <v>4</v>
      </c>
      <c r="R237" s="96" t="str">
        <f t="shared" si="23"/>
        <v>Logistics/Supply Reliability_OEE_Improvement_Entry</v>
      </c>
      <c r="S237" s="371">
        <f t="shared" si="27"/>
        <v>0</v>
      </c>
      <c r="T237" t="str">
        <f t="shared" si="24"/>
        <v>(HOT) K600 Kettle</v>
      </c>
      <c r="U237" t="s">
        <v>876</v>
      </c>
    </row>
    <row r="238" spans="15:21">
      <c r="O238" s="95" t="s">
        <v>678</v>
      </c>
      <c r="P238" s="95" t="s">
        <v>1185</v>
      </c>
      <c r="Q238" s="152" t="s">
        <v>5</v>
      </c>
      <c r="R238" s="96" t="str">
        <f t="shared" si="23"/>
        <v>External Reliability_OEE_Improvement_Entry</v>
      </c>
      <c r="S238" s="371">
        <f t="shared" si="27"/>
        <v>0</v>
      </c>
      <c r="T238" t="str">
        <f t="shared" si="24"/>
        <v>(HOT) K600 Kettle</v>
      </c>
      <c r="U238" t="s">
        <v>876</v>
      </c>
    </row>
    <row r="239" spans="15:21">
      <c r="O239" s="95" t="s">
        <v>678</v>
      </c>
      <c r="P239" s="95" t="s">
        <v>1185</v>
      </c>
      <c r="Q239" s="152" t="s">
        <v>11</v>
      </c>
      <c r="R239" s="96" t="str">
        <f t="shared" si="23"/>
        <v>Other Reliability_OEE_Improvement_Entry</v>
      </c>
      <c r="S239" s="371">
        <f t="shared" si="27"/>
        <v>0</v>
      </c>
      <c r="T239" t="str">
        <f t="shared" si="24"/>
        <v>(HOT) K600 Kettle</v>
      </c>
      <c r="U239" t="s">
        <v>876</v>
      </c>
    </row>
    <row r="240" spans="15:21">
      <c r="O240" s="95" t="s">
        <v>678</v>
      </c>
      <c r="P240" s="95" t="s">
        <v>1185</v>
      </c>
      <c r="Q240" s="152" t="s">
        <v>15</v>
      </c>
      <c r="R240" s="96" t="str">
        <f t="shared" si="23"/>
        <v>Unspecified_OEE_Improvement_Entry</v>
      </c>
      <c r="S240" s="371">
        <f t="shared" si="27"/>
        <v>0</v>
      </c>
      <c r="T240" t="str">
        <f t="shared" si="24"/>
        <v>(HOT) K600 Kettle</v>
      </c>
      <c r="U240" t="s">
        <v>876</v>
      </c>
    </row>
    <row r="241" spans="15:21">
      <c r="O241" s="95" t="s">
        <v>678</v>
      </c>
      <c r="P241" s="95" t="s">
        <v>1185</v>
      </c>
      <c r="Q241" s="152" t="s">
        <v>16</v>
      </c>
      <c r="R241" s="96" t="str">
        <f t="shared" si="23"/>
        <v>Undetected_OEE_Improvement_Entry</v>
      </c>
      <c r="S241" s="371">
        <f t="shared" si="27"/>
        <v>0</v>
      </c>
      <c r="T241" t="str">
        <f t="shared" si="24"/>
        <v>(HOT) K600 Kettle</v>
      </c>
      <c r="U241" t="s">
        <v>876</v>
      </c>
    </row>
    <row r="242" spans="15:21">
      <c r="O242" s="95" t="s">
        <v>678</v>
      </c>
      <c r="P242" s="95" t="s">
        <v>1185</v>
      </c>
      <c r="Q242" s="152" t="s">
        <v>664</v>
      </c>
      <c r="R242" s="96" t="str">
        <f t="shared" si="23"/>
        <v>Exception hours_OEE_Improvement_Entry</v>
      </c>
      <c r="S242" s="371">
        <f t="shared" si="27"/>
        <v>0</v>
      </c>
      <c r="T242" t="str">
        <f t="shared" si="24"/>
        <v>(HOT) K600 Kettle</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K600 Kettle</v>
      </c>
      <c r="U243" t="s">
        <v>876</v>
      </c>
    </row>
    <row r="244" spans="15:21">
      <c r="O244" s="95" t="s">
        <v>678</v>
      </c>
      <c r="P244" s="95" t="s">
        <v>1185</v>
      </c>
      <c r="Q244" s="152" t="s">
        <v>705</v>
      </c>
      <c r="R244" s="96" t="str">
        <f t="shared" si="23"/>
        <v>Improvement target not assigned_OEE_Improvement_Entry</v>
      </c>
      <c r="S244" s="371">
        <f t="shared" si="27"/>
        <v>0</v>
      </c>
      <c r="T244" t="str">
        <f t="shared" si="24"/>
        <v>(HOT) K600 Kettle</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K600 Kettle</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K600 Kettle</v>
      </c>
      <c r="U246" t="s">
        <v>876</v>
      </c>
    </row>
    <row r="247" spans="15:21">
      <c r="O247" s="95" t="s">
        <v>678</v>
      </c>
      <c r="P247" s="95" t="s">
        <v>1185</v>
      </c>
      <c r="Q247" s="152" t="s">
        <v>712</v>
      </c>
      <c r="R247" s="96" t="str">
        <f t="shared" si="23"/>
        <v>Production hours on MAC (h) / OEE (%)_OEE_Improvement_Entry</v>
      </c>
      <c r="S247" s="371">
        <f t="shared" si="27"/>
        <v>0</v>
      </c>
      <c r="T247" t="str">
        <f t="shared" si="24"/>
        <v>(HOT) K600 Kettle</v>
      </c>
      <c r="U247" t="s">
        <v>876</v>
      </c>
    </row>
    <row r="248" spans="15:21">
      <c r="O248" s="95" t="s">
        <v>1192</v>
      </c>
      <c r="Q248" s="144" t="s">
        <v>1191</v>
      </c>
      <c r="R248" s="96" t="str">
        <f t="shared" si="23"/>
        <v>Sheet used for target setting</v>
      </c>
      <c r="S248" s="1" t="s">
        <v>1190</v>
      </c>
      <c r="T248" t="str">
        <f t="shared" si="24"/>
        <v>(HOT) K600 Kettle</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320" priority="25">
      <formula>$B$22=""</formula>
    </cfRule>
  </conditionalFormatting>
  <conditionalFormatting sqref="B6">
    <cfRule type="cellIs" dxfId="319" priority="21" operator="lessThan">
      <formula>-0.1</formula>
    </cfRule>
    <cfRule type="cellIs" dxfId="318" priority="22" operator="greaterThan">
      <formula>0.1</formula>
    </cfRule>
    <cfRule type="cellIs" dxfId="317" priority="23" operator="between">
      <formula>-0.1</formula>
      <formula>0.1</formula>
    </cfRule>
  </conditionalFormatting>
  <conditionalFormatting sqref="C21">
    <cfRule type="cellIs" dxfId="316" priority="18" operator="lessThan">
      <formula>-0.1</formula>
    </cfRule>
    <cfRule type="cellIs" dxfId="315" priority="19" operator="greaterThan">
      <formula>0.1</formula>
    </cfRule>
    <cfRule type="cellIs" dxfId="314" priority="20" operator="between">
      <formula>-0.1</formula>
      <formula>0.1</formula>
    </cfRule>
  </conditionalFormatting>
  <conditionalFormatting sqref="A9:B9">
    <cfRule type="expression" dxfId="313" priority="16">
      <formula>$B$8="Exclude"</formula>
    </cfRule>
    <cfRule type="expression" dxfId="312" priority="17">
      <formula>$B$8="Include"</formula>
    </cfRule>
  </conditionalFormatting>
  <conditionalFormatting sqref="C9">
    <cfRule type="expression" dxfId="311" priority="26">
      <formula>$B$8="Exclude"</formula>
    </cfRule>
    <cfRule type="expression" dxfId="310" priority="27">
      <formula>$B$9="No"</formula>
    </cfRule>
    <cfRule type="expression" dxfId="309" priority="28">
      <formula xml:space="preserve"> $B$9="Yes"</formula>
    </cfRule>
  </conditionalFormatting>
  <conditionalFormatting sqref="C15">
    <cfRule type="expression" dxfId="308" priority="29">
      <formula>$B$15=$D$15</formula>
    </cfRule>
    <cfRule type="expression" dxfId="307" priority="30">
      <formula>$B$1&lt;&gt;$D$15</formula>
    </cfRule>
  </conditionalFormatting>
  <conditionalFormatting sqref="F50:F51">
    <cfRule type="cellIs" dxfId="306" priority="14" operator="greaterThan">
      <formula>1</formula>
    </cfRule>
    <cfRule type="cellIs" dxfId="305" priority="15" operator="lessThanOrEqual">
      <formula>1</formula>
    </cfRule>
  </conditionalFormatting>
  <conditionalFormatting sqref="D17">
    <cfRule type="expression" dxfId="304" priority="12">
      <formula>$D$20=""</formula>
    </cfRule>
    <cfRule type="expression" dxfId="303" priority="13">
      <formula>$D$20&gt;0</formula>
    </cfRule>
  </conditionalFormatting>
  <conditionalFormatting sqref="D19">
    <cfRule type="expression" dxfId="302" priority="10">
      <formula>$D$20=""</formula>
    </cfRule>
    <cfRule type="expression" dxfId="301" priority="11">
      <formula>$D$20&gt;0</formula>
    </cfRule>
  </conditionalFormatting>
  <conditionalFormatting sqref="C10">
    <cfRule type="expression" dxfId="300" priority="5">
      <formula>$B$8="Exclude"</formula>
    </cfRule>
    <cfRule type="expression" dxfId="299" priority="6">
      <formula>$B$9="No"</formula>
    </cfRule>
    <cfRule type="expression" dxfId="298" priority="7">
      <formula>$B$10="No Gain"</formula>
    </cfRule>
    <cfRule type="expression" dxfId="297" priority="8">
      <formula xml:space="preserve"> $B$9="Yes"</formula>
    </cfRule>
    <cfRule type="expression" dxfId="296" priority="9">
      <formula>$B$10="Gain"</formula>
    </cfRule>
  </conditionalFormatting>
  <conditionalFormatting sqref="H31:H39">
    <cfRule type="expression" dxfId="295" priority="33">
      <formula>$F$24="% decrease"</formula>
    </cfRule>
  </conditionalFormatting>
  <conditionalFormatting sqref="H32 H34 H36 H38">
    <cfRule type="expression" dxfId="294" priority="34">
      <formula>$F$24="hours decrease"</formula>
    </cfRule>
  </conditionalFormatting>
  <conditionalFormatting sqref="G31:G39">
    <cfRule type="expression" dxfId="293" priority="35">
      <formula>$F$24="hours decrease"</formula>
    </cfRule>
  </conditionalFormatting>
  <conditionalFormatting sqref="G32 G34 G36 G38">
    <cfRule type="expression" dxfId="292" priority="36">
      <formula>$F$24="% decrease"</formula>
    </cfRule>
  </conditionalFormatting>
  <conditionalFormatting sqref="G40">
    <cfRule type="expression" dxfId="291" priority="4">
      <formula>$F$24="% decrease"</formula>
    </cfRule>
  </conditionalFormatting>
  <conditionalFormatting sqref="F31:F40">
    <cfRule type="expression" dxfId="290" priority="31">
      <formula>$F$24="% decrease"</formula>
    </cfRule>
    <cfRule type="expression" dxfId="289" priority="32">
      <formula>$F$24="hours decrease"</formula>
    </cfRule>
  </conditionalFormatting>
  <conditionalFormatting sqref="C4:C5">
    <cfRule type="expression" dxfId="288" priority="1">
      <formula>$C$5=0</formula>
    </cfRule>
    <cfRule type="expression" dxfId="287" priority="2">
      <formula>$C$5=""</formula>
    </cfRule>
    <cfRule type="expression" dxfId="286" priority="3">
      <formula>$C$5&gt;0</formula>
    </cfRule>
  </conditionalFormatting>
  <dataValidations count="6">
    <dataValidation type="list" allowBlank="1" showInputMessage="1" showErrorMessage="1" sqref="B60" xr:uid="{B93C13C5-59C3-4A8E-A80E-4F4606670D88}">
      <formula1>"Automatic, Force OEE, Force Running OEE"</formula1>
    </dataValidation>
    <dataValidation type="list" allowBlank="1" showInputMessage="1" showErrorMessage="1" sqref="F24" xr:uid="{545EC142-16CE-47EB-BC07-02967EC74666}">
      <formula1>"% decrease,hours decrease"</formula1>
    </dataValidation>
    <dataValidation type="list" allowBlank="1" showInputMessage="1" showErrorMessage="1" sqref="B8" xr:uid="{C35358F0-ADFD-4C41-87E1-477FBC9BFCF7}">
      <formula1>"Include,Exclude"</formula1>
    </dataValidation>
    <dataValidation type="list" allowBlank="1" showInputMessage="1" showErrorMessage="1" sqref="B9" xr:uid="{103D72EF-B49F-4FF8-8CD8-397C25049B82}">
      <formula1>"Yes,No"</formula1>
    </dataValidation>
    <dataValidation type="list" allowBlank="1" showInputMessage="1" showErrorMessage="1" sqref="B11" xr:uid="{64995E00-08FF-41B6-9A2F-734911408BAC}">
      <formula1>"Playbook Matrix value, Manual OEE target"</formula1>
    </dataValidation>
    <dataValidation type="list" allowBlank="1" showInputMessage="1" showErrorMessage="1" sqref="B2" xr:uid="{16D62D9B-92DC-4516-A524-3DC30497BE0B}">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24930"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24931"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24932"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7182-280F-41FC-920F-5E57ACB01B28}">
  <sheetPr codeName="Sheet14">
    <tabColor rgb="FFFF0000"/>
  </sheetPr>
  <dimension ref="A1:AI248"/>
  <sheetViews>
    <sheetView showGridLines="0" zoomScaleNormal="100" workbookViewId="0">
      <selection activeCell="D65" sqref="D65"/>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618</v>
      </c>
      <c r="E2" s="314" t="s">
        <v>303</v>
      </c>
      <c r="G2" s="37" t="s">
        <v>670</v>
      </c>
      <c r="H2" s="40">
        <v>5.3</v>
      </c>
      <c r="O2" s="94" t="s">
        <v>679</v>
      </c>
      <c r="P2" s="94"/>
      <c r="Q2" s="145" t="s">
        <v>670</v>
      </c>
      <c r="R2" s="96" t="str">
        <f t="shared" ref="R2:R65" si="0">IF(ISBLANK(P2),Q2,_xlfn.CONCAT(Q2,"_",P2))</f>
        <v>Template Version:</v>
      </c>
      <c r="S2" s="261">
        <f>H2</f>
        <v>5.3</v>
      </c>
      <c r="T2" t="str">
        <f>$B$2</f>
        <v>(HOT) R200 Alkox Reactor</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R200 Alkox Reactor</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R200 Alkox Reactor</v>
      </c>
      <c r="U4" t="s">
        <v>874</v>
      </c>
    </row>
    <row r="5" spans="1:21">
      <c r="A5" s="34" t="s">
        <v>733</v>
      </c>
      <c r="B5" s="42">
        <v>0</v>
      </c>
      <c r="C5">
        <f>IFERROR(INDEX(Table1[Loss Hours Exclusion],MATCH('(HOT) R200 Alkox Reactor'!B2,Table1[Unit3],0)),"")</f>
        <v>0</v>
      </c>
      <c r="E5" s="317" t="s">
        <v>637</v>
      </c>
      <c r="F5" s="64"/>
      <c r="G5" s="360"/>
      <c r="H5" s="361"/>
      <c r="O5" s="95" t="s">
        <v>674</v>
      </c>
      <c r="P5" s="95"/>
      <c r="Q5" s="146" t="s">
        <v>604</v>
      </c>
      <c r="R5" s="96" t="str">
        <f t="shared" si="0"/>
        <v>Unit Name</v>
      </c>
      <c r="S5" s="264" t="str">
        <f>B2</f>
        <v>(HOT) R200 Alkox Reactor</v>
      </c>
      <c r="T5" t="str">
        <f t="shared" si="1"/>
        <v>(HOT) R200 Alkox Reactor</v>
      </c>
      <c r="U5" t="s">
        <v>875</v>
      </c>
    </row>
    <row r="6" spans="1:21">
      <c r="A6" s="34" t="s">
        <v>735</v>
      </c>
      <c r="B6" s="219">
        <v>0</v>
      </c>
      <c r="C6" s="270">
        <f>SUMIF(B31:B39,"&gt;0",B31:B39)</f>
        <v>2191.9393114898508</v>
      </c>
      <c r="D6" s="270">
        <f>SUMIF(B31:B39,"&lt;0",B31:B39)</f>
        <v>-837.94429746347896</v>
      </c>
      <c r="E6" s="318" t="s">
        <v>1032</v>
      </c>
      <c r="F6" s="64"/>
      <c r="G6" s="360"/>
      <c r="H6" s="361"/>
      <c r="O6" s="95" t="s">
        <v>674</v>
      </c>
      <c r="P6" s="95"/>
      <c r="Q6" s="146" t="s">
        <v>139</v>
      </c>
      <c r="R6" s="96" t="str">
        <f t="shared" si="0"/>
        <v>Unit Type</v>
      </c>
      <c r="S6" s="264" t="str">
        <f t="shared" ref="S6" si="2">B3</f>
        <v>Batch</v>
      </c>
      <c r="T6" t="str">
        <f t="shared" si="1"/>
        <v>(HOT) R200 Alkox Reactor</v>
      </c>
      <c r="U6" t="s">
        <v>875</v>
      </c>
    </row>
    <row r="7" spans="1:21">
      <c r="A7" t="s">
        <v>702</v>
      </c>
      <c r="B7" s="6">
        <f>IFERROR(B48/D48-1,0)</f>
        <v>4.8148853399154312E-2</v>
      </c>
      <c r="C7" s="121">
        <f>IF(B8="Include",B45*B7/(1+B7),0)</f>
        <v>0</v>
      </c>
      <c r="D7" s="59">
        <f>IFERROR(C6/(C6-D6),0)</f>
        <v>0.72344010344577359</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0</v>
      </c>
      <c r="T7" t="str">
        <f t="shared" si="1"/>
        <v>(HOT) R200 Alkox Reactor</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(HOT) R200 Alkox Reactor</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4.8148853399154312E-2</v>
      </c>
      <c r="T9" t="str">
        <f t="shared" si="1"/>
        <v>(HOT) R200 Alkox Reactor</v>
      </c>
      <c r="U9" t="s">
        <v>875</v>
      </c>
    </row>
    <row r="10" spans="1:21">
      <c r="A10" s="141" t="s">
        <v>718</v>
      </c>
      <c r="B10" s="59" t="str">
        <f>IF(MIN(C31:C39)&lt;-1%,"Gain","No Gain")</f>
        <v>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(HOT) R200 Alkox Reactor</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R200 Alkox Reactor</v>
      </c>
      <c r="U11" t="s">
        <v>875</v>
      </c>
    </row>
    <row r="12" spans="1:21">
      <c r="A12" s="30" t="s">
        <v>1016</v>
      </c>
      <c r="B12" s="5">
        <f>IF($B$3="Batch",INDEX(BatchMatrix[Target Improvement],MATCH(E48,BatchMatrix[Min OEE],1)),IF($B$3="Continuous",INDEX(ContinousMatrix[Target Improvement],MATCH(E48,ContinousMatrix[Min OEE],1)),""))</f>
        <v>0.03</v>
      </c>
      <c r="C12" s="3"/>
      <c r="E12" s="387" t="s">
        <v>1296</v>
      </c>
      <c r="F12" s="388"/>
      <c r="G12" s="388"/>
      <c r="H12" s="388"/>
      <c r="I12" s="389"/>
      <c r="O12" s="95" t="s">
        <v>674</v>
      </c>
      <c r="P12" s="95"/>
      <c r="Q12" s="222" t="s">
        <v>718</v>
      </c>
      <c r="R12" s="96" t="str">
        <f t="shared" si="0"/>
        <v>Running OEE LY &gt;100%</v>
      </c>
      <c r="S12" s="264" t="str">
        <f t="shared" si="3"/>
        <v>Gain</v>
      </c>
      <c r="T12" t="str">
        <f t="shared" si="1"/>
        <v>(HOT) R200 Alkox Reactor</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R200 Alkox Reactor</v>
      </c>
      <c r="U13" t="s">
        <v>875</v>
      </c>
    </row>
    <row r="14" spans="1:21">
      <c r="A14" s="33" t="s">
        <v>309</v>
      </c>
      <c r="B14" s="36">
        <f>IF(B11="Manual OEE target",B13,IF(B11="Playbook Matrix value",B12,""))</f>
        <v>0.03</v>
      </c>
      <c r="C14" s="3"/>
      <c r="E14" s="390"/>
      <c r="F14" s="391"/>
      <c r="G14" s="391"/>
      <c r="H14" s="391"/>
      <c r="I14" s="392"/>
      <c r="O14" s="95" t="s">
        <v>674</v>
      </c>
      <c r="P14" s="95"/>
      <c r="Q14" s="224" t="s">
        <v>1292</v>
      </c>
      <c r="R14" s="96" t="str">
        <f t="shared" si="0"/>
        <v>Target OEE Improvement (playbook)</v>
      </c>
      <c r="S14" s="264">
        <f t="shared" si="3"/>
        <v>0.03</v>
      </c>
      <c r="T14" t="str">
        <f t="shared" si="1"/>
        <v>(HOT) R200 Alkox Reactor</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R200 Alkox Reactor</v>
      </c>
      <c r="U15" t="s">
        <v>875</v>
      </c>
    </row>
    <row r="16" spans="1:21">
      <c r="E16" s="390"/>
      <c r="F16" s="391"/>
      <c r="G16" s="391"/>
      <c r="H16" s="391"/>
      <c r="I16" s="392"/>
      <c r="O16" s="95" t="s">
        <v>674</v>
      </c>
      <c r="P16" s="95"/>
      <c r="Q16" s="225" t="s">
        <v>309</v>
      </c>
      <c r="R16" s="96" t="str">
        <f t="shared" si="0"/>
        <v>Selected OEE target (used in table below)</v>
      </c>
      <c r="S16" s="264">
        <f t="shared" si="3"/>
        <v>0.03</v>
      </c>
      <c r="T16" t="str">
        <f t="shared" si="1"/>
        <v>(HOT) R200 Alkox Reactor</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R200 Alkox Reactor</v>
      </c>
      <c r="U17" t="s">
        <v>875</v>
      </c>
    </row>
    <row r="18" spans="1:21">
      <c r="A18" s="44" t="s">
        <v>374</v>
      </c>
      <c r="B18" s="7">
        <f>INDEX(TableOEE[Sum of Planned Turnaround Hours],MATCH($B$2,TableOEE[Unit],0))</f>
        <v>0</v>
      </c>
      <c r="C18" s="42">
        <v>0</v>
      </c>
      <c r="D18" s="1" t="str">
        <f>IFERROR(INDEX(Table13[Distributed Turnaround (hrs) matching?],MATCH('(HOT) R200 Alkox Reactor'!B2,Table13[ 2025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R200 Alkox Reactor</v>
      </c>
      <c r="U18" t="s">
        <v>877</v>
      </c>
    </row>
    <row r="19" spans="1:21">
      <c r="A19" s="45" t="s">
        <v>375</v>
      </c>
      <c r="B19" s="46">
        <f>INDEX(TableOEE[Sum of Planned Shutdown Hours],MATCH($B$2,TableOEE[Unit],0))</f>
        <v>37.5130555333171</v>
      </c>
      <c r="C19" s="42">
        <v>0</v>
      </c>
      <c r="D19" s="259" t="str">
        <f>IFERROR(INDEX(Table12[Distributed Shutdown (hrs) matching?],MATCH('(HOT) R200 Alkox Reactor'!B2,Table12[ 2025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37.5130555333171</v>
      </c>
      <c r="T19" t="str">
        <f t="shared" si="1"/>
        <v>(HOT) R200 Alkox Reactor</v>
      </c>
      <c r="U19" t="s">
        <v>877</v>
      </c>
    </row>
    <row r="20" spans="1:21">
      <c r="A20" s="30" t="s">
        <v>716</v>
      </c>
      <c r="B20" s="7">
        <f>INDEX(TableOEE[Sum of Planned Maintenance Hours],MATCH($B$2,TableOEE[Unit],0))</f>
        <v>37.5130555333171</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37.5130555333171</v>
      </c>
      <c r="T20" t="str">
        <f t="shared" si="1"/>
        <v>(HOT) R200 Alkox Reactor</v>
      </c>
      <c r="U20" t="s">
        <v>877</v>
      </c>
    </row>
    <row r="21" spans="1:21" ht="13.5" thickBot="1">
      <c r="A21" s="43" t="s">
        <v>715</v>
      </c>
      <c r="B21" s="7">
        <f>C20-B20</f>
        <v>-37.5130555333171</v>
      </c>
      <c r="C21" s="5">
        <f>IF(B20&gt;0,C20/B20-1,0)</f>
        <v>-1</v>
      </c>
      <c r="D21" s="269"/>
      <c r="E21" s="393"/>
      <c r="F21" s="394"/>
      <c r="G21" s="394"/>
      <c r="H21" s="394"/>
      <c r="I21" s="395"/>
      <c r="O21" s="95" t="s">
        <v>674</v>
      </c>
      <c r="P21" s="95" t="s">
        <v>879</v>
      </c>
      <c r="Q21" s="147" t="s">
        <v>715</v>
      </c>
      <c r="R21" s="96" t="str">
        <f t="shared" si="0"/>
        <v>Planned Maintenance Increase_Actual_LJ</v>
      </c>
      <c r="S21" s="265">
        <f>B21</f>
        <v>-37.5130555333171</v>
      </c>
      <c r="T21" t="str">
        <f t="shared" si="1"/>
        <v>(HOT) R200 Alkox Reactor</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R200 Alkox Reactor</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R200 Alkox Reactor</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(HOT) R200 Alkox Reactor</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(HOT) R200 Alkox Reactor</v>
      </c>
      <c r="U25" t="s">
        <v>877</v>
      </c>
    </row>
    <row r="26" spans="1:21">
      <c r="A26" s="126" t="s">
        <v>7</v>
      </c>
      <c r="B26" s="161">
        <f>INDEX(TableOEE[Sum of ComercialLossInHours],MATCH($B$2,TableOEE[Unit],0))</f>
        <v>3489.1830550340201</v>
      </c>
      <c r="C26" s="85"/>
      <c r="D26" s="161">
        <f>B26</f>
        <v>3489.1830550340201</v>
      </c>
      <c r="E26" s="159"/>
      <c r="F26" s="282"/>
      <c r="G26" s="294">
        <f>IFERROR(-(I26-D26),"")</f>
        <v>-231.49857742313543</v>
      </c>
      <c r="H26" s="295"/>
      <c r="I26" s="161">
        <f>I25-I28</f>
        <v>3720.6816324571555</v>
      </c>
      <c r="J26" s="206"/>
      <c r="O26" s="95" t="s">
        <v>675</v>
      </c>
      <c r="P26" s="95" t="s">
        <v>685</v>
      </c>
      <c r="Q26" s="147" t="s">
        <v>715</v>
      </c>
      <c r="R26" s="96" t="str">
        <f t="shared" si="0"/>
        <v>Planned Maintenance Increase_Target_NJ</v>
      </c>
      <c r="S26" s="264">
        <f>C21</f>
        <v>-1</v>
      </c>
      <c r="T26" t="str">
        <f t="shared" si="1"/>
        <v>(HOT) R200 Alkox Reactor</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t="str">
        <f>E12</f>
        <v xml:space="preserve">There were typos in the MACs for R200 so the normalized OEE has not been updated in the file. </v>
      </c>
      <c r="T27" t="str">
        <f t="shared" si="1"/>
        <v>(HOT) R200 Alkox Reactor</v>
      </c>
      <c r="U27" t="s">
        <v>706</v>
      </c>
    </row>
    <row r="28" spans="1:21">
      <c r="A28" s="128" t="s">
        <v>14</v>
      </c>
      <c r="B28" s="162">
        <f>INDEX(TableOEE[Sum of AvailableInHours],MATCH($B$2,TableOEE[Unit],0))+B40</f>
        <v>5294.8169449659799</v>
      </c>
      <c r="C28" s="110">
        <f>IFERROR($B28/$B$28,)</f>
        <v>1</v>
      </c>
      <c r="D28" s="162">
        <f>D25-D26-D27</f>
        <v>5294.8169449659799</v>
      </c>
      <c r="E28" s="163">
        <v>1</v>
      </c>
      <c r="F28" s="284"/>
      <c r="G28" s="297">
        <f>D28-I28</f>
        <v>255.49857742313543</v>
      </c>
      <c r="H28" s="298"/>
      <c r="I28" s="162">
        <f>IFERROR(IF(B15="OEE",I45/F48,I30+I29),0)</f>
        <v>5039.3183675428445</v>
      </c>
      <c r="J28" s="207">
        <v>1</v>
      </c>
      <c r="O28" s="95" t="s">
        <v>674</v>
      </c>
      <c r="P28" s="95" t="s">
        <v>686</v>
      </c>
      <c r="Q28" s="150" t="s">
        <v>10</v>
      </c>
      <c r="R28" s="96" t="str">
        <f t="shared" si="0"/>
        <v>OEE_Actuals_LJ</v>
      </c>
      <c r="S28" s="264">
        <f>B48</f>
        <v>0.73719430076186887</v>
      </c>
      <c r="T28" t="str">
        <f t="shared" si="1"/>
        <v>(HOT) R200 Alkox Reactor</v>
      </c>
      <c r="U28" t="s">
        <v>141</v>
      </c>
    </row>
    <row r="29" spans="1:21" ht="13.5" thickBot="1">
      <c r="A29" s="129" t="s">
        <v>17</v>
      </c>
      <c r="B29" s="164">
        <f>INDEX(TableOEE[Sum of Planned Maintenance Hours],MATCH($B$2,TableOEE[Unit],0))</f>
        <v>37.5130555333171</v>
      </c>
      <c r="C29" s="16">
        <f>IFERROR($B29/$B$28,)</f>
        <v>7.0848635416909823E-3</v>
      </c>
      <c r="D29" s="164">
        <f>B29</f>
        <v>37.5130555333171</v>
      </c>
      <c r="E29" s="165">
        <f>D29/$D$28</f>
        <v>7.0848635416909823E-3</v>
      </c>
      <c r="F29" s="285"/>
      <c r="G29" s="299">
        <f>-(I29-D29)</f>
        <v>37.5130555333171</v>
      </c>
      <c r="H29" s="285">
        <f>IFERROR($C29-$J29,)</f>
        <v>7.0848635416909823E-3</v>
      </c>
      <c r="I29" s="164">
        <f>C20</f>
        <v>0</v>
      </c>
      <c r="J29" s="208">
        <f>IFERROR(I29/I28,)</f>
        <v>0</v>
      </c>
      <c r="O29" s="95" t="s">
        <v>674</v>
      </c>
      <c r="P29" s="95" t="s">
        <v>686</v>
      </c>
      <c r="Q29" s="150" t="s">
        <v>666</v>
      </c>
      <c r="R29" s="96" t="str">
        <f t="shared" si="0"/>
        <v>Running OEE_Actuals_LJ</v>
      </c>
      <c r="S29" s="264">
        <f t="shared" ref="S29:S31" si="4">B49</f>
        <v>0.74245448950593418</v>
      </c>
      <c r="T29" t="str">
        <f t="shared" si="1"/>
        <v>(HOT) R200 Alkox Reactor</v>
      </c>
      <c r="U29" t="s">
        <v>141</v>
      </c>
    </row>
    <row r="30" spans="1:21">
      <c r="A30" s="128" t="s">
        <v>665</v>
      </c>
      <c r="B30" s="162">
        <f>B28-B29</f>
        <v>5257.3038894326628</v>
      </c>
      <c r="C30" s="110">
        <f>B30/B28</f>
        <v>0.99291513645830898</v>
      </c>
      <c r="D30" s="162">
        <f>D28-D29</f>
        <v>5257.3038894326628</v>
      </c>
      <c r="E30" s="163">
        <f>D30/D28</f>
        <v>0.99291513645830898</v>
      </c>
      <c r="F30" s="284"/>
      <c r="G30" s="297">
        <f>D30-I30</f>
        <v>217.9855218898183</v>
      </c>
      <c r="H30" s="298"/>
      <c r="I30" s="162">
        <f>IF(B15="OEE",I28-I29,I45/F49)</f>
        <v>5039.3183675428445</v>
      </c>
      <c r="J30" s="209"/>
      <c r="O30" s="95" t="s">
        <v>674</v>
      </c>
      <c r="P30" s="95" t="s">
        <v>686</v>
      </c>
      <c r="Q30" s="150" t="s">
        <v>8</v>
      </c>
      <c r="R30" s="96" t="str">
        <f t="shared" si="0"/>
        <v>Utilization_Actuals_LJ</v>
      </c>
      <c r="S30" s="264">
        <f t="shared" si="4"/>
        <v>0.60277970684949678</v>
      </c>
      <c r="T30" t="str">
        <f t="shared" si="1"/>
        <v>(HOT) R200 Alkox Reactor</v>
      </c>
      <c r="U30" t="s">
        <v>141</v>
      </c>
    </row>
    <row r="31" spans="1:21">
      <c r="A31" s="130" t="s">
        <v>18</v>
      </c>
      <c r="B31" s="166">
        <f>INDEX(TableCategories[Equipment Reliability],MATCH($B$2,TableCategories[Row Labels],0))-B29</f>
        <v>137.78861101666689</v>
      </c>
      <c r="C31" s="71">
        <f t="shared" ref="C31:C39" si="5">IFERROR($B31/$B$28,)</f>
        <v>2.6023300229041667E-2</v>
      </c>
      <c r="D31" s="166">
        <f>IFERROR(IF($B$8="Exclude",B31,IF($B$9="No",B31,IF(B31&lt;0,B31+$C$7*(1-$D$7)*B31/$D$6,B31+(($C$7*$D$7)*B31/$C$6)))),0)</f>
        <v>137.78861101666689</v>
      </c>
      <c r="E31" s="167">
        <f>D31/$D$28</f>
        <v>2.6023300229041667E-2</v>
      </c>
      <c r="F31" s="325">
        <v>0</v>
      </c>
      <c r="G31" s="166">
        <f>IF($F$24="% decrease",D31-I31,F31)</f>
        <v>6.6489161883752956</v>
      </c>
      <c r="H31" s="327">
        <f t="shared" ref="H31:H39" si="6">IF($F$24="% decrease",$F31,$E31-$J31)</f>
        <v>0</v>
      </c>
      <c r="I31" s="166">
        <f>IF($F$24="% decrease",J31*$I$28,$D31-$G31)</f>
        <v>131.1396948282916</v>
      </c>
      <c r="J31" s="210">
        <f t="shared" ref="J31:J39" si="7">IF($F$24="% decrease",$E31-$H31,I31/I$28)</f>
        <v>2.6023300229041667E-2</v>
      </c>
      <c r="O31" s="95" t="s">
        <v>674</v>
      </c>
      <c r="P31" s="95" t="s">
        <v>686</v>
      </c>
      <c r="Q31" s="150" t="s">
        <v>376</v>
      </c>
      <c r="R31" s="96" t="str">
        <f t="shared" si="0"/>
        <v>OAU_Actuals_LJ</v>
      </c>
      <c r="S31" s="264">
        <f t="shared" si="4"/>
        <v>0.44436576450435905</v>
      </c>
      <c r="T31" t="str">
        <f t="shared" si="1"/>
        <v>(HOT) R200 Alkox Reactor</v>
      </c>
      <c r="U31" t="s">
        <v>141</v>
      </c>
    </row>
    <row r="32" spans="1:21">
      <c r="A32" s="131" t="s">
        <v>1</v>
      </c>
      <c r="B32" s="168">
        <f>INDEX(TableCategories[Operational Reliability],MATCH($B$2,TableCategories[Row Labels],0))</f>
        <v>1158.98139191217</v>
      </c>
      <c r="C32" s="9">
        <f t="shared" si="5"/>
        <v>0.21888979429478966</v>
      </c>
      <c r="D32" s="168">
        <f t="shared" ref="D32:D39" si="8">IFERROR(IF($B$8="Exclude",B32,IF($B$9="No",B32,IF(B32&lt;0,B32+$C$7*(1-$D$7)*B32/$D$6,B32+(($C$7*$D$7)*B32/$C$6)))),0)</f>
        <v>1158.98139191217</v>
      </c>
      <c r="E32" s="169">
        <f t="shared" ref="E32:E41" si="9">D32/$D$28</f>
        <v>0.21888979429478966</v>
      </c>
      <c r="F32" s="325">
        <v>0</v>
      </c>
      <c r="G32" s="168">
        <f t="shared" ref="G32:G41" si="10">IF($F$24="% decrease",D32-I32,F32)</f>
        <v>55.926031054761552</v>
      </c>
      <c r="H32" s="327">
        <f t="shared" si="6"/>
        <v>0</v>
      </c>
      <c r="I32" s="168">
        <f t="shared" ref="I32:I41" si="11">IF($F$24="% decrease",J32*$I$28,$D32-$G32)</f>
        <v>1103.0553608574085</v>
      </c>
      <c r="J32" s="211">
        <f t="shared" si="7"/>
        <v>0.21888979429478966</v>
      </c>
      <c r="O32" s="95" t="s">
        <v>675</v>
      </c>
      <c r="P32" s="95" t="s">
        <v>719</v>
      </c>
      <c r="Q32" s="13" t="s">
        <v>10</v>
      </c>
      <c r="R32" s="96" t="str">
        <f t="shared" si="0"/>
        <v>OEE_Actuals_LJ_corrected</v>
      </c>
      <c r="S32" s="264">
        <f>C48</f>
        <v>0.73719430076186887</v>
      </c>
      <c r="T32" t="str">
        <f t="shared" si="1"/>
        <v>(HOT) R200 Alkox Reactor</v>
      </c>
      <c r="U32" t="s">
        <v>141</v>
      </c>
    </row>
    <row r="33" spans="1:21">
      <c r="A33" s="130" t="s">
        <v>2</v>
      </c>
      <c r="B33" s="166">
        <f>INDEX(TableCategories[Technology Reliability],MATCH($B$2,TableCategories[Row Labels],0))</f>
        <v>562.41277651666701</v>
      </c>
      <c r="C33" s="71">
        <f t="shared" si="5"/>
        <v>0.1062194939621809</v>
      </c>
      <c r="D33" s="166">
        <f t="shared" si="8"/>
        <v>562.41277651666701</v>
      </c>
      <c r="E33" s="167">
        <f t="shared" si="9"/>
        <v>0.1062194939621809</v>
      </c>
      <c r="F33" s="355">
        <v>0</v>
      </c>
      <c r="G33" s="166">
        <f t="shared" si="10"/>
        <v>27.13892960194255</v>
      </c>
      <c r="H33" s="327">
        <f t="shared" si="6"/>
        <v>0</v>
      </c>
      <c r="I33" s="166">
        <f t="shared" si="11"/>
        <v>535.27384691472446</v>
      </c>
      <c r="J33" s="210">
        <f t="shared" si="7"/>
        <v>0.1062194939621809</v>
      </c>
      <c r="O33" s="95" t="s">
        <v>675</v>
      </c>
      <c r="P33" s="95" t="s">
        <v>719</v>
      </c>
      <c r="Q33" s="13" t="s">
        <v>666</v>
      </c>
      <c r="R33" s="96" t="str">
        <f t="shared" si="0"/>
        <v>Running OEE_Actuals_LJ_corrected</v>
      </c>
      <c r="S33" s="264">
        <f>C49</f>
        <v>0.74245448950593418</v>
      </c>
      <c r="T33" t="str">
        <f t="shared" si="1"/>
        <v>(HOT) R200 Alkox Reactor</v>
      </c>
      <c r="U33" t="s">
        <v>141</v>
      </c>
    </row>
    <row r="34" spans="1:21">
      <c r="A34" s="131" t="s">
        <v>3</v>
      </c>
      <c r="B34" s="168">
        <f>INDEX(TableCategories[Material Reliability],MATCH($B$2,TableCategories[Row Labels],0))</f>
        <v>37.2991666</v>
      </c>
      <c r="C34" s="9">
        <f t="shared" si="5"/>
        <v>7.0444676346104827E-3</v>
      </c>
      <c r="D34" s="168">
        <f t="shared" si="8"/>
        <v>37.2991666</v>
      </c>
      <c r="E34" s="169">
        <f t="shared" si="9"/>
        <v>7.0444676346104827E-3</v>
      </c>
      <c r="F34" s="273">
        <v>0</v>
      </c>
      <c r="G34" s="168">
        <f t="shared" si="10"/>
        <v>1.7998514593463</v>
      </c>
      <c r="H34" s="327">
        <f t="shared" si="6"/>
        <v>0</v>
      </c>
      <c r="I34" s="168">
        <f t="shared" si="11"/>
        <v>35.4993151406537</v>
      </c>
      <c r="J34" s="211">
        <f t="shared" si="7"/>
        <v>7.0444676346104827E-3</v>
      </c>
      <c r="O34" s="95" t="s">
        <v>675</v>
      </c>
      <c r="P34" s="95" t="s">
        <v>719</v>
      </c>
      <c r="Q34" s="13" t="s">
        <v>8</v>
      </c>
      <c r="R34" s="96" t="str">
        <f t="shared" si="0"/>
        <v>Utilization_Actuals_LJ_corrected</v>
      </c>
      <c r="S34" s="264">
        <f>C50</f>
        <v>0.60277970684949678</v>
      </c>
      <c r="T34" t="str">
        <f t="shared" si="1"/>
        <v>(HOT) R200 Alkox Reactor</v>
      </c>
      <c r="U34" t="s">
        <v>141</v>
      </c>
    </row>
    <row r="35" spans="1:21">
      <c r="A35" s="130" t="s">
        <v>4</v>
      </c>
      <c r="B35" s="166">
        <f>INDEX(TableCategories[Logistics/Supply Reliability],MATCH($B$2,TableCategories[Row Labels],0))</f>
        <v>121.842777683299</v>
      </c>
      <c r="C35" s="71">
        <f t="shared" si="5"/>
        <v>2.3011707288415402E-2</v>
      </c>
      <c r="D35" s="166">
        <f t="shared" si="8"/>
        <v>121.842777683299</v>
      </c>
      <c r="E35" s="167">
        <f t="shared" si="9"/>
        <v>2.3011707288415402E-2</v>
      </c>
      <c r="F35" s="325">
        <v>0</v>
      </c>
      <c r="G35" s="166">
        <f t="shared" si="10"/>
        <v>5.8794584762677289</v>
      </c>
      <c r="H35" s="327">
        <f t="shared" si="6"/>
        <v>0</v>
      </c>
      <c r="I35" s="166">
        <f t="shared" si="11"/>
        <v>115.96331920703128</v>
      </c>
      <c r="J35" s="210">
        <f t="shared" si="7"/>
        <v>2.3011707288415402E-2</v>
      </c>
      <c r="O35" s="95" t="s">
        <v>675</v>
      </c>
      <c r="P35" s="95" t="s">
        <v>719</v>
      </c>
      <c r="Q35" s="13" t="s">
        <v>376</v>
      </c>
      <c r="R35" s="96" t="str">
        <f t="shared" si="0"/>
        <v>OAU_Actuals_LJ_corrected</v>
      </c>
      <c r="S35" s="264">
        <f>C51</f>
        <v>0.44436576450435905</v>
      </c>
      <c r="T35" t="str">
        <f t="shared" si="1"/>
        <v>(HOT) R200 Alkox Reactor</v>
      </c>
      <c r="U35" t="s">
        <v>141</v>
      </c>
    </row>
    <row r="36" spans="1:21">
      <c r="A36" s="131" t="s">
        <v>5</v>
      </c>
      <c r="B36" s="168">
        <f>INDEX(TableCategories[External Reliability],MATCH($B$2,TableCategories[Row Labels],0))</f>
        <v>142.08388884999999</v>
      </c>
      <c r="C36" s="9">
        <f t="shared" si="5"/>
        <v>2.6834523332310008E-2</v>
      </c>
      <c r="D36" s="168">
        <f t="shared" si="8"/>
        <v>142.08388884999999</v>
      </c>
      <c r="E36" s="169">
        <f t="shared" si="9"/>
        <v>2.6834523332310008E-2</v>
      </c>
      <c r="F36" s="355">
        <v>0</v>
      </c>
      <c r="G36" s="168">
        <f t="shared" si="10"/>
        <v>6.8561825372331384</v>
      </c>
      <c r="H36" s="327">
        <f t="shared" si="6"/>
        <v>0</v>
      </c>
      <c r="I36" s="168">
        <f t="shared" si="11"/>
        <v>135.22770631276686</v>
      </c>
      <c r="J36" s="211">
        <f t="shared" si="7"/>
        <v>2.6834523332310008E-2</v>
      </c>
      <c r="O36" s="95" t="s">
        <v>676</v>
      </c>
      <c r="P36" s="95" t="s">
        <v>684</v>
      </c>
      <c r="Q36" s="150" t="s">
        <v>10</v>
      </c>
      <c r="R36" s="96" t="str">
        <f t="shared" si="0"/>
        <v>OEE_Normalized_LJ</v>
      </c>
      <c r="S36" s="264">
        <f>D48</f>
        <v>0.70332977837178601</v>
      </c>
      <c r="T36" t="str">
        <f t="shared" si="1"/>
        <v>(HOT) R200 Alkox Reactor</v>
      </c>
      <c r="U36" t="s">
        <v>141</v>
      </c>
    </row>
    <row r="37" spans="1:21">
      <c r="A37" s="130" t="s">
        <v>11</v>
      </c>
      <c r="B37" s="166">
        <f>INDEX(TableCategories[Other Reliability],MATCH($B$2,TableCategories[Row Labels],0))</f>
        <v>-837.94429746347896</v>
      </c>
      <c r="C37" s="71">
        <f t="shared" si="5"/>
        <v>-0.15825746313291345</v>
      </c>
      <c r="D37" s="166">
        <f t="shared" si="8"/>
        <v>-837.94429746347896</v>
      </c>
      <c r="E37" s="167">
        <f t="shared" si="9"/>
        <v>-0.15825746313291345</v>
      </c>
      <c r="F37" s="325">
        <v>0</v>
      </c>
      <c r="G37" s="166">
        <f t="shared" si="10"/>
        <v>-40.434556697053722</v>
      </c>
      <c r="H37" s="327">
        <f t="shared" si="6"/>
        <v>0</v>
      </c>
      <c r="I37" s="166">
        <f t="shared" si="11"/>
        <v>-797.50974076642524</v>
      </c>
      <c r="J37" s="210">
        <f t="shared" si="7"/>
        <v>-0.15825746313291345</v>
      </c>
      <c r="O37" s="95" t="s">
        <v>676</v>
      </c>
      <c r="P37" s="95" t="s">
        <v>684</v>
      </c>
      <c r="Q37" s="150" t="s">
        <v>666</v>
      </c>
      <c r="R37" s="96" t="str">
        <f t="shared" si="0"/>
        <v>Running OEE_Normalized_LJ</v>
      </c>
      <c r="S37" s="264">
        <f>D49</f>
        <v>0.70834832962717931</v>
      </c>
      <c r="T37" t="str">
        <f t="shared" si="1"/>
        <v>(HOT) R200 Alkox Reactor</v>
      </c>
      <c r="U37" t="s">
        <v>141</v>
      </c>
    </row>
    <row r="38" spans="1:21">
      <c r="A38" s="131" t="s">
        <v>15</v>
      </c>
      <c r="B38" s="168">
        <f>INDEX(TableCategories[Unspecified],MATCH($B$2,TableCategories[Row Labels],0))</f>
        <v>0.314722216666667</v>
      </c>
      <c r="C38" s="9">
        <f t="shared" si="5"/>
        <v>5.9439678451185651E-5</v>
      </c>
      <c r="D38" s="168">
        <f t="shared" si="8"/>
        <v>0.314722216666667</v>
      </c>
      <c r="E38" s="169">
        <f t="shared" si="9"/>
        <v>5.9439678451185651E-5</v>
      </c>
      <c r="F38" s="273">
        <v>0</v>
      </c>
      <c r="G38" s="168">
        <f t="shared" si="10"/>
        <v>1.5186753286766552E-2</v>
      </c>
      <c r="H38" s="327">
        <f t="shared" si="6"/>
        <v>0</v>
      </c>
      <c r="I38" s="168">
        <f t="shared" si="11"/>
        <v>0.29953546337990045</v>
      </c>
      <c r="J38" s="211">
        <f t="shared" si="7"/>
        <v>5.9439678451185651E-5</v>
      </c>
      <c r="O38" s="95" t="s">
        <v>676</v>
      </c>
      <c r="P38" s="95" t="s">
        <v>684</v>
      </c>
      <c r="Q38" s="150" t="s">
        <v>8</v>
      </c>
      <c r="R38" s="96" t="str">
        <f t="shared" si="0"/>
        <v>Utilization_Normalized_LJ</v>
      </c>
      <c r="S38" s="264">
        <f>D50</f>
        <v>0.60277970684408499</v>
      </c>
      <c r="T38" t="str">
        <f t="shared" si="1"/>
        <v>(HOT) R200 Alkox Reactor</v>
      </c>
      <c r="U38" t="s">
        <v>141</v>
      </c>
    </row>
    <row r="39" spans="1:21">
      <c r="A39" s="131" t="s">
        <v>16</v>
      </c>
      <c r="B39" s="166">
        <f>INDEX(TableOEE[Sum of UndetectedInHours],MATCH($B$2,TableOEE[Unit],0))</f>
        <v>31.2159766943814</v>
      </c>
      <c r="C39" s="71">
        <f t="shared" si="5"/>
        <v>5.8955724095541831E-3</v>
      </c>
      <c r="D39" s="166">
        <f t="shared" si="8"/>
        <v>31.2159766943814</v>
      </c>
      <c r="E39" s="167">
        <f t="shared" si="9"/>
        <v>5.8955724095541831E-3</v>
      </c>
      <c r="F39" s="355">
        <v>0</v>
      </c>
      <c r="G39" s="166">
        <f t="shared" si="10"/>
        <v>1.5063103637361799</v>
      </c>
      <c r="H39" s="327">
        <f t="shared" si="6"/>
        <v>0</v>
      </c>
      <c r="I39" s="166">
        <f t="shared" si="11"/>
        <v>29.70966633064522</v>
      </c>
      <c r="J39" s="210">
        <f t="shared" si="7"/>
        <v>5.8955724095541831E-3</v>
      </c>
      <c r="O39" s="95" t="s">
        <v>676</v>
      </c>
      <c r="P39" s="95" t="s">
        <v>684</v>
      </c>
      <c r="Q39" s="150" t="s">
        <v>376</v>
      </c>
      <c r="R39" s="96" t="str">
        <f t="shared" si="0"/>
        <v>OAU_Normalized_LJ</v>
      </c>
      <c r="S39" s="264">
        <f>D51</f>
        <v>0.42395291762165999</v>
      </c>
      <c r="T39" t="str">
        <f t="shared" si="1"/>
        <v>(HOT) R200 Alkox Reactor</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0.73719430076186887</v>
      </c>
      <c r="T40" t="str">
        <f t="shared" si="1"/>
        <v>(HOT) R200 Alkox Reactor</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0.74245448950593418</v>
      </c>
      <c r="T41" t="str">
        <f t="shared" si="1"/>
        <v>(HOT) R200 Alkox Reactor</v>
      </c>
      <c r="U41" t="s">
        <v>141</v>
      </c>
    </row>
    <row r="42" spans="1:21" ht="13.5" thickBot="1">
      <c r="A42" s="134" t="s">
        <v>705</v>
      </c>
      <c r="B42" s="172"/>
      <c r="C42" s="72"/>
      <c r="D42" s="172">
        <f>D30-D31-D32-D33-D34-D35-D36-D37-D38-D39-D40-D41-D45</f>
        <v>0</v>
      </c>
      <c r="E42" s="173"/>
      <c r="F42" s="287"/>
      <c r="G42" s="306"/>
      <c r="H42" s="307">
        <f>IFERROR(I42/I28,0)</f>
        <v>2.8175325202374257E-2</v>
      </c>
      <c r="I42" s="184">
        <f>-(I43-I31-I32-I33-I34-I35-I36-I37-I38-I39-I41-I40)</f>
        <v>141.98443380381741</v>
      </c>
      <c r="J42" s="212">
        <f>-H42</f>
        <v>-2.8175325202374257E-2</v>
      </c>
      <c r="O42" s="95" t="s">
        <v>677</v>
      </c>
      <c r="P42" s="95" t="s">
        <v>720</v>
      </c>
      <c r="Q42" s="13" t="s">
        <v>8</v>
      </c>
      <c r="R42" s="96" t="str">
        <f t="shared" si="0"/>
        <v>Utilization_Baseline target setting</v>
      </c>
      <c r="S42" s="264">
        <f>E50</f>
        <v>0.60277970684949678</v>
      </c>
      <c r="T42" t="str">
        <f t="shared" si="1"/>
        <v>(HOT) R200 Alkox Reactor</v>
      </c>
      <c r="U42" t="s">
        <v>141</v>
      </c>
    </row>
    <row r="43" spans="1:21" ht="13.5" hidden="1" thickBot="1">
      <c r="A43" s="135" t="s">
        <v>397</v>
      </c>
      <c r="B43" s="174">
        <f>SUBTOTAL(109,B31:B40)</f>
        <v>1353.9950140263718</v>
      </c>
      <c r="C43" s="106">
        <f>IFERROR($B43/$B$28,)</f>
        <v>0.25572083569644</v>
      </c>
      <c r="D43" s="174">
        <f>SUBTOTAL(109,D31:D41)</f>
        <v>1353.9950140263718</v>
      </c>
      <c r="E43" s="175">
        <f>D43/D28</f>
        <v>0.25572083569644</v>
      </c>
      <c r="F43" s="288"/>
      <c r="G43" s="308">
        <f>I43-D43</f>
        <v>-207.320743541713</v>
      </c>
      <c r="H43" s="309">
        <f>E43-J43</f>
        <v>2.8175325202374202E-2</v>
      </c>
      <c r="I43" s="174">
        <f>I30-I45</f>
        <v>1146.6742704846588</v>
      </c>
      <c r="J43" s="213">
        <f>SUM(J31:J42)</f>
        <v>0.22754551049406579</v>
      </c>
      <c r="O43" s="95" t="s">
        <v>677</v>
      </c>
      <c r="P43" s="95"/>
      <c r="Q43" s="13" t="s">
        <v>722</v>
      </c>
      <c r="R43" s="96" t="str">
        <f t="shared" si="0"/>
        <v>BLANK1</v>
      </c>
      <c r="S43" s="264"/>
      <c r="T43" t="str">
        <f t="shared" si="1"/>
        <v>(HOT) R200 Alkox Reactor</v>
      </c>
      <c r="U43" t="s">
        <v>141</v>
      </c>
    </row>
    <row r="44" spans="1:21" ht="13.5" hidden="1" thickBot="1">
      <c r="A44" s="136" t="s">
        <v>398</v>
      </c>
      <c r="B44" s="176">
        <f>B43+B29</f>
        <v>1391.5080695596889</v>
      </c>
      <c r="C44" s="31">
        <f>IFERROR($B44/$B$28,)</f>
        <v>0.26280569923813102</v>
      </c>
      <c r="D44" s="176">
        <f>D43+D29</f>
        <v>1391.5080695596889</v>
      </c>
      <c r="E44" s="177">
        <f>D44/D28</f>
        <v>0.26280569923813102</v>
      </c>
      <c r="F44" s="289"/>
      <c r="G44" s="310">
        <f>I44-D44</f>
        <v>-244.83379907503013</v>
      </c>
      <c r="H44" s="311">
        <f>IFERROR(E44-J44,)</f>
        <v>3.5260188744065224E-2</v>
      </c>
      <c r="I44" s="176">
        <f>I28-I45</f>
        <v>1146.6742704846588</v>
      </c>
      <c r="J44" s="214">
        <f>IFERROR(1-J45,)</f>
        <v>0.22754551049406579</v>
      </c>
      <c r="O44" s="95" t="s">
        <v>677</v>
      </c>
      <c r="P44" s="95"/>
      <c r="Q44" s="151" t="s">
        <v>721</v>
      </c>
      <c r="R44" s="96" t="str">
        <f t="shared" si="0"/>
        <v>BLANK2</v>
      </c>
      <c r="S44" s="264"/>
      <c r="T44" t="str">
        <f t="shared" si="1"/>
        <v>(HOT) R200 Alkox Reactor</v>
      </c>
      <c r="U44" t="s">
        <v>141</v>
      </c>
    </row>
    <row r="45" spans="1:21" ht="13.5" thickBot="1">
      <c r="A45" s="137" t="s">
        <v>712</v>
      </c>
      <c r="B45" s="178">
        <f>INDEX(TableOEE[Sum of ActualInHours],MATCH($B$2,TableOEE[Unit],0))</f>
        <v>3903.3088754062901</v>
      </c>
      <c r="C45" s="139">
        <f>IFERROR($B45/$B$28,)</f>
        <v>0.73719430076186887</v>
      </c>
      <c r="D45" s="178">
        <f>IF(B8="Include",B45/(1+B7),B45)</f>
        <v>3903.3088754062901</v>
      </c>
      <c r="E45" s="179">
        <f>D45/D28</f>
        <v>0.73719430076186887</v>
      </c>
      <c r="F45" s="290"/>
      <c r="G45" s="312">
        <f>I45-D45</f>
        <v>-10.664778348104392</v>
      </c>
      <c r="H45" s="290">
        <f>H43+H29+H42+H41</f>
        <v>6.343551394643944E-2</v>
      </c>
      <c r="I45" s="178">
        <f>D45*(1+B6)*I25/B25</f>
        <v>3892.6440970581857</v>
      </c>
      <c r="J45" s="215">
        <f>F48</f>
        <v>0.77245448950593421</v>
      </c>
      <c r="O45" s="95" t="s">
        <v>677</v>
      </c>
      <c r="P45" s="95" t="s">
        <v>720</v>
      </c>
      <c r="Q45" s="13" t="s">
        <v>376</v>
      </c>
      <c r="R45" s="96" t="str">
        <f t="shared" si="0"/>
        <v>OAU_Baseline target setting</v>
      </c>
      <c r="S45" s="264">
        <f>E51</f>
        <v>0.44436576450435905</v>
      </c>
      <c r="T45" t="str">
        <f t="shared" si="1"/>
        <v>(HOT) R200 Alkox Reactor</v>
      </c>
      <c r="U45" t="s">
        <v>141</v>
      </c>
    </row>
    <row r="46" spans="1:21">
      <c r="F46" t="s">
        <v>713</v>
      </c>
      <c r="O46" s="95" t="s">
        <v>678</v>
      </c>
      <c r="P46" s="95" t="s">
        <v>880</v>
      </c>
      <c r="Q46" s="150" t="s">
        <v>10</v>
      </c>
      <c r="R46" s="96" t="str">
        <f t="shared" si="0"/>
        <v>OEE_Targets_NJ</v>
      </c>
      <c r="S46" s="264">
        <f>F48</f>
        <v>0.77245448950593421</v>
      </c>
      <c r="T46" t="str">
        <f t="shared" si="1"/>
        <v>(HOT) R200 Alkox Reactor</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0.77245448950593421</v>
      </c>
      <c r="T47" t="str">
        <f t="shared" si="1"/>
        <v>(HOT) R200 Alkox Reactor</v>
      </c>
      <c r="U47" t="s">
        <v>141</v>
      </c>
    </row>
    <row r="48" spans="1:21">
      <c r="A48" s="88" t="s">
        <v>10</v>
      </c>
      <c r="B48" s="89">
        <f>IFERROR(B45/(B28-B40),)</f>
        <v>0.73719430076186887</v>
      </c>
      <c r="C48" s="69">
        <f>IFERROR(B45/(B28-B5),)</f>
        <v>0.73719430076186887</v>
      </c>
      <c r="D48" s="89">
        <f>IFERROR(IF(INDEX(TableOEEnormalized[LastYear Normalized OEE],MATCH($B$2,TableOEEnormalized[Unit],0))&gt;0,
        INDEX(TableOEEnormalized[LastYear Normalized OEE],MATCH($B$2,TableOEEnormalized[Unit],0)),""),Table101291215[[#This Row],[Actual 2024]])</f>
        <v>0.70332977837178601</v>
      </c>
      <c r="E48" s="69">
        <f>IF(B8="Include",C48/(1+B7),C48)</f>
        <v>0.73719430076186887</v>
      </c>
      <c r="F48" s="275">
        <f>IFERROR(IF(B15="OEE", E48+B14,I45/I28),)</f>
        <v>0.77245448950593421</v>
      </c>
      <c r="G48" s="276" t="s">
        <v>707</v>
      </c>
      <c r="O48" s="95" t="s">
        <v>678</v>
      </c>
      <c r="P48" s="95" t="s">
        <v>880</v>
      </c>
      <c r="Q48" s="150" t="s">
        <v>8</v>
      </c>
      <c r="R48" s="96" t="str">
        <f t="shared" si="0"/>
        <v>Utilization_Targets_NJ</v>
      </c>
      <c r="S48" s="264">
        <f>F50</f>
        <v>0.57526465382909187</v>
      </c>
      <c r="T48" t="str">
        <f t="shared" si="1"/>
        <v>(HOT) R200 Alkox Reactor</v>
      </c>
      <c r="U48" t="s">
        <v>141</v>
      </c>
    </row>
    <row r="49" spans="1:35">
      <c r="A49" s="90" t="s">
        <v>666</v>
      </c>
      <c r="B49" s="69">
        <f>IFERROR(B45/(B30-B40),)</f>
        <v>0.74245448950593418</v>
      </c>
      <c r="C49" s="69">
        <f>IFERROR(B45/(B30-B5),)</f>
        <v>0.74245448950593418</v>
      </c>
      <c r="D49" s="123">
        <f>IFERROR(B45/(1+B7)/(B28-B29),)</f>
        <v>0.70834832962717931</v>
      </c>
      <c r="E49" s="69">
        <f>IFERROR(D45/(D30),)</f>
        <v>0.74245448950593418</v>
      </c>
      <c r="F49" s="123">
        <f>IFERROR(IF(B15="OEE",(I45/I30),E49+B14),)</f>
        <v>0.77245448950593421</v>
      </c>
      <c r="G49" s="274" t="s">
        <v>669</v>
      </c>
      <c r="O49" s="95" t="s">
        <v>678</v>
      </c>
      <c r="P49" s="95" t="s">
        <v>880</v>
      </c>
      <c r="Q49" s="150" t="s">
        <v>376</v>
      </c>
      <c r="R49" s="96" t="str">
        <f t="shared" si="0"/>
        <v>OAU_Targets_NJ</v>
      </c>
      <c r="S49" s="264">
        <f>F51</f>
        <v>0.44436576450435911</v>
      </c>
      <c r="T49" t="str">
        <f t="shared" si="1"/>
        <v>(HOT) R200 Alkox Reactor</v>
      </c>
      <c r="U49" t="s">
        <v>141</v>
      </c>
    </row>
    <row r="50" spans="1:35">
      <c r="A50" s="90" t="s">
        <v>8</v>
      </c>
      <c r="B50" s="5">
        <f>IFERROR((B28+B27)/(B25),)</f>
        <v>0.60277970684949678</v>
      </c>
      <c r="C50" s="69">
        <f>IFERROR((B28-B5)/B25,)</f>
        <v>0.60277970684949678</v>
      </c>
      <c r="D50" s="123">
        <f>IFERROR(IF(INDEX(TableOEEnormalized[LastYear Normalized Utilization],MATCH($B$2,TableOEEnormalized[Unit],0))&gt;0,
      INDEX(TableOEEnormalized[LastYear Normalized Utilization],MATCH($B$2,TableOEEnormalized[Unit],0)),""),Table101291215[[#This Row],[Actual 2024]])</f>
        <v>0.60277970684408499</v>
      </c>
      <c r="E50" s="69">
        <f>IFERROR(D28/D25,)</f>
        <v>0.60277970684949678</v>
      </c>
      <c r="F50" s="69">
        <f>IFERROR(I28/I25,)</f>
        <v>0.57526465382909187</v>
      </c>
      <c r="G50" s="91" t="s">
        <v>1188</v>
      </c>
      <c r="O50" s="95" t="s">
        <v>679</v>
      </c>
      <c r="P50" s="95" t="s">
        <v>706</v>
      </c>
      <c r="Q50" s="13" t="s">
        <v>10</v>
      </c>
      <c r="R50" s="96" t="str">
        <f t="shared" si="0"/>
        <v>OEE_Remarks</v>
      </c>
      <c r="S50" s="264" t="str">
        <f>G48</f>
        <v>OEE target</v>
      </c>
      <c r="T50" t="str">
        <f t="shared" si="1"/>
        <v>(HOT) R200 Alkox Reactor</v>
      </c>
      <c r="U50" t="s">
        <v>878</v>
      </c>
    </row>
    <row r="51" spans="1:35">
      <c r="A51" s="90" t="s">
        <v>376</v>
      </c>
      <c r="B51" s="69">
        <f>IFERROR(B45/B25,)</f>
        <v>0.44436576450435905</v>
      </c>
      <c r="C51" s="6">
        <f>Table101291215[[#This Row],[Actual 2024]]</f>
        <v>0.44436576450435905</v>
      </c>
      <c r="D51" s="123">
        <f>IFERROR(IF(INDEX(TableOEEnormalized[LastYear Normalized OAU],MATCH($B$2,TableOEEnormalized[Unit],0))&gt;0,
   INDEX(TableOEEnormalized[LastYear Normalized OAU],MATCH($B$2,TableOEEnormalized[Unit],0)),""),Table101291215[[#This Row],[Actual 2024]])</f>
        <v>0.42395291762165999</v>
      </c>
      <c r="E51" s="5">
        <f>D45/D25</f>
        <v>0.44436576450435905</v>
      </c>
      <c r="F51" s="69">
        <f>I45/I25</f>
        <v>0.44436576450435911</v>
      </c>
      <c r="G51" s="91"/>
      <c r="O51" s="95" t="s">
        <v>679</v>
      </c>
      <c r="P51" s="95" t="s">
        <v>706</v>
      </c>
      <c r="Q51" s="13" t="s">
        <v>666</v>
      </c>
      <c r="R51" s="96" t="str">
        <f t="shared" si="0"/>
        <v>Running OEE_Remarks</v>
      </c>
      <c r="S51" s="264" t="str">
        <f>G49</f>
        <v>Running OEE target</v>
      </c>
      <c r="T51" t="str">
        <f t="shared" si="1"/>
        <v>(HOT) R200 Alkox Reactor</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R200 Alkox Reactor</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R200 Alkox Reactor</v>
      </c>
      <c r="U53" t="s">
        <v>878</v>
      </c>
    </row>
    <row r="54" spans="1:35">
      <c r="A54" s="65" t="str">
        <f>B2</f>
        <v>(HOT) R200 Alkox Reactor</v>
      </c>
      <c r="B54" s="75">
        <f>B48</f>
        <v>0.73719430076186887</v>
      </c>
      <c r="C54" s="75">
        <f>D48</f>
        <v>0.70332977837178601</v>
      </c>
      <c r="D54" s="75">
        <f>E48</f>
        <v>0.73719430076186887</v>
      </c>
      <c r="E54" s="75">
        <f>F48</f>
        <v>0.77245448950593421</v>
      </c>
      <c r="F54" s="76">
        <f>B6</f>
        <v>0</v>
      </c>
      <c r="G54" s="97">
        <f>B5</f>
        <v>0</v>
      </c>
      <c r="H54" s="76">
        <f>B14</f>
        <v>0.03</v>
      </c>
      <c r="I54" s="76" t="str">
        <f>B11</f>
        <v>Playbook Matrix Value</v>
      </c>
      <c r="J54" s="76" t="str">
        <f>B15</f>
        <v>Running OEE</v>
      </c>
      <c r="K54" s="102">
        <f>C18</f>
        <v>0</v>
      </c>
      <c r="L54" s="102">
        <f>C19</f>
        <v>0</v>
      </c>
      <c r="M54" s="104">
        <f>F49</f>
        <v>0.77245448950593421</v>
      </c>
      <c r="O54" s="95" t="s">
        <v>674</v>
      </c>
      <c r="P54" s="95" t="s">
        <v>683</v>
      </c>
      <c r="Q54" s="142" t="s">
        <v>13</v>
      </c>
      <c r="R54" s="96" t="str">
        <f t="shared" si="0"/>
        <v>MAC - Calender hours_Loss_Hours_LJ</v>
      </c>
      <c r="S54" s="267">
        <f>B25</f>
        <v>8784</v>
      </c>
      <c r="T54" t="str">
        <f t="shared" si="1"/>
        <v>(HOT) R200 Alkox Reactor</v>
      </c>
      <c r="U54" t="s">
        <v>876</v>
      </c>
    </row>
    <row r="55" spans="1:35">
      <c r="O55" s="95" t="s">
        <v>674</v>
      </c>
      <c r="P55" s="95" t="s">
        <v>683</v>
      </c>
      <c r="Q55" s="152" t="s">
        <v>7</v>
      </c>
      <c r="R55" s="96" t="str">
        <f t="shared" si="0"/>
        <v>Commercial Reliability_Loss_Hours_LJ</v>
      </c>
      <c r="S55" s="267">
        <f t="shared" ref="S55:S74" si="12">B26</f>
        <v>3489.1830550340201</v>
      </c>
      <c r="T55" t="str">
        <f t="shared" si="1"/>
        <v>(HOT) R200 Alkox Reactor</v>
      </c>
      <c r="U55" t="s">
        <v>876</v>
      </c>
    </row>
    <row r="56" spans="1:35">
      <c r="D56" s="5"/>
      <c r="O56" s="95" t="s">
        <v>674</v>
      </c>
      <c r="P56" s="95" t="s">
        <v>683</v>
      </c>
      <c r="Q56" s="152" t="s">
        <v>704</v>
      </c>
      <c r="R56" s="96" t="str">
        <f t="shared" si="0"/>
        <v>Exception hours (loss excluded from OEE)_Loss_Hours_LJ</v>
      </c>
      <c r="S56" s="267">
        <f t="shared" si="12"/>
        <v>0</v>
      </c>
      <c r="T56" t="str">
        <f t="shared" si="1"/>
        <v>(HOT) R200 Alkox Reactor</v>
      </c>
      <c r="U56" t="s">
        <v>876</v>
      </c>
    </row>
    <row r="57" spans="1:35">
      <c r="D57" s="5"/>
      <c r="F57" s="54"/>
      <c r="O57" s="95" t="s">
        <v>674</v>
      </c>
      <c r="P57" s="95" t="s">
        <v>683</v>
      </c>
      <c r="Q57" s="152" t="s">
        <v>14</v>
      </c>
      <c r="R57" s="96" t="str">
        <f t="shared" si="0"/>
        <v>Available OEE - Scheduled hours_Loss_Hours_LJ</v>
      </c>
      <c r="S57" s="267">
        <f t="shared" si="12"/>
        <v>5294.8169449659799</v>
      </c>
      <c r="T57" t="str">
        <f t="shared" si="1"/>
        <v>(HOT) R200 Alkox Reactor</v>
      </c>
      <c r="U57" t="s">
        <v>876</v>
      </c>
    </row>
    <row r="58" spans="1:35">
      <c r="B58" s="83"/>
      <c r="C58" s="51"/>
      <c r="O58" s="95" t="s">
        <v>674</v>
      </c>
      <c r="P58" s="95" t="s">
        <v>683</v>
      </c>
      <c r="Q58" s="152" t="s">
        <v>17</v>
      </c>
      <c r="R58" s="96" t="str">
        <f t="shared" si="0"/>
        <v>Equipment Reliability - Planned TA &amp; Planned SD_Loss_Hours_LJ</v>
      </c>
      <c r="S58" s="267">
        <f t="shared" si="12"/>
        <v>37.5130555333171</v>
      </c>
      <c r="T58" t="str">
        <f t="shared" si="1"/>
        <v>(HOT) R200 Alkox Reactor</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5257.3038894326628</v>
      </c>
      <c r="T59" t="str">
        <f t="shared" si="1"/>
        <v>(HOT) R200 Alkox Reactor</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137.78861101666689</v>
      </c>
      <c r="T60" t="str">
        <f t="shared" si="1"/>
        <v>(HOT) R200 Alkox Reactor</v>
      </c>
      <c r="U60" t="s">
        <v>876</v>
      </c>
    </row>
    <row r="61" spans="1:35">
      <c r="B61" s="53"/>
      <c r="C61" s="53"/>
      <c r="O61" s="95" t="s">
        <v>674</v>
      </c>
      <c r="P61" s="95" t="s">
        <v>683</v>
      </c>
      <c r="Q61" s="152" t="s">
        <v>1</v>
      </c>
      <c r="R61" s="96" t="str">
        <f t="shared" si="0"/>
        <v>Operational Reliability_Loss_Hours_LJ</v>
      </c>
      <c r="S61" s="267">
        <f t="shared" si="12"/>
        <v>1158.98139191217</v>
      </c>
      <c r="T61" t="str">
        <f t="shared" si="1"/>
        <v>(HOT) R200 Alkox Reactor</v>
      </c>
      <c r="U61" t="s">
        <v>876</v>
      </c>
    </row>
    <row r="62" spans="1:35">
      <c r="B62" s="53"/>
      <c r="C62" s="53"/>
      <c r="I62" s="6"/>
      <c r="J62" s="6"/>
      <c r="K62" s="6"/>
      <c r="L62" s="6"/>
      <c r="M62" s="6"/>
      <c r="O62" s="95" t="s">
        <v>674</v>
      </c>
      <c r="P62" s="95" t="s">
        <v>683</v>
      </c>
      <c r="Q62" s="152" t="s">
        <v>2</v>
      </c>
      <c r="R62" s="96" t="str">
        <f t="shared" si="0"/>
        <v>Technology Reliability_Loss_Hours_LJ</v>
      </c>
      <c r="S62" s="267">
        <f t="shared" si="12"/>
        <v>562.41277651666701</v>
      </c>
      <c r="T62" t="str">
        <f t="shared" si="1"/>
        <v>(HOT) R200 Alkox Reactor</v>
      </c>
      <c r="U62" t="s">
        <v>876</v>
      </c>
    </row>
    <row r="63" spans="1:35">
      <c r="B63" s="82"/>
      <c r="C63" s="2"/>
      <c r="O63" s="95" t="s">
        <v>674</v>
      </c>
      <c r="P63" s="95" t="s">
        <v>683</v>
      </c>
      <c r="Q63" s="152" t="s">
        <v>3</v>
      </c>
      <c r="R63" s="96" t="str">
        <f t="shared" si="0"/>
        <v>Material Reliability_Loss_Hours_LJ</v>
      </c>
      <c r="S63" s="267">
        <f t="shared" si="12"/>
        <v>37.2991666</v>
      </c>
      <c r="T63" t="str">
        <f t="shared" si="1"/>
        <v>(HOT) R200 Alkox Reactor</v>
      </c>
      <c r="U63" t="s">
        <v>876</v>
      </c>
    </row>
    <row r="64" spans="1:35">
      <c r="B64" s="5"/>
      <c r="O64" s="95" t="s">
        <v>674</v>
      </c>
      <c r="P64" s="95" t="s">
        <v>683</v>
      </c>
      <c r="Q64" s="152" t="s">
        <v>4</v>
      </c>
      <c r="R64" s="96" t="str">
        <f t="shared" si="0"/>
        <v>Logistics/Supply Reliability_Loss_Hours_LJ</v>
      </c>
      <c r="S64" s="267">
        <f t="shared" si="12"/>
        <v>121.842777683299</v>
      </c>
      <c r="T64" t="str">
        <f t="shared" si="1"/>
        <v>(HOT) R200 Alkox Reactor</v>
      </c>
      <c r="U64" t="s">
        <v>876</v>
      </c>
    </row>
    <row r="65" spans="15:35">
      <c r="O65" s="95" t="s">
        <v>674</v>
      </c>
      <c r="P65" s="95" t="s">
        <v>683</v>
      </c>
      <c r="Q65" s="152" t="s">
        <v>5</v>
      </c>
      <c r="R65" s="96" t="str">
        <f t="shared" si="0"/>
        <v>External Reliability_Loss_Hours_LJ</v>
      </c>
      <c r="S65" s="267">
        <f t="shared" si="12"/>
        <v>142.08388884999999</v>
      </c>
      <c r="T65" t="str">
        <f t="shared" si="1"/>
        <v>(HOT) R200 Alkox Reactor</v>
      </c>
      <c r="U65" t="s">
        <v>876</v>
      </c>
    </row>
    <row r="66" spans="15:35">
      <c r="O66" s="95" t="s">
        <v>674</v>
      </c>
      <c r="P66" s="95" t="s">
        <v>683</v>
      </c>
      <c r="Q66" s="152" t="s">
        <v>11</v>
      </c>
      <c r="R66" s="96" t="str">
        <f t="shared" ref="R66:R129" si="13">IF(ISBLANK(P66),Q66,_xlfn.CONCAT(Q66,"_",P66))</f>
        <v>Other Reliability_Loss_Hours_LJ</v>
      </c>
      <c r="S66" s="267">
        <f t="shared" si="12"/>
        <v>-837.94429746347896</v>
      </c>
      <c r="T66" t="str">
        <f t="shared" si="1"/>
        <v>(HOT) R200 Alkox Reactor</v>
      </c>
      <c r="U66" t="s">
        <v>876</v>
      </c>
    </row>
    <row r="67" spans="15:35">
      <c r="O67" s="95" t="s">
        <v>674</v>
      </c>
      <c r="P67" s="95" t="s">
        <v>683</v>
      </c>
      <c r="Q67" s="152" t="s">
        <v>15</v>
      </c>
      <c r="R67" s="96" t="str">
        <f t="shared" si="13"/>
        <v>Unspecified_Loss_Hours_LJ</v>
      </c>
      <c r="S67" s="267">
        <f t="shared" si="12"/>
        <v>0.314722216666667</v>
      </c>
      <c r="T67" t="str">
        <f t="shared" ref="T67:T130" si="14">$B$2</f>
        <v>(HOT) R200 Alkox Reactor</v>
      </c>
      <c r="U67" t="s">
        <v>876</v>
      </c>
    </row>
    <row r="68" spans="15:35">
      <c r="O68" s="95" t="s">
        <v>674</v>
      </c>
      <c r="P68" s="95" t="s">
        <v>683</v>
      </c>
      <c r="Q68" s="152" t="s">
        <v>16</v>
      </c>
      <c r="R68" s="96" t="str">
        <f t="shared" si="13"/>
        <v>Undetected_Loss_Hours_LJ</v>
      </c>
      <c r="S68" s="267">
        <f t="shared" si="12"/>
        <v>31.2159766943814</v>
      </c>
      <c r="T68" t="str">
        <f t="shared" si="14"/>
        <v>(HOT) R200 Alkox Reactor</v>
      </c>
      <c r="U68" t="s">
        <v>876</v>
      </c>
      <c r="AH68" s="6"/>
      <c r="AI68" s="6"/>
    </row>
    <row r="69" spans="15:35">
      <c r="O69" s="95" t="s">
        <v>674</v>
      </c>
      <c r="P69" s="95" t="s">
        <v>683</v>
      </c>
      <c r="Q69" s="152" t="s">
        <v>664</v>
      </c>
      <c r="R69" s="96" t="str">
        <f t="shared" si="13"/>
        <v>Exception hours_Loss_Hours_LJ</v>
      </c>
      <c r="S69" s="267">
        <f t="shared" si="12"/>
        <v>0</v>
      </c>
      <c r="T69" t="str">
        <f t="shared" si="14"/>
        <v>(HOT) R200 Alkox Reactor</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R200 Alkox Reactor</v>
      </c>
      <c r="U70" t="s">
        <v>876</v>
      </c>
      <c r="AH70" s="6"/>
      <c r="AI70" s="6"/>
    </row>
    <row r="71" spans="15:35">
      <c r="O71" s="95" t="s">
        <v>674</v>
      </c>
      <c r="P71" s="95" t="s">
        <v>683</v>
      </c>
      <c r="Q71" s="152" t="s">
        <v>705</v>
      </c>
      <c r="R71" s="96" t="str">
        <f t="shared" si="13"/>
        <v>Improvement target not assigned_Loss_Hours_LJ</v>
      </c>
      <c r="S71" s="267">
        <f t="shared" si="12"/>
        <v>0</v>
      </c>
      <c r="T71" t="str">
        <f t="shared" si="14"/>
        <v>(HOT) R200 Alkox Reactor</v>
      </c>
      <c r="U71" t="s">
        <v>876</v>
      </c>
    </row>
    <row r="72" spans="15:35">
      <c r="O72" s="95" t="s">
        <v>674</v>
      </c>
      <c r="P72" s="95" t="s">
        <v>683</v>
      </c>
      <c r="Q72" s="152" t="s">
        <v>397</v>
      </c>
      <c r="R72" s="96" t="str">
        <f t="shared" si="13"/>
        <v>Sum OEE losses (exluding Planned Maintenance)_Loss_Hours_LJ</v>
      </c>
      <c r="S72" s="267">
        <f t="shared" si="12"/>
        <v>1353.9950140263718</v>
      </c>
      <c r="T72" t="str">
        <f t="shared" si="14"/>
        <v>(HOT) R200 Alkox Reactor</v>
      </c>
      <c r="U72" t="s">
        <v>876</v>
      </c>
    </row>
    <row r="73" spans="15:35">
      <c r="O73" s="95" t="s">
        <v>675</v>
      </c>
      <c r="P73" s="95" t="s">
        <v>683</v>
      </c>
      <c r="Q73" s="152" t="s">
        <v>398</v>
      </c>
      <c r="R73" s="96" t="str">
        <f t="shared" si="13"/>
        <v>Sum OEE losses (Including Planned Maintenance)_Loss_Hours_LJ</v>
      </c>
      <c r="S73" s="267">
        <f t="shared" si="12"/>
        <v>1391.5080695596889</v>
      </c>
      <c r="T73" t="str">
        <f t="shared" si="14"/>
        <v>(HOT) R200 Alkox Reactor</v>
      </c>
      <c r="U73" t="s">
        <v>876</v>
      </c>
    </row>
    <row r="74" spans="15:35">
      <c r="O74" s="95" t="s">
        <v>675</v>
      </c>
      <c r="P74" s="95" t="s">
        <v>683</v>
      </c>
      <c r="Q74" s="152" t="s">
        <v>712</v>
      </c>
      <c r="R74" s="96" t="str">
        <f t="shared" si="13"/>
        <v>Production hours on MAC (h) / OEE (%)_Loss_Hours_LJ</v>
      </c>
      <c r="S74" s="267">
        <f t="shared" si="12"/>
        <v>3903.3088754062901</v>
      </c>
      <c r="T74" t="str">
        <f t="shared" si="14"/>
        <v>(HOT) R200 Alkox Reactor</v>
      </c>
      <c r="U74" t="s">
        <v>876</v>
      </c>
    </row>
    <row r="75" spans="15:35">
      <c r="O75" s="95" t="s">
        <v>675</v>
      </c>
      <c r="P75" s="95" t="s">
        <v>682</v>
      </c>
      <c r="Q75" s="143" t="s">
        <v>13</v>
      </c>
      <c r="R75" s="96" t="str">
        <f t="shared" si="13"/>
        <v>MAC - Calender hours_Loss_Percentage_LJ</v>
      </c>
      <c r="S75" s="268">
        <f>C25</f>
        <v>0</v>
      </c>
      <c r="T75" t="str">
        <f t="shared" si="14"/>
        <v>(HOT) R200 Alkox Reactor</v>
      </c>
      <c r="U75" t="s">
        <v>876</v>
      </c>
    </row>
    <row r="76" spans="15:35">
      <c r="O76" s="95" t="s">
        <v>675</v>
      </c>
      <c r="P76" s="95" t="s">
        <v>682</v>
      </c>
      <c r="Q76" s="153" t="s">
        <v>7</v>
      </c>
      <c r="R76" s="96" t="str">
        <f t="shared" si="13"/>
        <v>Commercial Reliability_Loss_Percentage_LJ</v>
      </c>
      <c r="S76" s="268">
        <f t="shared" ref="S76:S95" si="15">C26</f>
        <v>0</v>
      </c>
      <c r="T76" t="str">
        <f t="shared" si="14"/>
        <v>(HOT) R200 Alkox Reactor</v>
      </c>
      <c r="U76" t="s">
        <v>876</v>
      </c>
    </row>
    <row r="77" spans="15:35">
      <c r="O77" s="95" t="s">
        <v>675</v>
      </c>
      <c r="P77" s="95" t="s">
        <v>682</v>
      </c>
      <c r="Q77" s="153" t="s">
        <v>704</v>
      </c>
      <c r="R77" s="96" t="str">
        <f t="shared" si="13"/>
        <v>Exception hours (loss excluded from OEE)_Loss_Percentage_LJ</v>
      </c>
      <c r="S77" s="268">
        <f t="shared" si="15"/>
        <v>0</v>
      </c>
      <c r="T77" t="str">
        <f t="shared" si="14"/>
        <v>(HOT) R200 Alkox Reactor</v>
      </c>
      <c r="U77" t="s">
        <v>876</v>
      </c>
    </row>
    <row r="78" spans="15:35">
      <c r="O78" s="95" t="s">
        <v>675</v>
      </c>
      <c r="P78" s="95" t="s">
        <v>682</v>
      </c>
      <c r="Q78" s="153" t="s">
        <v>14</v>
      </c>
      <c r="R78" s="96" t="str">
        <f t="shared" si="13"/>
        <v>Available OEE - Scheduled hours_Loss_Percentage_LJ</v>
      </c>
      <c r="S78" s="268">
        <f t="shared" si="15"/>
        <v>1</v>
      </c>
      <c r="T78" t="str">
        <f t="shared" si="14"/>
        <v>(HOT) R200 Alkox Reactor</v>
      </c>
      <c r="U78" t="s">
        <v>876</v>
      </c>
    </row>
    <row r="79" spans="15:35">
      <c r="O79" s="95" t="s">
        <v>675</v>
      </c>
      <c r="P79" s="95" t="s">
        <v>682</v>
      </c>
      <c r="Q79" s="153" t="s">
        <v>17</v>
      </c>
      <c r="R79" s="96" t="str">
        <f t="shared" si="13"/>
        <v>Equipment Reliability - Planned TA &amp; Planned SD_Loss_Percentage_LJ</v>
      </c>
      <c r="S79" s="268">
        <f t="shared" si="15"/>
        <v>7.0848635416909823E-3</v>
      </c>
      <c r="T79" t="str">
        <f t="shared" si="14"/>
        <v>(HOT) R200 Alkox Reactor</v>
      </c>
      <c r="U79" t="s">
        <v>876</v>
      </c>
    </row>
    <row r="80" spans="15:35">
      <c r="O80" s="95" t="s">
        <v>675</v>
      </c>
      <c r="P80" s="95" t="s">
        <v>682</v>
      </c>
      <c r="Q80" s="153" t="s">
        <v>665</v>
      </c>
      <c r="R80" s="96" t="str">
        <f t="shared" si="13"/>
        <v>Available running OEE - Running hours_Loss_Percentage_LJ</v>
      </c>
      <c r="S80" s="268">
        <f t="shared" si="15"/>
        <v>0.99291513645830898</v>
      </c>
      <c r="T80" t="str">
        <f t="shared" si="14"/>
        <v>(HOT) R200 Alkox Reactor</v>
      </c>
      <c r="U80" t="s">
        <v>876</v>
      </c>
    </row>
    <row r="81" spans="15:21">
      <c r="O81" s="95" t="s">
        <v>675</v>
      </c>
      <c r="P81" s="95" t="s">
        <v>682</v>
      </c>
      <c r="Q81" s="153" t="s">
        <v>18</v>
      </c>
      <c r="R81" s="96" t="str">
        <f t="shared" si="13"/>
        <v>Equipment Reliability - Equipment Failure_Loss_Percentage_LJ</v>
      </c>
      <c r="S81" s="268">
        <f t="shared" si="15"/>
        <v>2.6023300229041667E-2</v>
      </c>
      <c r="T81" t="str">
        <f t="shared" si="14"/>
        <v>(HOT) R200 Alkox Reactor</v>
      </c>
      <c r="U81" t="s">
        <v>876</v>
      </c>
    </row>
    <row r="82" spans="15:21">
      <c r="O82" s="95" t="s">
        <v>675</v>
      </c>
      <c r="P82" s="95" t="s">
        <v>682</v>
      </c>
      <c r="Q82" s="153" t="s">
        <v>1</v>
      </c>
      <c r="R82" s="96" t="str">
        <f t="shared" si="13"/>
        <v>Operational Reliability_Loss_Percentage_LJ</v>
      </c>
      <c r="S82" s="268">
        <f t="shared" si="15"/>
        <v>0.21888979429478966</v>
      </c>
      <c r="T82" t="str">
        <f t="shared" si="14"/>
        <v>(HOT) R200 Alkox Reactor</v>
      </c>
      <c r="U82" t="s">
        <v>876</v>
      </c>
    </row>
    <row r="83" spans="15:21">
      <c r="O83" s="95" t="s">
        <v>675</v>
      </c>
      <c r="P83" s="95" t="s">
        <v>682</v>
      </c>
      <c r="Q83" s="153" t="s">
        <v>2</v>
      </c>
      <c r="R83" s="96" t="str">
        <f t="shared" si="13"/>
        <v>Technology Reliability_Loss_Percentage_LJ</v>
      </c>
      <c r="S83" s="268">
        <f t="shared" si="15"/>
        <v>0.1062194939621809</v>
      </c>
      <c r="T83" t="str">
        <f t="shared" si="14"/>
        <v>(HOT) R200 Alkox Reactor</v>
      </c>
      <c r="U83" t="s">
        <v>876</v>
      </c>
    </row>
    <row r="84" spans="15:21">
      <c r="O84" s="95" t="s">
        <v>675</v>
      </c>
      <c r="P84" s="95" t="s">
        <v>682</v>
      </c>
      <c r="Q84" s="153" t="s">
        <v>3</v>
      </c>
      <c r="R84" s="96" t="str">
        <f t="shared" si="13"/>
        <v>Material Reliability_Loss_Percentage_LJ</v>
      </c>
      <c r="S84" s="268">
        <f t="shared" si="15"/>
        <v>7.0444676346104827E-3</v>
      </c>
      <c r="T84" t="str">
        <f t="shared" si="14"/>
        <v>(HOT) R200 Alkox Reactor</v>
      </c>
      <c r="U84" t="s">
        <v>876</v>
      </c>
    </row>
    <row r="85" spans="15:21">
      <c r="O85" s="95" t="s">
        <v>675</v>
      </c>
      <c r="P85" s="95" t="s">
        <v>682</v>
      </c>
      <c r="Q85" s="153" t="s">
        <v>4</v>
      </c>
      <c r="R85" s="96" t="str">
        <f t="shared" si="13"/>
        <v>Logistics/Supply Reliability_Loss_Percentage_LJ</v>
      </c>
      <c r="S85" s="268">
        <f t="shared" si="15"/>
        <v>2.3011707288415402E-2</v>
      </c>
      <c r="T85" t="str">
        <f t="shared" si="14"/>
        <v>(HOT) R200 Alkox Reactor</v>
      </c>
      <c r="U85" t="s">
        <v>876</v>
      </c>
    </row>
    <row r="86" spans="15:21">
      <c r="O86" s="95" t="s">
        <v>675</v>
      </c>
      <c r="P86" s="95" t="s">
        <v>682</v>
      </c>
      <c r="Q86" s="153" t="s">
        <v>5</v>
      </c>
      <c r="R86" s="96" t="str">
        <f t="shared" si="13"/>
        <v>External Reliability_Loss_Percentage_LJ</v>
      </c>
      <c r="S86" s="268">
        <f t="shared" si="15"/>
        <v>2.6834523332310008E-2</v>
      </c>
      <c r="T86" t="str">
        <f t="shared" si="14"/>
        <v>(HOT) R200 Alkox Reactor</v>
      </c>
      <c r="U86" t="s">
        <v>876</v>
      </c>
    </row>
    <row r="87" spans="15:21">
      <c r="O87" s="95" t="s">
        <v>675</v>
      </c>
      <c r="P87" s="95" t="s">
        <v>682</v>
      </c>
      <c r="Q87" s="153" t="s">
        <v>11</v>
      </c>
      <c r="R87" s="96" t="str">
        <f t="shared" si="13"/>
        <v>Other Reliability_Loss_Percentage_LJ</v>
      </c>
      <c r="S87" s="268">
        <f t="shared" si="15"/>
        <v>-0.15825746313291345</v>
      </c>
      <c r="T87" t="str">
        <f t="shared" si="14"/>
        <v>(HOT) R200 Alkox Reactor</v>
      </c>
      <c r="U87" t="s">
        <v>876</v>
      </c>
    </row>
    <row r="88" spans="15:21">
      <c r="O88" s="95" t="s">
        <v>675</v>
      </c>
      <c r="P88" s="95" t="s">
        <v>682</v>
      </c>
      <c r="Q88" s="153" t="s">
        <v>15</v>
      </c>
      <c r="R88" s="96" t="str">
        <f t="shared" si="13"/>
        <v>Unspecified_Loss_Percentage_LJ</v>
      </c>
      <c r="S88" s="268">
        <f t="shared" si="15"/>
        <v>5.9439678451185651E-5</v>
      </c>
      <c r="T88" t="str">
        <f t="shared" si="14"/>
        <v>(HOT) R200 Alkox Reactor</v>
      </c>
      <c r="U88" t="s">
        <v>876</v>
      </c>
    </row>
    <row r="89" spans="15:21">
      <c r="O89" s="95" t="s">
        <v>675</v>
      </c>
      <c r="P89" s="95" t="s">
        <v>682</v>
      </c>
      <c r="Q89" s="153" t="s">
        <v>16</v>
      </c>
      <c r="R89" s="96" t="str">
        <f t="shared" si="13"/>
        <v>Undetected_Loss_Percentage_LJ</v>
      </c>
      <c r="S89" s="268">
        <f t="shared" si="15"/>
        <v>5.8955724095541831E-3</v>
      </c>
      <c r="T89" t="str">
        <f t="shared" si="14"/>
        <v>(HOT) R200 Alkox Reactor</v>
      </c>
      <c r="U89" t="s">
        <v>876</v>
      </c>
    </row>
    <row r="90" spans="15:21">
      <c r="O90" s="95" t="s">
        <v>675</v>
      </c>
      <c r="P90" s="95" t="s">
        <v>682</v>
      </c>
      <c r="Q90" s="153" t="s">
        <v>664</v>
      </c>
      <c r="R90" s="96" t="str">
        <f t="shared" si="13"/>
        <v>Exception hours_Loss_Percentage_LJ</v>
      </c>
      <c r="S90" s="268">
        <f t="shared" si="15"/>
        <v>0</v>
      </c>
      <c r="T90" t="str">
        <f t="shared" si="14"/>
        <v>(HOT) R200 Alkox Reactor</v>
      </c>
      <c r="U90" t="s">
        <v>876</v>
      </c>
    </row>
    <row r="91" spans="15:21">
      <c r="O91" s="95" t="s">
        <v>675</v>
      </c>
      <c r="P91" s="95" t="s">
        <v>682</v>
      </c>
      <c r="Q91" s="153" t="s">
        <v>703</v>
      </c>
      <c r="R91" s="96" t="str">
        <f t="shared" si="13"/>
        <v>Extra loss hours in baseline due to MAC change_Loss_Percentage_LJ</v>
      </c>
      <c r="S91" s="268">
        <f t="shared" si="15"/>
        <v>0</v>
      </c>
      <c r="T91" t="str">
        <f t="shared" si="14"/>
        <v>(HOT) R200 Alkox Reactor</v>
      </c>
      <c r="U91" t="s">
        <v>876</v>
      </c>
    </row>
    <row r="92" spans="15:21">
      <c r="O92" s="95" t="s">
        <v>675</v>
      </c>
      <c r="P92" s="95" t="s">
        <v>682</v>
      </c>
      <c r="Q92" s="153" t="s">
        <v>705</v>
      </c>
      <c r="R92" s="96" t="str">
        <f t="shared" si="13"/>
        <v>Improvement target not assigned_Loss_Percentage_LJ</v>
      </c>
      <c r="S92" s="268">
        <f t="shared" si="15"/>
        <v>0</v>
      </c>
      <c r="T92" t="str">
        <f t="shared" si="14"/>
        <v>(HOT) R200 Alkox Reactor</v>
      </c>
      <c r="U92" t="s">
        <v>876</v>
      </c>
    </row>
    <row r="93" spans="15:21">
      <c r="O93" s="95" t="s">
        <v>675</v>
      </c>
      <c r="P93" s="95" t="s">
        <v>682</v>
      </c>
      <c r="Q93" s="153" t="s">
        <v>397</v>
      </c>
      <c r="R93" s="96" t="str">
        <f t="shared" si="13"/>
        <v>Sum OEE losses (exluding Planned Maintenance)_Loss_Percentage_LJ</v>
      </c>
      <c r="S93" s="268">
        <f t="shared" si="15"/>
        <v>0.25572083569644</v>
      </c>
      <c r="T93" t="str">
        <f t="shared" si="14"/>
        <v>(HOT) R200 Alkox Reactor</v>
      </c>
      <c r="U93" t="s">
        <v>876</v>
      </c>
    </row>
    <row r="94" spans="15:21">
      <c r="O94" s="95" t="s">
        <v>675</v>
      </c>
      <c r="P94" s="95" t="s">
        <v>682</v>
      </c>
      <c r="Q94" s="153" t="s">
        <v>398</v>
      </c>
      <c r="R94" s="96" t="str">
        <f t="shared" si="13"/>
        <v>Sum OEE losses (Including Planned Maintenance)_Loss_Percentage_LJ</v>
      </c>
      <c r="S94" s="268">
        <f t="shared" si="15"/>
        <v>0.26280569923813102</v>
      </c>
      <c r="T94" t="str">
        <f t="shared" si="14"/>
        <v>(HOT) R200 Alkox Reactor</v>
      </c>
      <c r="U94" t="s">
        <v>876</v>
      </c>
    </row>
    <row r="95" spans="15:21">
      <c r="O95" s="95" t="s">
        <v>675</v>
      </c>
      <c r="P95" s="95" t="s">
        <v>682</v>
      </c>
      <c r="Q95" s="153" t="s">
        <v>712</v>
      </c>
      <c r="R95" s="96" t="str">
        <f t="shared" si="13"/>
        <v>Production hours on MAC (h) / OEE (%)_Loss_Percentage_LJ</v>
      </c>
      <c r="S95" s="268">
        <f t="shared" si="15"/>
        <v>0.73719430076186887</v>
      </c>
      <c r="T95" t="str">
        <f t="shared" si="14"/>
        <v>(HOT) R200 Alkox Reactor</v>
      </c>
      <c r="U95" t="s">
        <v>876</v>
      </c>
    </row>
    <row r="96" spans="15:21">
      <c r="O96" s="95" t="s">
        <v>676</v>
      </c>
      <c r="P96" s="95" t="s">
        <v>725</v>
      </c>
      <c r="Q96" s="142" t="s">
        <v>13</v>
      </c>
      <c r="R96" s="96" t="str">
        <f t="shared" si="13"/>
        <v>MAC - Calender hours_Corrected_loss_hours_LY</v>
      </c>
      <c r="S96" s="265">
        <f>D25</f>
        <v>8784</v>
      </c>
      <c r="T96" t="str">
        <f t="shared" si="14"/>
        <v>(HOT) R200 Alkox Reactor</v>
      </c>
      <c r="U96" t="s">
        <v>876</v>
      </c>
    </row>
    <row r="97" spans="15:21">
      <c r="O97" s="95" t="s">
        <v>676</v>
      </c>
      <c r="P97" s="95" t="s">
        <v>725</v>
      </c>
      <c r="Q97" s="152" t="s">
        <v>7</v>
      </c>
      <c r="R97" s="96" t="str">
        <f t="shared" si="13"/>
        <v>Commercial Reliability_Corrected_loss_hours_LY</v>
      </c>
      <c r="S97" s="265">
        <f t="shared" ref="S97:S116" si="16">D26</f>
        <v>3489.1830550340201</v>
      </c>
      <c r="T97" t="str">
        <f t="shared" si="14"/>
        <v>(HOT) R200 Alkox Reactor</v>
      </c>
      <c r="U97" t="s">
        <v>876</v>
      </c>
    </row>
    <row r="98" spans="15:21">
      <c r="O98" s="95" t="s">
        <v>676</v>
      </c>
      <c r="P98" s="95" t="s">
        <v>725</v>
      </c>
      <c r="Q98" s="152" t="s">
        <v>704</v>
      </c>
      <c r="R98" s="96" t="str">
        <f t="shared" si="13"/>
        <v>Exception hours (loss excluded from OEE)_Corrected_loss_hours_LY</v>
      </c>
      <c r="S98" s="265">
        <f t="shared" si="16"/>
        <v>0</v>
      </c>
      <c r="T98" t="str">
        <f t="shared" si="14"/>
        <v>(HOT) R200 Alkox Reactor</v>
      </c>
      <c r="U98" t="s">
        <v>876</v>
      </c>
    </row>
    <row r="99" spans="15:21">
      <c r="O99" s="95" t="s">
        <v>676</v>
      </c>
      <c r="P99" s="95" t="s">
        <v>725</v>
      </c>
      <c r="Q99" s="152" t="s">
        <v>14</v>
      </c>
      <c r="R99" s="96" t="str">
        <f t="shared" si="13"/>
        <v>Available OEE - Scheduled hours_Corrected_loss_hours_LY</v>
      </c>
      <c r="S99" s="265">
        <f t="shared" si="16"/>
        <v>5294.8169449659799</v>
      </c>
      <c r="T99" t="str">
        <f t="shared" si="14"/>
        <v>(HOT) R200 Alkox Reactor</v>
      </c>
      <c r="U99" t="s">
        <v>876</v>
      </c>
    </row>
    <row r="100" spans="15:21">
      <c r="O100" s="95" t="s">
        <v>676</v>
      </c>
      <c r="P100" s="95" t="s">
        <v>725</v>
      </c>
      <c r="Q100" s="152" t="s">
        <v>17</v>
      </c>
      <c r="R100" s="96" t="str">
        <f t="shared" si="13"/>
        <v>Equipment Reliability - Planned TA &amp; Planned SD_Corrected_loss_hours_LY</v>
      </c>
      <c r="S100" s="265">
        <f t="shared" si="16"/>
        <v>37.5130555333171</v>
      </c>
      <c r="T100" t="str">
        <f t="shared" si="14"/>
        <v>(HOT) R200 Alkox Reactor</v>
      </c>
      <c r="U100" t="s">
        <v>876</v>
      </c>
    </row>
    <row r="101" spans="15:21">
      <c r="O101" s="95" t="s">
        <v>676</v>
      </c>
      <c r="P101" s="95" t="s">
        <v>725</v>
      </c>
      <c r="Q101" s="152" t="s">
        <v>665</v>
      </c>
      <c r="R101" s="96" t="str">
        <f t="shared" si="13"/>
        <v>Available running OEE - Running hours_Corrected_loss_hours_LY</v>
      </c>
      <c r="S101" s="265">
        <f t="shared" si="16"/>
        <v>5257.3038894326628</v>
      </c>
      <c r="T101" t="str">
        <f t="shared" si="14"/>
        <v>(HOT) R200 Alkox Reactor</v>
      </c>
      <c r="U101" t="s">
        <v>876</v>
      </c>
    </row>
    <row r="102" spans="15:21">
      <c r="O102" s="95" t="s">
        <v>676</v>
      </c>
      <c r="P102" s="95" t="s">
        <v>725</v>
      </c>
      <c r="Q102" s="152" t="s">
        <v>18</v>
      </c>
      <c r="R102" s="96" t="str">
        <f t="shared" si="13"/>
        <v>Equipment Reliability - Equipment Failure_Corrected_loss_hours_LY</v>
      </c>
      <c r="S102" s="265">
        <f t="shared" si="16"/>
        <v>137.78861101666689</v>
      </c>
      <c r="T102" t="str">
        <f t="shared" si="14"/>
        <v>(HOT) R200 Alkox Reactor</v>
      </c>
      <c r="U102" t="s">
        <v>876</v>
      </c>
    </row>
    <row r="103" spans="15:21">
      <c r="O103" s="95" t="s">
        <v>676</v>
      </c>
      <c r="P103" s="95" t="s">
        <v>725</v>
      </c>
      <c r="Q103" s="152" t="s">
        <v>1</v>
      </c>
      <c r="R103" s="96" t="str">
        <f t="shared" si="13"/>
        <v>Operational Reliability_Corrected_loss_hours_LY</v>
      </c>
      <c r="S103" s="265">
        <f t="shared" si="16"/>
        <v>1158.98139191217</v>
      </c>
      <c r="T103" t="str">
        <f t="shared" si="14"/>
        <v>(HOT) R200 Alkox Reactor</v>
      </c>
      <c r="U103" t="s">
        <v>876</v>
      </c>
    </row>
    <row r="104" spans="15:21">
      <c r="O104" s="95" t="s">
        <v>676</v>
      </c>
      <c r="P104" s="95" t="s">
        <v>725</v>
      </c>
      <c r="Q104" s="152" t="s">
        <v>2</v>
      </c>
      <c r="R104" s="96" t="str">
        <f t="shared" si="13"/>
        <v>Technology Reliability_Corrected_loss_hours_LY</v>
      </c>
      <c r="S104" s="265">
        <f t="shared" si="16"/>
        <v>562.41277651666701</v>
      </c>
      <c r="T104" t="str">
        <f t="shared" si="14"/>
        <v>(HOT) R200 Alkox Reactor</v>
      </c>
      <c r="U104" t="s">
        <v>876</v>
      </c>
    </row>
    <row r="105" spans="15:21">
      <c r="O105" s="95" t="s">
        <v>676</v>
      </c>
      <c r="P105" s="95" t="s">
        <v>725</v>
      </c>
      <c r="Q105" s="152" t="s">
        <v>3</v>
      </c>
      <c r="R105" s="96" t="str">
        <f t="shared" si="13"/>
        <v>Material Reliability_Corrected_loss_hours_LY</v>
      </c>
      <c r="S105" s="265">
        <f t="shared" si="16"/>
        <v>37.2991666</v>
      </c>
      <c r="T105" t="str">
        <f t="shared" si="14"/>
        <v>(HOT) R200 Alkox Reactor</v>
      </c>
      <c r="U105" t="s">
        <v>876</v>
      </c>
    </row>
    <row r="106" spans="15:21">
      <c r="O106" s="95" t="s">
        <v>676</v>
      </c>
      <c r="P106" s="95" t="s">
        <v>725</v>
      </c>
      <c r="Q106" s="152" t="s">
        <v>4</v>
      </c>
      <c r="R106" s="96" t="str">
        <f t="shared" si="13"/>
        <v>Logistics/Supply Reliability_Corrected_loss_hours_LY</v>
      </c>
      <c r="S106" s="265">
        <f t="shared" si="16"/>
        <v>121.842777683299</v>
      </c>
      <c r="T106" t="str">
        <f t="shared" si="14"/>
        <v>(HOT) R200 Alkox Reactor</v>
      </c>
      <c r="U106" t="s">
        <v>876</v>
      </c>
    </row>
    <row r="107" spans="15:21">
      <c r="O107" s="95" t="s">
        <v>676</v>
      </c>
      <c r="P107" s="95" t="s">
        <v>725</v>
      </c>
      <c r="Q107" s="152" t="s">
        <v>5</v>
      </c>
      <c r="R107" s="96" t="str">
        <f t="shared" si="13"/>
        <v>External Reliability_Corrected_loss_hours_LY</v>
      </c>
      <c r="S107" s="265">
        <f t="shared" si="16"/>
        <v>142.08388884999999</v>
      </c>
      <c r="T107" t="str">
        <f t="shared" si="14"/>
        <v>(HOT) R200 Alkox Reactor</v>
      </c>
      <c r="U107" t="s">
        <v>876</v>
      </c>
    </row>
    <row r="108" spans="15:21">
      <c r="O108" s="95" t="s">
        <v>676</v>
      </c>
      <c r="P108" s="95" t="s">
        <v>725</v>
      </c>
      <c r="Q108" s="152" t="s">
        <v>11</v>
      </c>
      <c r="R108" s="96" t="str">
        <f t="shared" si="13"/>
        <v>Other Reliability_Corrected_loss_hours_LY</v>
      </c>
      <c r="S108" s="265">
        <f t="shared" si="16"/>
        <v>-837.94429746347896</v>
      </c>
      <c r="T108" t="str">
        <f t="shared" si="14"/>
        <v>(HOT) R200 Alkox Reactor</v>
      </c>
      <c r="U108" t="s">
        <v>876</v>
      </c>
    </row>
    <row r="109" spans="15:21">
      <c r="O109" s="95" t="s">
        <v>676</v>
      </c>
      <c r="P109" s="95" t="s">
        <v>725</v>
      </c>
      <c r="Q109" s="152" t="s">
        <v>15</v>
      </c>
      <c r="R109" s="96" t="str">
        <f t="shared" si="13"/>
        <v>Unspecified_Corrected_loss_hours_LY</v>
      </c>
      <c r="S109" s="265">
        <f t="shared" si="16"/>
        <v>0.314722216666667</v>
      </c>
      <c r="T109" t="str">
        <f t="shared" si="14"/>
        <v>(HOT) R200 Alkox Reactor</v>
      </c>
      <c r="U109" t="s">
        <v>876</v>
      </c>
    </row>
    <row r="110" spans="15:21">
      <c r="O110" s="95" t="s">
        <v>676</v>
      </c>
      <c r="P110" s="95" t="s">
        <v>725</v>
      </c>
      <c r="Q110" s="152" t="s">
        <v>16</v>
      </c>
      <c r="R110" s="96" t="str">
        <f t="shared" si="13"/>
        <v>Undetected_Corrected_loss_hours_LY</v>
      </c>
      <c r="S110" s="265">
        <f t="shared" si="16"/>
        <v>31.2159766943814</v>
      </c>
      <c r="T110" t="str">
        <f t="shared" si="14"/>
        <v>(HOT) R200 Alkox Reactor</v>
      </c>
      <c r="U110" t="s">
        <v>876</v>
      </c>
    </row>
    <row r="111" spans="15:21">
      <c r="O111" s="95" t="s">
        <v>676</v>
      </c>
      <c r="P111" s="95" t="s">
        <v>725</v>
      </c>
      <c r="Q111" s="152" t="s">
        <v>664</v>
      </c>
      <c r="R111" s="96" t="str">
        <f t="shared" si="13"/>
        <v>Exception hours_Corrected_loss_hours_LY</v>
      </c>
      <c r="S111" s="265">
        <f t="shared" si="16"/>
        <v>0</v>
      </c>
      <c r="T111" t="str">
        <f t="shared" si="14"/>
        <v>(HOT) R200 Alkox Reactor</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(HOT) R200 Alkox Reactor</v>
      </c>
      <c r="U112" t="s">
        <v>876</v>
      </c>
    </row>
    <row r="113" spans="15:21">
      <c r="O113" s="95" t="s">
        <v>676</v>
      </c>
      <c r="P113" s="95" t="s">
        <v>725</v>
      </c>
      <c r="Q113" s="152" t="s">
        <v>705</v>
      </c>
      <c r="R113" s="96" t="str">
        <f t="shared" si="13"/>
        <v>Improvement target not assigned_Corrected_loss_hours_LY</v>
      </c>
      <c r="S113" s="265">
        <f t="shared" si="16"/>
        <v>0</v>
      </c>
      <c r="T113" t="str">
        <f t="shared" si="14"/>
        <v>(HOT) R200 Alkox Reactor</v>
      </c>
      <c r="U113" t="s">
        <v>876</v>
      </c>
    </row>
    <row r="114" spans="15:21">
      <c r="O114" s="95" t="s">
        <v>676</v>
      </c>
      <c r="P114" s="95" t="s">
        <v>725</v>
      </c>
      <c r="Q114" s="152" t="s">
        <v>397</v>
      </c>
      <c r="R114" s="96" t="str">
        <f t="shared" si="13"/>
        <v>Sum OEE losses (exluding Planned Maintenance)_Corrected_loss_hours_LY</v>
      </c>
      <c r="S114" s="265">
        <f t="shared" si="16"/>
        <v>1353.9950140263718</v>
      </c>
      <c r="T114" t="str">
        <f t="shared" si="14"/>
        <v>(HOT) R200 Alkox Reactor</v>
      </c>
      <c r="U114" t="s">
        <v>876</v>
      </c>
    </row>
    <row r="115" spans="15:21">
      <c r="O115" s="95" t="s">
        <v>676</v>
      </c>
      <c r="P115" s="95" t="s">
        <v>725</v>
      </c>
      <c r="Q115" s="152" t="s">
        <v>398</v>
      </c>
      <c r="R115" s="96" t="str">
        <f t="shared" si="13"/>
        <v>Sum OEE losses (Including Planned Maintenance)_Corrected_loss_hours_LY</v>
      </c>
      <c r="S115" s="265">
        <f t="shared" si="16"/>
        <v>1391.5080695596889</v>
      </c>
      <c r="T115" t="str">
        <f t="shared" si="14"/>
        <v>(HOT) R200 Alkox Reactor</v>
      </c>
      <c r="U115" t="s">
        <v>876</v>
      </c>
    </row>
    <row r="116" spans="15:21">
      <c r="O116" s="95" t="s">
        <v>676</v>
      </c>
      <c r="P116" s="95" t="s">
        <v>725</v>
      </c>
      <c r="Q116" s="152" t="s">
        <v>712</v>
      </c>
      <c r="R116" s="96" t="str">
        <f t="shared" si="13"/>
        <v>Production hours on MAC (h) / OEE (%)_Corrected_loss_hours_LY</v>
      </c>
      <c r="S116" s="265">
        <f t="shared" si="16"/>
        <v>3903.3088754062901</v>
      </c>
      <c r="T116" t="str">
        <f t="shared" si="14"/>
        <v>(HOT) R200 Alkox Reactor</v>
      </c>
      <c r="U116" t="s">
        <v>876</v>
      </c>
    </row>
    <row r="117" spans="15:21">
      <c r="O117" s="95" t="s">
        <v>677</v>
      </c>
      <c r="P117" s="95" t="s">
        <v>726</v>
      </c>
      <c r="Q117" s="143" t="s">
        <v>13</v>
      </c>
      <c r="R117" s="96" t="str">
        <f t="shared" si="13"/>
        <v>MAC - Calender hours_Corrected_loss_percentage_LY</v>
      </c>
      <c r="S117" s="264">
        <f>E25</f>
        <v>0</v>
      </c>
      <c r="T117" t="str">
        <f t="shared" si="14"/>
        <v>(HOT) R200 Alkox Reactor</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R200 Alkox Reactor</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R200 Alkox Reactor</v>
      </c>
      <c r="U119" t="s">
        <v>876</v>
      </c>
    </row>
    <row r="120" spans="15:21">
      <c r="O120" s="95" t="s">
        <v>677</v>
      </c>
      <c r="P120" s="95" t="s">
        <v>726</v>
      </c>
      <c r="Q120" s="153" t="s">
        <v>14</v>
      </c>
      <c r="R120" s="96" t="str">
        <f t="shared" si="13"/>
        <v>Available OEE - Scheduled hours_Corrected_loss_percentage_LY</v>
      </c>
      <c r="S120" s="264">
        <f t="shared" si="17"/>
        <v>1</v>
      </c>
      <c r="T120" t="str">
        <f t="shared" si="14"/>
        <v>(HOT) R200 Alkox Reactor</v>
      </c>
      <c r="U120" t="s">
        <v>876</v>
      </c>
    </row>
    <row r="121" spans="15:21">
      <c r="O121" s="95" t="s">
        <v>677</v>
      </c>
      <c r="P121" s="95" t="s">
        <v>726</v>
      </c>
      <c r="Q121" s="153" t="s">
        <v>17</v>
      </c>
      <c r="R121" s="96" t="str">
        <f t="shared" si="13"/>
        <v>Equipment Reliability - Planned TA &amp; Planned SD_Corrected_loss_percentage_LY</v>
      </c>
      <c r="S121" s="264">
        <f t="shared" si="17"/>
        <v>7.0848635416909823E-3</v>
      </c>
      <c r="T121" t="str">
        <f t="shared" si="14"/>
        <v>(HOT) R200 Alkox Reactor</v>
      </c>
      <c r="U121" t="s">
        <v>876</v>
      </c>
    </row>
    <row r="122" spans="15:21">
      <c r="O122" s="95" t="s">
        <v>677</v>
      </c>
      <c r="P122" s="95" t="s">
        <v>726</v>
      </c>
      <c r="Q122" s="153" t="s">
        <v>665</v>
      </c>
      <c r="R122" s="96" t="str">
        <f t="shared" si="13"/>
        <v>Available running OEE - Running hours_Corrected_loss_percentage_LY</v>
      </c>
      <c r="S122" s="264">
        <f t="shared" si="17"/>
        <v>0.99291513645830898</v>
      </c>
      <c r="T122" t="str">
        <f t="shared" si="14"/>
        <v>(HOT) R200 Alkox Reactor</v>
      </c>
      <c r="U122" t="s">
        <v>876</v>
      </c>
    </row>
    <row r="123" spans="15:21">
      <c r="O123" s="95" t="s">
        <v>677</v>
      </c>
      <c r="P123" s="95" t="s">
        <v>726</v>
      </c>
      <c r="Q123" s="153" t="s">
        <v>18</v>
      </c>
      <c r="R123" s="96" t="str">
        <f t="shared" si="13"/>
        <v>Equipment Reliability - Equipment Failure_Corrected_loss_percentage_LY</v>
      </c>
      <c r="S123" s="264">
        <f t="shared" si="17"/>
        <v>2.6023300229041667E-2</v>
      </c>
      <c r="T123" t="str">
        <f t="shared" si="14"/>
        <v>(HOT) R200 Alkox Reactor</v>
      </c>
      <c r="U123" t="s">
        <v>876</v>
      </c>
    </row>
    <row r="124" spans="15:21">
      <c r="O124" s="95" t="s">
        <v>677</v>
      </c>
      <c r="P124" s="95" t="s">
        <v>726</v>
      </c>
      <c r="Q124" s="153" t="s">
        <v>1</v>
      </c>
      <c r="R124" s="96" t="str">
        <f t="shared" si="13"/>
        <v>Operational Reliability_Corrected_loss_percentage_LY</v>
      </c>
      <c r="S124" s="264">
        <f t="shared" si="17"/>
        <v>0.21888979429478966</v>
      </c>
      <c r="T124" t="str">
        <f t="shared" si="14"/>
        <v>(HOT) R200 Alkox Reactor</v>
      </c>
      <c r="U124" t="s">
        <v>876</v>
      </c>
    </row>
    <row r="125" spans="15:21">
      <c r="O125" s="95" t="s">
        <v>677</v>
      </c>
      <c r="P125" s="95" t="s">
        <v>726</v>
      </c>
      <c r="Q125" s="153" t="s">
        <v>2</v>
      </c>
      <c r="R125" s="96" t="str">
        <f t="shared" si="13"/>
        <v>Technology Reliability_Corrected_loss_percentage_LY</v>
      </c>
      <c r="S125" s="264">
        <f t="shared" si="17"/>
        <v>0.1062194939621809</v>
      </c>
      <c r="T125" t="str">
        <f t="shared" si="14"/>
        <v>(HOT) R200 Alkox Reactor</v>
      </c>
      <c r="U125" t="s">
        <v>876</v>
      </c>
    </row>
    <row r="126" spans="15:21">
      <c r="O126" s="95" t="s">
        <v>677</v>
      </c>
      <c r="P126" s="95" t="s">
        <v>726</v>
      </c>
      <c r="Q126" s="153" t="s">
        <v>3</v>
      </c>
      <c r="R126" s="96" t="str">
        <f t="shared" si="13"/>
        <v>Material Reliability_Corrected_loss_percentage_LY</v>
      </c>
      <c r="S126" s="264">
        <f t="shared" si="17"/>
        <v>7.0444676346104827E-3</v>
      </c>
      <c r="T126" t="str">
        <f t="shared" si="14"/>
        <v>(HOT) R200 Alkox Reactor</v>
      </c>
      <c r="U126" t="s">
        <v>876</v>
      </c>
    </row>
    <row r="127" spans="15:21">
      <c r="O127" s="95" t="s">
        <v>677</v>
      </c>
      <c r="P127" s="95" t="s">
        <v>726</v>
      </c>
      <c r="Q127" s="153" t="s">
        <v>4</v>
      </c>
      <c r="R127" s="96" t="str">
        <f t="shared" si="13"/>
        <v>Logistics/Supply Reliability_Corrected_loss_percentage_LY</v>
      </c>
      <c r="S127" s="264">
        <f t="shared" si="17"/>
        <v>2.3011707288415402E-2</v>
      </c>
      <c r="T127" t="str">
        <f t="shared" si="14"/>
        <v>(HOT) R200 Alkox Reactor</v>
      </c>
      <c r="U127" t="s">
        <v>876</v>
      </c>
    </row>
    <row r="128" spans="15:21">
      <c r="O128" s="95" t="s">
        <v>677</v>
      </c>
      <c r="P128" s="95" t="s">
        <v>726</v>
      </c>
      <c r="Q128" s="153" t="s">
        <v>5</v>
      </c>
      <c r="R128" s="96" t="str">
        <f t="shared" si="13"/>
        <v>External Reliability_Corrected_loss_percentage_LY</v>
      </c>
      <c r="S128" s="264">
        <f t="shared" si="17"/>
        <v>2.6834523332310008E-2</v>
      </c>
      <c r="T128" t="str">
        <f t="shared" si="14"/>
        <v>(HOT) R200 Alkox Reactor</v>
      </c>
      <c r="U128" t="s">
        <v>876</v>
      </c>
    </row>
    <row r="129" spans="15:21">
      <c r="O129" s="95" t="s">
        <v>677</v>
      </c>
      <c r="P129" s="95" t="s">
        <v>726</v>
      </c>
      <c r="Q129" s="153" t="s">
        <v>11</v>
      </c>
      <c r="R129" s="96" t="str">
        <f t="shared" si="13"/>
        <v>Other Reliability_Corrected_loss_percentage_LY</v>
      </c>
      <c r="S129" s="264">
        <f t="shared" si="17"/>
        <v>-0.15825746313291345</v>
      </c>
      <c r="T129" t="str">
        <f t="shared" si="14"/>
        <v>(HOT) R200 Alkox Reactor</v>
      </c>
      <c r="U129" t="s">
        <v>876</v>
      </c>
    </row>
    <row r="130" spans="15:21">
      <c r="O130" s="95" t="s">
        <v>677</v>
      </c>
      <c r="P130" s="95" t="s">
        <v>726</v>
      </c>
      <c r="Q130" s="153" t="s">
        <v>15</v>
      </c>
      <c r="R130" s="96" t="str">
        <f t="shared" ref="R130:R193" si="18">IF(ISBLANK(P130),Q130,_xlfn.CONCAT(Q130,"_",P130))</f>
        <v>Unspecified_Corrected_loss_percentage_LY</v>
      </c>
      <c r="S130" s="264">
        <f t="shared" si="17"/>
        <v>5.9439678451185651E-5</v>
      </c>
      <c r="T130" t="str">
        <f t="shared" si="14"/>
        <v>(HOT) R200 Alkox Reactor</v>
      </c>
      <c r="U130" t="s">
        <v>876</v>
      </c>
    </row>
    <row r="131" spans="15:21">
      <c r="O131" s="95" t="s">
        <v>677</v>
      </c>
      <c r="P131" s="95" t="s">
        <v>726</v>
      </c>
      <c r="Q131" s="153" t="s">
        <v>16</v>
      </c>
      <c r="R131" s="96" t="str">
        <f t="shared" si="18"/>
        <v>Undetected_Corrected_loss_percentage_LY</v>
      </c>
      <c r="S131" s="264">
        <f t="shared" si="17"/>
        <v>5.8955724095541831E-3</v>
      </c>
      <c r="T131" t="str">
        <f t="shared" ref="T131:T194" si="19">$B$2</f>
        <v>(HOT) R200 Alkox Reactor</v>
      </c>
      <c r="U131" t="s">
        <v>876</v>
      </c>
    </row>
    <row r="132" spans="15:21">
      <c r="O132" s="95" t="s">
        <v>677</v>
      </c>
      <c r="P132" s="95" t="s">
        <v>726</v>
      </c>
      <c r="Q132" s="153" t="s">
        <v>664</v>
      </c>
      <c r="R132" s="96" t="str">
        <f t="shared" si="18"/>
        <v>Exception hours_Corrected_loss_percentage_LY</v>
      </c>
      <c r="S132" s="264">
        <f t="shared" si="17"/>
        <v>0</v>
      </c>
      <c r="T132" t="str">
        <f t="shared" si="19"/>
        <v>(HOT) R200 Alkox Reactor</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(HOT) R200 Alkox Reactor</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R200 Alkox Reactor</v>
      </c>
      <c r="U134" t="s">
        <v>876</v>
      </c>
    </row>
    <row r="135" spans="15:21">
      <c r="O135" s="95" t="s">
        <v>677</v>
      </c>
      <c r="P135" s="95" t="s">
        <v>726</v>
      </c>
      <c r="Q135" s="153" t="s">
        <v>397</v>
      </c>
      <c r="R135" s="96" t="str">
        <f t="shared" si="18"/>
        <v>Sum OEE losses (exluding Planned Maintenance)_Corrected_loss_percentage_LY</v>
      </c>
      <c r="S135" s="264">
        <f t="shared" si="17"/>
        <v>0.25572083569644</v>
      </c>
      <c r="T135" t="str">
        <f t="shared" si="19"/>
        <v>(HOT) R200 Alkox Reactor</v>
      </c>
      <c r="U135" t="s">
        <v>876</v>
      </c>
    </row>
    <row r="136" spans="15:21">
      <c r="O136" s="95" t="s">
        <v>677</v>
      </c>
      <c r="P136" s="95" t="s">
        <v>726</v>
      </c>
      <c r="Q136" s="153" t="s">
        <v>398</v>
      </c>
      <c r="R136" s="96" t="str">
        <f t="shared" si="18"/>
        <v>Sum OEE losses (Including Planned Maintenance)_Corrected_loss_percentage_LY</v>
      </c>
      <c r="S136" s="264">
        <f t="shared" si="17"/>
        <v>0.26280569923813102</v>
      </c>
      <c r="T136" t="str">
        <f t="shared" si="19"/>
        <v>(HOT) R200 Alkox Reactor</v>
      </c>
      <c r="U136" t="s">
        <v>876</v>
      </c>
    </row>
    <row r="137" spans="15:21">
      <c r="O137" s="95" t="s">
        <v>677</v>
      </c>
      <c r="P137" s="95" t="s">
        <v>726</v>
      </c>
      <c r="Q137" s="153" t="s">
        <v>712</v>
      </c>
      <c r="R137" s="96" t="str">
        <f t="shared" si="18"/>
        <v>Production hours on MAC (h) / OEE (%)_Corrected_loss_percentage_LY</v>
      </c>
      <c r="S137" s="264">
        <f t="shared" si="17"/>
        <v>0.73719430076186887</v>
      </c>
      <c r="T137" t="str">
        <f t="shared" si="19"/>
        <v>(HOT) R200 Alkox Reactor</v>
      </c>
      <c r="U137" t="s">
        <v>876</v>
      </c>
    </row>
    <row r="138" spans="15:21">
      <c r="O138" s="95" t="s">
        <v>679</v>
      </c>
      <c r="P138" s="95" t="s">
        <v>688</v>
      </c>
      <c r="Q138" s="142" t="s">
        <v>13</v>
      </c>
      <c r="R138" s="96" t="str">
        <f t="shared" si="18"/>
        <v>MAC - Calender hours_OEE Improvement_Hours</v>
      </c>
      <c r="S138" s="265">
        <f t="shared" ref="S138:S158" si="20">G25</f>
        <v>0</v>
      </c>
      <c r="T138" t="str">
        <f t="shared" si="19"/>
        <v>(HOT) R200 Alkox Reactor</v>
      </c>
      <c r="U138" t="s">
        <v>876</v>
      </c>
    </row>
    <row r="139" spans="15:21">
      <c r="O139" s="95" t="s">
        <v>679</v>
      </c>
      <c r="P139" s="95" t="s">
        <v>688</v>
      </c>
      <c r="Q139" s="152" t="s">
        <v>7</v>
      </c>
      <c r="R139" s="96" t="str">
        <f t="shared" si="18"/>
        <v>Commercial Reliability_OEE Improvement_Hours</v>
      </c>
      <c r="S139" s="265">
        <f t="shared" si="20"/>
        <v>-231.49857742313543</v>
      </c>
      <c r="T139" t="str">
        <f t="shared" si="19"/>
        <v>(HOT) R200 Alkox Reactor</v>
      </c>
      <c r="U139" t="s">
        <v>876</v>
      </c>
    </row>
    <row r="140" spans="15:21">
      <c r="O140" s="95" t="s">
        <v>679</v>
      </c>
      <c r="P140" s="95" t="s">
        <v>688</v>
      </c>
      <c r="Q140" s="152" t="s">
        <v>704</v>
      </c>
      <c r="R140" s="96" t="str">
        <f t="shared" si="18"/>
        <v>Exception hours (loss excluded from OEE)_OEE Improvement_Hours</v>
      </c>
      <c r="S140" s="265">
        <f t="shared" si="20"/>
        <v>0</v>
      </c>
      <c r="T140" t="str">
        <f t="shared" si="19"/>
        <v>(HOT) R200 Alkox Reactor</v>
      </c>
      <c r="U140" t="s">
        <v>876</v>
      </c>
    </row>
    <row r="141" spans="15:21">
      <c r="O141" s="95" t="s">
        <v>679</v>
      </c>
      <c r="P141" s="95" t="s">
        <v>688</v>
      </c>
      <c r="Q141" s="152" t="s">
        <v>14</v>
      </c>
      <c r="R141" s="96" t="str">
        <f t="shared" si="18"/>
        <v>Available OEE - Scheduled hours_OEE Improvement_Hours</v>
      </c>
      <c r="S141" s="265">
        <f t="shared" si="20"/>
        <v>255.49857742313543</v>
      </c>
      <c r="T141" t="str">
        <f t="shared" si="19"/>
        <v>(HOT) R200 Alkox Reactor</v>
      </c>
      <c r="U141" t="s">
        <v>876</v>
      </c>
    </row>
    <row r="142" spans="15:21">
      <c r="O142" s="95" t="s">
        <v>679</v>
      </c>
      <c r="P142" s="95" t="s">
        <v>688</v>
      </c>
      <c r="Q142" s="152" t="s">
        <v>17</v>
      </c>
      <c r="R142" s="96" t="str">
        <f t="shared" si="18"/>
        <v>Equipment Reliability - Planned TA &amp; Planned SD_OEE Improvement_Hours</v>
      </c>
      <c r="S142" s="265">
        <f t="shared" si="20"/>
        <v>37.5130555333171</v>
      </c>
      <c r="T142" t="str">
        <f t="shared" si="19"/>
        <v>(HOT) R200 Alkox Reactor</v>
      </c>
      <c r="U142" t="s">
        <v>876</v>
      </c>
    </row>
    <row r="143" spans="15:21">
      <c r="O143" s="95" t="s">
        <v>679</v>
      </c>
      <c r="P143" s="95" t="s">
        <v>688</v>
      </c>
      <c r="Q143" s="152" t="s">
        <v>665</v>
      </c>
      <c r="R143" s="96" t="str">
        <f t="shared" si="18"/>
        <v>Available running OEE - Running hours_OEE Improvement_Hours</v>
      </c>
      <c r="S143" s="265">
        <f t="shared" si="20"/>
        <v>217.9855218898183</v>
      </c>
      <c r="T143" t="str">
        <f t="shared" si="19"/>
        <v>(HOT) R200 Alkox Reactor</v>
      </c>
      <c r="U143" t="s">
        <v>876</v>
      </c>
    </row>
    <row r="144" spans="15:21">
      <c r="O144" s="95" t="s">
        <v>679</v>
      </c>
      <c r="P144" s="95" t="s">
        <v>688</v>
      </c>
      <c r="Q144" s="152" t="s">
        <v>18</v>
      </c>
      <c r="R144" s="96" t="str">
        <f t="shared" si="18"/>
        <v>Equipment Reliability - Equipment Failure_OEE Improvement_Hours</v>
      </c>
      <c r="S144" s="265">
        <f t="shared" si="20"/>
        <v>6.6489161883752956</v>
      </c>
      <c r="T144" t="str">
        <f t="shared" si="19"/>
        <v>(HOT) R200 Alkox Reactor</v>
      </c>
      <c r="U144" t="s">
        <v>876</v>
      </c>
    </row>
    <row r="145" spans="15:21">
      <c r="O145" s="95" t="s">
        <v>679</v>
      </c>
      <c r="P145" s="95" t="s">
        <v>688</v>
      </c>
      <c r="Q145" s="152" t="s">
        <v>1</v>
      </c>
      <c r="R145" s="96" t="str">
        <f t="shared" si="18"/>
        <v>Operational Reliability_OEE Improvement_Hours</v>
      </c>
      <c r="S145" s="265">
        <f t="shared" si="20"/>
        <v>55.926031054761552</v>
      </c>
      <c r="T145" t="str">
        <f t="shared" si="19"/>
        <v>(HOT) R200 Alkox Reactor</v>
      </c>
      <c r="U145" t="s">
        <v>876</v>
      </c>
    </row>
    <row r="146" spans="15:21">
      <c r="O146" s="95" t="s">
        <v>679</v>
      </c>
      <c r="P146" s="95" t="s">
        <v>688</v>
      </c>
      <c r="Q146" s="152" t="s">
        <v>2</v>
      </c>
      <c r="R146" s="96" t="str">
        <f t="shared" si="18"/>
        <v>Technology Reliability_OEE Improvement_Hours</v>
      </c>
      <c r="S146" s="265">
        <f t="shared" si="20"/>
        <v>27.13892960194255</v>
      </c>
      <c r="T146" t="str">
        <f t="shared" si="19"/>
        <v>(HOT) R200 Alkox Reactor</v>
      </c>
      <c r="U146" t="s">
        <v>876</v>
      </c>
    </row>
    <row r="147" spans="15:21">
      <c r="O147" s="95" t="s">
        <v>679</v>
      </c>
      <c r="P147" s="95" t="s">
        <v>688</v>
      </c>
      <c r="Q147" s="152" t="s">
        <v>3</v>
      </c>
      <c r="R147" s="96" t="str">
        <f t="shared" si="18"/>
        <v>Material Reliability_OEE Improvement_Hours</v>
      </c>
      <c r="S147" s="265">
        <f t="shared" si="20"/>
        <v>1.7998514593463</v>
      </c>
      <c r="T147" t="str">
        <f t="shared" si="19"/>
        <v>(HOT) R200 Alkox Reactor</v>
      </c>
      <c r="U147" t="s">
        <v>876</v>
      </c>
    </row>
    <row r="148" spans="15:21">
      <c r="O148" s="95" t="s">
        <v>679</v>
      </c>
      <c r="P148" s="95" t="s">
        <v>688</v>
      </c>
      <c r="Q148" s="152" t="s">
        <v>4</v>
      </c>
      <c r="R148" s="96" t="str">
        <f t="shared" si="18"/>
        <v>Logistics/Supply Reliability_OEE Improvement_Hours</v>
      </c>
      <c r="S148" s="265">
        <f t="shared" si="20"/>
        <v>5.8794584762677289</v>
      </c>
      <c r="T148" t="str">
        <f t="shared" si="19"/>
        <v>(HOT) R200 Alkox Reactor</v>
      </c>
      <c r="U148" t="s">
        <v>876</v>
      </c>
    </row>
    <row r="149" spans="15:21">
      <c r="O149" s="95" t="s">
        <v>679</v>
      </c>
      <c r="P149" s="95" t="s">
        <v>688</v>
      </c>
      <c r="Q149" s="152" t="s">
        <v>5</v>
      </c>
      <c r="R149" s="96" t="str">
        <f t="shared" si="18"/>
        <v>External Reliability_OEE Improvement_Hours</v>
      </c>
      <c r="S149" s="265">
        <f t="shared" si="20"/>
        <v>6.8561825372331384</v>
      </c>
      <c r="T149" t="str">
        <f t="shared" si="19"/>
        <v>(HOT) R200 Alkox Reactor</v>
      </c>
      <c r="U149" t="s">
        <v>876</v>
      </c>
    </row>
    <row r="150" spans="15:21">
      <c r="O150" s="95" t="s">
        <v>679</v>
      </c>
      <c r="P150" s="95" t="s">
        <v>688</v>
      </c>
      <c r="Q150" s="152" t="s">
        <v>11</v>
      </c>
      <c r="R150" s="96" t="str">
        <f t="shared" si="18"/>
        <v>Other Reliability_OEE Improvement_Hours</v>
      </c>
      <c r="S150" s="265">
        <f t="shared" si="20"/>
        <v>-40.434556697053722</v>
      </c>
      <c r="T150" t="str">
        <f t="shared" si="19"/>
        <v>(HOT) R200 Alkox Reactor</v>
      </c>
      <c r="U150" t="s">
        <v>876</v>
      </c>
    </row>
    <row r="151" spans="15:21">
      <c r="O151" s="95" t="s">
        <v>679</v>
      </c>
      <c r="P151" s="95" t="s">
        <v>688</v>
      </c>
      <c r="Q151" s="152" t="s">
        <v>15</v>
      </c>
      <c r="R151" s="96" t="str">
        <f t="shared" si="18"/>
        <v>Unspecified_OEE Improvement_Hours</v>
      </c>
      <c r="S151" s="265">
        <f t="shared" si="20"/>
        <v>1.5186753286766552E-2</v>
      </c>
      <c r="T151" t="str">
        <f t="shared" si="19"/>
        <v>(HOT) R200 Alkox Reactor</v>
      </c>
      <c r="U151" t="s">
        <v>876</v>
      </c>
    </row>
    <row r="152" spans="15:21">
      <c r="O152" s="95" t="s">
        <v>679</v>
      </c>
      <c r="P152" s="95" t="s">
        <v>688</v>
      </c>
      <c r="Q152" s="152" t="s">
        <v>16</v>
      </c>
      <c r="R152" s="96" t="str">
        <f t="shared" si="18"/>
        <v>Undetected_OEE Improvement_Hours</v>
      </c>
      <c r="S152" s="265">
        <f t="shared" si="20"/>
        <v>1.5063103637361799</v>
      </c>
      <c r="T152" t="str">
        <f t="shared" si="19"/>
        <v>(HOT) R200 Alkox Reactor</v>
      </c>
      <c r="U152" t="s">
        <v>876</v>
      </c>
    </row>
    <row r="153" spans="15:21">
      <c r="O153" s="95" t="s">
        <v>679</v>
      </c>
      <c r="P153" s="95" t="s">
        <v>688</v>
      </c>
      <c r="Q153" s="152" t="s">
        <v>664</v>
      </c>
      <c r="R153" s="96" t="str">
        <f t="shared" si="18"/>
        <v>Exception hours_OEE Improvement_Hours</v>
      </c>
      <c r="S153" s="265">
        <f t="shared" si="20"/>
        <v>0</v>
      </c>
      <c r="T153" t="str">
        <f t="shared" si="19"/>
        <v>(HOT) R200 Alkox Reactor</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(HOT) R200 Alkox Reactor</v>
      </c>
      <c r="U154" t="s">
        <v>876</v>
      </c>
    </row>
    <row r="155" spans="15:21">
      <c r="O155" s="95" t="s">
        <v>679</v>
      </c>
      <c r="P155" s="95" t="s">
        <v>688</v>
      </c>
      <c r="Q155" s="152" t="s">
        <v>705</v>
      </c>
      <c r="R155" s="96" t="str">
        <f t="shared" si="18"/>
        <v>Improvement target not assigned_OEE Improvement_Hours</v>
      </c>
      <c r="S155" s="265">
        <f t="shared" si="20"/>
        <v>0</v>
      </c>
      <c r="T155" t="str">
        <f t="shared" si="19"/>
        <v>(HOT) R200 Alkox Reactor</v>
      </c>
      <c r="U155" t="s">
        <v>876</v>
      </c>
    </row>
    <row r="156" spans="15:21">
      <c r="O156" s="95" t="s">
        <v>679</v>
      </c>
      <c r="P156" s="95" t="s">
        <v>688</v>
      </c>
      <c r="Q156" s="152" t="s">
        <v>397</v>
      </c>
      <c r="R156" s="96" t="str">
        <f t="shared" si="18"/>
        <v>Sum OEE losses (exluding Planned Maintenance)_OEE Improvement_Hours</v>
      </c>
      <c r="S156" s="265">
        <f t="shared" si="20"/>
        <v>-207.320743541713</v>
      </c>
      <c r="T156" t="str">
        <f t="shared" si="19"/>
        <v>(HOT) R200 Alkox Reactor</v>
      </c>
      <c r="U156" t="s">
        <v>876</v>
      </c>
    </row>
    <row r="157" spans="15:21">
      <c r="O157" s="95" t="s">
        <v>679</v>
      </c>
      <c r="P157" s="95" t="s">
        <v>688</v>
      </c>
      <c r="Q157" s="152" t="s">
        <v>398</v>
      </c>
      <c r="R157" s="96" t="str">
        <f t="shared" si="18"/>
        <v>Sum OEE losses (Including Planned Maintenance)_OEE Improvement_Hours</v>
      </c>
      <c r="S157" s="265">
        <f t="shared" si="20"/>
        <v>-244.83379907503013</v>
      </c>
      <c r="T157" t="str">
        <f t="shared" si="19"/>
        <v>(HOT) R200 Alkox Reactor</v>
      </c>
      <c r="U157" t="s">
        <v>876</v>
      </c>
    </row>
    <row r="158" spans="15:21">
      <c r="O158" s="95" t="s">
        <v>679</v>
      </c>
      <c r="P158" s="95" t="s">
        <v>688</v>
      </c>
      <c r="Q158" s="152" t="s">
        <v>712</v>
      </c>
      <c r="R158" s="96" t="str">
        <f t="shared" si="18"/>
        <v>Production hours on MAC (h) / OEE (%)_OEE Improvement_Hours</v>
      </c>
      <c r="S158" s="265">
        <f t="shared" si="20"/>
        <v>-10.664778348104392</v>
      </c>
      <c r="T158" t="str">
        <f t="shared" si="19"/>
        <v>(HOT) R200 Alkox Reactor</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R200 Alkox Reactor</v>
      </c>
      <c r="U159" t="s">
        <v>876</v>
      </c>
    </row>
    <row r="160" spans="15:21">
      <c r="O160" s="95" t="s">
        <v>723</v>
      </c>
      <c r="P160" s="95" t="s">
        <v>689</v>
      </c>
      <c r="Q160" s="153" t="s">
        <v>7</v>
      </c>
      <c r="R160" s="96" t="str">
        <f t="shared" si="18"/>
        <v>Commercial Reliability_OEE_Improvement_Percentage</v>
      </c>
      <c r="S160" s="264">
        <f t="shared" si="21"/>
        <v>0</v>
      </c>
      <c r="T160" t="str">
        <f t="shared" si="19"/>
        <v>(HOT) R200 Alkox Reactor</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R200 Alkox Reactor</v>
      </c>
      <c r="U161" t="s">
        <v>876</v>
      </c>
    </row>
    <row r="162" spans="15:21">
      <c r="O162" s="95" t="s">
        <v>723</v>
      </c>
      <c r="P162" s="95" t="s">
        <v>689</v>
      </c>
      <c r="Q162" s="153" t="s">
        <v>14</v>
      </c>
      <c r="R162" s="96" t="str">
        <f t="shared" si="18"/>
        <v>Available OEE - Scheduled hours_OEE_Improvement_Percentage</v>
      </c>
      <c r="S162" s="264">
        <f t="shared" si="21"/>
        <v>0</v>
      </c>
      <c r="T162" t="str">
        <f t="shared" si="19"/>
        <v>(HOT) R200 Alkox Reactor</v>
      </c>
      <c r="U162" t="s">
        <v>876</v>
      </c>
    </row>
    <row r="163" spans="15:21">
      <c r="O163" s="95" t="s">
        <v>723</v>
      </c>
      <c r="P163" s="95" t="s">
        <v>689</v>
      </c>
      <c r="Q163" s="153" t="s">
        <v>17</v>
      </c>
      <c r="R163" s="96" t="str">
        <f t="shared" si="18"/>
        <v>Equipment Reliability - Planned TA &amp; Planned SD_OEE_Improvement_Percentage</v>
      </c>
      <c r="S163" s="264">
        <f t="shared" si="21"/>
        <v>7.0848635416909823E-3</v>
      </c>
      <c r="T163" t="str">
        <f t="shared" si="19"/>
        <v>(HOT) R200 Alkox Reactor</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R200 Alkox Reactor</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(HOT) R200 Alkox Reactor</v>
      </c>
      <c r="U165" t="s">
        <v>876</v>
      </c>
    </row>
    <row r="166" spans="15:21">
      <c r="O166" s="95" t="s">
        <v>723</v>
      </c>
      <c r="P166" s="95" t="s">
        <v>689</v>
      </c>
      <c r="Q166" s="153" t="s">
        <v>1</v>
      </c>
      <c r="R166" s="96" t="str">
        <f t="shared" si="18"/>
        <v>Operational Reliability_OEE_Improvement_Percentage</v>
      </c>
      <c r="S166" s="264">
        <f t="shared" si="21"/>
        <v>0</v>
      </c>
      <c r="T166" t="str">
        <f t="shared" si="19"/>
        <v>(HOT) R200 Alkox Reactor</v>
      </c>
      <c r="U166" t="s">
        <v>876</v>
      </c>
    </row>
    <row r="167" spans="15:21">
      <c r="O167" s="95" t="s">
        <v>723</v>
      </c>
      <c r="P167" s="95" t="s">
        <v>689</v>
      </c>
      <c r="Q167" s="153" t="s">
        <v>2</v>
      </c>
      <c r="R167" s="96" t="str">
        <f t="shared" si="18"/>
        <v>Technology Reliability_OEE_Improvement_Percentage</v>
      </c>
      <c r="S167" s="264">
        <f t="shared" si="21"/>
        <v>0</v>
      </c>
      <c r="T167" t="str">
        <f t="shared" si="19"/>
        <v>(HOT) R200 Alkox Reactor</v>
      </c>
      <c r="U167" t="s">
        <v>876</v>
      </c>
    </row>
    <row r="168" spans="15:21">
      <c r="O168" s="95" t="s">
        <v>723</v>
      </c>
      <c r="P168" s="95" t="s">
        <v>689</v>
      </c>
      <c r="Q168" s="153" t="s">
        <v>3</v>
      </c>
      <c r="R168" s="96" t="str">
        <f t="shared" si="18"/>
        <v>Material Reliability_OEE_Improvement_Percentage</v>
      </c>
      <c r="S168" s="264">
        <f t="shared" si="21"/>
        <v>0</v>
      </c>
      <c r="T168" t="str">
        <f t="shared" si="19"/>
        <v>(HOT) R200 Alkox Reactor</v>
      </c>
      <c r="U168" t="s">
        <v>876</v>
      </c>
    </row>
    <row r="169" spans="15:21">
      <c r="O169" s="95" t="s">
        <v>723</v>
      </c>
      <c r="P169" s="95" t="s">
        <v>689</v>
      </c>
      <c r="Q169" s="153" t="s">
        <v>4</v>
      </c>
      <c r="R169" s="96" t="str">
        <f t="shared" si="18"/>
        <v>Logistics/Supply Reliability_OEE_Improvement_Percentage</v>
      </c>
      <c r="S169" s="264">
        <f t="shared" si="21"/>
        <v>0</v>
      </c>
      <c r="T169" t="str">
        <f t="shared" si="19"/>
        <v>(HOT) R200 Alkox Reactor</v>
      </c>
      <c r="U169" t="s">
        <v>876</v>
      </c>
    </row>
    <row r="170" spans="15:21">
      <c r="O170" s="95" t="s">
        <v>723</v>
      </c>
      <c r="P170" s="95" t="s">
        <v>689</v>
      </c>
      <c r="Q170" s="153" t="s">
        <v>5</v>
      </c>
      <c r="R170" s="96" t="str">
        <f t="shared" si="18"/>
        <v>External Reliability_OEE_Improvement_Percentage</v>
      </c>
      <c r="S170" s="264">
        <f t="shared" si="21"/>
        <v>0</v>
      </c>
      <c r="T170" t="str">
        <f t="shared" si="19"/>
        <v>(HOT) R200 Alkox Reactor</v>
      </c>
      <c r="U170" t="s">
        <v>876</v>
      </c>
    </row>
    <row r="171" spans="15:21">
      <c r="O171" s="95" t="s">
        <v>723</v>
      </c>
      <c r="P171" s="95" t="s">
        <v>689</v>
      </c>
      <c r="Q171" s="153" t="s">
        <v>11</v>
      </c>
      <c r="R171" s="96" t="str">
        <f t="shared" si="18"/>
        <v>Other Reliability_OEE_Improvement_Percentage</v>
      </c>
      <c r="S171" s="264">
        <f t="shared" si="21"/>
        <v>0</v>
      </c>
      <c r="T171" t="str">
        <f t="shared" si="19"/>
        <v>(HOT) R200 Alkox Reactor</v>
      </c>
      <c r="U171" t="s">
        <v>876</v>
      </c>
    </row>
    <row r="172" spans="15:21">
      <c r="O172" s="95" t="s">
        <v>723</v>
      </c>
      <c r="P172" s="95" t="s">
        <v>689</v>
      </c>
      <c r="Q172" s="153" t="s">
        <v>15</v>
      </c>
      <c r="R172" s="96" t="str">
        <f t="shared" si="18"/>
        <v>Unspecified_OEE_Improvement_Percentage</v>
      </c>
      <c r="S172" s="264">
        <f t="shared" si="21"/>
        <v>0</v>
      </c>
      <c r="T172" t="str">
        <f t="shared" si="19"/>
        <v>(HOT) R200 Alkox Reactor</v>
      </c>
      <c r="U172" t="s">
        <v>876</v>
      </c>
    </row>
    <row r="173" spans="15:21">
      <c r="O173" s="95" t="s">
        <v>723</v>
      </c>
      <c r="P173" s="95" t="s">
        <v>689</v>
      </c>
      <c r="Q173" s="153" t="s">
        <v>16</v>
      </c>
      <c r="R173" s="96" t="str">
        <f t="shared" si="18"/>
        <v>Undetected_OEE_Improvement_Percentage</v>
      </c>
      <c r="S173" s="264">
        <f t="shared" si="21"/>
        <v>0</v>
      </c>
      <c r="T173" t="str">
        <f t="shared" si="19"/>
        <v>(HOT) R200 Alkox Reactor</v>
      </c>
      <c r="U173" t="s">
        <v>876</v>
      </c>
    </row>
    <row r="174" spans="15:21">
      <c r="O174" s="95" t="s">
        <v>723</v>
      </c>
      <c r="P174" s="95" t="s">
        <v>689</v>
      </c>
      <c r="Q174" s="153" t="s">
        <v>664</v>
      </c>
      <c r="R174" s="96" t="str">
        <f t="shared" si="18"/>
        <v>Exception hours_OEE_Improvement_Percentage</v>
      </c>
      <c r="S174" s="264">
        <f t="shared" si="21"/>
        <v>0</v>
      </c>
      <c r="T174" t="str">
        <f t="shared" si="19"/>
        <v>(HOT) R200 Alkox Reactor</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(HOT) R200 Alkox Reactor</v>
      </c>
      <c r="U175" t="s">
        <v>876</v>
      </c>
    </row>
    <row r="176" spans="15:21">
      <c r="O176" s="95" t="s">
        <v>723</v>
      </c>
      <c r="P176" s="95" t="s">
        <v>689</v>
      </c>
      <c r="Q176" s="153" t="s">
        <v>705</v>
      </c>
      <c r="R176" s="96" t="str">
        <f t="shared" si="18"/>
        <v>Improvement target not assigned_OEE_Improvement_Percentage</v>
      </c>
      <c r="S176" s="264">
        <f t="shared" si="21"/>
        <v>2.8175325202374257E-2</v>
      </c>
      <c r="T176" t="str">
        <f t="shared" si="19"/>
        <v>(HOT) R200 Alkox Reactor</v>
      </c>
      <c r="U176" t="s">
        <v>876</v>
      </c>
    </row>
    <row r="177" spans="15:21">
      <c r="O177" s="95" t="s">
        <v>723</v>
      </c>
      <c r="P177" s="95" t="s">
        <v>689</v>
      </c>
      <c r="Q177" s="153" t="s">
        <v>397</v>
      </c>
      <c r="R177" s="96" t="str">
        <f t="shared" si="18"/>
        <v>Sum OEE losses (exluding Planned Maintenance)_OEE_Improvement_Percentage</v>
      </c>
      <c r="S177" s="264">
        <f t="shared" si="21"/>
        <v>2.8175325202374202E-2</v>
      </c>
      <c r="T177" t="str">
        <f t="shared" si="19"/>
        <v>(HOT) R200 Alkox Reactor</v>
      </c>
      <c r="U177" t="s">
        <v>876</v>
      </c>
    </row>
    <row r="178" spans="15:21">
      <c r="O178" s="95" t="s">
        <v>723</v>
      </c>
      <c r="P178" s="95" t="s">
        <v>689</v>
      </c>
      <c r="Q178" s="153" t="s">
        <v>398</v>
      </c>
      <c r="R178" s="96" t="str">
        <f t="shared" si="18"/>
        <v>Sum OEE losses (Including Planned Maintenance)_OEE_Improvement_Percentage</v>
      </c>
      <c r="S178" s="264">
        <f t="shared" si="21"/>
        <v>3.5260188744065224E-2</v>
      </c>
      <c r="T178" t="str">
        <f t="shared" si="19"/>
        <v>(HOT) R200 Alkox Reactor</v>
      </c>
      <c r="U178" t="s">
        <v>876</v>
      </c>
    </row>
    <row r="179" spans="15:21">
      <c r="O179" s="95" t="s">
        <v>723</v>
      </c>
      <c r="P179" s="95" t="s">
        <v>689</v>
      </c>
      <c r="Q179" s="153" t="s">
        <v>712</v>
      </c>
      <c r="R179" s="96" t="str">
        <f t="shared" si="18"/>
        <v>Production hours on MAC (h) / OEE (%)_OEE_Improvement_Percentage</v>
      </c>
      <c r="S179" s="264">
        <f t="shared" si="21"/>
        <v>6.343551394643944E-2</v>
      </c>
      <c r="T179" t="str">
        <f t="shared" si="19"/>
        <v>(HOT) R200 Alkox Reactor</v>
      </c>
      <c r="U179" t="s">
        <v>876</v>
      </c>
    </row>
    <row r="180" spans="15:21">
      <c r="O180" s="95" t="s">
        <v>724</v>
      </c>
      <c r="P180" s="95" t="s">
        <v>687</v>
      </c>
      <c r="Q180" s="142" t="s">
        <v>13</v>
      </c>
      <c r="R180" s="96" t="str">
        <f t="shared" si="18"/>
        <v>MAC - Calender hours_Loss_Hours_NJ</v>
      </c>
      <c r="S180" s="265">
        <f t="shared" ref="S180:S200" si="22">I25</f>
        <v>8760</v>
      </c>
      <c r="T180" t="str">
        <f t="shared" si="19"/>
        <v>(HOT) R200 Alkox Reactor</v>
      </c>
      <c r="U180" t="s">
        <v>876</v>
      </c>
    </row>
    <row r="181" spans="15:21">
      <c r="O181" s="95" t="s">
        <v>724</v>
      </c>
      <c r="P181" s="95" t="s">
        <v>687</v>
      </c>
      <c r="Q181" s="152" t="s">
        <v>7</v>
      </c>
      <c r="R181" s="96" t="str">
        <f t="shared" si="18"/>
        <v>Commercial Reliability_Loss_Hours_NJ</v>
      </c>
      <c r="S181" s="265">
        <f t="shared" si="22"/>
        <v>3720.6816324571555</v>
      </c>
      <c r="T181" t="str">
        <f t="shared" si="19"/>
        <v>(HOT) R200 Alkox Reactor</v>
      </c>
      <c r="U181" t="s">
        <v>876</v>
      </c>
    </row>
    <row r="182" spans="15:21">
      <c r="O182" s="95" t="s">
        <v>724</v>
      </c>
      <c r="P182" s="95" t="s">
        <v>687</v>
      </c>
      <c r="Q182" s="152" t="s">
        <v>704</v>
      </c>
      <c r="R182" s="96" t="str">
        <f t="shared" si="18"/>
        <v>Exception hours (loss excluded from OEE)_Loss_Hours_NJ</v>
      </c>
      <c r="S182" s="265">
        <f t="shared" si="22"/>
        <v>0</v>
      </c>
      <c r="T182" t="str">
        <f t="shared" si="19"/>
        <v>(HOT) R200 Alkox Reactor</v>
      </c>
      <c r="U182" t="s">
        <v>876</v>
      </c>
    </row>
    <row r="183" spans="15:21">
      <c r="O183" s="95" t="s">
        <v>724</v>
      </c>
      <c r="P183" s="95" t="s">
        <v>687</v>
      </c>
      <c r="Q183" s="152" t="s">
        <v>14</v>
      </c>
      <c r="R183" s="96" t="str">
        <f t="shared" si="18"/>
        <v>Available OEE - Scheduled hours_Loss_Hours_NJ</v>
      </c>
      <c r="S183" s="265">
        <f t="shared" si="22"/>
        <v>5039.3183675428445</v>
      </c>
      <c r="T183" t="str">
        <f t="shared" si="19"/>
        <v>(HOT) R200 Alkox Reactor</v>
      </c>
      <c r="U183" t="s">
        <v>876</v>
      </c>
    </row>
    <row r="184" spans="15:21">
      <c r="O184" s="95" t="s">
        <v>724</v>
      </c>
      <c r="P184" s="95" t="s">
        <v>687</v>
      </c>
      <c r="Q184" s="152" t="s">
        <v>17</v>
      </c>
      <c r="R184" s="96" t="str">
        <f t="shared" si="18"/>
        <v>Equipment Reliability - Planned TA &amp; Planned SD_Loss_Hours_NJ</v>
      </c>
      <c r="S184" s="265">
        <f t="shared" si="22"/>
        <v>0</v>
      </c>
      <c r="T184" t="str">
        <f t="shared" si="19"/>
        <v>(HOT) R200 Alkox Reactor</v>
      </c>
      <c r="U184" t="s">
        <v>876</v>
      </c>
    </row>
    <row r="185" spans="15:21">
      <c r="O185" s="95" t="s">
        <v>724</v>
      </c>
      <c r="P185" s="95" t="s">
        <v>687</v>
      </c>
      <c r="Q185" s="152" t="s">
        <v>665</v>
      </c>
      <c r="R185" s="96" t="str">
        <f t="shared" si="18"/>
        <v>Available running OEE - Running hours_Loss_Hours_NJ</v>
      </c>
      <c r="S185" s="265">
        <f t="shared" si="22"/>
        <v>5039.3183675428445</v>
      </c>
      <c r="T185" t="str">
        <f t="shared" si="19"/>
        <v>(HOT) R200 Alkox Reactor</v>
      </c>
      <c r="U185" t="s">
        <v>876</v>
      </c>
    </row>
    <row r="186" spans="15:21">
      <c r="O186" s="95" t="s">
        <v>724</v>
      </c>
      <c r="P186" s="95" t="s">
        <v>687</v>
      </c>
      <c r="Q186" s="152" t="s">
        <v>18</v>
      </c>
      <c r="R186" s="96" t="str">
        <f t="shared" si="18"/>
        <v>Equipment Reliability - Equipment Failure_Loss_Hours_NJ</v>
      </c>
      <c r="S186" s="265">
        <f t="shared" si="22"/>
        <v>131.1396948282916</v>
      </c>
      <c r="T186" t="str">
        <f t="shared" si="19"/>
        <v>(HOT) R200 Alkox Reactor</v>
      </c>
      <c r="U186" t="s">
        <v>876</v>
      </c>
    </row>
    <row r="187" spans="15:21">
      <c r="O187" s="95" t="s">
        <v>724</v>
      </c>
      <c r="P187" s="95" t="s">
        <v>687</v>
      </c>
      <c r="Q187" s="152" t="s">
        <v>1</v>
      </c>
      <c r="R187" s="96" t="str">
        <f t="shared" si="18"/>
        <v>Operational Reliability_Loss_Hours_NJ</v>
      </c>
      <c r="S187" s="265">
        <f t="shared" si="22"/>
        <v>1103.0553608574085</v>
      </c>
      <c r="T187" t="str">
        <f t="shared" si="19"/>
        <v>(HOT) R200 Alkox Reactor</v>
      </c>
      <c r="U187" t="s">
        <v>876</v>
      </c>
    </row>
    <row r="188" spans="15:21">
      <c r="O188" s="95" t="s">
        <v>724</v>
      </c>
      <c r="P188" s="95" t="s">
        <v>687</v>
      </c>
      <c r="Q188" s="152" t="s">
        <v>2</v>
      </c>
      <c r="R188" s="96" t="str">
        <f t="shared" si="18"/>
        <v>Technology Reliability_Loss_Hours_NJ</v>
      </c>
      <c r="S188" s="265">
        <f t="shared" si="22"/>
        <v>535.27384691472446</v>
      </c>
      <c r="T188" t="str">
        <f t="shared" si="19"/>
        <v>(HOT) R200 Alkox Reactor</v>
      </c>
      <c r="U188" t="s">
        <v>876</v>
      </c>
    </row>
    <row r="189" spans="15:21">
      <c r="O189" s="95" t="s">
        <v>724</v>
      </c>
      <c r="P189" s="95" t="s">
        <v>687</v>
      </c>
      <c r="Q189" s="152" t="s">
        <v>3</v>
      </c>
      <c r="R189" s="96" t="str">
        <f t="shared" si="18"/>
        <v>Material Reliability_Loss_Hours_NJ</v>
      </c>
      <c r="S189" s="265">
        <f t="shared" si="22"/>
        <v>35.4993151406537</v>
      </c>
      <c r="T189" t="str">
        <f t="shared" si="19"/>
        <v>(HOT) R200 Alkox Reactor</v>
      </c>
      <c r="U189" t="s">
        <v>876</v>
      </c>
    </row>
    <row r="190" spans="15:21">
      <c r="O190" s="95" t="s">
        <v>724</v>
      </c>
      <c r="P190" s="95" t="s">
        <v>687</v>
      </c>
      <c r="Q190" s="152" t="s">
        <v>4</v>
      </c>
      <c r="R190" s="96" t="str">
        <f t="shared" si="18"/>
        <v>Logistics/Supply Reliability_Loss_Hours_NJ</v>
      </c>
      <c r="S190" s="265">
        <f t="shared" si="22"/>
        <v>115.96331920703128</v>
      </c>
      <c r="T190" t="str">
        <f t="shared" si="19"/>
        <v>(HOT) R200 Alkox Reactor</v>
      </c>
      <c r="U190" t="s">
        <v>876</v>
      </c>
    </row>
    <row r="191" spans="15:21">
      <c r="O191" s="95" t="s">
        <v>724</v>
      </c>
      <c r="P191" s="95" t="s">
        <v>687</v>
      </c>
      <c r="Q191" s="152" t="s">
        <v>5</v>
      </c>
      <c r="R191" s="96" t="str">
        <f t="shared" si="18"/>
        <v>External Reliability_Loss_Hours_NJ</v>
      </c>
      <c r="S191" s="265">
        <f t="shared" si="22"/>
        <v>135.22770631276686</v>
      </c>
      <c r="T191" t="str">
        <f t="shared" si="19"/>
        <v>(HOT) R200 Alkox Reactor</v>
      </c>
      <c r="U191" t="s">
        <v>876</v>
      </c>
    </row>
    <row r="192" spans="15:21">
      <c r="O192" s="95" t="s">
        <v>724</v>
      </c>
      <c r="P192" s="95" t="s">
        <v>687</v>
      </c>
      <c r="Q192" s="152" t="s">
        <v>11</v>
      </c>
      <c r="R192" s="96" t="str">
        <f t="shared" si="18"/>
        <v>Other Reliability_Loss_Hours_NJ</v>
      </c>
      <c r="S192" s="265">
        <f t="shared" si="22"/>
        <v>-797.50974076642524</v>
      </c>
      <c r="T192" t="str">
        <f t="shared" si="19"/>
        <v>(HOT) R200 Alkox Reactor</v>
      </c>
      <c r="U192" t="s">
        <v>876</v>
      </c>
    </row>
    <row r="193" spans="15:21">
      <c r="O193" s="95" t="s">
        <v>724</v>
      </c>
      <c r="P193" s="95" t="s">
        <v>687</v>
      </c>
      <c r="Q193" s="152" t="s">
        <v>15</v>
      </c>
      <c r="R193" s="96" t="str">
        <f t="shared" si="18"/>
        <v>Unspecified_Loss_Hours_NJ</v>
      </c>
      <c r="S193" s="265">
        <f t="shared" si="22"/>
        <v>0.29953546337990045</v>
      </c>
      <c r="T193" t="str">
        <f t="shared" si="19"/>
        <v>(HOT) R200 Alkox Reactor</v>
      </c>
      <c r="U193" t="s">
        <v>876</v>
      </c>
    </row>
    <row r="194" spans="15:21">
      <c r="O194" s="95" t="s">
        <v>724</v>
      </c>
      <c r="P194" s="95" t="s">
        <v>687</v>
      </c>
      <c r="Q194" s="152" t="s">
        <v>16</v>
      </c>
      <c r="R194" s="96" t="str">
        <f t="shared" ref="R194:R248" si="23">IF(ISBLANK(P194),Q194,_xlfn.CONCAT(Q194,"_",P194))</f>
        <v>Undetected_Loss_Hours_NJ</v>
      </c>
      <c r="S194" s="265">
        <f t="shared" si="22"/>
        <v>29.70966633064522</v>
      </c>
      <c r="T194" t="str">
        <f t="shared" si="19"/>
        <v>(HOT) R200 Alkox Reactor</v>
      </c>
      <c r="U194" t="s">
        <v>876</v>
      </c>
    </row>
    <row r="195" spans="15:21">
      <c r="O195" s="95" t="s">
        <v>724</v>
      </c>
      <c r="P195" s="95" t="s">
        <v>687</v>
      </c>
      <c r="Q195" s="152" t="s">
        <v>664</v>
      </c>
      <c r="R195" s="96" t="str">
        <f t="shared" si="23"/>
        <v>Exception hours_Loss_Hours_NJ</v>
      </c>
      <c r="S195" s="265">
        <f t="shared" si="22"/>
        <v>0</v>
      </c>
      <c r="T195" t="str">
        <f t="shared" ref="T195:T248" si="24">$B$2</f>
        <v>(HOT) R200 Alkox Reactor</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R200 Alkox Reactor</v>
      </c>
      <c r="U196" t="s">
        <v>876</v>
      </c>
    </row>
    <row r="197" spans="15:21">
      <c r="O197" s="95" t="s">
        <v>724</v>
      </c>
      <c r="P197" s="95" t="s">
        <v>687</v>
      </c>
      <c r="Q197" s="152" t="s">
        <v>705</v>
      </c>
      <c r="R197" s="96" t="str">
        <f t="shared" si="23"/>
        <v>Improvement target not assigned_Loss_Hours_NJ</v>
      </c>
      <c r="S197" s="265">
        <f t="shared" si="22"/>
        <v>141.98443380381741</v>
      </c>
      <c r="T197" t="str">
        <f t="shared" si="24"/>
        <v>(HOT) R200 Alkox Reactor</v>
      </c>
      <c r="U197" t="s">
        <v>876</v>
      </c>
    </row>
    <row r="198" spans="15:21">
      <c r="O198" s="95" t="s">
        <v>724</v>
      </c>
      <c r="P198" s="95" t="s">
        <v>687</v>
      </c>
      <c r="Q198" s="152" t="s">
        <v>397</v>
      </c>
      <c r="R198" s="96" t="str">
        <f t="shared" si="23"/>
        <v>Sum OEE losses (exluding Planned Maintenance)_Loss_Hours_NJ</v>
      </c>
      <c r="S198" s="265">
        <f t="shared" si="22"/>
        <v>1146.6742704846588</v>
      </c>
      <c r="T198" t="str">
        <f t="shared" si="24"/>
        <v>(HOT) R200 Alkox Reactor</v>
      </c>
      <c r="U198" t="s">
        <v>876</v>
      </c>
    </row>
    <row r="199" spans="15:21">
      <c r="O199" s="95" t="s">
        <v>724</v>
      </c>
      <c r="P199" s="95" t="s">
        <v>687</v>
      </c>
      <c r="Q199" s="152" t="s">
        <v>398</v>
      </c>
      <c r="R199" s="96" t="str">
        <f t="shared" si="23"/>
        <v>Sum OEE losses (Including Planned Maintenance)_Loss_Hours_NJ</v>
      </c>
      <c r="S199" s="265">
        <f t="shared" si="22"/>
        <v>1146.6742704846588</v>
      </c>
      <c r="T199" t="str">
        <f t="shared" si="24"/>
        <v>(HOT) R200 Alkox Reactor</v>
      </c>
      <c r="U199" t="s">
        <v>876</v>
      </c>
    </row>
    <row r="200" spans="15:21">
      <c r="O200" s="95" t="s">
        <v>724</v>
      </c>
      <c r="P200" s="95" t="s">
        <v>687</v>
      </c>
      <c r="Q200" s="152" t="s">
        <v>712</v>
      </c>
      <c r="R200" s="96" t="str">
        <f t="shared" si="23"/>
        <v>Production hours on MAC (h) / OEE (%)_Loss_Hours_NJ</v>
      </c>
      <c r="S200" s="265">
        <f t="shared" si="22"/>
        <v>3892.6440970581857</v>
      </c>
      <c r="T200" t="str">
        <f t="shared" si="24"/>
        <v>(HOT) R200 Alkox Reactor</v>
      </c>
      <c r="U200" t="s">
        <v>876</v>
      </c>
    </row>
    <row r="201" spans="15:21">
      <c r="O201" s="95" t="s">
        <v>1183</v>
      </c>
      <c r="P201" s="95" t="s">
        <v>681</v>
      </c>
      <c r="Q201" s="143" t="s">
        <v>13</v>
      </c>
      <c r="R201" s="96" t="str">
        <f t="shared" si="23"/>
        <v>MAC - Calender hours_Loss Percentage_NJ</v>
      </c>
      <c r="S201" s="268">
        <f>J25</f>
        <v>0</v>
      </c>
      <c r="T201" t="str">
        <f t="shared" si="24"/>
        <v>(HOT) R200 Alkox Reactor</v>
      </c>
      <c r="U201" t="s">
        <v>876</v>
      </c>
    </row>
    <row r="202" spans="15:21">
      <c r="O202" s="95" t="s">
        <v>1183</v>
      </c>
      <c r="P202" s="95" t="s">
        <v>681</v>
      </c>
      <c r="Q202" s="153" t="s">
        <v>7</v>
      </c>
      <c r="R202" s="96" t="str">
        <f t="shared" si="23"/>
        <v>Commercial Reliability_Loss Percentage_NJ</v>
      </c>
      <c r="S202" s="268">
        <f t="shared" ref="S202:S221" si="25">J26</f>
        <v>0</v>
      </c>
      <c r="T202" t="str">
        <f t="shared" si="24"/>
        <v>(HOT) R200 Alkox Reactor</v>
      </c>
      <c r="U202" t="s">
        <v>876</v>
      </c>
    </row>
    <row r="203" spans="15:21">
      <c r="O203" s="95" t="s">
        <v>1183</v>
      </c>
      <c r="P203" s="95" t="s">
        <v>681</v>
      </c>
      <c r="Q203" s="153" t="s">
        <v>704</v>
      </c>
      <c r="R203" s="96" t="str">
        <f t="shared" si="23"/>
        <v>Exception hours (loss excluded from OEE)_Loss Percentage_NJ</v>
      </c>
      <c r="S203" s="268">
        <f t="shared" si="25"/>
        <v>0</v>
      </c>
      <c r="T203" t="str">
        <f t="shared" si="24"/>
        <v>(HOT) R200 Alkox Reactor</v>
      </c>
      <c r="U203" t="s">
        <v>876</v>
      </c>
    </row>
    <row r="204" spans="15:21">
      <c r="O204" s="95" t="s">
        <v>1183</v>
      </c>
      <c r="P204" s="95" t="s">
        <v>681</v>
      </c>
      <c r="Q204" s="153" t="s">
        <v>14</v>
      </c>
      <c r="R204" s="96" t="str">
        <f t="shared" si="23"/>
        <v>Available OEE - Scheduled hours_Loss Percentage_NJ</v>
      </c>
      <c r="S204" s="268">
        <f t="shared" si="25"/>
        <v>1</v>
      </c>
      <c r="T204" t="str">
        <f t="shared" si="24"/>
        <v>(HOT) R200 Alkox Reactor</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(HOT) R200 Alkox Reactor</v>
      </c>
      <c r="U205" t="s">
        <v>876</v>
      </c>
    </row>
    <row r="206" spans="15:21">
      <c r="O206" s="95" t="s">
        <v>1183</v>
      </c>
      <c r="P206" s="95" t="s">
        <v>681</v>
      </c>
      <c r="Q206" s="153" t="s">
        <v>665</v>
      </c>
      <c r="R206" s="96" t="str">
        <f t="shared" si="23"/>
        <v>Available running OEE - Running hours_Loss Percentage_NJ</v>
      </c>
      <c r="S206" s="268">
        <f t="shared" si="25"/>
        <v>0</v>
      </c>
      <c r="T206" t="str">
        <f t="shared" si="24"/>
        <v>(HOT) R200 Alkox Reactor</v>
      </c>
      <c r="U206" t="s">
        <v>876</v>
      </c>
    </row>
    <row r="207" spans="15:21">
      <c r="O207" s="95" t="s">
        <v>1183</v>
      </c>
      <c r="P207" s="95" t="s">
        <v>681</v>
      </c>
      <c r="Q207" s="153" t="s">
        <v>18</v>
      </c>
      <c r="R207" s="96" t="str">
        <f t="shared" si="23"/>
        <v>Equipment Reliability - Equipment Failure_Loss Percentage_NJ</v>
      </c>
      <c r="S207" s="268">
        <f t="shared" si="25"/>
        <v>2.6023300229041667E-2</v>
      </c>
      <c r="T207" t="str">
        <f t="shared" si="24"/>
        <v>(HOT) R200 Alkox Reactor</v>
      </c>
      <c r="U207" t="s">
        <v>876</v>
      </c>
    </row>
    <row r="208" spans="15:21">
      <c r="O208" s="95" t="s">
        <v>1183</v>
      </c>
      <c r="P208" s="95" t="s">
        <v>681</v>
      </c>
      <c r="Q208" s="153" t="s">
        <v>1</v>
      </c>
      <c r="R208" s="96" t="str">
        <f t="shared" si="23"/>
        <v>Operational Reliability_Loss Percentage_NJ</v>
      </c>
      <c r="S208" s="268">
        <f t="shared" si="25"/>
        <v>0.21888979429478966</v>
      </c>
      <c r="T208" t="str">
        <f t="shared" si="24"/>
        <v>(HOT) R200 Alkox Reactor</v>
      </c>
      <c r="U208" t="s">
        <v>876</v>
      </c>
    </row>
    <row r="209" spans="15:21">
      <c r="O209" s="95" t="s">
        <v>1183</v>
      </c>
      <c r="P209" s="95" t="s">
        <v>681</v>
      </c>
      <c r="Q209" s="153" t="s">
        <v>2</v>
      </c>
      <c r="R209" s="96" t="str">
        <f t="shared" si="23"/>
        <v>Technology Reliability_Loss Percentage_NJ</v>
      </c>
      <c r="S209" s="268">
        <f t="shared" si="25"/>
        <v>0.1062194939621809</v>
      </c>
      <c r="T209" t="str">
        <f t="shared" si="24"/>
        <v>(HOT) R200 Alkox Reactor</v>
      </c>
      <c r="U209" t="s">
        <v>876</v>
      </c>
    </row>
    <row r="210" spans="15:21">
      <c r="O210" s="95" t="s">
        <v>1183</v>
      </c>
      <c r="P210" s="95" t="s">
        <v>681</v>
      </c>
      <c r="Q210" s="153" t="s">
        <v>3</v>
      </c>
      <c r="R210" s="96" t="str">
        <f t="shared" si="23"/>
        <v>Material Reliability_Loss Percentage_NJ</v>
      </c>
      <c r="S210" s="268">
        <f t="shared" si="25"/>
        <v>7.0444676346104827E-3</v>
      </c>
      <c r="T210" t="str">
        <f t="shared" si="24"/>
        <v>(HOT) R200 Alkox Reactor</v>
      </c>
      <c r="U210" t="s">
        <v>876</v>
      </c>
    </row>
    <row r="211" spans="15:21">
      <c r="O211" s="95" t="s">
        <v>1183</v>
      </c>
      <c r="P211" s="95" t="s">
        <v>681</v>
      </c>
      <c r="Q211" s="153" t="s">
        <v>4</v>
      </c>
      <c r="R211" s="96" t="str">
        <f t="shared" si="23"/>
        <v>Logistics/Supply Reliability_Loss Percentage_NJ</v>
      </c>
      <c r="S211" s="268">
        <f t="shared" si="25"/>
        <v>2.3011707288415402E-2</v>
      </c>
      <c r="T211" t="str">
        <f t="shared" si="24"/>
        <v>(HOT) R200 Alkox Reactor</v>
      </c>
      <c r="U211" t="s">
        <v>876</v>
      </c>
    </row>
    <row r="212" spans="15:21">
      <c r="O212" s="95" t="s">
        <v>1183</v>
      </c>
      <c r="P212" s="95" t="s">
        <v>681</v>
      </c>
      <c r="Q212" s="153" t="s">
        <v>5</v>
      </c>
      <c r="R212" s="96" t="str">
        <f t="shared" si="23"/>
        <v>External Reliability_Loss Percentage_NJ</v>
      </c>
      <c r="S212" s="268">
        <f t="shared" si="25"/>
        <v>2.6834523332310008E-2</v>
      </c>
      <c r="T212" t="str">
        <f t="shared" si="24"/>
        <v>(HOT) R200 Alkox Reactor</v>
      </c>
      <c r="U212" t="s">
        <v>876</v>
      </c>
    </row>
    <row r="213" spans="15:21">
      <c r="O213" s="95" t="s">
        <v>1183</v>
      </c>
      <c r="P213" s="95" t="s">
        <v>681</v>
      </c>
      <c r="Q213" s="153" t="s">
        <v>11</v>
      </c>
      <c r="R213" s="96" t="str">
        <f t="shared" si="23"/>
        <v>Other Reliability_Loss Percentage_NJ</v>
      </c>
      <c r="S213" s="268">
        <f t="shared" si="25"/>
        <v>-0.15825746313291345</v>
      </c>
      <c r="T213" t="str">
        <f t="shared" si="24"/>
        <v>(HOT) R200 Alkox Reactor</v>
      </c>
      <c r="U213" t="s">
        <v>876</v>
      </c>
    </row>
    <row r="214" spans="15:21">
      <c r="O214" s="95" t="s">
        <v>1183</v>
      </c>
      <c r="P214" s="95" t="s">
        <v>681</v>
      </c>
      <c r="Q214" s="153" t="s">
        <v>15</v>
      </c>
      <c r="R214" s="96" t="str">
        <f t="shared" si="23"/>
        <v>Unspecified_Loss Percentage_NJ</v>
      </c>
      <c r="S214" s="268">
        <f t="shared" si="25"/>
        <v>5.9439678451185651E-5</v>
      </c>
      <c r="T214" t="str">
        <f t="shared" si="24"/>
        <v>(HOT) R200 Alkox Reactor</v>
      </c>
      <c r="U214" t="s">
        <v>876</v>
      </c>
    </row>
    <row r="215" spans="15:21">
      <c r="O215" s="95" t="s">
        <v>1183</v>
      </c>
      <c r="P215" s="95" t="s">
        <v>681</v>
      </c>
      <c r="Q215" s="153" t="s">
        <v>16</v>
      </c>
      <c r="R215" s="96" t="str">
        <f t="shared" si="23"/>
        <v>Undetected_Loss Percentage_NJ</v>
      </c>
      <c r="S215" s="268">
        <f t="shared" si="25"/>
        <v>5.8955724095541831E-3</v>
      </c>
      <c r="T215" t="str">
        <f t="shared" si="24"/>
        <v>(HOT) R200 Alkox Reactor</v>
      </c>
      <c r="U215" t="s">
        <v>876</v>
      </c>
    </row>
    <row r="216" spans="15:21">
      <c r="O216" s="95" t="s">
        <v>1183</v>
      </c>
      <c r="P216" s="95" t="s">
        <v>681</v>
      </c>
      <c r="Q216" s="153" t="s">
        <v>664</v>
      </c>
      <c r="R216" s="96" t="str">
        <f t="shared" si="23"/>
        <v>Exception hours_Loss Percentage_NJ</v>
      </c>
      <c r="S216" s="268">
        <f t="shared" si="25"/>
        <v>0</v>
      </c>
      <c r="T216" t="str">
        <f t="shared" si="24"/>
        <v>(HOT) R200 Alkox Reactor</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R200 Alkox Reactor</v>
      </c>
      <c r="U217" t="s">
        <v>876</v>
      </c>
    </row>
    <row r="218" spans="15:21">
      <c r="O218" s="95" t="s">
        <v>1183</v>
      </c>
      <c r="P218" s="95" t="s">
        <v>681</v>
      </c>
      <c r="Q218" s="153" t="s">
        <v>705</v>
      </c>
      <c r="R218" s="96" t="str">
        <f t="shared" si="23"/>
        <v>Improvement target not assigned_Loss Percentage_NJ</v>
      </c>
      <c r="S218" s="268">
        <f t="shared" si="25"/>
        <v>-2.8175325202374257E-2</v>
      </c>
      <c r="T218" t="str">
        <f t="shared" si="24"/>
        <v>(HOT) R200 Alkox Reactor</v>
      </c>
      <c r="U218" t="s">
        <v>876</v>
      </c>
    </row>
    <row r="219" spans="15:21">
      <c r="O219" s="95" t="s">
        <v>1183</v>
      </c>
      <c r="P219" s="95" t="s">
        <v>681</v>
      </c>
      <c r="Q219" s="153" t="s">
        <v>397</v>
      </c>
      <c r="R219" s="96" t="str">
        <f t="shared" si="23"/>
        <v>Sum OEE losses (exluding Planned Maintenance)_Loss Percentage_NJ</v>
      </c>
      <c r="S219" s="268">
        <f t="shared" si="25"/>
        <v>0.22754551049406579</v>
      </c>
      <c r="T219" t="str">
        <f t="shared" si="24"/>
        <v>(HOT) R200 Alkox Reactor</v>
      </c>
      <c r="U219" t="s">
        <v>876</v>
      </c>
    </row>
    <row r="220" spans="15:21">
      <c r="O220" s="95" t="s">
        <v>1183</v>
      </c>
      <c r="P220" s="95" t="s">
        <v>681</v>
      </c>
      <c r="Q220" s="153" t="s">
        <v>398</v>
      </c>
      <c r="R220" s="96" t="str">
        <f t="shared" si="23"/>
        <v>Sum OEE losses (Including Planned Maintenance)_Loss Percentage_NJ</v>
      </c>
      <c r="S220" s="268">
        <f t="shared" si="25"/>
        <v>0.22754551049406579</v>
      </c>
      <c r="T220" t="str">
        <f t="shared" si="24"/>
        <v>(HOT) R200 Alkox Reactor</v>
      </c>
      <c r="U220" t="s">
        <v>876</v>
      </c>
    </row>
    <row r="221" spans="15:21">
      <c r="O221" s="95" t="s">
        <v>1183</v>
      </c>
      <c r="P221" s="95" t="s">
        <v>681</v>
      </c>
      <c r="Q221" s="153" t="s">
        <v>712</v>
      </c>
      <c r="R221" s="96" t="str">
        <f t="shared" si="23"/>
        <v>Production hours on MAC (h) / OEE (%)_Loss Percentage_NJ</v>
      </c>
      <c r="S221" s="268">
        <f t="shared" si="25"/>
        <v>0.77245448950593421</v>
      </c>
      <c r="T221" t="str">
        <f t="shared" si="24"/>
        <v>(HOT) R200 Alkox Reactor</v>
      </c>
      <c r="U221" t="s">
        <v>876</v>
      </c>
    </row>
    <row r="222" spans="15:21">
      <c r="O222" s="95" t="s">
        <v>676</v>
      </c>
      <c r="P222" s="95" t="s">
        <v>994</v>
      </c>
      <c r="Q222" s="144" t="s">
        <v>374</v>
      </c>
      <c r="R222" s="96" t="str">
        <f t="shared" si="23"/>
        <v>Planned Turnaround (h)_NJ_Maintenance_plan</v>
      </c>
      <c r="S222" s="1" t="str">
        <f>D18</f>
        <v/>
      </c>
      <c r="T222" t="str">
        <f t="shared" si="24"/>
        <v>(HOT) R200 Alkox Reactor</v>
      </c>
      <c r="U222" t="s">
        <v>877</v>
      </c>
    </row>
    <row r="223" spans="15:21">
      <c r="O223" s="95" t="s">
        <v>676</v>
      </c>
      <c r="P223" s="95" t="s">
        <v>994</v>
      </c>
      <c r="Q223" s="144" t="s">
        <v>375</v>
      </c>
      <c r="R223" s="96" t="str">
        <f t="shared" si="23"/>
        <v>Planned Shutdown (h)_NJ_Maintenance_plan</v>
      </c>
      <c r="S223" s="1" t="str">
        <f t="shared" ref="S223:S224" si="26">D19</f>
        <v/>
      </c>
      <c r="T223" t="str">
        <f t="shared" si="24"/>
        <v>(HOT) R200 Alkox Reactor</v>
      </c>
      <c r="U223" t="s">
        <v>877</v>
      </c>
    </row>
    <row r="224" spans="15:21">
      <c r="O224" s="95" t="s">
        <v>676</v>
      </c>
      <c r="P224" s="95" t="s">
        <v>994</v>
      </c>
      <c r="Q224" s="144" t="s">
        <v>716</v>
      </c>
      <c r="R224" s="96" t="str">
        <f t="shared" si="23"/>
        <v>Total Planned Maintenance (h)_NJ_Maintenance_plan</v>
      </c>
      <c r="S224" s="1" t="str">
        <f t="shared" si="26"/>
        <v/>
      </c>
      <c r="T224" t="str">
        <f t="shared" si="24"/>
        <v>(HOT) R200 Alkox Reactor</v>
      </c>
      <c r="U224" t="s">
        <v>877</v>
      </c>
    </row>
    <row r="225" spans="15:21">
      <c r="O225" s="95" t="s">
        <v>674</v>
      </c>
      <c r="Q225" s="144" t="s">
        <v>1184</v>
      </c>
      <c r="R225" s="96" t="str">
        <f t="shared" si="23"/>
        <v>OEE_Running OEE Override</v>
      </c>
      <c r="S225" s="1" t="str">
        <f>B60</f>
        <v>Automatic</v>
      </c>
      <c r="T225" t="str">
        <f t="shared" si="24"/>
        <v>(HOT) R200 Alkox Reactor</v>
      </c>
      <c r="U225" t="s">
        <v>875</v>
      </c>
    </row>
    <row r="226" spans="15:21">
      <c r="O226" s="95" t="s">
        <v>678</v>
      </c>
      <c r="Q226" s="144" t="s">
        <v>1182</v>
      </c>
      <c r="R226" s="96" t="str">
        <f t="shared" si="23"/>
        <v>Unit of Loss Decrease entry</v>
      </c>
      <c r="S226" s="370" t="str">
        <f>F24</f>
        <v>% decrease</v>
      </c>
      <c r="T226" t="str">
        <f t="shared" si="24"/>
        <v>(HOT) R200 Alkox Reactor</v>
      </c>
      <c r="U226" t="s">
        <v>875</v>
      </c>
    </row>
    <row r="227" spans="15:21">
      <c r="O227" s="95" t="s">
        <v>678</v>
      </c>
      <c r="P227" s="95" t="s">
        <v>1185</v>
      </c>
      <c r="Q227" s="142" t="s">
        <v>13</v>
      </c>
      <c r="R227" s="96" t="str">
        <f t="shared" si="23"/>
        <v>MAC - Calender hours_OEE_Improvement_Entry</v>
      </c>
      <c r="S227" s="371">
        <f>F25</f>
        <v>0</v>
      </c>
      <c r="T227" t="str">
        <f t="shared" si="24"/>
        <v>(HOT) R200 Alkox Reactor</v>
      </c>
      <c r="U227" t="s">
        <v>876</v>
      </c>
    </row>
    <row r="228" spans="15:21">
      <c r="O228" s="95" t="s">
        <v>678</v>
      </c>
      <c r="P228" s="95" t="s">
        <v>1185</v>
      </c>
      <c r="Q228" s="152" t="s">
        <v>7</v>
      </c>
      <c r="R228" s="96" t="str">
        <f t="shared" si="23"/>
        <v>Commercial Reliability_OEE_Improvement_Entry</v>
      </c>
      <c r="S228" s="371">
        <f t="shared" ref="S228:S247" si="27">F26</f>
        <v>0</v>
      </c>
      <c r="T228" t="str">
        <f t="shared" si="24"/>
        <v>(HOT) R200 Alkox Reactor</v>
      </c>
      <c r="U228" t="s">
        <v>876</v>
      </c>
    </row>
    <row r="229" spans="15:21">
      <c r="O229" s="95" t="s">
        <v>678</v>
      </c>
      <c r="P229" s="95" t="s">
        <v>1185</v>
      </c>
      <c r="Q229" s="152" t="s">
        <v>704</v>
      </c>
      <c r="R229" s="96" t="str">
        <f t="shared" si="23"/>
        <v>Exception hours (loss excluded from OEE)_OEE_Improvement_Entry</v>
      </c>
      <c r="S229" s="371" t="str">
        <f t="shared" si="27"/>
        <v/>
      </c>
      <c r="T229" t="str">
        <f t="shared" si="24"/>
        <v>(HOT) R200 Alkox Reactor</v>
      </c>
      <c r="U229" t="s">
        <v>876</v>
      </c>
    </row>
    <row r="230" spans="15:21">
      <c r="O230" s="95" t="s">
        <v>678</v>
      </c>
      <c r="P230" s="95" t="s">
        <v>1185</v>
      </c>
      <c r="Q230" s="152" t="s">
        <v>14</v>
      </c>
      <c r="R230" s="96" t="str">
        <f t="shared" si="23"/>
        <v>Available OEE - Scheduled hours_OEE_Improvement_Entry</v>
      </c>
      <c r="S230" s="371">
        <f t="shared" si="27"/>
        <v>0</v>
      </c>
      <c r="T230" t="str">
        <f t="shared" si="24"/>
        <v>(HOT) R200 Alkox Reactor</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R200 Alkox Reactor</v>
      </c>
      <c r="U231" t="s">
        <v>876</v>
      </c>
    </row>
    <row r="232" spans="15:21">
      <c r="O232" s="95" t="s">
        <v>678</v>
      </c>
      <c r="P232" s="95" t="s">
        <v>1185</v>
      </c>
      <c r="Q232" s="152" t="s">
        <v>665</v>
      </c>
      <c r="R232" s="96" t="str">
        <f t="shared" si="23"/>
        <v>Available running OEE - Running hours_OEE_Improvement_Entry</v>
      </c>
      <c r="S232" s="371">
        <f t="shared" si="27"/>
        <v>0</v>
      </c>
      <c r="T232" t="str">
        <f t="shared" si="24"/>
        <v>(HOT) R200 Alkox Reactor</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R200 Alkox Reactor</v>
      </c>
      <c r="U233" t="s">
        <v>876</v>
      </c>
    </row>
    <row r="234" spans="15:21">
      <c r="O234" s="95" t="s">
        <v>678</v>
      </c>
      <c r="P234" s="95" t="s">
        <v>1185</v>
      </c>
      <c r="Q234" s="152" t="s">
        <v>1</v>
      </c>
      <c r="R234" s="96" t="str">
        <f t="shared" si="23"/>
        <v>Operational Reliability_OEE_Improvement_Entry</v>
      </c>
      <c r="S234" s="371">
        <f t="shared" si="27"/>
        <v>0</v>
      </c>
      <c r="T234" t="str">
        <f t="shared" si="24"/>
        <v>(HOT) R200 Alkox Reactor</v>
      </c>
      <c r="U234" t="s">
        <v>876</v>
      </c>
    </row>
    <row r="235" spans="15:21">
      <c r="O235" s="95" t="s">
        <v>678</v>
      </c>
      <c r="P235" s="95" t="s">
        <v>1185</v>
      </c>
      <c r="Q235" s="152" t="s">
        <v>2</v>
      </c>
      <c r="R235" s="96" t="str">
        <f t="shared" si="23"/>
        <v>Technology Reliability_OEE_Improvement_Entry</v>
      </c>
      <c r="S235" s="371">
        <f t="shared" si="27"/>
        <v>0</v>
      </c>
      <c r="T235" t="str">
        <f t="shared" si="24"/>
        <v>(HOT) R200 Alkox Reactor</v>
      </c>
      <c r="U235" t="s">
        <v>876</v>
      </c>
    </row>
    <row r="236" spans="15:21">
      <c r="O236" s="95" t="s">
        <v>678</v>
      </c>
      <c r="P236" s="95" t="s">
        <v>1185</v>
      </c>
      <c r="Q236" s="152" t="s">
        <v>3</v>
      </c>
      <c r="R236" s="96" t="str">
        <f t="shared" si="23"/>
        <v>Material Reliability_OEE_Improvement_Entry</v>
      </c>
      <c r="S236" s="371">
        <f t="shared" si="27"/>
        <v>0</v>
      </c>
      <c r="T236" t="str">
        <f t="shared" si="24"/>
        <v>(HOT) R200 Alkox Reactor</v>
      </c>
      <c r="U236" t="s">
        <v>876</v>
      </c>
    </row>
    <row r="237" spans="15:21">
      <c r="O237" s="95" t="s">
        <v>678</v>
      </c>
      <c r="P237" s="95" t="s">
        <v>1185</v>
      </c>
      <c r="Q237" s="152" t="s">
        <v>4</v>
      </c>
      <c r="R237" s="96" t="str">
        <f t="shared" si="23"/>
        <v>Logistics/Supply Reliability_OEE_Improvement_Entry</v>
      </c>
      <c r="S237" s="371">
        <f t="shared" si="27"/>
        <v>0</v>
      </c>
      <c r="T237" t="str">
        <f t="shared" si="24"/>
        <v>(HOT) R200 Alkox Reactor</v>
      </c>
      <c r="U237" t="s">
        <v>876</v>
      </c>
    </row>
    <row r="238" spans="15:21">
      <c r="O238" s="95" t="s">
        <v>678</v>
      </c>
      <c r="P238" s="95" t="s">
        <v>1185</v>
      </c>
      <c r="Q238" s="152" t="s">
        <v>5</v>
      </c>
      <c r="R238" s="96" t="str">
        <f t="shared" si="23"/>
        <v>External Reliability_OEE_Improvement_Entry</v>
      </c>
      <c r="S238" s="371">
        <f t="shared" si="27"/>
        <v>0</v>
      </c>
      <c r="T238" t="str">
        <f t="shared" si="24"/>
        <v>(HOT) R200 Alkox Reactor</v>
      </c>
      <c r="U238" t="s">
        <v>876</v>
      </c>
    </row>
    <row r="239" spans="15:21">
      <c r="O239" s="95" t="s">
        <v>678</v>
      </c>
      <c r="P239" s="95" t="s">
        <v>1185</v>
      </c>
      <c r="Q239" s="152" t="s">
        <v>11</v>
      </c>
      <c r="R239" s="96" t="str">
        <f t="shared" si="23"/>
        <v>Other Reliability_OEE_Improvement_Entry</v>
      </c>
      <c r="S239" s="371">
        <f t="shared" si="27"/>
        <v>0</v>
      </c>
      <c r="T239" t="str">
        <f t="shared" si="24"/>
        <v>(HOT) R200 Alkox Reactor</v>
      </c>
      <c r="U239" t="s">
        <v>876</v>
      </c>
    </row>
    <row r="240" spans="15:21">
      <c r="O240" s="95" t="s">
        <v>678</v>
      </c>
      <c r="P240" s="95" t="s">
        <v>1185</v>
      </c>
      <c r="Q240" s="152" t="s">
        <v>15</v>
      </c>
      <c r="R240" s="96" t="str">
        <f t="shared" si="23"/>
        <v>Unspecified_OEE_Improvement_Entry</v>
      </c>
      <c r="S240" s="371">
        <f t="shared" si="27"/>
        <v>0</v>
      </c>
      <c r="T240" t="str">
        <f t="shared" si="24"/>
        <v>(HOT) R200 Alkox Reactor</v>
      </c>
      <c r="U240" t="s">
        <v>876</v>
      </c>
    </row>
    <row r="241" spans="15:21">
      <c r="O241" s="95" t="s">
        <v>678</v>
      </c>
      <c r="P241" s="95" t="s">
        <v>1185</v>
      </c>
      <c r="Q241" s="152" t="s">
        <v>16</v>
      </c>
      <c r="R241" s="96" t="str">
        <f t="shared" si="23"/>
        <v>Undetected_OEE_Improvement_Entry</v>
      </c>
      <c r="S241" s="371">
        <f t="shared" si="27"/>
        <v>0</v>
      </c>
      <c r="T241" t="str">
        <f t="shared" si="24"/>
        <v>(HOT) R200 Alkox Reactor</v>
      </c>
      <c r="U241" t="s">
        <v>876</v>
      </c>
    </row>
    <row r="242" spans="15:21">
      <c r="O242" s="95" t="s">
        <v>678</v>
      </c>
      <c r="P242" s="95" t="s">
        <v>1185</v>
      </c>
      <c r="Q242" s="152" t="s">
        <v>664</v>
      </c>
      <c r="R242" s="96" t="str">
        <f t="shared" si="23"/>
        <v>Exception hours_OEE_Improvement_Entry</v>
      </c>
      <c r="S242" s="371">
        <f t="shared" si="27"/>
        <v>0</v>
      </c>
      <c r="T242" t="str">
        <f t="shared" si="24"/>
        <v>(HOT) R200 Alkox Reactor</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R200 Alkox Reactor</v>
      </c>
      <c r="U243" t="s">
        <v>876</v>
      </c>
    </row>
    <row r="244" spans="15:21">
      <c r="O244" s="95" t="s">
        <v>678</v>
      </c>
      <c r="P244" s="95" t="s">
        <v>1185</v>
      </c>
      <c r="Q244" s="152" t="s">
        <v>705</v>
      </c>
      <c r="R244" s="96" t="str">
        <f t="shared" si="23"/>
        <v>Improvement target not assigned_OEE_Improvement_Entry</v>
      </c>
      <c r="S244" s="371">
        <f t="shared" si="27"/>
        <v>0</v>
      </c>
      <c r="T244" t="str">
        <f t="shared" si="24"/>
        <v>(HOT) R200 Alkox Reactor</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R200 Alkox Reactor</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R200 Alkox Reactor</v>
      </c>
      <c r="U246" t="s">
        <v>876</v>
      </c>
    </row>
    <row r="247" spans="15:21">
      <c r="O247" s="95" t="s">
        <v>678</v>
      </c>
      <c r="P247" s="95" t="s">
        <v>1185</v>
      </c>
      <c r="Q247" s="152" t="s">
        <v>712</v>
      </c>
      <c r="R247" s="96" t="str">
        <f t="shared" si="23"/>
        <v>Production hours on MAC (h) / OEE (%)_OEE_Improvement_Entry</v>
      </c>
      <c r="S247" s="371">
        <f t="shared" si="27"/>
        <v>0</v>
      </c>
      <c r="T247" t="str">
        <f t="shared" si="24"/>
        <v>(HOT) R200 Alkox Reactor</v>
      </c>
      <c r="U247" t="s">
        <v>876</v>
      </c>
    </row>
    <row r="248" spans="15:21">
      <c r="O248" s="95" t="s">
        <v>1192</v>
      </c>
      <c r="Q248" s="144" t="s">
        <v>1191</v>
      </c>
      <c r="R248" s="96" t="str">
        <f t="shared" si="23"/>
        <v>Sheet used for target setting</v>
      </c>
      <c r="S248" s="1" t="s">
        <v>1190</v>
      </c>
      <c r="T248" t="str">
        <f t="shared" si="24"/>
        <v>(HOT) R200 Alkox Reactor</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278" priority="25">
      <formula>$B$22=""</formula>
    </cfRule>
  </conditionalFormatting>
  <conditionalFormatting sqref="B6">
    <cfRule type="cellIs" dxfId="277" priority="21" operator="lessThan">
      <formula>-0.1</formula>
    </cfRule>
    <cfRule type="cellIs" dxfId="276" priority="22" operator="greaterThan">
      <formula>0.1</formula>
    </cfRule>
    <cfRule type="cellIs" dxfId="275" priority="23" operator="between">
      <formula>-0.1</formula>
      <formula>0.1</formula>
    </cfRule>
  </conditionalFormatting>
  <conditionalFormatting sqref="C21">
    <cfRule type="cellIs" dxfId="274" priority="18" operator="lessThan">
      <formula>-0.1</formula>
    </cfRule>
    <cfRule type="cellIs" dxfId="273" priority="19" operator="greaterThan">
      <formula>0.1</formula>
    </cfRule>
    <cfRule type="cellIs" dxfId="272" priority="20" operator="between">
      <formula>-0.1</formula>
      <formula>0.1</formula>
    </cfRule>
  </conditionalFormatting>
  <conditionalFormatting sqref="A9:B9">
    <cfRule type="expression" dxfId="271" priority="16">
      <formula>$B$8="Exclude"</formula>
    </cfRule>
    <cfRule type="expression" dxfId="270" priority="17">
      <formula>$B$8="Include"</formula>
    </cfRule>
  </conditionalFormatting>
  <conditionalFormatting sqref="C9">
    <cfRule type="expression" dxfId="269" priority="26">
      <formula>$B$8="Exclude"</formula>
    </cfRule>
    <cfRule type="expression" dxfId="268" priority="27">
      <formula>$B$9="No"</formula>
    </cfRule>
    <cfRule type="expression" dxfId="267" priority="28">
      <formula xml:space="preserve"> $B$9="Yes"</formula>
    </cfRule>
  </conditionalFormatting>
  <conditionalFormatting sqref="C15">
    <cfRule type="expression" dxfId="266" priority="29">
      <formula>$B$15=$D$15</formula>
    </cfRule>
    <cfRule type="expression" dxfId="265" priority="30">
      <formula>$B$1&lt;&gt;$D$15</formula>
    </cfRule>
  </conditionalFormatting>
  <conditionalFormatting sqref="F50:F51">
    <cfRule type="cellIs" dxfId="264" priority="14" operator="greaterThan">
      <formula>1</formula>
    </cfRule>
    <cfRule type="cellIs" dxfId="263" priority="15" operator="lessThanOrEqual">
      <formula>1</formula>
    </cfRule>
  </conditionalFormatting>
  <conditionalFormatting sqref="D17">
    <cfRule type="expression" dxfId="262" priority="12">
      <formula>$D$20=""</formula>
    </cfRule>
    <cfRule type="expression" dxfId="261" priority="13">
      <formula>$D$20&gt;0</formula>
    </cfRule>
  </conditionalFormatting>
  <conditionalFormatting sqref="D19">
    <cfRule type="expression" dxfId="260" priority="10">
      <formula>$D$20=""</formula>
    </cfRule>
    <cfRule type="expression" dxfId="259" priority="11">
      <formula>$D$20&gt;0</formula>
    </cfRule>
  </conditionalFormatting>
  <conditionalFormatting sqref="C10">
    <cfRule type="expression" dxfId="258" priority="5">
      <formula>$B$8="Exclude"</formula>
    </cfRule>
    <cfRule type="expression" dxfId="257" priority="6">
      <formula>$B$9="No"</formula>
    </cfRule>
    <cfRule type="expression" dxfId="256" priority="7">
      <formula>$B$10="No Gain"</formula>
    </cfRule>
    <cfRule type="expression" dxfId="255" priority="8">
      <formula xml:space="preserve"> $B$9="Yes"</formula>
    </cfRule>
    <cfRule type="expression" dxfId="254" priority="9">
      <formula>$B$10="Gain"</formula>
    </cfRule>
  </conditionalFormatting>
  <conditionalFormatting sqref="H31:H39">
    <cfRule type="expression" dxfId="253" priority="33">
      <formula>$F$24="% decrease"</formula>
    </cfRule>
  </conditionalFormatting>
  <conditionalFormatting sqref="H32 H34 H36 H38">
    <cfRule type="expression" dxfId="252" priority="34">
      <formula>$F$24="hours decrease"</formula>
    </cfRule>
  </conditionalFormatting>
  <conditionalFormatting sqref="G31:G39">
    <cfRule type="expression" dxfId="251" priority="35">
      <formula>$F$24="hours decrease"</formula>
    </cfRule>
  </conditionalFormatting>
  <conditionalFormatting sqref="G32 G34 G36 G38">
    <cfRule type="expression" dxfId="250" priority="36">
      <formula>$F$24="% decrease"</formula>
    </cfRule>
  </conditionalFormatting>
  <conditionalFormatting sqref="G40">
    <cfRule type="expression" dxfId="249" priority="4">
      <formula>$F$24="% decrease"</formula>
    </cfRule>
  </conditionalFormatting>
  <conditionalFormatting sqref="F31:F40">
    <cfRule type="expression" dxfId="248" priority="31">
      <formula>$F$24="% decrease"</formula>
    </cfRule>
    <cfRule type="expression" dxfId="247" priority="32">
      <formula>$F$24="hours decrease"</formula>
    </cfRule>
  </conditionalFormatting>
  <conditionalFormatting sqref="C4:C5">
    <cfRule type="expression" dxfId="246" priority="1">
      <formula>$C$5=0</formula>
    </cfRule>
    <cfRule type="expression" dxfId="245" priority="2">
      <formula>$C$5=""</formula>
    </cfRule>
    <cfRule type="expression" dxfId="244" priority="3">
      <formula>$C$5&gt;0</formula>
    </cfRule>
  </conditionalFormatting>
  <dataValidations count="6">
    <dataValidation type="list" allowBlank="1" showInputMessage="1" showErrorMessage="1" sqref="B60" xr:uid="{30FA7CCB-11D2-4D82-82EC-9ED75DDCF5DF}">
      <formula1>"Automatic, Force OEE, Force Running OEE"</formula1>
    </dataValidation>
    <dataValidation type="list" allowBlank="1" showInputMessage="1" showErrorMessage="1" sqref="F24" xr:uid="{99D5C39D-6E73-470E-A706-E456FD59BD53}">
      <formula1>"% decrease,hours decrease"</formula1>
    </dataValidation>
    <dataValidation type="list" allowBlank="1" showInputMessage="1" showErrorMessage="1" sqref="B8" xr:uid="{D03F4E2A-D1FD-48BC-B864-C13DD636A3E4}">
      <formula1>"Include,Exclude"</formula1>
    </dataValidation>
    <dataValidation type="list" allowBlank="1" showInputMessage="1" showErrorMessage="1" sqref="B9" xr:uid="{CA24FF67-522E-47F4-A6C0-770831EDE561}">
      <formula1>"Yes,No"</formula1>
    </dataValidation>
    <dataValidation type="list" allowBlank="1" showInputMessage="1" showErrorMessage="1" sqref="B11" xr:uid="{5658C2DE-E72B-458C-BC4F-DBFD046FE93A}">
      <formula1>"Playbook Matrix value, Manual OEE target"</formula1>
    </dataValidation>
    <dataValidation type="list" allowBlank="1" showInputMessage="1" showErrorMessage="1" sqref="B2" xr:uid="{289993E4-B7D8-449D-A996-F7700D7BC4BE}">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19810"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19811"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19812"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B36E-91CC-47B7-A42C-778ACB1B908D}">
  <sheetPr codeName="Sheet16">
    <tabColor rgb="FF00B0F0"/>
  </sheetPr>
  <dimension ref="A1:AI248"/>
  <sheetViews>
    <sheetView showGridLines="0" zoomScaleNormal="100" workbookViewId="0">
      <selection activeCell="B2" sqref="B2"/>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202</v>
      </c>
      <c r="E2" s="314" t="s">
        <v>303</v>
      </c>
      <c r="G2" s="37" t="s">
        <v>670</v>
      </c>
      <c r="H2" s="40">
        <v>5.3</v>
      </c>
      <c r="O2" s="94" t="s">
        <v>679</v>
      </c>
      <c r="P2" s="94"/>
      <c r="Q2" s="145" t="s">
        <v>670</v>
      </c>
      <c r="R2" s="96" t="str">
        <f t="shared" ref="R2:R65" si="0">IF(ISBLANK(P2),Q2,_xlfn.CONCAT(Q2,"_",P2))</f>
        <v>Template Version:</v>
      </c>
      <c r="S2" s="261">
        <f>H2</f>
        <v>5.3</v>
      </c>
      <c r="T2" t="str">
        <f>$B$2</f>
        <v>(HOT) R300 Alkox Reactor</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R300 Alkox Reactor</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R300 Alkox Reactor</v>
      </c>
      <c r="U4" t="s">
        <v>874</v>
      </c>
    </row>
    <row r="5" spans="1:21">
      <c r="A5" s="34" t="s">
        <v>733</v>
      </c>
      <c r="B5" s="42">
        <v>0</v>
      </c>
      <c r="C5">
        <f>IFERROR(INDEX(Table1[Loss Hours Exclusion],MATCH('(HOT) R300 Alkox Reactor'!B2,Table1[Unit3],0)),"")</f>
        <v>0</v>
      </c>
      <c r="E5" s="317" t="s">
        <v>637</v>
      </c>
      <c r="F5" s="64"/>
      <c r="G5" s="360"/>
      <c r="H5" s="361"/>
      <c r="O5" s="95" t="s">
        <v>674</v>
      </c>
      <c r="P5" s="95"/>
      <c r="Q5" s="146" t="s">
        <v>604</v>
      </c>
      <c r="R5" s="96" t="str">
        <f t="shared" si="0"/>
        <v>Unit Name</v>
      </c>
      <c r="S5" s="264" t="str">
        <f>B2</f>
        <v>(HOT) R300 Alkox Reactor</v>
      </c>
      <c r="T5" t="str">
        <f t="shared" si="1"/>
        <v>(HOT) R300 Alkox Reactor</v>
      </c>
      <c r="U5" t="s">
        <v>875</v>
      </c>
    </row>
    <row r="6" spans="1:21">
      <c r="A6" s="34" t="s">
        <v>735</v>
      </c>
      <c r="B6" s="219">
        <v>0</v>
      </c>
      <c r="C6" s="270">
        <f>SUMIF(B31:B39,"&gt;0",B31:B39)</f>
        <v>2280.9492461942946</v>
      </c>
      <c r="D6" s="270">
        <f>SUMIF(B31:B39,"&lt;0",B31:B39)</f>
        <v>-664.52774133276944</v>
      </c>
      <c r="E6" s="318" t="s">
        <v>1032</v>
      </c>
      <c r="F6" s="64"/>
      <c r="G6" s="360"/>
      <c r="H6" s="361"/>
      <c r="O6" s="95" t="s">
        <v>674</v>
      </c>
      <c r="P6" s="95"/>
      <c r="Q6" s="146" t="s">
        <v>139</v>
      </c>
      <c r="R6" s="96" t="str">
        <f t="shared" si="0"/>
        <v>Unit Type</v>
      </c>
      <c r="S6" s="264" t="str">
        <f t="shared" ref="S6" si="2">B3</f>
        <v>Batch</v>
      </c>
      <c r="T6" t="str">
        <f t="shared" si="1"/>
        <v>(HOT) R300 Alkox Reactor</v>
      </c>
      <c r="U6" t="s">
        <v>875</v>
      </c>
    </row>
    <row r="7" spans="1:21">
      <c r="A7" t="s">
        <v>702</v>
      </c>
      <c r="B7" s="6">
        <f>IFERROR(B48/D48-1,0)</f>
        <v>-7.03361485370535E-4</v>
      </c>
      <c r="C7" s="121">
        <f>IF(B8="Include",B45*B7/(1+B7),0)</f>
        <v>0</v>
      </c>
      <c r="D7" s="59">
        <f>IFERROR(C6/(C6-D6),0)</f>
        <v>0.77439044876372043</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0</v>
      </c>
      <c r="T7" t="str">
        <f t="shared" si="1"/>
        <v>(HOT) R300 Alkox Reactor</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(HOT) R300 Alkox Reactor</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-7.03361485370535E-4</v>
      </c>
      <c r="T9" t="str">
        <f t="shared" si="1"/>
        <v>(HOT) R300 Alkox Reactor</v>
      </c>
      <c r="U9" t="s">
        <v>875</v>
      </c>
    </row>
    <row r="10" spans="1:21">
      <c r="A10" s="141" t="s">
        <v>718</v>
      </c>
      <c r="B10" s="59" t="str">
        <f>IF(MIN(C31:C39)&lt;-1%,"Gain","No Gain")</f>
        <v>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(HOT) R300 Alkox Reactor</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R300 Alkox Reactor</v>
      </c>
      <c r="U11" t="s">
        <v>875</v>
      </c>
    </row>
    <row r="12" spans="1:21">
      <c r="A12" s="30" t="s">
        <v>1016</v>
      </c>
      <c r="B12" s="5">
        <f>IF($B$3="Batch",INDEX(BatchMatrix[Target Improvement],MATCH(E48,BatchMatrix[Min OEE],1)),IF($B$3="Continuous",INDEX(ContinousMatrix[Target Improvement],MATCH(E48,ContinousMatrix[Min OEE],1)),""))</f>
        <v>0.03</v>
      </c>
      <c r="C12" s="3"/>
      <c r="E12" s="387"/>
      <c r="F12" s="388"/>
      <c r="G12" s="388"/>
      <c r="H12" s="388"/>
      <c r="I12" s="389"/>
      <c r="O12" s="95" t="s">
        <v>674</v>
      </c>
      <c r="P12" s="95"/>
      <c r="Q12" s="222" t="s">
        <v>718</v>
      </c>
      <c r="R12" s="96" t="str">
        <f t="shared" si="0"/>
        <v>Running OEE LY &gt;100%</v>
      </c>
      <c r="S12" s="264" t="str">
        <f t="shared" si="3"/>
        <v>Gain</v>
      </c>
      <c r="T12" t="str">
        <f t="shared" si="1"/>
        <v>(HOT) R300 Alkox Reactor</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R300 Alkox Reactor</v>
      </c>
      <c r="U13" t="s">
        <v>875</v>
      </c>
    </row>
    <row r="14" spans="1:21">
      <c r="A14" s="33" t="s">
        <v>309</v>
      </c>
      <c r="B14" s="36">
        <f>IF(B11="Manual OEE target",B13,IF(B11="Playbook Matrix value",B12,""))</f>
        <v>0.03</v>
      </c>
      <c r="C14" s="3"/>
      <c r="E14" s="390"/>
      <c r="F14" s="391"/>
      <c r="G14" s="391"/>
      <c r="H14" s="391"/>
      <c r="I14" s="392"/>
      <c r="O14" s="95" t="s">
        <v>674</v>
      </c>
      <c r="P14" s="95"/>
      <c r="Q14" s="224" t="s">
        <v>1292</v>
      </c>
      <c r="R14" s="96" t="str">
        <f t="shared" si="0"/>
        <v>Target OEE Improvement (playbook)</v>
      </c>
      <c r="S14" s="264">
        <f t="shared" si="3"/>
        <v>0.03</v>
      </c>
      <c r="T14" t="str">
        <f t="shared" si="1"/>
        <v>(HOT) R300 Alkox Reactor</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R300 Alkox Reactor</v>
      </c>
      <c r="U15" t="s">
        <v>875</v>
      </c>
    </row>
    <row r="16" spans="1:21">
      <c r="E16" s="390"/>
      <c r="F16" s="391"/>
      <c r="G16" s="391"/>
      <c r="H16" s="391"/>
      <c r="I16" s="392"/>
      <c r="O16" s="95" t="s">
        <v>674</v>
      </c>
      <c r="P16" s="95"/>
      <c r="Q16" s="225" t="s">
        <v>309</v>
      </c>
      <c r="R16" s="96" t="str">
        <f t="shared" si="0"/>
        <v>Selected OEE target (used in table below)</v>
      </c>
      <c r="S16" s="264">
        <f t="shared" si="3"/>
        <v>0.03</v>
      </c>
      <c r="T16" t="str">
        <f t="shared" si="1"/>
        <v>(HOT) R300 Alkox Reactor</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R300 Alkox Reactor</v>
      </c>
      <c r="U17" t="s">
        <v>875</v>
      </c>
    </row>
    <row r="18" spans="1:21">
      <c r="A18" s="44" t="s">
        <v>374</v>
      </c>
      <c r="B18" s="7">
        <f>INDEX(TableOEE[Sum of Planned Turnaround Hours],MATCH($B$2,TableOEE[Unit],0))</f>
        <v>0</v>
      </c>
      <c r="C18" s="42">
        <v>0</v>
      </c>
      <c r="D18" s="1" t="str">
        <f>IFERROR(INDEX(Table13[Distributed Turnaround (hrs) matching?],MATCH('(HOT) R300 Alkox Reactor'!B2,Table13[ 2025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R300 Alkox Reactor</v>
      </c>
      <c r="U18" t="s">
        <v>877</v>
      </c>
    </row>
    <row r="19" spans="1:21">
      <c r="A19" s="45" t="s">
        <v>375</v>
      </c>
      <c r="B19" s="46">
        <f>INDEX(TableOEE[Sum of Planned Shutdown Hours],MATCH($B$2,TableOEE[Unit],0))</f>
        <v>36.670833316633001</v>
      </c>
      <c r="C19" s="42">
        <v>0</v>
      </c>
      <c r="D19" s="259" t="str">
        <f>IFERROR(INDEX(Table12[Distributed Shutdown (hrs) matching?],MATCH('(HOT) R300 Alkox Reactor'!B2,Table12[ 2025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36.670833316633001</v>
      </c>
      <c r="T19" t="str">
        <f t="shared" si="1"/>
        <v>(HOT) R300 Alkox Reactor</v>
      </c>
      <c r="U19" t="s">
        <v>877</v>
      </c>
    </row>
    <row r="20" spans="1:21">
      <c r="A20" s="30" t="s">
        <v>716</v>
      </c>
      <c r="B20" s="7">
        <f>INDEX(TableOEE[Sum of Planned Maintenance Hours],MATCH($B$2,TableOEE[Unit],0))</f>
        <v>36.670833316633001</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36.670833316633001</v>
      </c>
      <c r="T20" t="str">
        <f t="shared" si="1"/>
        <v>(HOT) R300 Alkox Reactor</v>
      </c>
      <c r="U20" t="s">
        <v>877</v>
      </c>
    </row>
    <row r="21" spans="1:21" ht="13.5" thickBot="1">
      <c r="A21" s="43" t="s">
        <v>715</v>
      </c>
      <c r="B21" s="7">
        <f>C20-B20</f>
        <v>-36.670833316633001</v>
      </c>
      <c r="C21" s="5">
        <f>IF(B20&gt;0,C20/B20-1,0)</f>
        <v>-1</v>
      </c>
      <c r="D21" s="269"/>
      <c r="E21" s="393"/>
      <c r="F21" s="394"/>
      <c r="G21" s="394"/>
      <c r="H21" s="394"/>
      <c r="I21" s="395"/>
      <c r="O21" s="95" t="s">
        <v>674</v>
      </c>
      <c r="P21" s="95" t="s">
        <v>879</v>
      </c>
      <c r="Q21" s="147" t="s">
        <v>715</v>
      </c>
      <c r="R21" s="96" t="str">
        <f t="shared" si="0"/>
        <v>Planned Maintenance Increase_Actual_LJ</v>
      </c>
      <c r="S21" s="265">
        <f>B21</f>
        <v>-36.670833316633001</v>
      </c>
      <c r="T21" t="str">
        <f t="shared" si="1"/>
        <v>(HOT) R300 Alkox Reactor</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R300 Alkox Reactor</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R300 Alkox Reactor</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(HOT) R300 Alkox Reactor</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(HOT) R300 Alkox Reactor</v>
      </c>
      <c r="U25" t="s">
        <v>877</v>
      </c>
    </row>
    <row r="26" spans="1:21">
      <c r="A26" s="126" t="s">
        <v>7</v>
      </c>
      <c r="B26" s="161">
        <f>INDEX(TableOEE[Sum of ComercialLossInHours],MATCH($B$2,TableOEE[Unit],0))</f>
        <v>2613.8436630300998</v>
      </c>
      <c r="C26" s="85"/>
      <c r="D26" s="161">
        <f>B26</f>
        <v>2613.8436630300998</v>
      </c>
      <c r="E26" s="159"/>
      <c r="F26" s="282"/>
      <c r="G26" s="294">
        <f>IFERROR(-(I26-D26),"")</f>
        <v>-268.84386813218998</v>
      </c>
      <c r="H26" s="295"/>
      <c r="I26" s="161">
        <f>I25-I28</f>
        <v>2882.6875311622898</v>
      </c>
      <c r="J26" s="206"/>
      <c r="O26" s="95" t="s">
        <v>675</v>
      </c>
      <c r="P26" s="95" t="s">
        <v>685</v>
      </c>
      <c r="Q26" s="147" t="s">
        <v>715</v>
      </c>
      <c r="R26" s="96" t="str">
        <f t="shared" si="0"/>
        <v>Planned Maintenance Increase_Target_NJ</v>
      </c>
      <c r="S26" s="264">
        <f>C21</f>
        <v>-1</v>
      </c>
      <c r="T26" t="str">
        <f t="shared" si="1"/>
        <v>(HOT) R300 Alkox Reactor</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f>E12</f>
        <v>0</v>
      </c>
      <c r="T27" t="str">
        <f t="shared" si="1"/>
        <v>(HOT) R300 Alkox Reactor</v>
      </c>
      <c r="U27" t="s">
        <v>706</v>
      </c>
    </row>
    <row r="28" spans="1:21">
      <c r="A28" s="128" t="s">
        <v>14</v>
      </c>
      <c r="B28" s="162">
        <f>INDEX(TableOEE[Sum of AvailableInHours],MATCH($B$2,TableOEE[Unit],0))+B40</f>
        <v>6170.1563369698997</v>
      </c>
      <c r="C28" s="110">
        <f>IFERROR($B28/$B$28,)</f>
        <v>1</v>
      </c>
      <c r="D28" s="162">
        <f>D25-D26-D27</f>
        <v>6170.1563369698997</v>
      </c>
      <c r="E28" s="163">
        <v>1</v>
      </c>
      <c r="F28" s="284"/>
      <c r="G28" s="297">
        <f>D28-I28</f>
        <v>292.84386813218953</v>
      </c>
      <c r="H28" s="298"/>
      <c r="I28" s="162">
        <f>IFERROR(IF(B15="OEE",I45/F48,I30+I29),0)</f>
        <v>5877.3124688377102</v>
      </c>
      <c r="J28" s="207">
        <v>1</v>
      </c>
      <c r="O28" s="95" t="s">
        <v>674</v>
      </c>
      <c r="P28" s="95" t="s">
        <v>686</v>
      </c>
      <c r="Q28" s="150" t="s">
        <v>10</v>
      </c>
      <c r="R28" s="96" t="str">
        <f t="shared" si="0"/>
        <v>OEE_Actuals_LJ</v>
      </c>
      <c r="S28" s="264">
        <f>B48</f>
        <v>0.73208258463836973</v>
      </c>
      <c r="T28" t="str">
        <f t="shared" si="1"/>
        <v>(HOT) R300 Alkox Reactor</v>
      </c>
      <c r="U28" t="s">
        <v>141</v>
      </c>
    </row>
    <row r="29" spans="1:21" ht="13.5" thickBot="1">
      <c r="A29" s="129" t="s">
        <v>17</v>
      </c>
      <c r="B29" s="164">
        <f>INDEX(TableOEE[Sum of Planned Maintenance Hours],MATCH($B$2,TableOEE[Unit],0))</f>
        <v>36.670833316633001</v>
      </c>
      <c r="C29" s="16">
        <f>IFERROR($B29/$B$28,)</f>
        <v>5.9432583736835536E-3</v>
      </c>
      <c r="D29" s="164">
        <f>B29</f>
        <v>36.670833316633001</v>
      </c>
      <c r="E29" s="165">
        <f>D29/$D$28</f>
        <v>5.9432583736835536E-3</v>
      </c>
      <c r="F29" s="285"/>
      <c r="G29" s="299">
        <f>-(I29-D29)</f>
        <v>36.670833316633001</v>
      </c>
      <c r="H29" s="285">
        <f>IFERROR($C29-$J29,)</f>
        <v>5.9432583736835536E-3</v>
      </c>
      <c r="I29" s="164">
        <f>C20</f>
        <v>0</v>
      </c>
      <c r="J29" s="208">
        <f>IFERROR(I29/I28,)</f>
        <v>0</v>
      </c>
      <c r="O29" s="95" t="s">
        <v>674</v>
      </c>
      <c r="P29" s="95" t="s">
        <v>686</v>
      </c>
      <c r="Q29" s="150" t="s">
        <v>666</v>
      </c>
      <c r="R29" s="96" t="str">
        <f t="shared" si="0"/>
        <v>Running OEE_Actuals_LJ</v>
      </c>
      <c r="S29" s="264">
        <f t="shared" ref="S29:S31" si="4">B49</f>
        <v>0.73645955404985586</v>
      </c>
      <c r="T29" t="str">
        <f t="shared" si="1"/>
        <v>(HOT) R300 Alkox Reactor</v>
      </c>
      <c r="U29" t="s">
        <v>141</v>
      </c>
    </row>
    <row r="30" spans="1:21">
      <c r="A30" s="128" t="s">
        <v>665</v>
      </c>
      <c r="B30" s="162">
        <f>B28-B29</f>
        <v>6133.4855036532663</v>
      </c>
      <c r="C30" s="110">
        <f>B30/B28</f>
        <v>0.99405674162631641</v>
      </c>
      <c r="D30" s="162">
        <f>D28-D29</f>
        <v>6133.4855036532663</v>
      </c>
      <c r="E30" s="163">
        <f>D30/D28</f>
        <v>0.99405674162631641</v>
      </c>
      <c r="F30" s="284"/>
      <c r="G30" s="297">
        <f>D30-I30</f>
        <v>256.17303481555609</v>
      </c>
      <c r="H30" s="298"/>
      <c r="I30" s="162">
        <f>IF(B15="OEE",I28-I29,I45/F49)</f>
        <v>5877.3124688377102</v>
      </c>
      <c r="J30" s="209"/>
      <c r="O30" s="95" t="s">
        <v>674</v>
      </c>
      <c r="P30" s="95" t="s">
        <v>686</v>
      </c>
      <c r="Q30" s="150" t="s">
        <v>8</v>
      </c>
      <c r="R30" s="96" t="str">
        <f t="shared" si="0"/>
        <v>Utilization_Actuals_LJ</v>
      </c>
      <c r="S30" s="264">
        <f t="shared" si="4"/>
        <v>0.70243127697744756</v>
      </c>
      <c r="T30" t="str">
        <f t="shared" si="1"/>
        <v>(HOT) R300 Alkox Reactor</v>
      </c>
      <c r="U30" t="s">
        <v>141</v>
      </c>
    </row>
    <row r="31" spans="1:21">
      <c r="A31" s="130" t="s">
        <v>18</v>
      </c>
      <c r="B31" s="166">
        <f>INDEX(TableCategories[Equipment Reliability],MATCH($B$2,TableCategories[Row Labels],0))-B29</f>
        <v>214.18333319999999</v>
      </c>
      <c r="C31" s="71">
        <f t="shared" ref="C31:C39" si="5">IFERROR($B31/$B$28,)</f>
        <v>3.4712788704667284E-2</v>
      </c>
      <c r="D31" s="166">
        <f>IFERROR(IF($B$8="Exclude",B31,IF($B$9="No",B31,IF(B31&lt;0,B31+$C$7*(1-$D$7)*B31/$D$6,B31+(($C$7*$D$7)*B31/$C$6)))),0)</f>
        <v>214.18333319999999</v>
      </c>
      <c r="E31" s="167">
        <f>D31/$D$28</f>
        <v>3.4712788704667284E-2</v>
      </c>
      <c r="F31" s="325">
        <v>0</v>
      </c>
      <c r="G31" s="166">
        <f>IF($F$24="% decrease",D31-I31,F31)</f>
        <v>10.165427317930124</v>
      </c>
      <c r="H31" s="327">
        <f t="shared" ref="H31:H39" si="6">IF($F$24="% decrease",$F31,$E31-$J31)</f>
        <v>0</v>
      </c>
      <c r="I31" s="166">
        <f>IF($F$24="% decrease",J31*$I$28,$D31-$G31)</f>
        <v>204.01790588206987</v>
      </c>
      <c r="J31" s="210">
        <f t="shared" ref="J31:J39" si="7">IF($F$24="% decrease",$E31-$H31,I31/I$28)</f>
        <v>3.4712788704667284E-2</v>
      </c>
      <c r="O31" s="95" t="s">
        <v>674</v>
      </c>
      <c r="P31" s="95" t="s">
        <v>686</v>
      </c>
      <c r="Q31" s="150" t="s">
        <v>376</v>
      </c>
      <c r="R31" s="96" t="str">
        <f t="shared" si="0"/>
        <v>OAU_Actuals_LJ</v>
      </c>
      <c r="S31" s="264">
        <f t="shared" si="4"/>
        <v>0.51423770478048048</v>
      </c>
      <c r="T31" t="str">
        <f t="shared" si="1"/>
        <v>(HOT) R300 Alkox Reactor</v>
      </c>
      <c r="U31" t="s">
        <v>141</v>
      </c>
    </row>
    <row r="32" spans="1:21">
      <c r="A32" s="131" t="s">
        <v>1</v>
      </c>
      <c r="B32" s="168">
        <f>INDEX(TableCategories[Operational Reliability],MATCH($B$2,TableCategories[Row Labels],0))</f>
        <v>736.88424791179</v>
      </c>
      <c r="C32" s="9">
        <f t="shared" si="5"/>
        <v>0.11942715997268658</v>
      </c>
      <c r="D32" s="168">
        <f t="shared" ref="D32:D39" si="8">IFERROR(IF($B$8="Exclude",B32,IF($B$9="No",B32,IF(B32&lt;0,B32+$C$7*(1-$D$7)*B32/$D$6,B32+(($C$7*$D$7)*B32/$C$6)))),0)</f>
        <v>736.88424791179</v>
      </c>
      <c r="E32" s="169">
        <f t="shared" ref="E32:E41" si="9">D32/$D$28</f>
        <v>0.11942715997268658</v>
      </c>
      <c r="F32" s="325">
        <v>0</v>
      </c>
      <c r="G32" s="168">
        <f t="shared" ref="G32:G41" si="10">IF($F$24="% decrease",D32-I32,F32)</f>
        <v>34.973511486443272</v>
      </c>
      <c r="H32" s="327">
        <f t="shared" si="6"/>
        <v>0</v>
      </c>
      <c r="I32" s="168">
        <f t="shared" ref="I32:I41" si="11">IF($F$24="% decrease",J32*$I$28,$D32-$G32)</f>
        <v>701.91073642534673</v>
      </c>
      <c r="J32" s="211">
        <f t="shared" si="7"/>
        <v>0.11942715997268658</v>
      </c>
      <c r="O32" s="95" t="s">
        <v>675</v>
      </c>
      <c r="P32" s="95" t="s">
        <v>719</v>
      </c>
      <c r="Q32" s="13" t="s">
        <v>10</v>
      </c>
      <c r="R32" s="96" t="str">
        <f t="shared" si="0"/>
        <v>OEE_Actuals_LJ_corrected</v>
      </c>
      <c r="S32" s="264">
        <f>C48</f>
        <v>0.73208258463836973</v>
      </c>
      <c r="T32" t="str">
        <f t="shared" si="1"/>
        <v>(HOT) R300 Alkox Reactor</v>
      </c>
      <c r="U32" t="s">
        <v>141</v>
      </c>
    </row>
    <row r="33" spans="1:21">
      <c r="A33" s="130" t="s">
        <v>2</v>
      </c>
      <c r="B33" s="166">
        <f>INDEX(TableCategories[Technology Reliability],MATCH($B$2,TableCategories[Row Labels],0))</f>
        <v>764.86360996664905</v>
      </c>
      <c r="C33" s="71">
        <f t="shared" si="5"/>
        <v>0.12396178770767836</v>
      </c>
      <c r="D33" s="166">
        <f t="shared" si="8"/>
        <v>764.86360996664905</v>
      </c>
      <c r="E33" s="167">
        <f t="shared" si="9"/>
        <v>0.12396178770767836</v>
      </c>
      <c r="F33" s="355">
        <v>0</v>
      </c>
      <c r="G33" s="166">
        <f t="shared" si="10"/>
        <v>36.301449412897796</v>
      </c>
      <c r="H33" s="327">
        <f t="shared" si="6"/>
        <v>0</v>
      </c>
      <c r="I33" s="166">
        <f t="shared" si="11"/>
        <v>728.56216055375126</v>
      </c>
      <c r="J33" s="210">
        <f t="shared" si="7"/>
        <v>0.12396178770767836</v>
      </c>
      <c r="O33" s="95" t="s">
        <v>675</v>
      </c>
      <c r="P33" s="95" t="s">
        <v>719</v>
      </c>
      <c r="Q33" s="13" t="s">
        <v>666</v>
      </c>
      <c r="R33" s="96" t="str">
        <f t="shared" si="0"/>
        <v>Running OEE_Actuals_LJ_corrected</v>
      </c>
      <c r="S33" s="264">
        <f>C49</f>
        <v>0.73645955404985586</v>
      </c>
      <c r="T33" t="str">
        <f t="shared" si="1"/>
        <v>(HOT) R300 Alkox Reactor</v>
      </c>
      <c r="U33" t="s">
        <v>141</v>
      </c>
    </row>
    <row r="34" spans="1:21">
      <c r="A34" s="131" t="s">
        <v>3</v>
      </c>
      <c r="B34" s="168">
        <f>INDEX(TableCategories[Material Reliability],MATCH($B$2,TableCategories[Row Labels],0))</f>
        <v>54.703888766665301</v>
      </c>
      <c r="C34" s="9">
        <f t="shared" si="5"/>
        <v>8.8658837441272717E-3</v>
      </c>
      <c r="D34" s="168">
        <f t="shared" si="8"/>
        <v>54.703888766665301</v>
      </c>
      <c r="E34" s="169">
        <f t="shared" si="9"/>
        <v>8.8658837441272717E-3</v>
      </c>
      <c r="F34" s="273">
        <v>0</v>
      </c>
      <c r="G34" s="168">
        <f t="shared" si="10"/>
        <v>2.5963196900405237</v>
      </c>
      <c r="H34" s="327">
        <f t="shared" si="6"/>
        <v>0</v>
      </c>
      <c r="I34" s="168">
        <f t="shared" si="11"/>
        <v>52.107569076624777</v>
      </c>
      <c r="J34" s="211">
        <f t="shared" si="7"/>
        <v>8.8658837441272717E-3</v>
      </c>
      <c r="O34" s="95" t="s">
        <v>675</v>
      </c>
      <c r="P34" s="95" t="s">
        <v>719</v>
      </c>
      <c r="Q34" s="13" t="s">
        <v>8</v>
      </c>
      <c r="R34" s="96" t="str">
        <f t="shared" si="0"/>
        <v>Utilization_Actuals_LJ_corrected</v>
      </c>
      <c r="S34" s="264">
        <f>C50</f>
        <v>0.70243127697744756</v>
      </c>
      <c r="T34" t="str">
        <f t="shared" si="1"/>
        <v>(HOT) R300 Alkox Reactor</v>
      </c>
      <c r="U34" t="s">
        <v>141</v>
      </c>
    </row>
    <row r="35" spans="1:21">
      <c r="A35" s="130" t="s">
        <v>4</v>
      </c>
      <c r="B35" s="166">
        <f>INDEX(TableCategories[Logistics/Supply Reliability],MATCH($B$2,TableCategories[Row Labels],0))</f>
        <v>212.76138864978</v>
      </c>
      <c r="C35" s="71">
        <f t="shared" si="5"/>
        <v>3.4482333514788209E-2</v>
      </c>
      <c r="D35" s="166">
        <f t="shared" si="8"/>
        <v>212.76138864978</v>
      </c>
      <c r="E35" s="167">
        <f t="shared" si="9"/>
        <v>3.4482333514788209E-2</v>
      </c>
      <c r="F35" s="325">
        <v>0</v>
      </c>
      <c r="G35" s="166">
        <f t="shared" si="10"/>
        <v>10.097939928694785</v>
      </c>
      <c r="H35" s="327">
        <f t="shared" si="6"/>
        <v>0</v>
      </c>
      <c r="I35" s="166">
        <f t="shared" si="11"/>
        <v>202.66344872108522</v>
      </c>
      <c r="J35" s="210">
        <f t="shared" si="7"/>
        <v>3.4482333514788209E-2</v>
      </c>
      <c r="O35" s="95" t="s">
        <v>675</v>
      </c>
      <c r="P35" s="95" t="s">
        <v>719</v>
      </c>
      <c r="Q35" s="13" t="s">
        <v>376</v>
      </c>
      <c r="R35" s="96" t="str">
        <f t="shared" si="0"/>
        <v>OAU_Actuals_LJ_corrected</v>
      </c>
      <c r="S35" s="264">
        <f>C51</f>
        <v>0.51423770478048048</v>
      </c>
      <c r="T35" t="str">
        <f t="shared" si="1"/>
        <v>(HOT) R300 Alkox Reactor</v>
      </c>
      <c r="U35" t="s">
        <v>141</v>
      </c>
    </row>
    <row r="36" spans="1:21">
      <c r="A36" s="131" t="s">
        <v>5</v>
      </c>
      <c r="B36" s="168">
        <f>INDEX(TableCategories[External Reliability],MATCH($B$2,TableCategories[Row Labels],0))</f>
        <v>297.55277769941</v>
      </c>
      <c r="C36" s="9">
        <f t="shared" si="5"/>
        <v>4.8224511900379997E-2</v>
      </c>
      <c r="D36" s="168">
        <f t="shared" si="8"/>
        <v>297.55277769941</v>
      </c>
      <c r="E36" s="169">
        <f t="shared" si="9"/>
        <v>4.8224511900379997E-2</v>
      </c>
      <c r="F36" s="355">
        <v>0</v>
      </c>
      <c r="G36" s="168">
        <f t="shared" si="10"/>
        <v>14.122252603694108</v>
      </c>
      <c r="H36" s="327">
        <f t="shared" si="6"/>
        <v>0</v>
      </c>
      <c r="I36" s="168">
        <f t="shared" si="11"/>
        <v>283.43052509571589</v>
      </c>
      <c r="J36" s="211">
        <f t="shared" si="7"/>
        <v>4.8224511900379997E-2</v>
      </c>
      <c r="O36" s="95" t="s">
        <v>676</v>
      </c>
      <c r="P36" s="95" t="s">
        <v>684</v>
      </c>
      <c r="Q36" s="150" t="s">
        <v>10</v>
      </c>
      <c r="R36" s="96" t="str">
        <f t="shared" si="0"/>
        <v>OEE_Normalized_LJ</v>
      </c>
      <c r="S36" s="264">
        <f>D48</f>
        <v>0.73259786576141095</v>
      </c>
      <c r="T36" t="str">
        <f t="shared" si="1"/>
        <v>(HOT) R300 Alkox Reactor</v>
      </c>
      <c r="U36" t="s">
        <v>141</v>
      </c>
    </row>
    <row r="37" spans="1:21">
      <c r="A37" s="130" t="s">
        <v>11</v>
      </c>
      <c r="B37" s="166">
        <f>INDEX(TableCategories[Other Reliability],MATCH($B$2,TableCategories[Row Labels],0))</f>
        <v>-631.85258730893599</v>
      </c>
      <c r="C37" s="71">
        <f t="shared" si="5"/>
        <v>-0.10240463171460454</v>
      </c>
      <c r="D37" s="166">
        <f t="shared" si="8"/>
        <v>-631.85258730893599</v>
      </c>
      <c r="E37" s="167">
        <f t="shared" si="9"/>
        <v>-0.10240463171460454</v>
      </c>
      <c r="F37" s="325">
        <v>0</v>
      </c>
      <c r="G37" s="166">
        <f t="shared" si="10"/>
        <v>-29.988568465957087</v>
      </c>
      <c r="H37" s="327">
        <f t="shared" si="6"/>
        <v>0</v>
      </c>
      <c r="I37" s="166">
        <f t="shared" si="11"/>
        <v>-601.86401884297891</v>
      </c>
      <c r="J37" s="210">
        <f t="shared" si="7"/>
        <v>-0.10240463171460454</v>
      </c>
      <c r="O37" s="95" t="s">
        <v>676</v>
      </c>
      <c r="P37" s="95" t="s">
        <v>684</v>
      </c>
      <c r="Q37" s="150" t="s">
        <v>666</v>
      </c>
      <c r="R37" s="96" t="str">
        <f t="shared" si="0"/>
        <v>Running OEE_Normalized_LJ</v>
      </c>
      <c r="S37" s="264">
        <f>D49</f>
        <v>0.73697791593149076</v>
      </c>
      <c r="T37" t="str">
        <f t="shared" si="1"/>
        <v>(HOT) R300 Alkox Reactor</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0.70243127697631502</v>
      </c>
      <c r="T38" t="str">
        <f t="shared" si="1"/>
        <v>(HOT) R300 Alkox Reactor</v>
      </c>
      <c r="U38" t="s">
        <v>141</v>
      </c>
    </row>
    <row r="39" spans="1:21">
      <c r="A39" s="131" t="s">
        <v>16</v>
      </c>
      <c r="B39" s="166">
        <f>INDEX(TableOEE[Sum of UndetectedInHours],MATCH($B$2,TableOEE[Unit],0))</f>
        <v>-32.6751540238334</v>
      </c>
      <c r="C39" s="71">
        <f t="shared" si="5"/>
        <v>-5.2956768417767239E-3</v>
      </c>
      <c r="D39" s="166">
        <f t="shared" si="8"/>
        <v>-32.6751540238334</v>
      </c>
      <c r="E39" s="167">
        <f t="shared" si="9"/>
        <v>-5.2956768417767239E-3</v>
      </c>
      <c r="F39" s="355">
        <v>0</v>
      </c>
      <c r="G39" s="166">
        <f t="shared" si="10"/>
        <v>-1.5508064907239536</v>
      </c>
      <c r="H39" s="327">
        <f t="shared" si="6"/>
        <v>0</v>
      </c>
      <c r="I39" s="166">
        <f t="shared" si="11"/>
        <v>-31.124347533109447</v>
      </c>
      <c r="J39" s="210">
        <f t="shared" si="7"/>
        <v>-5.2956768417767239E-3</v>
      </c>
      <c r="O39" s="95" t="s">
        <v>676</v>
      </c>
      <c r="P39" s="95" t="s">
        <v>684</v>
      </c>
      <c r="Q39" s="150" t="s">
        <v>376</v>
      </c>
      <c r="R39" s="96" t="str">
        <f t="shared" si="0"/>
        <v>OAU_Normalized_LJ</v>
      </c>
      <c r="S39" s="264">
        <f>D51</f>
        <v>0.51459965435691102</v>
      </c>
      <c r="T39" t="str">
        <f t="shared" si="1"/>
        <v>(HOT) R300 Alkox Reactor</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0.73208258463836973</v>
      </c>
      <c r="T40" t="str">
        <f t="shared" si="1"/>
        <v>(HOT) R300 Alkox Reactor</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0.73645955404985586</v>
      </c>
      <c r="T41" t="str">
        <f t="shared" si="1"/>
        <v>(HOT) R300 Alkox Reactor</v>
      </c>
      <c r="U41" t="s">
        <v>141</v>
      </c>
    </row>
    <row r="42" spans="1:21" ht="13.5" thickBot="1">
      <c r="A42" s="134" t="s">
        <v>705</v>
      </c>
      <c r="B42" s="172"/>
      <c r="C42" s="72"/>
      <c r="D42" s="172">
        <f>D30-D31-D32-D33-D34-D35-D36-D37-D38-D39-D40-D41-D45</f>
        <v>0</v>
      </c>
      <c r="E42" s="173"/>
      <c r="F42" s="287"/>
      <c r="G42" s="306"/>
      <c r="H42" s="307">
        <f>IFERROR(I42/I28,0)</f>
        <v>2.8433711037802397E-2</v>
      </c>
      <c r="I42" s="184">
        <f>-(I43-I31-I32-I33-I34-I35-I36-I37-I38-I39-I41-I40)</f>
        <v>167.11380441780446</v>
      </c>
      <c r="J42" s="212">
        <f>-H42</f>
        <v>-2.8433711037802397E-2</v>
      </c>
      <c r="O42" s="95" t="s">
        <v>677</v>
      </c>
      <c r="P42" s="95" t="s">
        <v>720</v>
      </c>
      <c r="Q42" s="13" t="s">
        <v>8</v>
      </c>
      <c r="R42" s="96" t="str">
        <f t="shared" si="0"/>
        <v>Utilization_Baseline target setting</v>
      </c>
      <c r="S42" s="264">
        <f>E50</f>
        <v>0.70243127697744756</v>
      </c>
      <c r="T42" t="str">
        <f t="shared" si="1"/>
        <v>(HOT) R300 Alkox Reactor</v>
      </c>
      <c r="U42" t="s">
        <v>141</v>
      </c>
    </row>
    <row r="43" spans="1:21" ht="13.5" hidden="1" thickBot="1">
      <c r="A43" s="135" t="s">
        <v>397</v>
      </c>
      <c r="B43" s="174">
        <f>SUBTOTAL(109,B31:B40)</f>
        <v>1616.4215048615251</v>
      </c>
      <c r="C43" s="106">
        <f>IFERROR($B43/$B$28,)</f>
        <v>0.26197415698794646</v>
      </c>
      <c r="D43" s="174">
        <f>SUBTOTAL(109,D31:D41)</f>
        <v>1616.4215048615251</v>
      </c>
      <c r="E43" s="175">
        <f>D43/D28</f>
        <v>0.26197415698794646</v>
      </c>
      <c r="F43" s="288"/>
      <c r="G43" s="308">
        <f>I43-D43</f>
        <v>-243.83132990082413</v>
      </c>
      <c r="H43" s="309">
        <f>E43-J43</f>
        <v>2.8433711037802456E-2</v>
      </c>
      <c r="I43" s="174">
        <f>I30-I45</f>
        <v>1372.590174960701</v>
      </c>
      <c r="J43" s="213">
        <f>SUM(J31:J42)</f>
        <v>0.233540445950144</v>
      </c>
      <c r="O43" s="95" t="s">
        <v>677</v>
      </c>
      <c r="P43" s="95"/>
      <c r="Q43" s="13" t="s">
        <v>722</v>
      </c>
      <c r="R43" s="96" t="str">
        <f t="shared" si="0"/>
        <v>BLANK1</v>
      </c>
      <c r="S43" s="264"/>
      <c r="T43" t="str">
        <f t="shared" si="1"/>
        <v>(HOT) R300 Alkox Reactor</v>
      </c>
      <c r="U43" t="s">
        <v>141</v>
      </c>
    </row>
    <row r="44" spans="1:21" ht="13.5" hidden="1" thickBot="1">
      <c r="A44" s="136" t="s">
        <v>398</v>
      </c>
      <c r="B44" s="176">
        <f>B43+B29</f>
        <v>1653.0923381781581</v>
      </c>
      <c r="C44" s="31">
        <f>IFERROR($B44/$B$28,)</f>
        <v>0.26791741536163</v>
      </c>
      <c r="D44" s="176">
        <f>D43+D29</f>
        <v>1653.0923381781581</v>
      </c>
      <c r="E44" s="177">
        <f>D44/D28</f>
        <v>0.26791741536163</v>
      </c>
      <c r="F44" s="289"/>
      <c r="G44" s="310">
        <f>I44-D44</f>
        <v>-280.50216321745711</v>
      </c>
      <c r="H44" s="311">
        <f>IFERROR(E44-J44,)</f>
        <v>3.437696941148588E-2</v>
      </c>
      <c r="I44" s="176">
        <f>I28-I45</f>
        <v>1372.590174960701</v>
      </c>
      <c r="J44" s="214">
        <f>IFERROR(1-J45,)</f>
        <v>0.23354044595014412</v>
      </c>
      <c r="O44" s="95" t="s">
        <v>677</v>
      </c>
      <c r="P44" s="95"/>
      <c r="Q44" s="151" t="s">
        <v>721</v>
      </c>
      <c r="R44" s="96" t="str">
        <f t="shared" si="0"/>
        <v>BLANK2</v>
      </c>
      <c r="S44" s="264"/>
      <c r="T44" t="str">
        <f t="shared" si="1"/>
        <v>(HOT) R300 Alkox Reactor</v>
      </c>
      <c r="U44" t="s">
        <v>141</v>
      </c>
    </row>
    <row r="45" spans="1:21" ht="13.5" thickBot="1">
      <c r="A45" s="137" t="s">
        <v>712</v>
      </c>
      <c r="B45" s="178">
        <f>INDEX(TableOEE[Sum of ActualInHours],MATCH($B$2,TableOEE[Unit],0))</f>
        <v>4517.0639987917402</v>
      </c>
      <c r="C45" s="139">
        <f>IFERROR($B45/$B$28,)</f>
        <v>0.73208258463836973</v>
      </c>
      <c r="D45" s="178">
        <f>IF(B8="Include",B45/(1+B7),B45)</f>
        <v>4517.0639987917402</v>
      </c>
      <c r="E45" s="179">
        <f>D45/D28</f>
        <v>0.73208258463836973</v>
      </c>
      <c r="F45" s="290"/>
      <c r="G45" s="312">
        <f>I45-D45</f>
        <v>-12.341704914731054</v>
      </c>
      <c r="H45" s="290">
        <f>H43+H29+H42+H41</f>
        <v>6.2810680449288406E-2</v>
      </c>
      <c r="I45" s="178">
        <f>D45*(1+B6)*I25/B25</f>
        <v>4504.7222938770092</v>
      </c>
      <c r="J45" s="215">
        <f>F48</f>
        <v>0.76645955404985588</v>
      </c>
      <c r="O45" s="95" t="s">
        <v>677</v>
      </c>
      <c r="P45" s="95" t="s">
        <v>720</v>
      </c>
      <c r="Q45" s="13" t="s">
        <v>376</v>
      </c>
      <c r="R45" s="96" t="str">
        <f t="shared" si="0"/>
        <v>OAU_Baseline target setting</v>
      </c>
      <c r="S45" s="264">
        <f>E51</f>
        <v>0.51423770478048048</v>
      </c>
      <c r="T45" t="str">
        <f t="shared" si="1"/>
        <v>(HOT) R300 Alkox Reactor</v>
      </c>
      <c r="U45" t="s">
        <v>141</v>
      </c>
    </row>
    <row r="46" spans="1:21">
      <c r="F46" t="s">
        <v>713</v>
      </c>
      <c r="O46" s="95" t="s">
        <v>678</v>
      </c>
      <c r="P46" s="95" t="s">
        <v>880</v>
      </c>
      <c r="Q46" s="150" t="s">
        <v>10</v>
      </c>
      <c r="R46" s="96" t="str">
        <f t="shared" si="0"/>
        <v>OEE_Targets_NJ</v>
      </c>
      <c r="S46" s="264">
        <f>F48</f>
        <v>0.76645955404985588</v>
      </c>
      <c r="T46" t="str">
        <f t="shared" si="1"/>
        <v>(HOT) R300 Alkox Reactor</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0.76645955404985588</v>
      </c>
      <c r="T47" t="str">
        <f t="shared" si="1"/>
        <v>(HOT) R300 Alkox Reactor</v>
      </c>
      <c r="U47" t="s">
        <v>141</v>
      </c>
    </row>
    <row r="48" spans="1:21">
      <c r="A48" s="88" t="s">
        <v>10</v>
      </c>
      <c r="B48" s="89">
        <f>IFERROR(B45/(B28-B40),)</f>
        <v>0.73208258463836973</v>
      </c>
      <c r="C48" s="69">
        <f>IFERROR(B45/(B28-B5),)</f>
        <v>0.73208258463836973</v>
      </c>
      <c r="D48" s="89">
        <f>IFERROR(IF(INDEX(TableOEEnormalized[LastYear Normalized OEE],MATCH($B$2,TableOEEnormalized[Unit],0))&gt;0,
        INDEX(TableOEEnormalized[LastYear Normalized OEE],MATCH($B$2,TableOEEnormalized[Unit],0)),""),Table101291216[[#This Row],[Actual 2024]])</f>
        <v>0.73259786576141095</v>
      </c>
      <c r="E48" s="69">
        <f>IF(B8="Include",C48/(1+B7),C48)</f>
        <v>0.73208258463836973</v>
      </c>
      <c r="F48" s="275">
        <f>IFERROR(IF(B15="OEE", E48+B14,I45/I28),)</f>
        <v>0.76645955404985588</v>
      </c>
      <c r="G48" s="276" t="s">
        <v>707</v>
      </c>
      <c r="O48" s="95" t="s">
        <v>678</v>
      </c>
      <c r="P48" s="95" t="s">
        <v>880</v>
      </c>
      <c r="Q48" s="150" t="s">
        <v>8</v>
      </c>
      <c r="R48" s="96" t="str">
        <f t="shared" si="0"/>
        <v>Utilization_Targets_NJ</v>
      </c>
      <c r="S48" s="264">
        <f>F50</f>
        <v>0.6709260809175468</v>
      </c>
      <c r="T48" t="str">
        <f t="shared" si="1"/>
        <v>(HOT) R300 Alkox Reactor</v>
      </c>
      <c r="U48" t="s">
        <v>141</v>
      </c>
    </row>
    <row r="49" spans="1:35">
      <c r="A49" s="90" t="s">
        <v>666</v>
      </c>
      <c r="B49" s="69">
        <f>IFERROR(B45/(B30-B40),)</f>
        <v>0.73645955404985586</v>
      </c>
      <c r="C49" s="69">
        <f>IFERROR(B45/(B30-B5),)</f>
        <v>0.73645955404985586</v>
      </c>
      <c r="D49" s="123">
        <f>IFERROR(B45/(1+B7)/(B28-B29),)</f>
        <v>0.73697791593149076</v>
      </c>
      <c r="E49" s="69">
        <f>IFERROR(D45/(D30),)</f>
        <v>0.73645955404985586</v>
      </c>
      <c r="F49" s="123">
        <f>IFERROR(IF(B15="OEE",(I45/I30),E49+B14),)</f>
        <v>0.76645955404985588</v>
      </c>
      <c r="G49" s="274" t="s">
        <v>669</v>
      </c>
      <c r="O49" s="95" t="s">
        <v>678</v>
      </c>
      <c r="P49" s="95" t="s">
        <v>880</v>
      </c>
      <c r="Q49" s="150" t="s">
        <v>376</v>
      </c>
      <c r="R49" s="96" t="str">
        <f t="shared" si="0"/>
        <v>OAU_Targets_NJ</v>
      </c>
      <c r="S49" s="264">
        <f>F51</f>
        <v>0.51423770478048048</v>
      </c>
      <c r="T49" t="str">
        <f t="shared" si="1"/>
        <v>(HOT) R300 Alkox Reactor</v>
      </c>
      <c r="U49" t="s">
        <v>141</v>
      </c>
    </row>
    <row r="50" spans="1:35">
      <c r="A50" s="90" t="s">
        <v>8</v>
      </c>
      <c r="B50" s="5">
        <f>IFERROR((B28+B27)/(B25),)</f>
        <v>0.70243127697744756</v>
      </c>
      <c r="C50" s="69">
        <f>IFERROR((B28-B5)/B25,)</f>
        <v>0.70243127697744756</v>
      </c>
      <c r="D50" s="123">
        <f>IFERROR(IF(INDEX(TableOEEnormalized[LastYear Normalized Utilization],MATCH($B$2,TableOEEnormalized[Unit],0))&gt;0,
      INDEX(TableOEEnormalized[LastYear Normalized Utilization],MATCH($B$2,TableOEEnormalized[Unit],0)),""),Table101291216[[#This Row],[Actual 2024]])</f>
        <v>0.70243127697631502</v>
      </c>
      <c r="E50" s="69">
        <f>IFERROR(D28/D25,)</f>
        <v>0.70243127697744756</v>
      </c>
      <c r="F50" s="69">
        <f>IFERROR(I28/I25,)</f>
        <v>0.6709260809175468</v>
      </c>
      <c r="G50" s="91" t="s">
        <v>1188</v>
      </c>
      <c r="O50" s="95" t="s">
        <v>679</v>
      </c>
      <c r="P50" s="95" t="s">
        <v>706</v>
      </c>
      <c r="Q50" s="13" t="s">
        <v>10</v>
      </c>
      <c r="R50" s="96" t="str">
        <f t="shared" si="0"/>
        <v>OEE_Remarks</v>
      </c>
      <c r="S50" s="264" t="str">
        <f>G48</f>
        <v>OEE target</v>
      </c>
      <c r="T50" t="str">
        <f t="shared" si="1"/>
        <v>(HOT) R300 Alkox Reactor</v>
      </c>
      <c r="U50" t="s">
        <v>878</v>
      </c>
    </row>
    <row r="51" spans="1:35">
      <c r="A51" s="90" t="s">
        <v>376</v>
      </c>
      <c r="B51" s="69">
        <f>IFERROR(B45/B25,)</f>
        <v>0.51423770478048048</v>
      </c>
      <c r="C51" s="6">
        <f>Table101291216[[#This Row],[Actual 2024]]</f>
        <v>0.51423770478048048</v>
      </c>
      <c r="D51" s="123">
        <f>IFERROR(IF(INDEX(TableOEEnormalized[LastYear Normalized OAU],MATCH($B$2,TableOEEnormalized[Unit],0))&gt;0,
   INDEX(TableOEEnormalized[LastYear Normalized OAU],MATCH($B$2,TableOEEnormalized[Unit],0)),""),Table101291216[[#This Row],[Actual 2024]])</f>
        <v>0.51459965435691102</v>
      </c>
      <c r="E51" s="5">
        <f>D45/D25</f>
        <v>0.51423770478048048</v>
      </c>
      <c r="F51" s="69">
        <f>I45/I25</f>
        <v>0.51423770478048048</v>
      </c>
      <c r="G51" s="91"/>
      <c r="O51" s="95" t="s">
        <v>679</v>
      </c>
      <c r="P51" s="95" t="s">
        <v>706</v>
      </c>
      <c r="Q51" s="13" t="s">
        <v>666</v>
      </c>
      <c r="R51" s="96" t="str">
        <f t="shared" si="0"/>
        <v>Running OEE_Remarks</v>
      </c>
      <c r="S51" s="264" t="str">
        <f>G49</f>
        <v>Running OEE target</v>
      </c>
      <c r="T51" t="str">
        <f t="shared" si="1"/>
        <v>(HOT) R300 Alkox Reactor</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R300 Alkox Reactor</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R300 Alkox Reactor</v>
      </c>
      <c r="U53" t="s">
        <v>878</v>
      </c>
    </row>
    <row r="54" spans="1:35">
      <c r="A54" s="65" t="str">
        <f>B2</f>
        <v>(HOT) R300 Alkox Reactor</v>
      </c>
      <c r="B54" s="75">
        <f>B48</f>
        <v>0.73208258463836973</v>
      </c>
      <c r="C54" s="75">
        <f>D48</f>
        <v>0.73259786576141095</v>
      </c>
      <c r="D54" s="75">
        <f>E48</f>
        <v>0.73208258463836973</v>
      </c>
      <c r="E54" s="75">
        <f>F48</f>
        <v>0.76645955404985588</v>
      </c>
      <c r="F54" s="76">
        <f>B6</f>
        <v>0</v>
      </c>
      <c r="G54" s="97">
        <f>B5</f>
        <v>0</v>
      </c>
      <c r="H54" s="76">
        <f>B14</f>
        <v>0.03</v>
      </c>
      <c r="I54" s="76" t="str">
        <f>B11</f>
        <v>Playbook Matrix Value</v>
      </c>
      <c r="J54" s="76" t="str">
        <f>B15</f>
        <v>Running OEE</v>
      </c>
      <c r="K54" s="102">
        <f>C18</f>
        <v>0</v>
      </c>
      <c r="L54" s="102">
        <f>C19</f>
        <v>0</v>
      </c>
      <c r="M54" s="104">
        <f>F49</f>
        <v>0.76645955404985588</v>
      </c>
      <c r="O54" s="95" t="s">
        <v>674</v>
      </c>
      <c r="P54" s="95" t="s">
        <v>683</v>
      </c>
      <c r="Q54" s="142" t="s">
        <v>13</v>
      </c>
      <c r="R54" s="96" t="str">
        <f t="shared" si="0"/>
        <v>MAC - Calender hours_Loss_Hours_LJ</v>
      </c>
      <c r="S54" s="267">
        <f>B25</f>
        <v>8784</v>
      </c>
      <c r="T54" t="str">
        <f t="shared" si="1"/>
        <v>(HOT) R300 Alkox Reactor</v>
      </c>
      <c r="U54" t="s">
        <v>876</v>
      </c>
    </row>
    <row r="55" spans="1:35">
      <c r="O55" s="95" t="s">
        <v>674</v>
      </c>
      <c r="P55" s="95" t="s">
        <v>683</v>
      </c>
      <c r="Q55" s="152" t="s">
        <v>7</v>
      </c>
      <c r="R55" s="96" t="str">
        <f t="shared" si="0"/>
        <v>Commercial Reliability_Loss_Hours_LJ</v>
      </c>
      <c r="S55" s="267">
        <f t="shared" ref="S55:S74" si="12">B26</f>
        <v>2613.8436630300998</v>
      </c>
      <c r="T55" t="str">
        <f t="shared" si="1"/>
        <v>(HOT) R300 Alkox Reactor</v>
      </c>
      <c r="U55" t="s">
        <v>876</v>
      </c>
    </row>
    <row r="56" spans="1:35">
      <c r="D56" s="5"/>
      <c r="O56" s="95" t="s">
        <v>674</v>
      </c>
      <c r="P56" s="95" t="s">
        <v>683</v>
      </c>
      <c r="Q56" s="152" t="s">
        <v>704</v>
      </c>
      <c r="R56" s="96" t="str">
        <f t="shared" si="0"/>
        <v>Exception hours (loss excluded from OEE)_Loss_Hours_LJ</v>
      </c>
      <c r="S56" s="267">
        <f t="shared" si="12"/>
        <v>0</v>
      </c>
      <c r="T56" t="str">
        <f t="shared" si="1"/>
        <v>(HOT) R300 Alkox Reactor</v>
      </c>
      <c r="U56" t="s">
        <v>876</v>
      </c>
    </row>
    <row r="57" spans="1:35">
      <c r="D57" s="5"/>
      <c r="F57" s="54"/>
      <c r="O57" s="95" t="s">
        <v>674</v>
      </c>
      <c r="P57" s="95" t="s">
        <v>683</v>
      </c>
      <c r="Q57" s="152" t="s">
        <v>14</v>
      </c>
      <c r="R57" s="96" t="str">
        <f t="shared" si="0"/>
        <v>Available OEE - Scheduled hours_Loss_Hours_LJ</v>
      </c>
      <c r="S57" s="267">
        <f t="shared" si="12"/>
        <v>6170.1563369698997</v>
      </c>
      <c r="T57" t="str">
        <f t="shared" si="1"/>
        <v>(HOT) R300 Alkox Reactor</v>
      </c>
      <c r="U57" t="s">
        <v>876</v>
      </c>
    </row>
    <row r="58" spans="1:35">
      <c r="B58" s="83"/>
      <c r="C58" s="51"/>
      <c r="O58" s="95" t="s">
        <v>674</v>
      </c>
      <c r="P58" s="95" t="s">
        <v>683</v>
      </c>
      <c r="Q58" s="152" t="s">
        <v>17</v>
      </c>
      <c r="R58" s="96" t="str">
        <f t="shared" si="0"/>
        <v>Equipment Reliability - Planned TA &amp; Planned SD_Loss_Hours_LJ</v>
      </c>
      <c r="S58" s="267">
        <f t="shared" si="12"/>
        <v>36.670833316633001</v>
      </c>
      <c r="T58" t="str">
        <f t="shared" si="1"/>
        <v>(HOT) R300 Alkox Reactor</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6133.4855036532663</v>
      </c>
      <c r="T59" t="str">
        <f t="shared" si="1"/>
        <v>(HOT) R300 Alkox Reactor</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214.18333319999999</v>
      </c>
      <c r="T60" t="str">
        <f t="shared" si="1"/>
        <v>(HOT) R300 Alkox Reactor</v>
      </c>
      <c r="U60" t="s">
        <v>876</v>
      </c>
    </row>
    <row r="61" spans="1:35">
      <c r="B61" s="53"/>
      <c r="C61" s="53"/>
      <c r="O61" s="95" t="s">
        <v>674</v>
      </c>
      <c r="P61" s="95" t="s">
        <v>683</v>
      </c>
      <c r="Q61" s="152" t="s">
        <v>1</v>
      </c>
      <c r="R61" s="96" t="str">
        <f t="shared" si="0"/>
        <v>Operational Reliability_Loss_Hours_LJ</v>
      </c>
      <c r="S61" s="267">
        <f t="shared" si="12"/>
        <v>736.88424791179</v>
      </c>
      <c r="T61" t="str">
        <f t="shared" si="1"/>
        <v>(HOT) R300 Alkox Reactor</v>
      </c>
      <c r="U61" t="s">
        <v>876</v>
      </c>
    </row>
    <row r="62" spans="1:35">
      <c r="B62" s="53"/>
      <c r="C62" s="53"/>
      <c r="I62" s="6"/>
      <c r="J62" s="6"/>
      <c r="K62" s="6"/>
      <c r="L62" s="6"/>
      <c r="M62" s="6"/>
      <c r="O62" s="95" t="s">
        <v>674</v>
      </c>
      <c r="P62" s="95" t="s">
        <v>683</v>
      </c>
      <c r="Q62" s="152" t="s">
        <v>2</v>
      </c>
      <c r="R62" s="96" t="str">
        <f t="shared" si="0"/>
        <v>Technology Reliability_Loss_Hours_LJ</v>
      </c>
      <c r="S62" s="267">
        <f t="shared" si="12"/>
        <v>764.86360996664905</v>
      </c>
      <c r="T62" t="str">
        <f t="shared" si="1"/>
        <v>(HOT) R300 Alkox Reactor</v>
      </c>
      <c r="U62" t="s">
        <v>876</v>
      </c>
    </row>
    <row r="63" spans="1:35">
      <c r="B63" s="82"/>
      <c r="C63" s="2"/>
      <c r="O63" s="95" t="s">
        <v>674</v>
      </c>
      <c r="P63" s="95" t="s">
        <v>683</v>
      </c>
      <c r="Q63" s="152" t="s">
        <v>3</v>
      </c>
      <c r="R63" s="96" t="str">
        <f t="shared" si="0"/>
        <v>Material Reliability_Loss_Hours_LJ</v>
      </c>
      <c r="S63" s="267">
        <f t="shared" si="12"/>
        <v>54.703888766665301</v>
      </c>
      <c r="T63" t="str">
        <f t="shared" si="1"/>
        <v>(HOT) R300 Alkox Reactor</v>
      </c>
      <c r="U63" t="s">
        <v>876</v>
      </c>
    </row>
    <row r="64" spans="1:35">
      <c r="B64" s="5"/>
      <c r="O64" s="95" t="s">
        <v>674</v>
      </c>
      <c r="P64" s="95" t="s">
        <v>683</v>
      </c>
      <c r="Q64" s="152" t="s">
        <v>4</v>
      </c>
      <c r="R64" s="96" t="str">
        <f t="shared" si="0"/>
        <v>Logistics/Supply Reliability_Loss_Hours_LJ</v>
      </c>
      <c r="S64" s="267">
        <f t="shared" si="12"/>
        <v>212.76138864978</v>
      </c>
      <c r="T64" t="str">
        <f t="shared" si="1"/>
        <v>(HOT) R300 Alkox Reactor</v>
      </c>
      <c r="U64" t="s">
        <v>876</v>
      </c>
    </row>
    <row r="65" spans="15:35">
      <c r="O65" s="95" t="s">
        <v>674</v>
      </c>
      <c r="P65" s="95" t="s">
        <v>683</v>
      </c>
      <c r="Q65" s="152" t="s">
        <v>5</v>
      </c>
      <c r="R65" s="96" t="str">
        <f t="shared" si="0"/>
        <v>External Reliability_Loss_Hours_LJ</v>
      </c>
      <c r="S65" s="267">
        <f t="shared" si="12"/>
        <v>297.55277769941</v>
      </c>
      <c r="T65" t="str">
        <f t="shared" si="1"/>
        <v>(HOT) R300 Alkox Reactor</v>
      </c>
      <c r="U65" t="s">
        <v>876</v>
      </c>
    </row>
    <row r="66" spans="15:35">
      <c r="O66" s="95" t="s">
        <v>674</v>
      </c>
      <c r="P66" s="95" t="s">
        <v>683</v>
      </c>
      <c r="Q66" s="152" t="s">
        <v>11</v>
      </c>
      <c r="R66" s="96" t="str">
        <f t="shared" ref="R66:R129" si="13">IF(ISBLANK(P66),Q66,_xlfn.CONCAT(Q66,"_",P66))</f>
        <v>Other Reliability_Loss_Hours_LJ</v>
      </c>
      <c r="S66" s="267">
        <f t="shared" si="12"/>
        <v>-631.85258730893599</v>
      </c>
      <c r="T66" t="str">
        <f t="shared" si="1"/>
        <v>(HOT) R300 Alkox Reactor</v>
      </c>
      <c r="U66" t="s">
        <v>876</v>
      </c>
    </row>
    <row r="67" spans="15:35">
      <c r="O67" s="95" t="s">
        <v>674</v>
      </c>
      <c r="P67" s="95" t="s">
        <v>683</v>
      </c>
      <c r="Q67" s="152" t="s">
        <v>15</v>
      </c>
      <c r="R67" s="96" t="str">
        <f t="shared" si="13"/>
        <v>Unspecified_Loss_Hours_LJ</v>
      </c>
      <c r="S67" s="267">
        <f t="shared" si="12"/>
        <v>0</v>
      </c>
      <c r="T67" t="str">
        <f t="shared" ref="T67:T130" si="14">$B$2</f>
        <v>(HOT) R300 Alkox Reactor</v>
      </c>
      <c r="U67" t="s">
        <v>876</v>
      </c>
    </row>
    <row r="68" spans="15:35">
      <c r="O68" s="95" t="s">
        <v>674</v>
      </c>
      <c r="P68" s="95" t="s">
        <v>683</v>
      </c>
      <c r="Q68" s="152" t="s">
        <v>16</v>
      </c>
      <c r="R68" s="96" t="str">
        <f t="shared" si="13"/>
        <v>Undetected_Loss_Hours_LJ</v>
      </c>
      <c r="S68" s="267">
        <f t="shared" si="12"/>
        <v>-32.6751540238334</v>
      </c>
      <c r="T68" t="str">
        <f t="shared" si="14"/>
        <v>(HOT) R300 Alkox Reactor</v>
      </c>
      <c r="U68" t="s">
        <v>876</v>
      </c>
      <c r="AH68" s="6"/>
      <c r="AI68" s="6"/>
    </row>
    <row r="69" spans="15:35">
      <c r="O69" s="95" t="s">
        <v>674</v>
      </c>
      <c r="P69" s="95" t="s">
        <v>683</v>
      </c>
      <c r="Q69" s="152" t="s">
        <v>664</v>
      </c>
      <c r="R69" s="96" t="str">
        <f t="shared" si="13"/>
        <v>Exception hours_Loss_Hours_LJ</v>
      </c>
      <c r="S69" s="267">
        <f t="shared" si="12"/>
        <v>0</v>
      </c>
      <c r="T69" t="str">
        <f t="shared" si="14"/>
        <v>(HOT) R300 Alkox Reactor</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R300 Alkox Reactor</v>
      </c>
      <c r="U70" t="s">
        <v>876</v>
      </c>
      <c r="AH70" s="6"/>
      <c r="AI70" s="6"/>
    </row>
    <row r="71" spans="15:35">
      <c r="O71" s="95" t="s">
        <v>674</v>
      </c>
      <c r="P71" s="95" t="s">
        <v>683</v>
      </c>
      <c r="Q71" s="152" t="s">
        <v>705</v>
      </c>
      <c r="R71" s="96" t="str">
        <f t="shared" si="13"/>
        <v>Improvement target not assigned_Loss_Hours_LJ</v>
      </c>
      <c r="S71" s="267">
        <f t="shared" si="12"/>
        <v>0</v>
      </c>
      <c r="T71" t="str">
        <f t="shared" si="14"/>
        <v>(HOT) R300 Alkox Reactor</v>
      </c>
      <c r="U71" t="s">
        <v>876</v>
      </c>
    </row>
    <row r="72" spans="15:35">
      <c r="O72" s="95" t="s">
        <v>674</v>
      </c>
      <c r="P72" s="95" t="s">
        <v>683</v>
      </c>
      <c r="Q72" s="152" t="s">
        <v>397</v>
      </c>
      <c r="R72" s="96" t="str">
        <f t="shared" si="13"/>
        <v>Sum OEE losses (exluding Planned Maintenance)_Loss_Hours_LJ</v>
      </c>
      <c r="S72" s="267">
        <f t="shared" si="12"/>
        <v>1616.4215048615251</v>
      </c>
      <c r="T72" t="str">
        <f t="shared" si="14"/>
        <v>(HOT) R300 Alkox Reactor</v>
      </c>
      <c r="U72" t="s">
        <v>876</v>
      </c>
    </row>
    <row r="73" spans="15:35">
      <c r="O73" s="95" t="s">
        <v>675</v>
      </c>
      <c r="P73" s="95" t="s">
        <v>683</v>
      </c>
      <c r="Q73" s="152" t="s">
        <v>398</v>
      </c>
      <c r="R73" s="96" t="str">
        <f t="shared" si="13"/>
        <v>Sum OEE losses (Including Planned Maintenance)_Loss_Hours_LJ</v>
      </c>
      <c r="S73" s="267">
        <f t="shared" si="12"/>
        <v>1653.0923381781581</v>
      </c>
      <c r="T73" t="str">
        <f t="shared" si="14"/>
        <v>(HOT) R300 Alkox Reactor</v>
      </c>
      <c r="U73" t="s">
        <v>876</v>
      </c>
    </row>
    <row r="74" spans="15:35">
      <c r="O74" s="95" t="s">
        <v>675</v>
      </c>
      <c r="P74" s="95" t="s">
        <v>683</v>
      </c>
      <c r="Q74" s="152" t="s">
        <v>712</v>
      </c>
      <c r="R74" s="96" t="str">
        <f t="shared" si="13"/>
        <v>Production hours on MAC (h) / OEE (%)_Loss_Hours_LJ</v>
      </c>
      <c r="S74" s="267">
        <f t="shared" si="12"/>
        <v>4517.0639987917402</v>
      </c>
      <c r="T74" t="str">
        <f t="shared" si="14"/>
        <v>(HOT) R300 Alkox Reactor</v>
      </c>
      <c r="U74" t="s">
        <v>876</v>
      </c>
    </row>
    <row r="75" spans="15:35">
      <c r="O75" s="95" t="s">
        <v>675</v>
      </c>
      <c r="P75" s="95" t="s">
        <v>682</v>
      </c>
      <c r="Q75" s="143" t="s">
        <v>13</v>
      </c>
      <c r="R75" s="96" t="str">
        <f t="shared" si="13"/>
        <v>MAC - Calender hours_Loss_Percentage_LJ</v>
      </c>
      <c r="S75" s="268">
        <f>C25</f>
        <v>0</v>
      </c>
      <c r="T75" t="str">
        <f t="shared" si="14"/>
        <v>(HOT) R300 Alkox Reactor</v>
      </c>
      <c r="U75" t="s">
        <v>876</v>
      </c>
    </row>
    <row r="76" spans="15:35">
      <c r="O76" s="95" t="s">
        <v>675</v>
      </c>
      <c r="P76" s="95" t="s">
        <v>682</v>
      </c>
      <c r="Q76" s="153" t="s">
        <v>7</v>
      </c>
      <c r="R76" s="96" t="str">
        <f t="shared" si="13"/>
        <v>Commercial Reliability_Loss_Percentage_LJ</v>
      </c>
      <c r="S76" s="268">
        <f t="shared" ref="S76:S95" si="15">C26</f>
        <v>0</v>
      </c>
      <c r="T76" t="str">
        <f t="shared" si="14"/>
        <v>(HOT) R300 Alkox Reactor</v>
      </c>
      <c r="U76" t="s">
        <v>876</v>
      </c>
    </row>
    <row r="77" spans="15:35">
      <c r="O77" s="95" t="s">
        <v>675</v>
      </c>
      <c r="P77" s="95" t="s">
        <v>682</v>
      </c>
      <c r="Q77" s="153" t="s">
        <v>704</v>
      </c>
      <c r="R77" s="96" t="str">
        <f t="shared" si="13"/>
        <v>Exception hours (loss excluded from OEE)_Loss_Percentage_LJ</v>
      </c>
      <c r="S77" s="268">
        <f t="shared" si="15"/>
        <v>0</v>
      </c>
      <c r="T77" t="str">
        <f t="shared" si="14"/>
        <v>(HOT) R300 Alkox Reactor</v>
      </c>
      <c r="U77" t="s">
        <v>876</v>
      </c>
    </row>
    <row r="78" spans="15:35">
      <c r="O78" s="95" t="s">
        <v>675</v>
      </c>
      <c r="P78" s="95" t="s">
        <v>682</v>
      </c>
      <c r="Q78" s="153" t="s">
        <v>14</v>
      </c>
      <c r="R78" s="96" t="str">
        <f t="shared" si="13"/>
        <v>Available OEE - Scheduled hours_Loss_Percentage_LJ</v>
      </c>
      <c r="S78" s="268">
        <f t="shared" si="15"/>
        <v>1</v>
      </c>
      <c r="T78" t="str">
        <f t="shared" si="14"/>
        <v>(HOT) R300 Alkox Reactor</v>
      </c>
      <c r="U78" t="s">
        <v>876</v>
      </c>
    </row>
    <row r="79" spans="15:35">
      <c r="O79" s="95" t="s">
        <v>675</v>
      </c>
      <c r="P79" s="95" t="s">
        <v>682</v>
      </c>
      <c r="Q79" s="153" t="s">
        <v>17</v>
      </c>
      <c r="R79" s="96" t="str">
        <f t="shared" si="13"/>
        <v>Equipment Reliability - Planned TA &amp; Planned SD_Loss_Percentage_LJ</v>
      </c>
      <c r="S79" s="268">
        <f t="shared" si="15"/>
        <v>5.9432583736835536E-3</v>
      </c>
      <c r="T79" t="str">
        <f t="shared" si="14"/>
        <v>(HOT) R300 Alkox Reactor</v>
      </c>
      <c r="U79" t="s">
        <v>876</v>
      </c>
    </row>
    <row r="80" spans="15:35">
      <c r="O80" s="95" t="s">
        <v>675</v>
      </c>
      <c r="P80" s="95" t="s">
        <v>682</v>
      </c>
      <c r="Q80" s="153" t="s">
        <v>665</v>
      </c>
      <c r="R80" s="96" t="str">
        <f t="shared" si="13"/>
        <v>Available running OEE - Running hours_Loss_Percentage_LJ</v>
      </c>
      <c r="S80" s="268">
        <f t="shared" si="15"/>
        <v>0.99405674162631641</v>
      </c>
      <c r="T80" t="str">
        <f t="shared" si="14"/>
        <v>(HOT) R300 Alkox Reactor</v>
      </c>
      <c r="U80" t="s">
        <v>876</v>
      </c>
    </row>
    <row r="81" spans="15:21">
      <c r="O81" s="95" t="s">
        <v>675</v>
      </c>
      <c r="P81" s="95" t="s">
        <v>682</v>
      </c>
      <c r="Q81" s="153" t="s">
        <v>18</v>
      </c>
      <c r="R81" s="96" t="str">
        <f t="shared" si="13"/>
        <v>Equipment Reliability - Equipment Failure_Loss_Percentage_LJ</v>
      </c>
      <c r="S81" s="268">
        <f t="shared" si="15"/>
        <v>3.4712788704667284E-2</v>
      </c>
      <c r="T81" t="str">
        <f t="shared" si="14"/>
        <v>(HOT) R300 Alkox Reactor</v>
      </c>
      <c r="U81" t="s">
        <v>876</v>
      </c>
    </row>
    <row r="82" spans="15:21">
      <c r="O82" s="95" t="s">
        <v>675</v>
      </c>
      <c r="P82" s="95" t="s">
        <v>682</v>
      </c>
      <c r="Q82" s="153" t="s">
        <v>1</v>
      </c>
      <c r="R82" s="96" t="str">
        <f t="shared" si="13"/>
        <v>Operational Reliability_Loss_Percentage_LJ</v>
      </c>
      <c r="S82" s="268">
        <f t="shared" si="15"/>
        <v>0.11942715997268658</v>
      </c>
      <c r="T82" t="str">
        <f t="shared" si="14"/>
        <v>(HOT) R300 Alkox Reactor</v>
      </c>
      <c r="U82" t="s">
        <v>876</v>
      </c>
    </row>
    <row r="83" spans="15:21">
      <c r="O83" s="95" t="s">
        <v>675</v>
      </c>
      <c r="P83" s="95" t="s">
        <v>682</v>
      </c>
      <c r="Q83" s="153" t="s">
        <v>2</v>
      </c>
      <c r="R83" s="96" t="str">
        <f t="shared" si="13"/>
        <v>Technology Reliability_Loss_Percentage_LJ</v>
      </c>
      <c r="S83" s="268">
        <f t="shared" si="15"/>
        <v>0.12396178770767836</v>
      </c>
      <c r="T83" t="str">
        <f t="shared" si="14"/>
        <v>(HOT) R300 Alkox Reactor</v>
      </c>
      <c r="U83" t="s">
        <v>876</v>
      </c>
    </row>
    <row r="84" spans="15:21">
      <c r="O84" s="95" t="s">
        <v>675</v>
      </c>
      <c r="P84" s="95" t="s">
        <v>682</v>
      </c>
      <c r="Q84" s="153" t="s">
        <v>3</v>
      </c>
      <c r="R84" s="96" t="str">
        <f t="shared" si="13"/>
        <v>Material Reliability_Loss_Percentage_LJ</v>
      </c>
      <c r="S84" s="268">
        <f t="shared" si="15"/>
        <v>8.8658837441272717E-3</v>
      </c>
      <c r="T84" t="str">
        <f t="shared" si="14"/>
        <v>(HOT) R300 Alkox Reactor</v>
      </c>
      <c r="U84" t="s">
        <v>876</v>
      </c>
    </row>
    <row r="85" spans="15:21">
      <c r="O85" s="95" t="s">
        <v>675</v>
      </c>
      <c r="P85" s="95" t="s">
        <v>682</v>
      </c>
      <c r="Q85" s="153" t="s">
        <v>4</v>
      </c>
      <c r="R85" s="96" t="str">
        <f t="shared" si="13"/>
        <v>Logistics/Supply Reliability_Loss_Percentage_LJ</v>
      </c>
      <c r="S85" s="268">
        <f t="shared" si="15"/>
        <v>3.4482333514788209E-2</v>
      </c>
      <c r="T85" t="str">
        <f t="shared" si="14"/>
        <v>(HOT) R300 Alkox Reactor</v>
      </c>
      <c r="U85" t="s">
        <v>876</v>
      </c>
    </row>
    <row r="86" spans="15:21">
      <c r="O86" s="95" t="s">
        <v>675</v>
      </c>
      <c r="P86" s="95" t="s">
        <v>682</v>
      </c>
      <c r="Q86" s="153" t="s">
        <v>5</v>
      </c>
      <c r="R86" s="96" t="str">
        <f t="shared" si="13"/>
        <v>External Reliability_Loss_Percentage_LJ</v>
      </c>
      <c r="S86" s="268">
        <f t="shared" si="15"/>
        <v>4.8224511900379997E-2</v>
      </c>
      <c r="T86" t="str">
        <f t="shared" si="14"/>
        <v>(HOT) R300 Alkox Reactor</v>
      </c>
      <c r="U86" t="s">
        <v>876</v>
      </c>
    </row>
    <row r="87" spans="15:21">
      <c r="O87" s="95" t="s">
        <v>675</v>
      </c>
      <c r="P87" s="95" t="s">
        <v>682</v>
      </c>
      <c r="Q87" s="153" t="s">
        <v>11</v>
      </c>
      <c r="R87" s="96" t="str">
        <f t="shared" si="13"/>
        <v>Other Reliability_Loss_Percentage_LJ</v>
      </c>
      <c r="S87" s="268">
        <f t="shared" si="15"/>
        <v>-0.10240463171460454</v>
      </c>
      <c r="T87" t="str">
        <f t="shared" si="14"/>
        <v>(HOT) R300 Alkox Reactor</v>
      </c>
      <c r="U87" t="s">
        <v>876</v>
      </c>
    </row>
    <row r="88" spans="15:21">
      <c r="O88" s="95" t="s">
        <v>675</v>
      </c>
      <c r="P88" s="95" t="s">
        <v>682</v>
      </c>
      <c r="Q88" s="153" t="s">
        <v>15</v>
      </c>
      <c r="R88" s="96" t="str">
        <f t="shared" si="13"/>
        <v>Unspecified_Loss_Percentage_LJ</v>
      </c>
      <c r="S88" s="268">
        <f t="shared" si="15"/>
        <v>0</v>
      </c>
      <c r="T88" t="str">
        <f t="shared" si="14"/>
        <v>(HOT) R300 Alkox Reactor</v>
      </c>
      <c r="U88" t="s">
        <v>876</v>
      </c>
    </row>
    <row r="89" spans="15:21">
      <c r="O89" s="95" t="s">
        <v>675</v>
      </c>
      <c r="P89" s="95" t="s">
        <v>682</v>
      </c>
      <c r="Q89" s="153" t="s">
        <v>16</v>
      </c>
      <c r="R89" s="96" t="str">
        <f t="shared" si="13"/>
        <v>Undetected_Loss_Percentage_LJ</v>
      </c>
      <c r="S89" s="268">
        <f t="shared" si="15"/>
        <v>-5.2956768417767239E-3</v>
      </c>
      <c r="T89" t="str">
        <f t="shared" si="14"/>
        <v>(HOT) R300 Alkox Reactor</v>
      </c>
      <c r="U89" t="s">
        <v>876</v>
      </c>
    </row>
    <row r="90" spans="15:21">
      <c r="O90" s="95" t="s">
        <v>675</v>
      </c>
      <c r="P90" s="95" t="s">
        <v>682</v>
      </c>
      <c r="Q90" s="153" t="s">
        <v>664</v>
      </c>
      <c r="R90" s="96" t="str">
        <f t="shared" si="13"/>
        <v>Exception hours_Loss_Percentage_LJ</v>
      </c>
      <c r="S90" s="268">
        <f t="shared" si="15"/>
        <v>0</v>
      </c>
      <c r="T90" t="str">
        <f t="shared" si="14"/>
        <v>(HOT) R300 Alkox Reactor</v>
      </c>
      <c r="U90" t="s">
        <v>876</v>
      </c>
    </row>
    <row r="91" spans="15:21">
      <c r="O91" s="95" t="s">
        <v>675</v>
      </c>
      <c r="P91" s="95" t="s">
        <v>682</v>
      </c>
      <c r="Q91" s="153" t="s">
        <v>703</v>
      </c>
      <c r="R91" s="96" t="str">
        <f t="shared" si="13"/>
        <v>Extra loss hours in baseline due to MAC change_Loss_Percentage_LJ</v>
      </c>
      <c r="S91" s="268">
        <f t="shared" si="15"/>
        <v>0</v>
      </c>
      <c r="T91" t="str">
        <f t="shared" si="14"/>
        <v>(HOT) R300 Alkox Reactor</v>
      </c>
      <c r="U91" t="s">
        <v>876</v>
      </c>
    </row>
    <row r="92" spans="15:21">
      <c r="O92" s="95" t="s">
        <v>675</v>
      </c>
      <c r="P92" s="95" t="s">
        <v>682</v>
      </c>
      <c r="Q92" s="153" t="s">
        <v>705</v>
      </c>
      <c r="R92" s="96" t="str">
        <f t="shared" si="13"/>
        <v>Improvement target not assigned_Loss_Percentage_LJ</v>
      </c>
      <c r="S92" s="268">
        <f t="shared" si="15"/>
        <v>0</v>
      </c>
      <c r="T92" t="str">
        <f t="shared" si="14"/>
        <v>(HOT) R300 Alkox Reactor</v>
      </c>
      <c r="U92" t="s">
        <v>876</v>
      </c>
    </row>
    <row r="93" spans="15:21">
      <c r="O93" s="95" t="s">
        <v>675</v>
      </c>
      <c r="P93" s="95" t="s">
        <v>682</v>
      </c>
      <c r="Q93" s="153" t="s">
        <v>397</v>
      </c>
      <c r="R93" s="96" t="str">
        <f t="shared" si="13"/>
        <v>Sum OEE losses (exluding Planned Maintenance)_Loss_Percentage_LJ</v>
      </c>
      <c r="S93" s="268">
        <f t="shared" si="15"/>
        <v>0.26197415698794646</v>
      </c>
      <c r="T93" t="str">
        <f t="shared" si="14"/>
        <v>(HOT) R300 Alkox Reactor</v>
      </c>
      <c r="U93" t="s">
        <v>876</v>
      </c>
    </row>
    <row r="94" spans="15:21">
      <c r="O94" s="95" t="s">
        <v>675</v>
      </c>
      <c r="P94" s="95" t="s">
        <v>682</v>
      </c>
      <c r="Q94" s="153" t="s">
        <v>398</v>
      </c>
      <c r="R94" s="96" t="str">
        <f t="shared" si="13"/>
        <v>Sum OEE losses (Including Planned Maintenance)_Loss_Percentage_LJ</v>
      </c>
      <c r="S94" s="268">
        <f t="shared" si="15"/>
        <v>0.26791741536163</v>
      </c>
      <c r="T94" t="str">
        <f t="shared" si="14"/>
        <v>(HOT) R300 Alkox Reactor</v>
      </c>
      <c r="U94" t="s">
        <v>876</v>
      </c>
    </row>
    <row r="95" spans="15:21">
      <c r="O95" s="95" t="s">
        <v>675</v>
      </c>
      <c r="P95" s="95" t="s">
        <v>682</v>
      </c>
      <c r="Q95" s="153" t="s">
        <v>712</v>
      </c>
      <c r="R95" s="96" t="str">
        <f t="shared" si="13"/>
        <v>Production hours on MAC (h) / OEE (%)_Loss_Percentage_LJ</v>
      </c>
      <c r="S95" s="268">
        <f t="shared" si="15"/>
        <v>0.73208258463836973</v>
      </c>
      <c r="T95" t="str">
        <f t="shared" si="14"/>
        <v>(HOT) R300 Alkox Reactor</v>
      </c>
      <c r="U95" t="s">
        <v>876</v>
      </c>
    </row>
    <row r="96" spans="15:21">
      <c r="O96" s="95" t="s">
        <v>676</v>
      </c>
      <c r="P96" s="95" t="s">
        <v>725</v>
      </c>
      <c r="Q96" s="142" t="s">
        <v>13</v>
      </c>
      <c r="R96" s="96" t="str">
        <f t="shared" si="13"/>
        <v>MAC - Calender hours_Corrected_loss_hours_LY</v>
      </c>
      <c r="S96" s="265">
        <f>D25</f>
        <v>8784</v>
      </c>
      <c r="T96" t="str">
        <f t="shared" si="14"/>
        <v>(HOT) R300 Alkox Reactor</v>
      </c>
      <c r="U96" t="s">
        <v>876</v>
      </c>
    </row>
    <row r="97" spans="15:21">
      <c r="O97" s="95" t="s">
        <v>676</v>
      </c>
      <c r="P97" s="95" t="s">
        <v>725</v>
      </c>
      <c r="Q97" s="152" t="s">
        <v>7</v>
      </c>
      <c r="R97" s="96" t="str">
        <f t="shared" si="13"/>
        <v>Commercial Reliability_Corrected_loss_hours_LY</v>
      </c>
      <c r="S97" s="265">
        <f t="shared" ref="S97:S116" si="16">D26</f>
        <v>2613.8436630300998</v>
      </c>
      <c r="T97" t="str">
        <f t="shared" si="14"/>
        <v>(HOT) R300 Alkox Reactor</v>
      </c>
      <c r="U97" t="s">
        <v>876</v>
      </c>
    </row>
    <row r="98" spans="15:21">
      <c r="O98" s="95" t="s">
        <v>676</v>
      </c>
      <c r="P98" s="95" t="s">
        <v>725</v>
      </c>
      <c r="Q98" s="152" t="s">
        <v>704</v>
      </c>
      <c r="R98" s="96" t="str">
        <f t="shared" si="13"/>
        <v>Exception hours (loss excluded from OEE)_Corrected_loss_hours_LY</v>
      </c>
      <c r="S98" s="265">
        <f t="shared" si="16"/>
        <v>0</v>
      </c>
      <c r="T98" t="str">
        <f t="shared" si="14"/>
        <v>(HOT) R300 Alkox Reactor</v>
      </c>
      <c r="U98" t="s">
        <v>876</v>
      </c>
    </row>
    <row r="99" spans="15:21">
      <c r="O99" s="95" t="s">
        <v>676</v>
      </c>
      <c r="P99" s="95" t="s">
        <v>725</v>
      </c>
      <c r="Q99" s="152" t="s">
        <v>14</v>
      </c>
      <c r="R99" s="96" t="str">
        <f t="shared" si="13"/>
        <v>Available OEE - Scheduled hours_Corrected_loss_hours_LY</v>
      </c>
      <c r="S99" s="265">
        <f t="shared" si="16"/>
        <v>6170.1563369698997</v>
      </c>
      <c r="T99" t="str">
        <f t="shared" si="14"/>
        <v>(HOT) R300 Alkox Reactor</v>
      </c>
      <c r="U99" t="s">
        <v>876</v>
      </c>
    </row>
    <row r="100" spans="15:21">
      <c r="O100" s="95" t="s">
        <v>676</v>
      </c>
      <c r="P100" s="95" t="s">
        <v>725</v>
      </c>
      <c r="Q100" s="152" t="s">
        <v>17</v>
      </c>
      <c r="R100" s="96" t="str">
        <f t="shared" si="13"/>
        <v>Equipment Reliability - Planned TA &amp; Planned SD_Corrected_loss_hours_LY</v>
      </c>
      <c r="S100" s="265">
        <f t="shared" si="16"/>
        <v>36.670833316633001</v>
      </c>
      <c r="T100" t="str">
        <f t="shared" si="14"/>
        <v>(HOT) R300 Alkox Reactor</v>
      </c>
      <c r="U100" t="s">
        <v>876</v>
      </c>
    </row>
    <row r="101" spans="15:21">
      <c r="O101" s="95" t="s">
        <v>676</v>
      </c>
      <c r="P101" s="95" t="s">
        <v>725</v>
      </c>
      <c r="Q101" s="152" t="s">
        <v>665</v>
      </c>
      <c r="R101" s="96" t="str">
        <f t="shared" si="13"/>
        <v>Available running OEE - Running hours_Corrected_loss_hours_LY</v>
      </c>
      <c r="S101" s="265">
        <f t="shared" si="16"/>
        <v>6133.4855036532663</v>
      </c>
      <c r="T101" t="str">
        <f t="shared" si="14"/>
        <v>(HOT) R300 Alkox Reactor</v>
      </c>
      <c r="U101" t="s">
        <v>876</v>
      </c>
    </row>
    <row r="102" spans="15:21">
      <c r="O102" s="95" t="s">
        <v>676</v>
      </c>
      <c r="P102" s="95" t="s">
        <v>725</v>
      </c>
      <c r="Q102" s="152" t="s">
        <v>18</v>
      </c>
      <c r="R102" s="96" t="str">
        <f t="shared" si="13"/>
        <v>Equipment Reliability - Equipment Failure_Corrected_loss_hours_LY</v>
      </c>
      <c r="S102" s="265">
        <f t="shared" si="16"/>
        <v>214.18333319999999</v>
      </c>
      <c r="T102" t="str">
        <f t="shared" si="14"/>
        <v>(HOT) R300 Alkox Reactor</v>
      </c>
      <c r="U102" t="s">
        <v>876</v>
      </c>
    </row>
    <row r="103" spans="15:21">
      <c r="O103" s="95" t="s">
        <v>676</v>
      </c>
      <c r="P103" s="95" t="s">
        <v>725</v>
      </c>
      <c r="Q103" s="152" t="s">
        <v>1</v>
      </c>
      <c r="R103" s="96" t="str">
        <f t="shared" si="13"/>
        <v>Operational Reliability_Corrected_loss_hours_LY</v>
      </c>
      <c r="S103" s="265">
        <f t="shared" si="16"/>
        <v>736.88424791179</v>
      </c>
      <c r="T103" t="str">
        <f t="shared" si="14"/>
        <v>(HOT) R300 Alkox Reactor</v>
      </c>
      <c r="U103" t="s">
        <v>876</v>
      </c>
    </row>
    <row r="104" spans="15:21">
      <c r="O104" s="95" t="s">
        <v>676</v>
      </c>
      <c r="P104" s="95" t="s">
        <v>725</v>
      </c>
      <c r="Q104" s="152" t="s">
        <v>2</v>
      </c>
      <c r="R104" s="96" t="str">
        <f t="shared" si="13"/>
        <v>Technology Reliability_Corrected_loss_hours_LY</v>
      </c>
      <c r="S104" s="265">
        <f t="shared" si="16"/>
        <v>764.86360996664905</v>
      </c>
      <c r="T104" t="str">
        <f t="shared" si="14"/>
        <v>(HOT) R300 Alkox Reactor</v>
      </c>
      <c r="U104" t="s">
        <v>876</v>
      </c>
    </row>
    <row r="105" spans="15:21">
      <c r="O105" s="95" t="s">
        <v>676</v>
      </c>
      <c r="P105" s="95" t="s">
        <v>725</v>
      </c>
      <c r="Q105" s="152" t="s">
        <v>3</v>
      </c>
      <c r="R105" s="96" t="str">
        <f t="shared" si="13"/>
        <v>Material Reliability_Corrected_loss_hours_LY</v>
      </c>
      <c r="S105" s="265">
        <f t="shared" si="16"/>
        <v>54.703888766665301</v>
      </c>
      <c r="T105" t="str">
        <f t="shared" si="14"/>
        <v>(HOT) R300 Alkox Reactor</v>
      </c>
      <c r="U105" t="s">
        <v>876</v>
      </c>
    </row>
    <row r="106" spans="15:21">
      <c r="O106" s="95" t="s">
        <v>676</v>
      </c>
      <c r="P106" s="95" t="s">
        <v>725</v>
      </c>
      <c r="Q106" s="152" t="s">
        <v>4</v>
      </c>
      <c r="R106" s="96" t="str">
        <f t="shared" si="13"/>
        <v>Logistics/Supply Reliability_Corrected_loss_hours_LY</v>
      </c>
      <c r="S106" s="265">
        <f t="shared" si="16"/>
        <v>212.76138864978</v>
      </c>
      <c r="T106" t="str">
        <f t="shared" si="14"/>
        <v>(HOT) R300 Alkox Reactor</v>
      </c>
      <c r="U106" t="s">
        <v>876</v>
      </c>
    </row>
    <row r="107" spans="15:21">
      <c r="O107" s="95" t="s">
        <v>676</v>
      </c>
      <c r="P107" s="95" t="s">
        <v>725</v>
      </c>
      <c r="Q107" s="152" t="s">
        <v>5</v>
      </c>
      <c r="R107" s="96" t="str">
        <f t="shared" si="13"/>
        <v>External Reliability_Corrected_loss_hours_LY</v>
      </c>
      <c r="S107" s="265">
        <f t="shared" si="16"/>
        <v>297.55277769941</v>
      </c>
      <c r="T107" t="str">
        <f t="shared" si="14"/>
        <v>(HOT) R300 Alkox Reactor</v>
      </c>
      <c r="U107" t="s">
        <v>876</v>
      </c>
    </row>
    <row r="108" spans="15:21">
      <c r="O108" s="95" t="s">
        <v>676</v>
      </c>
      <c r="P108" s="95" t="s">
        <v>725</v>
      </c>
      <c r="Q108" s="152" t="s">
        <v>11</v>
      </c>
      <c r="R108" s="96" t="str">
        <f t="shared" si="13"/>
        <v>Other Reliability_Corrected_loss_hours_LY</v>
      </c>
      <c r="S108" s="265">
        <f t="shared" si="16"/>
        <v>-631.85258730893599</v>
      </c>
      <c r="T108" t="str">
        <f t="shared" si="14"/>
        <v>(HOT) R300 Alkox Reactor</v>
      </c>
      <c r="U108" t="s">
        <v>876</v>
      </c>
    </row>
    <row r="109" spans="15:21">
      <c r="O109" s="95" t="s">
        <v>676</v>
      </c>
      <c r="P109" s="95" t="s">
        <v>725</v>
      </c>
      <c r="Q109" s="152" t="s">
        <v>15</v>
      </c>
      <c r="R109" s="96" t="str">
        <f t="shared" si="13"/>
        <v>Unspecified_Corrected_loss_hours_LY</v>
      </c>
      <c r="S109" s="265">
        <f t="shared" si="16"/>
        <v>0</v>
      </c>
      <c r="T109" t="str">
        <f t="shared" si="14"/>
        <v>(HOT) R300 Alkox Reactor</v>
      </c>
      <c r="U109" t="s">
        <v>876</v>
      </c>
    </row>
    <row r="110" spans="15:21">
      <c r="O110" s="95" t="s">
        <v>676</v>
      </c>
      <c r="P110" s="95" t="s">
        <v>725</v>
      </c>
      <c r="Q110" s="152" t="s">
        <v>16</v>
      </c>
      <c r="R110" s="96" t="str">
        <f t="shared" si="13"/>
        <v>Undetected_Corrected_loss_hours_LY</v>
      </c>
      <c r="S110" s="265">
        <f t="shared" si="16"/>
        <v>-32.6751540238334</v>
      </c>
      <c r="T110" t="str">
        <f t="shared" si="14"/>
        <v>(HOT) R300 Alkox Reactor</v>
      </c>
      <c r="U110" t="s">
        <v>876</v>
      </c>
    </row>
    <row r="111" spans="15:21">
      <c r="O111" s="95" t="s">
        <v>676</v>
      </c>
      <c r="P111" s="95" t="s">
        <v>725</v>
      </c>
      <c r="Q111" s="152" t="s">
        <v>664</v>
      </c>
      <c r="R111" s="96" t="str">
        <f t="shared" si="13"/>
        <v>Exception hours_Corrected_loss_hours_LY</v>
      </c>
      <c r="S111" s="265">
        <f t="shared" si="16"/>
        <v>0</v>
      </c>
      <c r="T111" t="str">
        <f t="shared" si="14"/>
        <v>(HOT) R300 Alkox Reactor</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(HOT) R300 Alkox Reactor</v>
      </c>
      <c r="U112" t="s">
        <v>876</v>
      </c>
    </row>
    <row r="113" spans="15:21">
      <c r="O113" s="95" t="s">
        <v>676</v>
      </c>
      <c r="P113" s="95" t="s">
        <v>725</v>
      </c>
      <c r="Q113" s="152" t="s">
        <v>705</v>
      </c>
      <c r="R113" s="96" t="str">
        <f t="shared" si="13"/>
        <v>Improvement target not assigned_Corrected_loss_hours_LY</v>
      </c>
      <c r="S113" s="265">
        <f t="shared" si="16"/>
        <v>0</v>
      </c>
      <c r="T113" t="str">
        <f t="shared" si="14"/>
        <v>(HOT) R300 Alkox Reactor</v>
      </c>
      <c r="U113" t="s">
        <v>876</v>
      </c>
    </row>
    <row r="114" spans="15:21">
      <c r="O114" s="95" t="s">
        <v>676</v>
      </c>
      <c r="P114" s="95" t="s">
        <v>725</v>
      </c>
      <c r="Q114" s="152" t="s">
        <v>397</v>
      </c>
      <c r="R114" s="96" t="str">
        <f t="shared" si="13"/>
        <v>Sum OEE losses (exluding Planned Maintenance)_Corrected_loss_hours_LY</v>
      </c>
      <c r="S114" s="265">
        <f t="shared" si="16"/>
        <v>1616.4215048615251</v>
      </c>
      <c r="T114" t="str">
        <f t="shared" si="14"/>
        <v>(HOT) R300 Alkox Reactor</v>
      </c>
      <c r="U114" t="s">
        <v>876</v>
      </c>
    </row>
    <row r="115" spans="15:21">
      <c r="O115" s="95" t="s">
        <v>676</v>
      </c>
      <c r="P115" s="95" t="s">
        <v>725</v>
      </c>
      <c r="Q115" s="152" t="s">
        <v>398</v>
      </c>
      <c r="R115" s="96" t="str">
        <f t="shared" si="13"/>
        <v>Sum OEE losses (Including Planned Maintenance)_Corrected_loss_hours_LY</v>
      </c>
      <c r="S115" s="265">
        <f t="shared" si="16"/>
        <v>1653.0923381781581</v>
      </c>
      <c r="T115" t="str">
        <f t="shared" si="14"/>
        <v>(HOT) R300 Alkox Reactor</v>
      </c>
      <c r="U115" t="s">
        <v>876</v>
      </c>
    </row>
    <row r="116" spans="15:21">
      <c r="O116" s="95" t="s">
        <v>676</v>
      </c>
      <c r="P116" s="95" t="s">
        <v>725</v>
      </c>
      <c r="Q116" s="152" t="s">
        <v>712</v>
      </c>
      <c r="R116" s="96" t="str">
        <f t="shared" si="13"/>
        <v>Production hours on MAC (h) / OEE (%)_Corrected_loss_hours_LY</v>
      </c>
      <c r="S116" s="265">
        <f t="shared" si="16"/>
        <v>4517.0639987917402</v>
      </c>
      <c r="T116" t="str">
        <f t="shared" si="14"/>
        <v>(HOT) R300 Alkox Reactor</v>
      </c>
      <c r="U116" t="s">
        <v>876</v>
      </c>
    </row>
    <row r="117" spans="15:21">
      <c r="O117" s="95" t="s">
        <v>677</v>
      </c>
      <c r="P117" s="95" t="s">
        <v>726</v>
      </c>
      <c r="Q117" s="143" t="s">
        <v>13</v>
      </c>
      <c r="R117" s="96" t="str">
        <f t="shared" si="13"/>
        <v>MAC - Calender hours_Corrected_loss_percentage_LY</v>
      </c>
      <c r="S117" s="264">
        <f>E25</f>
        <v>0</v>
      </c>
      <c r="T117" t="str">
        <f t="shared" si="14"/>
        <v>(HOT) R300 Alkox Reactor</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R300 Alkox Reactor</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R300 Alkox Reactor</v>
      </c>
      <c r="U119" t="s">
        <v>876</v>
      </c>
    </row>
    <row r="120" spans="15:21">
      <c r="O120" s="95" t="s">
        <v>677</v>
      </c>
      <c r="P120" s="95" t="s">
        <v>726</v>
      </c>
      <c r="Q120" s="153" t="s">
        <v>14</v>
      </c>
      <c r="R120" s="96" t="str">
        <f t="shared" si="13"/>
        <v>Available OEE - Scheduled hours_Corrected_loss_percentage_LY</v>
      </c>
      <c r="S120" s="264">
        <f t="shared" si="17"/>
        <v>1</v>
      </c>
      <c r="T120" t="str">
        <f t="shared" si="14"/>
        <v>(HOT) R300 Alkox Reactor</v>
      </c>
      <c r="U120" t="s">
        <v>876</v>
      </c>
    </row>
    <row r="121" spans="15:21">
      <c r="O121" s="95" t="s">
        <v>677</v>
      </c>
      <c r="P121" s="95" t="s">
        <v>726</v>
      </c>
      <c r="Q121" s="153" t="s">
        <v>17</v>
      </c>
      <c r="R121" s="96" t="str">
        <f t="shared" si="13"/>
        <v>Equipment Reliability - Planned TA &amp; Planned SD_Corrected_loss_percentage_LY</v>
      </c>
      <c r="S121" s="264">
        <f t="shared" si="17"/>
        <v>5.9432583736835536E-3</v>
      </c>
      <c r="T121" t="str">
        <f t="shared" si="14"/>
        <v>(HOT) R300 Alkox Reactor</v>
      </c>
      <c r="U121" t="s">
        <v>876</v>
      </c>
    </row>
    <row r="122" spans="15:21">
      <c r="O122" s="95" t="s">
        <v>677</v>
      </c>
      <c r="P122" s="95" t="s">
        <v>726</v>
      </c>
      <c r="Q122" s="153" t="s">
        <v>665</v>
      </c>
      <c r="R122" s="96" t="str">
        <f t="shared" si="13"/>
        <v>Available running OEE - Running hours_Corrected_loss_percentage_LY</v>
      </c>
      <c r="S122" s="264">
        <f t="shared" si="17"/>
        <v>0.99405674162631641</v>
      </c>
      <c r="T122" t="str">
        <f t="shared" si="14"/>
        <v>(HOT) R300 Alkox Reactor</v>
      </c>
      <c r="U122" t="s">
        <v>876</v>
      </c>
    </row>
    <row r="123" spans="15:21">
      <c r="O123" s="95" t="s">
        <v>677</v>
      </c>
      <c r="P123" s="95" t="s">
        <v>726</v>
      </c>
      <c r="Q123" s="153" t="s">
        <v>18</v>
      </c>
      <c r="R123" s="96" t="str">
        <f t="shared" si="13"/>
        <v>Equipment Reliability - Equipment Failure_Corrected_loss_percentage_LY</v>
      </c>
      <c r="S123" s="264">
        <f t="shared" si="17"/>
        <v>3.4712788704667284E-2</v>
      </c>
      <c r="T123" t="str">
        <f t="shared" si="14"/>
        <v>(HOT) R300 Alkox Reactor</v>
      </c>
      <c r="U123" t="s">
        <v>876</v>
      </c>
    </row>
    <row r="124" spans="15:21">
      <c r="O124" s="95" t="s">
        <v>677</v>
      </c>
      <c r="P124" s="95" t="s">
        <v>726</v>
      </c>
      <c r="Q124" s="153" t="s">
        <v>1</v>
      </c>
      <c r="R124" s="96" t="str">
        <f t="shared" si="13"/>
        <v>Operational Reliability_Corrected_loss_percentage_LY</v>
      </c>
      <c r="S124" s="264">
        <f t="shared" si="17"/>
        <v>0.11942715997268658</v>
      </c>
      <c r="T124" t="str">
        <f t="shared" si="14"/>
        <v>(HOT) R300 Alkox Reactor</v>
      </c>
      <c r="U124" t="s">
        <v>876</v>
      </c>
    </row>
    <row r="125" spans="15:21">
      <c r="O125" s="95" t="s">
        <v>677</v>
      </c>
      <c r="P125" s="95" t="s">
        <v>726</v>
      </c>
      <c r="Q125" s="153" t="s">
        <v>2</v>
      </c>
      <c r="R125" s="96" t="str">
        <f t="shared" si="13"/>
        <v>Technology Reliability_Corrected_loss_percentage_LY</v>
      </c>
      <c r="S125" s="264">
        <f t="shared" si="17"/>
        <v>0.12396178770767836</v>
      </c>
      <c r="T125" t="str">
        <f t="shared" si="14"/>
        <v>(HOT) R300 Alkox Reactor</v>
      </c>
      <c r="U125" t="s">
        <v>876</v>
      </c>
    </row>
    <row r="126" spans="15:21">
      <c r="O126" s="95" t="s">
        <v>677</v>
      </c>
      <c r="P126" s="95" t="s">
        <v>726</v>
      </c>
      <c r="Q126" s="153" t="s">
        <v>3</v>
      </c>
      <c r="R126" s="96" t="str">
        <f t="shared" si="13"/>
        <v>Material Reliability_Corrected_loss_percentage_LY</v>
      </c>
      <c r="S126" s="264">
        <f t="shared" si="17"/>
        <v>8.8658837441272717E-3</v>
      </c>
      <c r="T126" t="str">
        <f t="shared" si="14"/>
        <v>(HOT) R300 Alkox Reactor</v>
      </c>
      <c r="U126" t="s">
        <v>876</v>
      </c>
    </row>
    <row r="127" spans="15:21">
      <c r="O127" s="95" t="s">
        <v>677</v>
      </c>
      <c r="P127" s="95" t="s">
        <v>726</v>
      </c>
      <c r="Q127" s="153" t="s">
        <v>4</v>
      </c>
      <c r="R127" s="96" t="str">
        <f t="shared" si="13"/>
        <v>Logistics/Supply Reliability_Corrected_loss_percentage_LY</v>
      </c>
      <c r="S127" s="264">
        <f t="shared" si="17"/>
        <v>3.4482333514788209E-2</v>
      </c>
      <c r="T127" t="str">
        <f t="shared" si="14"/>
        <v>(HOT) R300 Alkox Reactor</v>
      </c>
      <c r="U127" t="s">
        <v>876</v>
      </c>
    </row>
    <row r="128" spans="15:21">
      <c r="O128" s="95" t="s">
        <v>677</v>
      </c>
      <c r="P128" s="95" t="s">
        <v>726</v>
      </c>
      <c r="Q128" s="153" t="s">
        <v>5</v>
      </c>
      <c r="R128" s="96" t="str">
        <f t="shared" si="13"/>
        <v>External Reliability_Corrected_loss_percentage_LY</v>
      </c>
      <c r="S128" s="264">
        <f t="shared" si="17"/>
        <v>4.8224511900379997E-2</v>
      </c>
      <c r="T128" t="str">
        <f t="shared" si="14"/>
        <v>(HOT) R300 Alkox Reactor</v>
      </c>
      <c r="U128" t="s">
        <v>876</v>
      </c>
    </row>
    <row r="129" spans="15:21">
      <c r="O129" s="95" t="s">
        <v>677</v>
      </c>
      <c r="P129" s="95" t="s">
        <v>726</v>
      </c>
      <c r="Q129" s="153" t="s">
        <v>11</v>
      </c>
      <c r="R129" s="96" t="str">
        <f t="shared" si="13"/>
        <v>Other Reliability_Corrected_loss_percentage_LY</v>
      </c>
      <c r="S129" s="264">
        <f t="shared" si="17"/>
        <v>-0.10240463171460454</v>
      </c>
      <c r="T129" t="str">
        <f t="shared" si="14"/>
        <v>(HOT) R300 Alkox Reactor</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(HOT) R300 Alkox Reactor</v>
      </c>
      <c r="U130" t="s">
        <v>876</v>
      </c>
    </row>
    <row r="131" spans="15:21">
      <c r="O131" s="95" t="s">
        <v>677</v>
      </c>
      <c r="P131" s="95" t="s">
        <v>726</v>
      </c>
      <c r="Q131" s="153" t="s">
        <v>16</v>
      </c>
      <c r="R131" s="96" t="str">
        <f t="shared" si="18"/>
        <v>Undetected_Corrected_loss_percentage_LY</v>
      </c>
      <c r="S131" s="264">
        <f t="shared" si="17"/>
        <v>-5.2956768417767239E-3</v>
      </c>
      <c r="T131" t="str">
        <f t="shared" ref="T131:T194" si="19">$B$2</f>
        <v>(HOT) R300 Alkox Reactor</v>
      </c>
      <c r="U131" t="s">
        <v>876</v>
      </c>
    </row>
    <row r="132" spans="15:21">
      <c r="O132" s="95" t="s">
        <v>677</v>
      </c>
      <c r="P132" s="95" t="s">
        <v>726</v>
      </c>
      <c r="Q132" s="153" t="s">
        <v>664</v>
      </c>
      <c r="R132" s="96" t="str">
        <f t="shared" si="18"/>
        <v>Exception hours_Corrected_loss_percentage_LY</v>
      </c>
      <c r="S132" s="264">
        <f t="shared" si="17"/>
        <v>0</v>
      </c>
      <c r="T132" t="str">
        <f t="shared" si="19"/>
        <v>(HOT) R300 Alkox Reactor</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(HOT) R300 Alkox Reactor</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R300 Alkox Reactor</v>
      </c>
      <c r="U134" t="s">
        <v>876</v>
      </c>
    </row>
    <row r="135" spans="15:21">
      <c r="O135" s="95" t="s">
        <v>677</v>
      </c>
      <c r="P135" s="95" t="s">
        <v>726</v>
      </c>
      <c r="Q135" s="153" t="s">
        <v>397</v>
      </c>
      <c r="R135" s="96" t="str">
        <f t="shared" si="18"/>
        <v>Sum OEE losses (exluding Planned Maintenance)_Corrected_loss_percentage_LY</v>
      </c>
      <c r="S135" s="264">
        <f t="shared" si="17"/>
        <v>0.26197415698794646</v>
      </c>
      <c r="T135" t="str">
        <f t="shared" si="19"/>
        <v>(HOT) R300 Alkox Reactor</v>
      </c>
      <c r="U135" t="s">
        <v>876</v>
      </c>
    </row>
    <row r="136" spans="15:21">
      <c r="O136" s="95" t="s">
        <v>677</v>
      </c>
      <c r="P136" s="95" t="s">
        <v>726</v>
      </c>
      <c r="Q136" s="153" t="s">
        <v>398</v>
      </c>
      <c r="R136" s="96" t="str">
        <f t="shared" si="18"/>
        <v>Sum OEE losses (Including Planned Maintenance)_Corrected_loss_percentage_LY</v>
      </c>
      <c r="S136" s="264">
        <f t="shared" si="17"/>
        <v>0.26791741536163</v>
      </c>
      <c r="T136" t="str">
        <f t="shared" si="19"/>
        <v>(HOT) R300 Alkox Reactor</v>
      </c>
      <c r="U136" t="s">
        <v>876</v>
      </c>
    </row>
    <row r="137" spans="15:21">
      <c r="O137" s="95" t="s">
        <v>677</v>
      </c>
      <c r="P137" s="95" t="s">
        <v>726</v>
      </c>
      <c r="Q137" s="153" t="s">
        <v>712</v>
      </c>
      <c r="R137" s="96" t="str">
        <f t="shared" si="18"/>
        <v>Production hours on MAC (h) / OEE (%)_Corrected_loss_percentage_LY</v>
      </c>
      <c r="S137" s="264">
        <f t="shared" si="17"/>
        <v>0.73208258463836973</v>
      </c>
      <c r="T137" t="str">
        <f t="shared" si="19"/>
        <v>(HOT) R300 Alkox Reactor</v>
      </c>
      <c r="U137" t="s">
        <v>876</v>
      </c>
    </row>
    <row r="138" spans="15:21">
      <c r="O138" s="95" t="s">
        <v>679</v>
      </c>
      <c r="P138" s="95" t="s">
        <v>688</v>
      </c>
      <c r="Q138" s="142" t="s">
        <v>13</v>
      </c>
      <c r="R138" s="96" t="str">
        <f t="shared" si="18"/>
        <v>MAC - Calender hours_OEE Improvement_Hours</v>
      </c>
      <c r="S138" s="265">
        <f t="shared" ref="S138:S158" si="20">G25</f>
        <v>0</v>
      </c>
      <c r="T138" t="str">
        <f t="shared" si="19"/>
        <v>(HOT) R300 Alkox Reactor</v>
      </c>
      <c r="U138" t="s">
        <v>876</v>
      </c>
    </row>
    <row r="139" spans="15:21">
      <c r="O139" s="95" t="s">
        <v>679</v>
      </c>
      <c r="P139" s="95" t="s">
        <v>688</v>
      </c>
      <c r="Q139" s="152" t="s">
        <v>7</v>
      </c>
      <c r="R139" s="96" t="str">
        <f t="shared" si="18"/>
        <v>Commercial Reliability_OEE Improvement_Hours</v>
      </c>
      <c r="S139" s="265">
        <f t="shared" si="20"/>
        <v>-268.84386813218998</v>
      </c>
      <c r="T139" t="str">
        <f t="shared" si="19"/>
        <v>(HOT) R300 Alkox Reactor</v>
      </c>
      <c r="U139" t="s">
        <v>876</v>
      </c>
    </row>
    <row r="140" spans="15:21">
      <c r="O140" s="95" t="s">
        <v>679</v>
      </c>
      <c r="P140" s="95" t="s">
        <v>688</v>
      </c>
      <c r="Q140" s="152" t="s">
        <v>704</v>
      </c>
      <c r="R140" s="96" t="str">
        <f t="shared" si="18"/>
        <v>Exception hours (loss excluded from OEE)_OEE Improvement_Hours</v>
      </c>
      <c r="S140" s="265">
        <f t="shared" si="20"/>
        <v>0</v>
      </c>
      <c r="T140" t="str">
        <f t="shared" si="19"/>
        <v>(HOT) R300 Alkox Reactor</v>
      </c>
      <c r="U140" t="s">
        <v>876</v>
      </c>
    </row>
    <row r="141" spans="15:21">
      <c r="O141" s="95" t="s">
        <v>679</v>
      </c>
      <c r="P141" s="95" t="s">
        <v>688</v>
      </c>
      <c r="Q141" s="152" t="s">
        <v>14</v>
      </c>
      <c r="R141" s="96" t="str">
        <f t="shared" si="18"/>
        <v>Available OEE - Scheduled hours_OEE Improvement_Hours</v>
      </c>
      <c r="S141" s="265">
        <f t="shared" si="20"/>
        <v>292.84386813218953</v>
      </c>
      <c r="T141" t="str">
        <f t="shared" si="19"/>
        <v>(HOT) R300 Alkox Reactor</v>
      </c>
      <c r="U141" t="s">
        <v>876</v>
      </c>
    </row>
    <row r="142" spans="15:21">
      <c r="O142" s="95" t="s">
        <v>679</v>
      </c>
      <c r="P142" s="95" t="s">
        <v>688</v>
      </c>
      <c r="Q142" s="152" t="s">
        <v>17</v>
      </c>
      <c r="R142" s="96" t="str">
        <f t="shared" si="18"/>
        <v>Equipment Reliability - Planned TA &amp; Planned SD_OEE Improvement_Hours</v>
      </c>
      <c r="S142" s="265">
        <f t="shared" si="20"/>
        <v>36.670833316633001</v>
      </c>
      <c r="T142" t="str">
        <f t="shared" si="19"/>
        <v>(HOT) R300 Alkox Reactor</v>
      </c>
      <c r="U142" t="s">
        <v>876</v>
      </c>
    </row>
    <row r="143" spans="15:21">
      <c r="O143" s="95" t="s">
        <v>679</v>
      </c>
      <c r="P143" s="95" t="s">
        <v>688</v>
      </c>
      <c r="Q143" s="152" t="s">
        <v>665</v>
      </c>
      <c r="R143" s="96" t="str">
        <f t="shared" si="18"/>
        <v>Available running OEE - Running hours_OEE Improvement_Hours</v>
      </c>
      <c r="S143" s="265">
        <f t="shared" si="20"/>
        <v>256.17303481555609</v>
      </c>
      <c r="T143" t="str">
        <f t="shared" si="19"/>
        <v>(HOT) R300 Alkox Reactor</v>
      </c>
      <c r="U143" t="s">
        <v>876</v>
      </c>
    </row>
    <row r="144" spans="15:21">
      <c r="O144" s="95" t="s">
        <v>679</v>
      </c>
      <c r="P144" s="95" t="s">
        <v>688</v>
      </c>
      <c r="Q144" s="152" t="s">
        <v>18</v>
      </c>
      <c r="R144" s="96" t="str">
        <f t="shared" si="18"/>
        <v>Equipment Reliability - Equipment Failure_OEE Improvement_Hours</v>
      </c>
      <c r="S144" s="265">
        <f t="shared" si="20"/>
        <v>10.165427317930124</v>
      </c>
      <c r="T144" t="str">
        <f t="shared" si="19"/>
        <v>(HOT) R300 Alkox Reactor</v>
      </c>
      <c r="U144" t="s">
        <v>876</v>
      </c>
    </row>
    <row r="145" spans="15:21">
      <c r="O145" s="95" t="s">
        <v>679</v>
      </c>
      <c r="P145" s="95" t="s">
        <v>688</v>
      </c>
      <c r="Q145" s="152" t="s">
        <v>1</v>
      </c>
      <c r="R145" s="96" t="str">
        <f t="shared" si="18"/>
        <v>Operational Reliability_OEE Improvement_Hours</v>
      </c>
      <c r="S145" s="265">
        <f t="shared" si="20"/>
        <v>34.973511486443272</v>
      </c>
      <c r="T145" t="str">
        <f t="shared" si="19"/>
        <v>(HOT) R300 Alkox Reactor</v>
      </c>
      <c r="U145" t="s">
        <v>876</v>
      </c>
    </row>
    <row r="146" spans="15:21">
      <c r="O146" s="95" t="s">
        <v>679</v>
      </c>
      <c r="P146" s="95" t="s">
        <v>688</v>
      </c>
      <c r="Q146" s="152" t="s">
        <v>2</v>
      </c>
      <c r="R146" s="96" t="str">
        <f t="shared" si="18"/>
        <v>Technology Reliability_OEE Improvement_Hours</v>
      </c>
      <c r="S146" s="265">
        <f t="shared" si="20"/>
        <v>36.301449412897796</v>
      </c>
      <c r="T146" t="str">
        <f t="shared" si="19"/>
        <v>(HOT) R300 Alkox Reactor</v>
      </c>
      <c r="U146" t="s">
        <v>876</v>
      </c>
    </row>
    <row r="147" spans="15:21">
      <c r="O147" s="95" t="s">
        <v>679</v>
      </c>
      <c r="P147" s="95" t="s">
        <v>688</v>
      </c>
      <c r="Q147" s="152" t="s">
        <v>3</v>
      </c>
      <c r="R147" s="96" t="str">
        <f t="shared" si="18"/>
        <v>Material Reliability_OEE Improvement_Hours</v>
      </c>
      <c r="S147" s="265">
        <f t="shared" si="20"/>
        <v>2.5963196900405237</v>
      </c>
      <c r="T147" t="str">
        <f t="shared" si="19"/>
        <v>(HOT) R300 Alkox Reactor</v>
      </c>
      <c r="U147" t="s">
        <v>876</v>
      </c>
    </row>
    <row r="148" spans="15:21">
      <c r="O148" s="95" t="s">
        <v>679</v>
      </c>
      <c r="P148" s="95" t="s">
        <v>688</v>
      </c>
      <c r="Q148" s="152" t="s">
        <v>4</v>
      </c>
      <c r="R148" s="96" t="str">
        <f t="shared" si="18"/>
        <v>Logistics/Supply Reliability_OEE Improvement_Hours</v>
      </c>
      <c r="S148" s="265">
        <f t="shared" si="20"/>
        <v>10.097939928694785</v>
      </c>
      <c r="T148" t="str">
        <f t="shared" si="19"/>
        <v>(HOT) R300 Alkox Reactor</v>
      </c>
      <c r="U148" t="s">
        <v>876</v>
      </c>
    </row>
    <row r="149" spans="15:21">
      <c r="O149" s="95" t="s">
        <v>679</v>
      </c>
      <c r="P149" s="95" t="s">
        <v>688</v>
      </c>
      <c r="Q149" s="152" t="s">
        <v>5</v>
      </c>
      <c r="R149" s="96" t="str">
        <f t="shared" si="18"/>
        <v>External Reliability_OEE Improvement_Hours</v>
      </c>
      <c r="S149" s="265">
        <f t="shared" si="20"/>
        <v>14.122252603694108</v>
      </c>
      <c r="T149" t="str">
        <f t="shared" si="19"/>
        <v>(HOT) R300 Alkox Reactor</v>
      </c>
      <c r="U149" t="s">
        <v>876</v>
      </c>
    </row>
    <row r="150" spans="15:21">
      <c r="O150" s="95" t="s">
        <v>679</v>
      </c>
      <c r="P150" s="95" t="s">
        <v>688</v>
      </c>
      <c r="Q150" s="152" t="s">
        <v>11</v>
      </c>
      <c r="R150" s="96" t="str">
        <f t="shared" si="18"/>
        <v>Other Reliability_OEE Improvement_Hours</v>
      </c>
      <c r="S150" s="265">
        <f t="shared" si="20"/>
        <v>-29.988568465957087</v>
      </c>
      <c r="T150" t="str">
        <f t="shared" si="19"/>
        <v>(HOT) R300 Alkox Reactor</v>
      </c>
      <c r="U150" t="s">
        <v>876</v>
      </c>
    </row>
    <row r="151" spans="15:21">
      <c r="O151" s="95" t="s">
        <v>679</v>
      </c>
      <c r="P151" s="95" t="s">
        <v>688</v>
      </c>
      <c r="Q151" s="152" t="s">
        <v>15</v>
      </c>
      <c r="R151" s="96" t="str">
        <f t="shared" si="18"/>
        <v>Unspecified_OEE Improvement_Hours</v>
      </c>
      <c r="S151" s="265">
        <f t="shared" si="20"/>
        <v>0</v>
      </c>
      <c r="T151" t="str">
        <f t="shared" si="19"/>
        <v>(HOT) R300 Alkox Reactor</v>
      </c>
      <c r="U151" t="s">
        <v>876</v>
      </c>
    </row>
    <row r="152" spans="15:21">
      <c r="O152" s="95" t="s">
        <v>679</v>
      </c>
      <c r="P152" s="95" t="s">
        <v>688</v>
      </c>
      <c r="Q152" s="152" t="s">
        <v>16</v>
      </c>
      <c r="R152" s="96" t="str">
        <f t="shared" si="18"/>
        <v>Undetected_OEE Improvement_Hours</v>
      </c>
      <c r="S152" s="265">
        <f t="shared" si="20"/>
        <v>-1.5508064907239536</v>
      </c>
      <c r="T152" t="str">
        <f t="shared" si="19"/>
        <v>(HOT) R300 Alkox Reactor</v>
      </c>
      <c r="U152" t="s">
        <v>876</v>
      </c>
    </row>
    <row r="153" spans="15:21">
      <c r="O153" s="95" t="s">
        <v>679</v>
      </c>
      <c r="P153" s="95" t="s">
        <v>688</v>
      </c>
      <c r="Q153" s="152" t="s">
        <v>664</v>
      </c>
      <c r="R153" s="96" t="str">
        <f t="shared" si="18"/>
        <v>Exception hours_OEE Improvement_Hours</v>
      </c>
      <c r="S153" s="265">
        <f t="shared" si="20"/>
        <v>0</v>
      </c>
      <c r="T153" t="str">
        <f t="shared" si="19"/>
        <v>(HOT) R300 Alkox Reactor</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(HOT) R300 Alkox Reactor</v>
      </c>
      <c r="U154" t="s">
        <v>876</v>
      </c>
    </row>
    <row r="155" spans="15:21">
      <c r="O155" s="95" t="s">
        <v>679</v>
      </c>
      <c r="P155" s="95" t="s">
        <v>688</v>
      </c>
      <c r="Q155" s="152" t="s">
        <v>705</v>
      </c>
      <c r="R155" s="96" t="str">
        <f t="shared" si="18"/>
        <v>Improvement target not assigned_OEE Improvement_Hours</v>
      </c>
      <c r="S155" s="265">
        <f t="shared" si="20"/>
        <v>0</v>
      </c>
      <c r="T155" t="str">
        <f t="shared" si="19"/>
        <v>(HOT) R300 Alkox Reactor</v>
      </c>
      <c r="U155" t="s">
        <v>876</v>
      </c>
    </row>
    <row r="156" spans="15:21">
      <c r="O156" s="95" t="s">
        <v>679</v>
      </c>
      <c r="P156" s="95" t="s">
        <v>688</v>
      </c>
      <c r="Q156" s="152" t="s">
        <v>397</v>
      </c>
      <c r="R156" s="96" t="str">
        <f t="shared" si="18"/>
        <v>Sum OEE losses (exluding Planned Maintenance)_OEE Improvement_Hours</v>
      </c>
      <c r="S156" s="265">
        <f t="shared" si="20"/>
        <v>-243.83132990082413</v>
      </c>
      <c r="T156" t="str">
        <f t="shared" si="19"/>
        <v>(HOT) R300 Alkox Reactor</v>
      </c>
      <c r="U156" t="s">
        <v>876</v>
      </c>
    </row>
    <row r="157" spans="15:21">
      <c r="O157" s="95" t="s">
        <v>679</v>
      </c>
      <c r="P157" s="95" t="s">
        <v>688</v>
      </c>
      <c r="Q157" s="152" t="s">
        <v>398</v>
      </c>
      <c r="R157" s="96" t="str">
        <f t="shared" si="18"/>
        <v>Sum OEE losses (Including Planned Maintenance)_OEE Improvement_Hours</v>
      </c>
      <c r="S157" s="265">
        <f t="shared" si="20"/>
        <v>-280.50216321745711</v>
      </c>
      <c r="T157" t="str">
        <f t="shared" si="19"/>
        <v>(HOT) R300 Alkox Reactor</v>
      </c>
      <c r="U157" t="s">
        <v>876</v>
      </c>
    </row>
    <row r="158" spans="15:21">
      <c r="O158" s="95" t="s">
        <v>679</v>
      </c>
      <c r="P158" s="95" t="s">
        <v>688</v>
      </c>
      <c r="Q158" s="152" t="s">
        <v>712</v>
      </c>
      <c r="R158" s="96" t="str">
        <f t="shared" si="18"/>
        <v>Production hours on MAC (h) / OEE (%)_OEE Improvement_Hours</v>
      </c>
      <c r="S158" s="265">
        <f t="shared" si="20"/>
        <v>-12.341704914731054</v>
      </c>
      <c r="T158" t="str">
        <f t="shared" si="19"/>
        <v>(HOT) R300 Alkox Reactor</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R300 Alkox Reactor</v>
      </c>
      <c r="U159" t="s">
        <v>876</v>
      </c>
    </row>
    <row r="160" spans="15:21">
      <c r="O160" s="95" t="s">
        <v>723</v>
      </c>
      <c r="P160" s="95" t="s">
        <v>689</v>
      </c>
      <c r="Q160" s="153" t="s">
        <v>7</v>
      </c>
      <c r="R160" s="96" t="str">
        <f t="shared" si="18"/>
        <v>Commercial Reliability_OEE_Improvement_Percentage</v>
      </c>
      <c r="S160" s="264">
        <f t="shared" si="21"/>
        <v>0</v>
      </c>
      <c r="T160" t="str">
        <f t="shared" si="19"/>
        <v>(HOT) R300 Alkox Reactor</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R300 Alkox Reactor</v>
      </c>
      <c r="U161" t="s">
        <v>876</v>
      </c>
    </row>
    <row r="162" spans="15:21">
      <c r="O162" s="95" t="s">
        <v>723</v>
      </c>
      <c r="P162" s="95" t="s">
        <v>689</v>
      </c>
      <c r="Q162" s="153" t="s">
        <v>14</v>
      </c>
      <c r="R162" s="96" t="str">
        <f t="shared" si="18"/>
        <v>Available OEE - Scheduled hours_OEE_Improvement_Percentage</v>
      </c>
      <c r="S162" s="264">
        <f t="shared" si="21"/>
        <v>0</v>
      </c>
      <c r="T162" t="str">
        <f t="shared" si="19"/>
        <v>(HOT) R300 Alkox Reactor</v>
      </c>
      <c r="U162" t="s">
        <v>876</v>
      </c>
    </row>
    <row r="163" spans="15:21">
      <c r="O163" s="95" t="s">
        <v>723</v>
      </c>
      <c r="P163" s="95" t="s">
        <v>689</v>
      </c>
      <c r="Q163" s="153" t="s">
        <v>17</v>
      </c>
      <c r="R163" s="96" t="str">
        <f t="shared" si="18"/>
        <v>Equipment Reliability - Planned TA &amp; Planned SD_OEE_Improvement_Percentage</v>
      </c>
      <c r="S163" s="264">
        <f t="shared" si="21"/>
        <v>5.9432583736835536E-3</v>
      </c>
      <c r="T163" t="str">
        <f t="shared" si="19"/>
        <v>(HOT) R300 Alkox Reactor</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R300 Alkox Reactor</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(HOT) R300 Alkox Reactor</v>
      </c>
      <c r="U165" t="s">
        <v>876</v>
      </c>
    </row>
    <row r="166" spans="15:21">
      <c r="O166" s="95" t="s">
        <v>723</v>
      </c>
      <c r="P166" s="95" t="s">
        <v>689</v>
      </c>
      <c r="Q166" s="153" t="s">
        <v>1</v>
      </c>
      <c r="R166" s="96" t="str">
        <f t="shared" si="18"/>
        <v>Operational Reliability_OEE_Improvement_Percentage</v>
      </c>
      <c r="S166" s="264">
        <f t="shared" si="21"/>
        <v>0</v>
      </c>
      <c r="T166" t="str">
        <f t="shared" si="19"/>
        <v>(HOT) R300 Alkox Reactor</v>
      </c>
      <c r="U166" t="s">
        <v>876</v>
      </c>
    </row>
    <row r="167" spans="15:21">
      <c r="O167" s="95" t="s">
        <v>723</v>
      </c>
      <c r="P167" s="95" t="s">
        <v>689</v>
      </c>
      <c r="Q167" s="153" t="s">
        <v>2</v>
      </c>
      <c r="R167" s="96" t="str">
        <f t="shared" si="18"/>
        <v>Technology Reliability_OEE_Improvement_Percentage</v>
      </c>
      <c r="S167" s="264">
        <f t="shared" si="21"/>
        <v>0</v>
      </c>
      <c r="T167" t="str">
        <f t="shared" si="19"/>
        <v>(HOT) R300 Alkox Reactor</v>
      </c>
      <c r="U167" t="s">
        <v>876</v>
      </c>
    </row>
    <row r="168" spans="15:21">
      <c r="O168" s="95" t="s">
        <v>723</v>
      </c>
      <c r="P168" s="95" t="s">
        <v>689</v>
      </c>
      <c r="Q168" s="153" t="s">
        <v>3</v>
      </c>
      <c r="R168" s="96" t="str">
        <f t="shared" si="18"/>
        <v>Material Reliability_OEE_Improvement_Percentage</v>
      </c>
      <c r="S168" s="264">
        <f t="shared" si="21"/>
        <v>0</v>
      </c>
      <c r="T168" t="str">
        <f t="shared" si="19"/>
        <v>(HOT) R300 Alkox Reactor</v>
      </c>
      <c r="U168" t="s">
        <v>876</v>
      </c>
    </row>
    <row r="169" spans="15:21">
      <c r="O169" s="95" t="s">
        <v>723</v>
      </c>
      <c r="P169" s="95" t="s">
        <v>689</v>
      </c>
      <c r="Q169" s="153" t="s">
        <v>4</v>
      </c>
      <c r="R169" s="96" t="str">
        <f t="shared" si="18"/>
        <v>Logistics/Supply Reliability_OEE_Improvement_Percentage</v>
      </c>
      <c r="S169" s="264">
        <f t="shared" si="21"/>
        <v>0</v>
      </c>
      <c r="T169" t="str">
        <f t="shared" si="19"/>
        <v>(HOT) R300 Alkox Reactor</v>
      </c>
      <c r="U169" t="s">
        <v>876</v>
      </c>
    </row>
    <row r="170" spans="15:21">
      <c r="O170" s="95" t="s">
        <v>723</v>
      </c>
      <c r="P170" s="95" t="s">
        <v>689</v>
      </c>
      <c r="Q170" s="153" t="s">
        <v>5</v>
      </c>
      <c r="R170" s="96" t="str">
        <f t="shared" si="18"/>
        <v>External Reliability_OEE_Improvement_Percentage</v>
      </c>
      <c r="S170" s="264">
        <f t="shared" si="21"/>
        <v>0</v>
      </c>
      <c r="T170" t="str">
        <f t="shared" si="19"/>
        <v>(HOT) R300 Alkox Reactor</v>
      </c>
      <c r="U170" t="s">
        <v>876</v>
      </c>
    </row>
    <row r="171" spans="15:21">
      <c r="O171" s="95" t="s">
        <v>723</v>
      </c>
      <c r="P171" s="95" t="s">
        <v>689</v>
      </c>
      <c r="Q171" s="153" t="s">
        <v>11</v>
      </c>
      <c r="R171" s="96" t="str">
        <f t="shared" si="18"/>
        <v>Other Reliability_OEE_Improvement_Percentage</v>
      </c>
      <c r="S171" s="264">
        <f t="shared" si="21"/>
        <v>0</v>
      </c>
      <c r="T171" t="str">
        <f t="shared" si="19"/>
        <v>(HOT) R300 Alkox Reactor</v>
      </c>
      <c r="U171" t="s">
        <v>876</v>
      </c>
    </row>
    <row r="172" spans="15:21">
      <c r="O172" s="95" t="s">
        <v>723</v>
      </c>
      <c r="P172" s="95" t="s">
        <v>689</v>
      </c>
      <c r="Q172" s="153" t="s">
        <v>15</v>
      </c>
      <c r="R172" s="96" t="str">
        <f t="shared" si="18"/>
        <v>Unspecified_OEE_Improvement_Percentage</v>
      </c>
      <c r="S172" s="264">
        <f t="shared" si="21"/>
        <v>0</v>
      </c>
      <c r="T172" t="str">
        <f t="shared" si="19"/>
        <v>(HOT) R300 Alkox Reactor</v>
      </c>
      <c r="U172" t="s">
        <v>876</v>
      </c>
    </row>
    <row r="173" spans="15:21">
      <c r="O173" s="95" t="s">
        <v>723</v>
      </c>
      <c r="P173" s="95" t="s">
        <v>689</v>
      </c>
      <c r="Q173" s="153" t="s">
        <v>16</v>
      </c>
      <c r="R173" s="96" t="str">
        <f t="shared" si="18"/>
        <v>Undetected_OEE_Improvement_Percentage</v>
      </c>
      <c r="S173" s="264">
        <f t="shared" si="21"/>
        <v>0</v>
      </c>
      <c r="T173" t="str">
        <f t="shared" si="19"/>
        <v>(HOT) R300 Alkox Reactor</v>
      </c>
      <c r="U173" t="s">
        <v>876</v>
      </c>
    </row>
    <row r="174" spans="15:21">
      <c r="O174" s="95" t="s">
        <v>723</v>
      </c>
      <c r="P174" s="95" t="s">
        <v>689</v>
      </c>
      <c r="Q174" s="153" t="s">
        <v>664</v>
      </c>
      <c r="R174" s="96" t="str">
        <f t="shared" si="18"/>
        <v>Exception hours_OEE_Improvement_Percentage</v>
      </c>
      <c r="S174" s="264">
        <f t="shared" si="21"/>
        <v>0</v>
      </c>
      <c r="T174" t="str">
        <f t="shared" si="19"/>
        <v>(HOT) R300 Alkox Reactor</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(HOT) R300 Alkox Reactor</v>
      </c>
      <c r="U175" t="s">
        <v>876</v>
      </c>
    </row>
    <row r="176" spans="15:21">
      <c r="O176" s="95" t="s">
        <v>723</v>
      </c>
      <c r="P176" s="95" t="s">
        <v>689</v>
      </c>
      <c r="Q176" s="153" t="s">
        <v>705</v>
      </c>
      <c r="R176" s="96" t="str">
        <f t="shared" si="18"/>
        <v>Improvement target not assigned_OEE_Improvement_Percentage</v>
      </c>
      <c r="S176" s="264">
        <f t="shared" si="21"/>
        <v>2.8433711037802397E-2</v>
      </c>
      <c r="T176" t="str">
        <f t="shared" si="19"/>
        <v>(HOT) R300 Alkox Reactor</v>
      </c>
      <c r="U176" t="s">
        <v>876</v>
      </c>
    </row>
    <row r="177" spans="15:21">
      <c r="O177" s="95" t="s">
        <v>723</v>
      </c>
      <c r="P177" s="95" t="s">
        <v>689</v>
      </c>
      <c r="Q177" s="153" t="s">
        <v>397</v>
      </c>
      <c r="R177" s="96" t="str">
        <f t="shared" si="18"/>
        <v>Sum OEE losses (exluding Planned Maintenance)_OEE_Improvement_Percentage</v>
      </c>
      <c r="S177" s="264">
        <f t="shared" si="21"/>
        <v>2.8433711037802456E-2</v>
      </c>
      <c r="T177" t="str">
        <f t="shared" si="19"/>
        <v>(HOT) R300 Alkox Reactor</v>
      </c>
      <c r="U177" t="s">
        <v>876</v>
      </c>
    </row>
    <row r="178" spans="15:21">
      <c r="O178" s="95" t="s">
        <v>723</v>
      </c>
      <c r="P178" s="95" t="s">
        <v>689</v>
      </c>
      <c r="Q178" s="153" t="s">
        <v>398</v>
      </c>
      <c r="R178" s="96" t="str">
        <f t="shared" si="18"/>
        <v>Sum OEE losses (Including Planned Maintenance)_OEE_Improvement_Percentage</v>
      </c>
      <c r="S178" s="264">
        <f t="shared" si="21"/>
        <v>3.437696941148588E-2</v>
      </c>
      <c r="T178" t="str">
        <f t="shared" si="19"/>
        <v>(HOT) R300 Alkox Reactor</v>
      </c>
      <c r="U178" t="s">
        <v>876</v>
      </c>
    </row>
    <row r="179" spans="15:21">
      <c r="O179" s="95" t="s">
        <v>723</v>
      </c>
      <c r="P179" s="95" t="s">
        <v>689</v>
      </c>
      <c r="Q179" s="153" t="s">
        <v>712</v>
      </c>
      <c r="R179" s="96" t="str">
        <f t="shared" si="18"/>
        <v>Production hours on MAC (h) / OEE (%)_OEE_Improvement_Percentage</v>
      </c>
      <c r="S179" s="264">
        <f t="shared" si="21"/>
        <v>6.2810680449288406E-2</v>
      </c>
      <c r="T179" t="str">
        <f t="shared" si="19"/>
        <v>(HOT) R300 Alkox Reactor</v>
      </c>
      <c r="U179" t="s">
        <v>876</v>
      </c>
    </row>
    <row r="180" spans="15:21">
      <c r="O180" s="95" t="s">
        <v>724</v>
      </c>
      <c r="P180" s="95" t="s">
        <v>687</v>
      </c>
      <c r="Q180" s="142" t="s">
        <v>13</v>
      </c>
      <c r="R180" s="96" t="str">
        <f t="shared" si="18"/>
        <v>MAC - Calender hours_Loss_Hours_NJ</v>
      </c>
      <c r="S180" s="265">
        <f t="shared" ref="S180:S200" si="22">I25</f>
        <v>8760</v>
      </c>
      <c r="T180" t="str">
        <f t="shared" si="19"/>
        <v>(HOT) R300 Alkox Reactor</v>
      </c>
      <c r="U180" t="s">
        <v>876</v>
      </c>
    </row>
    <row r="181" spans="15:21">
      <c r="O181" s="95" t="s">
        <v>724</v>
      </c>
      <c r="P181" s="95" t="s">
        <v>687</v>
      </c>
      <c r="Q181" s="152" t="s">
        <v>7</v>
      </c>
      <c r="R181" s="96" t="str">
        <f t="shared" si="18"/>
        <v>Commercial Reliability_Loss_Hours_NJ</v>
      </c>
      <c r="S181" s="265">
        <f t="shared" si="22"/>
        <v>2882.6875311622898</v>
      </c>
      <c r="T181" t="str">
        <f t="shared" si="19"/>
        <v>(HOT) R300 Alkox Reactor</v>
      </c>
      <c r="U181" t="s">
        <v>876</v>
      </c>
    </row>
    <row r="182" spans="15:21">
      <c r="O182" s="95" t="s">
        <v>724</v>
      </c>
      <c r="P182" s="95" t="s">
        <v>687</v>
      </c>
      <c r="Q182" s="152" t="s">
        <v>704</v>
      </c>
      <c r="R182" s="96" t="str">
        <f t="shared" si="18"/>
        <v>Exception hours (loss excluded from OEE)_Loss_Hours_NJ</v>
      </c>
      <c r="S182" s="265">
        <f t="shared" si="22"/>
        <v>0</v>
      </c>
      <c r="T182" t="str">
        <f t="shared" si="19"/>
        <v>(HOT) R300 Alkox Reactor</v>
      </c>
      <c r="U182" t="s">
        <v>876</v>
      </c>
    </row>
    <row r="183" spans="15:21">
      <c r="O183" s="95" t="s">
        <v>724</v>
      </c>
      <c r="P183" s="95" t="s">
        <v>687</v>
      </c>
      <c r="Q183" s="152" t="s">
        <v>14</v>
      </c>
      <c r="R183" s="96" t="str">
        <f t="shared" si="18"/>
        <v>Available OEE - Scheduled hours_Loss_Hours_NJ</v>
      </c>
      <c r="S183" s="265">
        <f t="shared" si="22"/>
        <v>5877.3124688377102</v>
      </c>
      <c r="T183" t="str">
        <f t="shared" si="19"/>
        <v>(HOT) R300 Alkox Reactor</v>
      </c>
      <c r="U183" t="s">
        <v>876</v>
      </c>
    </row>
    <row r="184" spans="15:21">
      <c r="O184" s="95" t="s">
        <v>724</v>
      </c>
      <c r="P184" s="95" t="s">
        <v>687</v>
      </c>
      <c r="Q184" s="152" t="s">
        <v>17</v>
      </c>
      <c r="R184" s="96" t="str">
        <f t="shared" si="18"/>
        <v>Equipment Reliability - Planned TA &amp; Planned SD_Loss_Hours_NJ</v>
      </c>
      <c r="S184" s="265">
        <f t="shared" si="22"/>
        <v>0</v>
      </c>
      <c r="T184" t="str">
        <f t="shared" si="19"/>
        <v>(HOT) R300 Alkox Reactor</v>
      </c>
      <c r="U184" t="s">
        <v>876</v>
      </c>
    </row>
    <row r="185" spans="15:21">
      <c r="O185" s="95" t="s">
        <v>724</v>
      </c>
      <c r="P185" s="95" t="s">
        <v>687</v>
      </c>
      <c r="Q185" s="152" t="s">
        <v>665</v>
      </c>
      <c r="R185" s="96" t="str">
        <f t="shared" si="18"/>
        <v>Available running OEE - Running hours_Loss_Hours_NJ</v>
      </c>
      <c r="S185" s="265">
        <f t="shared" si="22"/>
        <v>5877.3124688377102</v>
      </c>
      <c r="T185" t="str">
        <f t="shared" si="19"/>
        <v>(HOT) R300 Alkox Reactor</v>
      </c>
      <c r="U185" t="s">
        <v>876</v>
      </c>
    </row>
    <row r="186" spans="15:21">
      <c r="O186" s="95" t="s">
        <v>724</v>
      </c>
      <c r="P186" s="95" t="s">
        <v>687</v>
      </c>
      <c r="Q186" s="152" t="s">
        <v>18</v>
      </c>
      <c r="R186" s="96" t="str">
        <f t="shared" si="18"/>
        <v>Equipment Reliability - Equipment Failure_Loss_Hours_NJ</v>
      </c>
      <c r="S186" s="265">
        <f t="shared" si="22"/>
        <v>204.01790588206987</v>
      </c>
      <c r="T186" t="str">
        <f t="shared" si="19"/>
        <v>(HOT) R300 Alkox Reactor</v>
      </c>
      <c r="U186" t="s">
        <v>876</v>
      </c>
    </row>
    <row r="187" spans="15:21">
      <c r="O187" s="95" t="s">
        <v>724</v>
      </c>
      <c r="P187" s="95" t="s">
        <v>687</v>
      </c>
      <c r="Q187" s="152" t="s">
        <v>1</v>
      </c>
      <c r="R187" s="96" t="str">
        <f t="shared" si="18"/>
        <v>Operational Reliability_Loss_Hours_NJ</v>
      </c>
      <c r="S187" s="265">
        <f t="shared" si="22"/>
        <v>701.91073642534673</v>
      </c>
      <c r="T187" t="str">
        <f t="shared" si="19"/>
        <v>(HOT) R300 Alkox Reactor</v>
      </c>
      <c r="U187" t="s">
        <v>876</v>
      </c>
    </row>
    <row r="188" spans="15:21">
      <c r="O188" s="95" t="s">
        <v>724</v>
      </c>
      <c r="P188" s="95" t="s">
        <v>687</v>
      </c>
      <c r="Q188" s="152" t="s">
        <v>2</v>
      </c>
      <c r="R188" s="96" t="str">
        <f t="shared" si="18"/>
        <v>Technology Reliability_Loss_Hours_NJ</v>
      </c>
      <c r="S188" s="265">
        <f t="shared" si="22"/>
        <v>728.56216055375126</v>
      </c>
      <c r="T188" t="str">
        <f t="shared" si="19"/>
        <v>(HOT) R300 Alkox Reactor</v>
      </c>
      <c r="U188" t="s">
        <v>876</v>
      </c>
    </row>
    <row r="189" spans="15:21">
      <c r="O189" s="95" t="s">
        <v>724</v>
      </c>
      <c r="P189" s="95" t="s">
        <v>687</v>
      </c>
      <c r="Q189" s="152" t="s">
        <v>3</v>
      </c>
      <c r="R189" s="96" t="str">
        <f t="shared" si="18"/>
        <v>Material Reliability_Loss_Hours_NJ</v>
      </c>
      <c r="S189" s="265">
        <f t="shared" si="22"/>
        <v>52.107569076624777</v>
      </c>
      <c r="T189" t="str">
        <f t="shared" si="19"/>
        <v>(HOT) R300 Alkox Reactor</v>
      </c>
      <c r="U189" t="s">
        <v>876</v>
      </c>
    </row>
    <row r="190" spans="15:21">
      <c r="O190" s="95" t="s">
        <v>724</v>
      </c>
      <c r="P190" s="95" t="s">
        <v>687</v>
      </c>
      <c r="Q190" s="152" t="s">
        <v>4</v>
      </c>
      <c r="R190" s="96" t="str">
        <f t="shared" si="18"/>
        <v>Logistics/Supply Reliability_Loss_Hours_NJ</v>
      </c>
      <c r="S190" s="265">
        <f t="shared" si="22"/>
        <v>202.66344872108522</v>
      </c>
      <c r="T190" t="str">
        <f t="shared" si="19"/>
        <v>(HOT) R300 Alkox Reactor</v>
      </c>
      <c r="U190" t="s">
        <v>876</v>
      </c>
    </row>
    <row r="191" spans="15:21">
      <c r="O191" s="95" t="s">
        <v>724</v>
      </c>
      <c r="P191" s="95" t="s">
        <v>687</v>
      </c>
      <c r="Q191" s="152" t="s">
        <v>5</v>
      </c>
      <c r="R191" s="96" t="str">
        <f t="shared" si="18"/>
        <v>External Reliability_Loss_Hours_NJ</v>
      </c>
      <c r="S191" s="265">
        <f t="shared" si="22"/>
        <v>283.43052509571589</v>
      </c>
      <c r="T191" t="str">
        <f t="shared" si="19"/>
        <v>(HOT) R300 Alkox Reactor</v>
      </c>
      <c r="U191" t="s">
        <v>876</v>
      </c>
    </row>
    <row r="192" spans="15:21">
      <c r="O192" s="95" t="s">
        <v>724</v>
      </c>
      <c r="P192" s="95" t="s">
        <v>687</v>
      </c>
      <c r="Q192" s="152" t="s">
        <v>11</v>
      </c>
      <c r="R192" s="96" t="str">
        <f t="shared" si="18"/>
        <v>Other Reliability_Loss_Hours_NJ</v>
      </c>
      <c r="S192" s="265">
        <f t="shared" si="22"/>
        <v>-601.86401884297891</v>
      </c>
      <c r="T192" t="str">
        <f t="shared" si="19"/>
        <v>(HOT) R300 Alkox Reactor</v>
      </c>
      <c r="U192" t="s">
        <v>876</v>
      </c>
    </row>
    <row r="193" spans="15:21">
      <c r="O193" s="95" t="s">
        <v>724</v>
      </c>
      <c r="P193" s="95" t="s">
        <v>687</v>
      </c>
      <c r="Q193" s="152" t="s">
        <v>15</v>
      </c>
      <c r="R193" s="96" t="str">
        <f t="shared" si="18"/>
        <v>Unspecified_Loss_Hours_NJ</v>
      </c>
      <c r="S193" s="265">
        <f t="shared" si="22"/>
        <v>0</v>
      </c>
      <c r="T193" t="str">
        <f t="shared" si="19"/>
        <v>(HOT) R300 Alkox Reactor</v>
      </c>
      <c r="U193" t="s">
        <v>876</v>
      </c>
    </row>
    <row r="194" spans="15:21">
      <c r="O194" s="95" t="s">
        <v>724</v>
      </c>
      <c r="P194" s="95" t="s">
        <v>687</v>
      </c>
      <c r="Q194" s="152" t="s">
        <v>16</v>
      </c>
      <c r="R194" s="96" t="str">
        <f t="shared" ref="R194:R248" si="23">IF(ISBLANK(P194),Q194,_xlfn.CONCAT(Q194,"_",P194))</f>
        <v>Undetected_Loss_Hours_NJ</v>
      </c>
      <c r="S194" s="265">
        <f t="shared" si="22"/>
        <v>-31.124347533109447</v>
      </c>
      <c r="T194" t="str">
        <f t="shared" si="19"/>
        <v>(HOT) R300 Alkox Reactor</v>
      </c>
      <c r="U194" t="s">
        <v>876</v>
      </c>
    </row>
    <row r="195" spans="15:21">
      <c r="O195" s="95" t="s">
        <v>724</v>
      </c>
      <c r="P195" s="95" t="s">
        <v>687</v>
      </c>
      <c r="Q195" s="152" t="s">
        <v>664</v>
      </c>
      <c r="R195" s="96" t="str">
        <f t="shared" si="23"/>
        <v>Exception hours_Loss_Hours_NJ</v>
      </c>
      <c r="S195" s="265">
        <f t="shared" si="22"/>
        <v>0</v>
      </c>
      <c r="T195" t="str">
        <f t="shared" ref="T195:T248" si="24">$B$2</f>
        <v>(HOT) R300 Alkox Reactor</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R300 Alkox Reactor</v>
      </c>
      <c r="U196" t="s">
        <v>876</v>
      </c>
    </row>
    <row r="197" spans="15:21">
      <c r="O197" s="95" t="s">
        <v>724</v>
      </c>
      <c r="P197" s="95" t="s">
        <v>687</v>
      </c>
      <c r="Q197" s="152" t="s">
        <v>705</v>
      </c>
      <c r="R197" s="96" t="str">
        <f t="shared" si="23"/>
        <v>Improvement target not assigned_Loss_Hours_NJ</v>
      </c>
      <c r="S197" s="265">
        <f t="shared" si="22"/>
        <v>167.11380441780446</v>
      </c>
      <c r="T197" t="str">
        <f t="shared" si="24"/>
        <v>(HOT) R300 Alkox Reactor</v>
      </c>
      <c r="U197" t="s">
        <v>876</v>
      </c>
    </row>
    <row r="198" spans="15:21">
      <c r="O198" s="95" t="s">
        <v>724</v>
      </c>
      <c r="P198" s="95" t="s">
        <v>687</v>
      </c>
      <c r="Q198" s="152" t="s">
        <v>397</v>
      </c>
      <c r="R198" s="96" t="str">
        <f t="shared" si="23"/>
        <v>Sum OEE losses (exluding Planned Maintenance)_Loss_Hours_NJ</v>
      </c>
      <c r="S198" s="265">
        <f t="shared" si="22"/>
        <v>1372.590174960701</v>
      </c>
      <c r="T198" t="str">
        <f t="shared" si="24"/>
        <v>(HOT) R300 Alkox Reactor</v>
      </c>
      <c r="U198" t="s">
        <v>876</v>
      </c>
    </row>
    <row r="199" spans="15:21">
      <c r="O199" s="95" t="s">
        <v>724</v>
      </c>
      <c r="P199" s="95" t="s">
        <v>687</v>
      </c>
      <c r="Q199" s="152" t="s">
        <v>398</v>
      </c>
      <c r="R199" s="96" t="str">
        <f t="shared" si="23"/>
        <v>Sum OEE losses (Including Planned Maintenance)_Loss_Hours_NJ</v>
      </c>
      <c r="S199" s="265">
        <f t="shared" si="22"/>
        <v>1372.590174960701</v>
      </c>
      <c r="T199" t="str">
        <f t="shared" si="24"/>
        <v>(HOT) R300 Alkox Reactor</v>
      </c>
      <c r="U199" t="s">
        <v>876</v>
      </c>
    </row>
    <row r="200" spans="15:21">
      <c r="O200" s="95" t="s">
        <v>724</v>
      </c>
      <c r="P200" s="95" t="s">
        <v>687</v>
      </c>
      <c r="Q200" s="152" t="s">
        <v>712</v>
      </c>
      <c r="R200" s="96" t="str">
        <f t="shared" si="23"/>
        <v>Production hours on MAC (h) / OEE (%)_Loss_Hours_NJ</v>
      </c>
      <c r="S200" s="265">
        <f t="shared" si="22"/>
        <v>4504.7222938770092</v>
      </c>
      <c r="T200" t="str">
        <f t="shared" si="24"/>
        <v>(HOT) R300 Alkox Reactor</v>
      </c>
      <c r="U200" t="s">
        <v>876</v>
      </c>
    </row>
    <row r="201" spans="15:21">
      <c r="O201" s="95" t="s">
        <v>1183</v>
      </c>
      <c r="P201" s="95" t="s">
        <v>681</v>
      </c>
      <c r="Q201" s="143" t="s">
        <v>13</v>
      </c>
      <c r="R201" s="96" t="str">
        <f t="shared" si="23"/>
        <v>MAC - Calender hours_Loss Percentage_NJ</v>
      </c>
      <c r="S201" s="268">
        <f>J25</f>
        <v>0</v>
      </c>
      <c r="T201" t="str">
        <f t="shared" si="24"/>
        <v>(HOT) R300 Alkox Reactor</v>
      </c>
      <c r="U201" t="s">
        <v>876</v>
      </c>
    </row>
    <row r="202" spans="15:21">
      <c r="O202" s="95" t="s">
        <v>1183</v>
      </c>
      <c r="P202" s="95" t="s">
        <v>681</v>
      </c>
      <c r="Q202" s="153" t="s">
        <v>7</v>
      </c>
      <c r="R202" s="96" t="str">
        <f t="shared" si="23"/>
        <v>Commercial Reliability_Loss Percentage_NJ</v>
      </c>
      <c r="S202" s="268">
        <f t="shared" ref="S202:S221" si="25">J26</f>
        <v>0</v>
      </c>
      <c r="T202" t="str">
        <f t="shared" si="24"/>
        <v>(HOT) R300 Alkox Reactor</v>
      </c>
      <c r="U202" t="s">
        <v>876</v>
      </c>
    </row>
    <row r="203" spans="15:21">
      <c r="O203" s="95" t="s">
        <v>1183</v>
      </c>
      <c r="P203" s="95" t="s">
        <v>681</v>
      </c>
      <c r="Q203" s="153" t="s">
        <v>704</v>
      </c>
      <c r="R203" s="96" t="str">
        <f t="shared" si="23"/>
        <v>Exception hours (loss excluded from OEE)_Loss Percentage_NJ</v>
      </c>
      <c r="S203" s="268">
        <f t="shared" si="25"/>
        <v>0</v>
      </c>
      <c r="T203" t="str">
        <f t="shared" si="24"/>
        <v>(HOT) R300 Alkox Reactor</v>
      </c>
      <c r="U203" t="s">
        <v>876</v>
      </c>
    </row>
    <row r="204" spans="15:21">
      <c r="O204" s="95" t="s">
        <v>1183</v>
      </c>
      <c r="P204" s="95" t="s">
        <v>681</v>
      </c>
      <c r="Q204" s="153" t="s">
        <v>14</v>
      </c>
      <c r="R204" s="96" t="str">
        <f t="shared" si="23"/>
        <v>Available OEE - Scheduled hours_Loss Percentage_NJ</v>
      </c>
      <c r="S204" s="268">
        <f t="shared" si="25"/>
        <v>1</v>
      </c>
      <c r="T204" t="str">
        <f t="shared" si="24"/>
        <v>(HOT) R300 Alkox Reactor</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(HOT) R300 Alkox Reactor</v>
      </c>
      <c r="U205" t="s">
        <v>876</v>
      </c>
    </row>
    <row r="206" spans="15:21">
      <c r="O206" s="95" t="s">
        <v>1183</v>
      </c>
      <c r="P206" s="95" t="s">
        <v>681</v>
      </c>
      <c r="Q206" s="153" t="s">
        <v>665</v>
      </c>
      <c r="R206" s="96" t="str">
        <f t="shared" si="23"/>
        <v>Available running OEE - Running hours_Loss Percentage_NJ</v>
      </c>
      <c r="S206" s="268">
        <f t="shared" si="25"/>
        <v>0</v>
      </c>
      <c r="T206" t="str">
        <f t="shared" si="24"/>
        <v>(HOT) R300 Alkox Reactor</v>
      </c>
      <c r="U206" t="s">
        <v>876</v>
      </c>
    </row>
    <row r="207" spans="15:21">
      <c r="O207" s="95" t="s">
        <v>1183</v>
      </c>
      <c r="P207" s="95" t="s">
        <v>681</v>
      </c>
      <c r="Q207" s="153" t="s">
        <v>18</v>
      </c>
      <c r="R207" s="96" t="str">
        <f t="shared" si="23"/>
        <v>Equipment Reliability - Equipment Failure_Loss Percentage_NJ</v>
      </c>
      <c r="S207" s="268">
        <f t="shared" si="25"/>
        <v>3.4712788704667284E-2</v>
      </c>
      <c r="T207" t="str">
        <f t="shared" si="24"/>
        <v>(HOT) R300 Alkox Reactor</v>
      </c>
      <c r="U207" t="s">
        <v>876</v>
      </c>
    </row>
    <row r="208" spans="15:21">
      <c r="O208" s="95" t="s">
        <v>1183</v>
      </c>
      <c r="P208" s="95" t="s">
        <v>681</v>
      </c>
      <c r="Q208" s="153" t="s">
        <v>1</v>
      </c>
      <c r="R208" s="96" t="str">
        <f t="shared" si="23"/>
        <v>Operational Reliability_Loss Percentage_NJ</v>
      </c>
      <c r="S208" s="268">
        <f t="shared" si="25"/>
        <v>0.11942715997268658</v>
      </c>
      <c r="T208" t="str">
        <f t="shared" si="24"/>
        <v>(HOT) R300 Alkox Reactor</v>
      </c>
      <c r="U208" t="s">
        <v>876</v>
      </c>
    </row>
    <row r="209" spans="15:21">
      <c r="O209" s="95" t="s">
        <v>1183</v>
      </c>
      <c r="P209" s="95" t="s">
        <v>681</v>
      </c>
      <c r="Q209" s="153" t="s">
        <v>2</v>
      </c>
      <c r="R209" s="96" t="str">
        <f t="shared" si="23"/>
        <v>Technology Reliability_Loss Percentage_NJ</v>
      </c>
      <c r="S209" s="268">
        <f t="shared" si="25"/>
        <v>0.12396178770767836</v>
      </c>
      <c r="T209" t="str">
        <f t="shared" si="24"/>
        <v>(HOT) R300 Alkox Reactor</v>
      </c>
      <c r="U209" t="s">
        <v>876</v>
      </c>
    </row>
    <row r="210" spans="15:21">
      <c r="O210" s="95" t="s">
        <v>1183</v>
      </c>
      <c r="P210" s="95" t="s">
        <v>681</v>
      </c>
      <c r="Q210" s="153" t="s">
        <v>3</v>
      </c>
      <c r="R210" s="96" t="str">
        <f t="shared" si="23"/>
        <v>Material Reliability_Loss Percentage_NJ</v>
      </c>
      <c r="S210" s="268">
        <f t="shared" si="25"/>
        <v>8.8658837441272717E-3</v>
      </c>
      <c r="T210" t="str">
        <f t="shared" si="24"/>
        <v>(HOT) R300 Alkox Reactor</v>
      </c>
      <c r="U210" t="s">
        <v>876</v>
      </c>
    </row>
    <row r="211" spans="15:21">
      <c r="O211" s="95" t="s">
        <v>1183</v>
      </c>
      <c r="P211" s="95" t="s">
        <v>681</v>
      </c>
      <c r="Q211" s="153" t="s">
        <v>4</v>
      </c>
      <c r="R211" s="96" t="str">
        <f t="shared" si="23"/>
        <v>Logistics/Supply Reliability_Loss Percentage_NJ</v>
      </c>
      <c r="S211" s="268">
        <f t="shared" si="25"/>
        <v>3.4482333514788209E-2</v>
      </c>
      <c r="T211" t="str">
        <f t="shared" si="24"/>
        <v>(HOT) R300 Alkox Reactor</v>
      </c>
      <c r="U211" t="s">
        <v>876</v>
      </c>
    </row>
    <row r="212" spans="15:21">
      <c r="O212" s="95" t="s">
        <v>1183</v>
      </c>
      <c r="P212" s="95" t="s">
        <v>681</v>
      </c>
      <c r="Q212" s="153" t="s">
        <v>5</v>
      </c>
      <c r="R212" s="96" t="str">
        <f t="shared" si="23"/>
        <v>External Reliability_Loss Percentage_NJ</v>
      </c>
      <c r="S212" s="268">
        <f t="shared" si="25"/>
        <v>4.8224511900379997E-2</v>
      </c>
      <c r="T212" t="str">
        <f t="shared" si="24"/>
        <v>(HOT) R300 Alkox Reactor</v>
      </c>
      <c r="U212" t="s">
        <v>876</v>
      </c>
    </row>
    <row r="213" spans="15:21">
      <c r="O213" s="95" t="s">
        <v>1183</v>
      </c>
      <c r="P213" s="95" t="s">
        <v>681</v>
      </c>
      <c r="Q213" s="153" t="s">
        <v>11</v>
      </c>
      <c r="R213" s="96" t="str">
        <f t="shared" si="23"/>
        <v>Other Reliability_Loss Percentage_NJ</v>
      </c>
      <c r="S213" s="268">
        <f t="shared" si="25"/>
        <v>-0.10240463171460454</v>
      </c>
      <c r="T213" t="str">
        <f t="shared" si="24"/>
        <v>(HOT) R300 Alkox Reactor</v>
      </c>
      <c r="U213" t="s">
        <v>876</v>
      </c>
    </row>
    <row r="214" spans="15:21">
      <c r="O214" s="95" t="s">
        <v>1183</v>
      </c>
      <c r="P214" s="95" t="s">
        <v>681</v>
      </c>
      <c r="Q214" s="153" t="s">
        <v>15</v>
      </c>
      <c r="R214" s="96" t="str">
        <f t="shared" si="23"/>
        <v>Unspecified_Loss Percentage_NJ</v>
      </c>
      <c r="S214" s="268">
        <f t="shared" si="25"/>
        <v>0</v>
      </c>
      <c r="T214" t="str">
        <f t="shared" si="24"/>
        <v>(HOT) R300 Alkox Reactor</v>
      </c>
      <c r="U214" t="s">
        <v>876</v>
      </c>
    </row>
    <row r="215" spans="15:21">
      <c r="O215" s="95" t="s">
        <v>1183</v>
      </c>
      <c r="P215" s="95" t="s">
        <v>681</v>
      </c>
      <c r="Q215" s="153" t="s">
        <v>16</v>
      </c>
      <c r="R215" s="96" t="str">
        <f t="shared" si="23"/>
        <v>Undetected_Loss Percentage_NJ</v>
      </c>
      <c r="S215" s="268">
        <f t="shared" si="25"/>
        <v>-5.2956768417767239E-3</v>
      </c>
      <c r="T215" t="str">
        <f t="shared" si="24"/>
        <v>(HOT) R300 Alkox Reactor</v>
      </c>
      <c r="U215" t="s">
        <v>876</v>
      </c>
    </row>
    <row r="216" spans="15:21">
      <c r="O216" s="95" t="s">
        <v>1183</v>
      </c>
      <c r="P216" s="95" t="s">
        <v>681</v>
      </c>
      <c r="Q216" s="153" t="s">
        <v>664</v>
      </c>
      <c r="R216" s="96" t="str">
        <f t="shared" si="23"/>
        <v>Exception hours_Loss Percentage_NJ</v>
      </c>
      <c r="S216" s="268">
        <f t="shared" si="25"/>
        <v>0</v>
      </c>
      <c r="T216" t="str">
        <f t="shared" si="24"/>
        <v>(HOT) R300 Alkox Reactor</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R300 Alkox Reactor</v>
      </c>
      <c r="U217" t="s">
        <v>876</v>
      </c>
    </row>
    <row r="218" spans="15:21">
      <c r="O218" s="95" t="s">
        <v>1183</v>
      </c>
      <c r="P218" s="95" t="s">
        <v>681</v>
      </c>
      <c r="Q218" s="153" t="s">
        <v>705</v>
      </c>
      <c r="R218" s="96" t="str">
        <f t="shared" si="23"/>
        <v>Improvement target not assigned_Loss Percentage_NJ</v>
      </c>
      <c r="S218" s="268">
        <f t="shared" si="25"/>
        <v>-2.8433711037802397E-2</v>
      </c>
      <c r="T218" t="str">
        <f t="shared" si="24"/>
        <v>(HOT) R300 Alkox Reactor</v>
      </c>
      <c r="U218" t="s">
        <v>876</v>
      </c>
    </row>
    <row r="219" spans="15:21">
      <c r="O219" s="95" t="s">
        <v>1183</v>
      </c>
      <c r="P219" s="95" t="s">
        <v>681</v>
      </c>
      <c r="Q219" s="153" t="s">
        <v>397</v>
      </c>
      <c r="R219" s="96" t="str">
        <f t="shared" si="23"/>
        <v>Sum OEE losses (exluding Planned Maintenance)_Loss Percentage_NJ</v>
      </c>
      <c r="S219" s="268">
        <f t="shared" si="25"/>
        <v>0.233540445950144</v>
      </c>
      <c r="T219" t="str">
        <f t="shared" si="24"/>
        <v>(HOT) R300 Alkox Reactor</v>
      </c>
      <c r="U219" t="s">
        <v>876</v>
      </c>
    </row>
    <row r="220" spans="15:21">
      <c r="O220" s="95" t="s">
        <v>1183</v>
      </c>
      <c r="P220" s="95" t="s">
        <v>681</v>
      </c>
      <c r="Q220" s="153" t="s">
        <v>398</v>
      </c>
      <c r="R220" s="96" t="str">
        <f t="shared" si="23"/>
        <v>Sum OEE losses (Including Planned Maintenance)_Loss Percentage_NJ</v>
      </c>
      <c r="S220" s="268">
        <f t="shared" si="25"/>
        <v>0.23354044595014412</v>
      </c>
      <c r="T220" t="str">
        <f t="shared" si="24"/>
        <v>(HOT) R300 Alkox Reactor</v>
      </c>
      <c r="U220" t="s">
        <v>876</v>
      </c>
    </row>
    <row r="221" spans="15:21">
      <c r="O221" s="95" t="s">
        <v>1183</v>
      </c>
      <c r="P221" s="95" t="s">
        <v>681</v>
      </c>
      <c r="Q221" s="153" t="s">
        <v>712</v>
      </c>
      <c r="R221" s="96" t="str">
        <f t="shared" si="23"/>
        <v>Production hours on MAC (h) / OEE (%)_Loss Percentage_NJ</v>
      </c>
      <c r="S221" s="268">
        <f t="shared" si="25"/>
        <v>0.76645955404985588</v>
      </c>
      <c r="T221" t="str">
        <f t="shared" si="24"/>
        <v>(HOT) R300 Alkox Reactor</v>
      </c>
      <c r="U221" t="s">
        <v>876</v>
      </c>
    </row>
    <row r="222" spans="15:21">
      <c r="O222" s="95" t="s">
        <v>676</v>
      </c>
      <c r="P222" s="95" t="s">
        <v>994</v>
      </c>
      <c r="Q222" s="144" t="s">
        <v>374</v>
      </c>
      <c r="R222" s="96" t="str">
        <f t="shared" si="23"/>
        <v>Planned Turnaround (h)_NJ_Maintenance_plan</v>
      </c>
      <c r="S222" s="1" t="str">
        <f>D18</f>
        <v/>
      </c>
      <c r="T222" t="str">
        <f t="shared" si="24"/>
        <v>(HOT) R300 Alkox Reactor</v>
      </c>
      <c r="U222" t="s">
        <v>877</v>
      </c>
    </row>
    <row r="223" spans="15:21">
      <c r="O223" s="95" t="s">
        <v>676</v>
      </c>
      <c r="P223" s="95" t="s">
        <v>994</v>
      </c>
      <c r="Q223" s="144" t="s">
        <v>375</v>
      </c>
      <c r="R223" s="96" t="str">
        <f t="shared" si="23"/>
        <v>Planned Shutdown (h)_NJ_Maintenance_plan</v>
      </c>
      <c r="S223" s="1" t="str">
        <f t="shared" ref="S223:S224" si="26">D19</f>
        <v/>
      </c>
      <c r="T223" t="str">
        <f t="shared" si="24"/>
        <v>(HOT) R300 Alkox Reactor</v>
      </c>
      <c r="U223" t="s">
        <v>877</v>
      </c>
    </row>
    <row r="224" spans="15:21">
      <c r="O224" s="95" t="s">
        <v>676</v>
      </c>
      <c r="P224" s="95" t="s">
        <v>994</v>
      </c>
      <c r="Q224" s="144" t="s">
        <v>716</v>
      </c>
      <c r="R224" s="96" t="str">
        <f t="shared" si="23"/>
        <v>Total Planned Maintenance (h)_NJ_Maintenance_plan</v>
      </c>
      <c r="S224" s="1" t="str">
        <f t="shared" si="26"/>
        <v/>
      </c>
      <c r="T224" t="str">
        <f t="shared" si="24"/>
        <v>(HOT) R300 Alkox Reactor</v>
      </c>
      <c r="U224" t="s">
        <v>877</v>
      </c>
    </row>
    <row r="225" spans="15:21">
      <c r="O225" s="95" t="s">
        <v>674</v>
      </c>
      <c r="Q225" s="144" t="s">
        <v>1184</v>
      </c>
      <c r="R225" s="96" t="str">
        <f t="shared" si="23"/>
        <v>OEE_Running OEE Override</v>
      </c>
      <c r="S225" s="1" t="str">
        <f>B60</f>
        <v>Automatic</v>
      </c>
      <c r="T225" t="str">
        <f t="shared" si="24"/>
        <v>(HOT) R300 Alkox Reactor</v>
      </c>
      <c r="U225" t="s">
        <v>875</v>
      </c>
    </row>
    <row r="226" spans="15:21">
      <c r="O226" s="95" t="s">
        <v>678</v>
      </c>
      <c r="Q226" s="144" t="s">
        <v>1182</v>
      </c>
      <c r="R226" s="96" t="str">
        <f t="shared" si="23"/>
        <v>Unit of Loss Decrease entry</v>
      </c>
      <c r="S226" s="370" t="str">
        <f>F24</f>
        <v>% decrease</v>
      </c>
      <c r="T226" t="str">
        <f t="shared" si="24"/>
        <v>(HOT) R300 Alkox Reactor</v>
      </c>
      <c r="U226" t="s">
        <v>875</v>
      </c>
    </row>
    <row r="227" spans="15:21">
      <c r="O227" s="95" t="s">
        <v>678</v>
      </c>
      <c r="P227" s="95" t="s">
        <v>1185</v>
      </c>
      <c r="Q227" s="142" t="s">
        <v>13</v>
      </c>
      <c r="R227" s="96" t="str">
        <f t="shared" si="23"/>
        <v>MAC - Calender hours_OEE_Improvement_Entry</v>
      </c>
      <c r="S227" s="371">
        <f>F25</f>
        <v>0</v>
      </c>
      <c r="T227" t="str">
        <f t="shared" si="24"/>
        <v>(HOT) R300 Alkox Reactor</v>
      </c>
      <c r="U227" t="s">
        <v>876</v>
      </c>
    </row>
    <row r="228" spans="15:21">
      <c r="O228" s="95" t="s">
        <v>678</v>
      </c>
      <c r="P228" s="95" t="s">
        <v>1185</v>
      </c>
      <c r="Q228" s="152" t="s">
        <v>7</v>
      </c>
      <c r="R228" s="96" t="str">
        <f t="shared" si="23"/>
        <v>Commercial Reliability_OEE_Improvement_Entry</v>
      </c>
      <c r="S228" s="371">
        <f t="shared" ref="S228:S247" si="27">F26</f>
        <v>0</v>
      </c>
      <c r="T228" t="str">
        <f t="shared" si="24"/>
        <v>(HOT) R300 Alkox Reactor</v>
      </c>
      <c r="U228" t="s">
        <v>876</v>
      </c>
    </row>
    <row r="229" spans="15:21">
      <c r="O229" s="95" t="s">
        <v>678</v>
      </c>
      <c r="P229" s="95" t="s">
        <v>1185</v>
      </c>
      <c r="Q229" s="152" t="s">
        <v>704</v>
      </c>
      <c r="R229" s="96" t="str">
        <f t="shared" si="23"/>
        <v>Exception hours (loss excluded from OEE)_OEE_Improvement_Entry</v>
      </c>
      <c r="S229" s="371" t="str">
        <f t="shared" si="27"/>
        <v/>
      </c>
      <c r="T229" t="str">
        <f t="shared" si="24"/>
        <v>(HOT) R300 Alkox Reactor</v>
      </c>
      <c r="U229" t="s">
        <v>876</v>
      </c>
    </row>
    <row r="230" spans="15:21">
      <c r="O230" s="95" t="s">
        <v>678</v>
      </c>
      <c r="P230" s="95" t="s">
        <v>1185</v>
      </c>
      <c r="Q230" s="152" t="s">
        <v>14</v>
      </c>
      <c r="R230" s="96" t="str">
        <f t="shared" si="23"/>
        <v>Available OEE - Scheduled hours_OEE_Improvement_Entry</v>
      </c>
      <c r="S230" s="371">
        <f t="shared" si="27"/>
        <v>0</v>
      </c>
      <c r="T230" t="str">
        <f t="shared" si="24"/>
        <v>(HOT) R300 Alkox Reactor</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R300 Alkox Reactor</v>
      </c>
      <c r="U231" t="s">
        <v>876</v>
      </c>
    </row>
    <row r="232" spans="15:21">
      <c r="O232" s="95" t="s">
        <v>678</v>
      </c>
      <c r="P232" s="95" t="s">
        <v>1185</v>
      </c>
      <c r="Q232" s="152" t="s">
        <v>665</v>
      </c>
      <c r="R232" s="96" t="str">
        <f t="shared" si="23"/>
        <v>Available running OEE - Running hours_OEE_Improvement_Entry</v>
      </c>
      <c r="S232" s="371">
        <f t="shared" si="27"/>
        <v>0</v>
      </c>
      <c r="T232" t="str">
        <f t="shared" si="24"/>
        <v>(HOT) R300 Alkox Reactor</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R300 Alkox Reactor</v>
      </c>
      <c r="U233" t="s">
        <v>876</v>
      </c>
    </row>
    <row r="234" spans="15:21">
      <c r="O234" s="95" t="s">
        <v>678</v>
      </c>
      <c r="P234" s="95" t="s">
        <v>1185</v>
      </c>
      <c r="Q234" s="152" t="s">
        <v>1</v>
      </c>
      <c r="R234" s="96" t="str">
        <f t="shared" si="23"/>
        <v>Operational Reliability_OEE_Improvement_Entry</v>
      </c>
      <c r="S234" s="371">
        <f t="shared" si="27"/>
        <v>0</v>
      </c>
      <c r="T234" t="str">
        <f t="shared" si="24"/>
        <v>(HOT) R300 Alkox Reactor</v>
      </c>
      <c r="U234" t="s">
        <v>876</v>
      </c>
    </row>
    <row r="235" spans="15:21">
      <c r="O235" s="95" t="s">
        <v>678</v>
      </c>
      <c r="P235" s="95" t="s">
        <v>1185</v>
      </c>
      <c r="Q235" s="152" t="s">
        <v>2</v>
      </c>
      <c r="R235" s="96" t="str">
        <f t="shared" si="23"/>
        <v>Technology Reliability_OEE_Improvement_Entry</v>
      </c>
      <c r="S235" s="371">
        <f t="shared" si="27"/>
        <v>0</v>
      </c>
      <c r="T235" t="str">
        <f t="shared" si="24"/>
        <v>(HOT) R300 Alkox Reactor</v>
      </c>
      <c r="U235" t="s">
        <v>876</v>
      </c>
    </row>
    <row r="236" spans="15:21">
      <c r="O236" s="95" t="s">
        <v>678</v>
      </c>
      <c r="P236" s="95" t="s">
        <v>1185</v>
      </c>
      <c r="Q236" s="152" t="s">
        <v>3</v>
      </c>
      <c r="R236" s="96" t="str">
        <f t="shared" si="23"/>
        <v>Material Reliability_OEE_Improvement_Entry</v>
      </c>
      <c r="S236" s="371">
        <f t="shared" si="27"/>
        <v>0</v>
      </c>
      <c r="T236" t="str">
        <f t="shared" si="24"/>
        <v>(HOT) R300 Alkox Reactor</v>
      </c>
      <c r="U236" t="s">
        <v>876</v>
      </c>
    </row>
    <row r="237" spans="15:21">
      <c r="O237" s="95" t="s">
        <v>678</v>
      </c>
      <c r="P237" s="95" t="s">
        <v>1185</v>
      </c>
      <c r="Q237" s="152" t="s">
        <v>4</v>
      </c>
      <c r="R237" s="96" t="str">
        <f t="shared" si="23"/>
        <v>Logistics/Supply Reliability_OEE_Improvement_Entry</v>
      </c>
      <c r="S237" s="371">
        <f t="shared" si="27"/>
        <v>0</v>
      </c>
      <c r="T237" t="str">
        <f t="shared" si="24"/>
        <v>(HOT) R300 Alkox Reactor</v>
      </c>
      <c r="U237" t="s">
        <v>876</v>
      </c>
    </row>
    <row r="238" spans="15:21">
      <c r="O238" s="95" t="s">
        <v>678</v>
      </c>
      <c r="P238" s="95" t="s">
        <v>1185</v>
      </c>
      <c r="Q238" s="152" t="s">
        <v>5</v>
      </c>
      <c r="R238" s="96" t="str">
        <f t="shared" si="23"/>
        <v>External Reliability_OEE_Improvement_Entry</v>
      </c>
      <c r="S238" s="371">
        <f t="shared" si="27"/>
        <v>0</v>
      </c>
      <c r="T238" t="str">
        <f t="shared" si="24"/>
        <v>(HOT) R300 Alkox Reactor</v>
      </c>
      <c r="U238" t="s">
        <v>876</v>
      </c>
    </row>
    <row r="239" spans="15:21">
      <c r="O239" s="95" t="s">
        <v>678</v>
      </c>
      <c r="P239" s="95" t="s">
        <v>1185</v>
      </c>
      <c r="Q239" s="152" t="s">
        <v>11</v>
      </c>
      <c r="R239" s="96" t="str">
        <f t="shared" si="23"/>
        <v>Other Reliability_OEE_Improvement_Entry</v>
      </c>
      <c r="S239" s="371">
        <f t="shared" si="27"/>
        <v>0</v>
      </c>
      <c r="T239" t="str">
        <f t="shared" si="24"/>
        <v>(HOT) R300 Alkox Reactor</v>
      </c>
      <c r="U239" t="s">
        <v>876</v>
      </c>
    </row>
    <row r="240" spans="15:21">
      <c r="O240" s="95" t="s">
        <v>678</v>
      </c>
      <c r="P240" s="95" t="s">
        <v>1185</v>
      </c>
      <c r="Q240" s="152" t="s">
        <v>15</v>
      </c>
      <c r="R240" s="96" t="str">
        <f t="shared" si="23"/>
        <v>Unspecified_OEE_Improvement_Entry</v>
      </c>
      <c r="S240" s="371">
        <f t="shared" si="27"/>
        <v>0</v>
      </c>
      <c r="T240" t="str">
        <f t="shared" si="24"/>
        <v>(HOT) R300 Alkox Reactor</v>
      </c>
      <c r="U240" t="s">
        <v>876</v>
      </c>
    </row>
    <row r="241" spans="15:21">
      <c r="O241" s="95" t="s">
        <v>678</v>
      </c>
      <c r="P241" s="95" t="s">
        <v>1185</v>
      </c>
      <c r="Q241" s="152" t="s">
        <v>16</v>
      </c>
      <c r="R241" s="96" t="str">
        <f t="shared" si="23"/>
        <v>Undetected_OEE_Improvement_Entry</v>
      </c>
      <c r="S241" s="371">
        <f t="shared" si="27"/>
        <v>0</v>
      </c>
      <c r="T241" t="str">
        <f t="shared" si="24"/>
        <v>(HOT) R300 Alkox Reactor</v>
      </c>
      <c r="U241" t="s">
        <v>876</v>
      </c>
    </row>
    <row r="242" spans="15:21">
      <c r="O242" s="95" t="s">
        <v>678</v>
      </c>
      <c r="P242" s="95" t="s">
        <v>1185</v>
      </c>
      <c r="Q242" s="152" t="s">
        <v>664</v>
      </c>
      <c r="R242" s="96" t="str">
        <f t="shared" si="23"/>
        <v>Exception hours_OEE_Improvement_Entry</v>
      </c>
      <c r="S242" s="371">
        <f t="shared" si="27"/>
        <v>0</v>
      </c>
      <c r="T242" t="str">
        <f t="shared" si="24"/>
        <v>(HOT) R300 Alkox Reactor</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R300 Alkox Reactor</v>
      </c>
      <c r="U243" t="s">
        <v>876</v>
      </c>
    </row>
    <row r="244" spans="15:21">
      <c r="O244" s="95" t="s">
        <v>678</v>
      </c>
      <c r="P244" s="95" t="s">
        <v>1185</v>
      </c>
      <c r="Q244" s="152" t="s">
        <v>705</v>
      </c>
      <c r="R244" s="96" t="str">
        <f t="shared" si="23"/>
        <v>Improvement target not assigned_OEE_Improvement_Entry</v>
      </c>
      <c r="S244" s="371">
        <f t="shared" si="27"/>
        <v>0</v>
      </c>
      <c r="T244" t="str">
        <f t="shared" si="24"/>
        <v>(HOT) R300 Alkox Reactor</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R300 Alkox Reactor</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R300 Alkox Reactor</v>
      </c>
      <c r="U246" t="s">
        <v>876</v>
      </c>
    </row>
    <row r="247" spans="15:21">
      <c r="O247" s="95" t="s">
        <v>678</v>
      </c>
      <c r="P247" s="95" t="s">
        <v>1185</v>
      </c>
      <c r="Q247" s="152" t="s">
        <v>712</v>
      </c>
      <c r="R247" s="96" t="str">
        <f t="shared" si="23"/>
        <v>Production hours on MAC (h) / OEE (%)_OEE_Improvement_Entry</v>
      </c>
      <c r="S247" s="371">
        <f t="shared" si="27"/>
        <v>0</v>
      </c>
      <c r="T247" t="str">
        <f t="shared" si="24"/>
        <v>(HOT) R300 Alkox Reactor</v>
      </c>
      <c r="U247" t="s">
        <v>876</v>
      </c>
    </row>
    <row r="248" spans="15:21">
      <c r="O248" s="95" t="s">
        <v>1192</v>
      </c>
      <c r="Q248" s="144" t="s">
        <v>1191</v>
      </c>
      <c r="R248" s="96" t="str">
        <f t="shared" si="23"/>
        <v>Sheet used for target setting</v>
      </c>
      <c r="S248" s="1" t="s">
        <v>1190</v>
      </c>
      <c r="T248" t="str">
        <f t="shared" si="24"/>
        <v>(HOT) R300 Alkox Reactor</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236" priority="25">
      <formula>$B$22=""</formula>
    </cfRule>
  </conditionalFormatting>
  <conditionalFormatting sqref="B6">
    <cfRule type="cellIs" dxfId="235" priority="21" operator="lessThan">
      <formula>-0.1</formula>
    </cfRule>
    <cfRule type="cellIs" dxfId="234" priority="22" operator="greaterThan">
      <formula>0.1</formula>
    </cfRule>
    <cfRule type="cellIs" dxfId="233" priority="23" operator="between">
      <formula>-0.1</formula>
      <formula>0.1</formula>
    </cfRule>
  </conditionalFormatting>
  <conditionalFormatting sqref="C21">
    <cfRule type="cellIs" dxfId="232" priority="18" operator="lessThan">
      <formula>-0.1</formula>
    </cfRule>
    <cfRule type="cellIs" dxfId="231" priority="19" operator="greaterThan">
      <formula>0.1</formula>
    </cfRule>
    <cfRule type="cellIs" dxfId="230" priority="20" operator="between">
      <formula>-0.1</formula>
      <formula>0.1</formula>
    </cfRule>
  </conditionalFormatting>
  <conditionalFormatting sqref="A9:B9">
    <cfRule type="expression" dxfId="229" priority="16">
      <formula>$B$8="Exclude"</formula>
    </cfRule>
    <cfRule type="expression" dxfId="228" priority="17">
      <formula>$B$8="Include"</formula>
    </cfRule>
  </conditionalFormatting>
  <conditionalFormatting sqref="C9">
    <cfRule type="expression" dxfId="227" priority="26">
      <formula>$B$8="Exclude"</formula>
    </cfRule>
    <cfRule type="expression" dxfId="226" priority="27">
      <formula>$B$9="No"</formula>
    </cfRule>
    <cfRule type="expression" dxfId="225" priority="28">
      <formula xml:space="preserve"> $B$9="Yes"</formula>
    </cfRule>
  </conditionalFormatting>
  <conditionalFormatting sqref="C15">
    <cfRule type="expression" dxfId="224" priority="29">
      <formula>$B$15=$D$15</formula>
    </cfRule>
    <cfRule type="expression" dxfId="223" priority="30">
      <formula>$B$1&lt;&gt;$D$15</formula>
    </cfRule>
  </conditionalFormatting>
  <conditionalFormatting sqref="F50:F51">
    <cfRule type="cellIs" dxfId="222" priority="14" operator="greaterThan">
      <formula>1</formula>
    </cfRule>
    <cfRule type="cellIs" dxfId="221" priority="15" operator="lessThanOrEqual">
      <formula>1</formula>
    </cfRule>
  </conditionalFormatting>
  <conditionalFormatting sqref="D17">
    <cfRule type="expression" dxfId="220" priority="12">
      <formula>$D$20=""</formula>
    </cfRule>
    <cfRule type="expression" dxfId="219" priority="13">
      <formula>$D$20&gt;0</formula>
    </cfRule>
  </conditionalFormatting>
  <conditionalFormatting sqref="D19">
    <cfRule type="expression" dxfId="218" priority="10">
      <formula>$D$20=""</formula>
    </cfRule>
    <cfRule type="expression" dxfId="217" priority="11">
      <formula>$D$20&gt;0</formula>
    </cfRule>
  </conditionalFormatting>
  <conditionalFormatting sqref="C10">
    <cfRule type="expression" dxfId="216" priority="5">
      <formula>$B$8="Exclude"</formula>
    </cfRule>
    <cfRule type="expression" dxfId="215" priority="6">
      <formula>$B$9="No"</formula>
    </cfRule>
    <cfRule type="expression" dxfId="214" priority="7">
      <formula>$B$10="No Gain"</formula>
    </cfRule>
    <cfRule type="expression" dxfId="213" priority="8">
      <formula xml:space="preserve"> $B$9="Yes"</formula>
    </cfRule>
    <cfRule type="expression" dxfId="212" priority="9">
      <formula>$B$10="Gain"</formula>
    </cfRule>
  </conditionalFormatting>
  <conditionalFormatting sqref="H31:H39">
    <cfRule type="expression" dxfId="211" priority="33">
      <formula>$F$24="% decrease"</formula>
    </cfRule>
  </conditionalFormatting>
  <conditionalFormatting sqref="H32 H34 H36 H38">
    <cfRule type="expression" dxfId="210" priority="34">
      <formula>$F$24="hours decrease"</formula>
    </cfRule>
  </conditionalFormatting>
  <conditionalFormatting sqref="G31:G39">
    <cfRule type="expression" dxfId="209" priority="35">
      <formula>$F$24="hours decrease"</formula>
    </cfRule>
  </conditionalFormatting>
  <conditionalFormatting sqref="G32 G34 G36 G38">
    <cfRule type="expression" dxfId="208" priority="36">
      <formula>$F$24="% decrease"</formula>
    </cfRule>
  </conditionalFormatting>
  <conditionalFormatting sqref="G40">
    <cfRule type="expression" dxfId="207" priority="4">
      <formula>$F$24="% decrease"</formula>
    </cfRule>
  </conditionalFormatting>
  <conditionalFormatting sqref="F31:F40">
    <cfRule type="expression" dxfId="206" priority="31">
      <formula>$F$24="% decrease"</formula>
    </cfRule>
    <cfRule type="expression" dxfId="205" priority="32">
      <formula>$F$24="hours decrease"</formula>
    </cfRule>
  </conditionalFormatting>
  <conditionalFormatting sqref="C4:C5">
    <cfRule type="expression" dxfId="204" priority="1">
      <formula>$C$5=0</formula>
    </cfRule>
    <cfRule type="expression" dxfId="203" priority="2">
      <formula>$C$5=""</formula>
    </cfRule>
    <cfRule type="expression" dxfId="202" priority="3">
      <formula>$C$5&gt;0</formula>
    </cfRule>
  </conditionalFormatting>
  <dataValidations count="6">
    <dataValidation type="list" allowBlank="1" showInputMessage="1" showErrorMessage="1" sqref="B60" xr:uid="{72FFC395-710D-43BF-9104-C9E9CC832170}">
      <formula1>"Automatic, Force OEE, Force Running OEE"</formula1>
    </dataValidation>
    <dataValidation type="list" allowBlank="1" showInputMessage="1" showErrorMessage="1" sqref="F24" xr:uid="{8E629268-E8DF-4B55-BA1E-B8D7CDF110BF}">
      <formula1>"% decrease,hours decrease"</formula1>
    </dataValidation>
    <dataValidation type="list" allowBlank="1" showInputMessage="1" showErrorMessage="1" sqref="B8" xr:uid="{491F19AC-F33C-4160-BCC9-68D6BC74BE39}">
      <formula1>"Include,Exclude"</formula1>
    </dataValidation>
    <dataValidation type="list" allowBlank="1" showInputMessage="1" showErrorMessage="1" sqref="B9" xr:uid="{6CD2EF88-5F35-40A7-861A-A4A70E3E224A}">
      <formula1>"Yes,No"</formula1>
    </dataValidation>
    <dataValidation type="list" allowBlank="1" showInputMessage="1" showErrorMessage="1" sqref="B11" xr:uid="{E436B77E-2943-4B3E-9DCA-506D08405E85}">
      <formula1>"Playbook Matrix value, Manual OEE target"</formula1>
    </dataValidation>
    <dataValidation type="list" allowBlank="1" showInputMessage="1" showErrorMessage="1" sqref="B2" xr:uid="{F7182775-4B64-4134-9CA3-5E23BFFD1491}">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20834"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20835"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20836"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DFA7A-256A-44E3-8423-A16BFF2D1B82}">
  <sheetPr codeName="Sheet18">
    <tabColor rgb="FF00B0F0"/>
  </sheetPr>
  <dimension ref="A1:AI248"/>
  <sheetViews>
    <sheetView showGridLines="0" zoomScaleNormal="100" workbookViewId="0">
      <selection activeCell="B2" sqref="B2"/>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204</v>
      </c>
      <c r="E2" s="314" t="s">
        <v>303</v>
      </c>
      <c r="G2" s="37" t="s">
        <v>670</v>
      </c>
      <c r="H2" s="40">
        <v>5.3</v>
      </c>
      <c r="O2" s="94" t="s">
        <v>679</v>
      </c>
      <c r="P2" s="94"/>
      <c r="Q2" s="145" t="s">
        <v>670</v>
      </c>
      <c r="R2" s="96" t="str">
        <f t="shared" ref="R2:R65" si="0">IF(ISBLANK(P2),Q2,_xlfn.CONCAT(Q2,"_",P2))</f>
        <v>Template Version:</v>
      </c>
      <c r="S2" s="261">
        <f>H2</f>
        <v>5.3</v>
      </c>
      <c r="T2" t="str">
        <f>$B$2</f>
        <v>(HOT) V600 Alkox Reactor</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V600 Alkox Reactor</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V600 Alkox Reactor</v>
      </c>
      <c r="U4" t="s">
        <v>874</v>
      </c>
    </row>
    <row r="5" spans="1:21">
      <c r="A5" s="34" t="s">
        <v>733</v>
      </c>
      <c r="B5" s="42">
        <v>0</v>
      </c>
      <c r="C5" t="str">
        <f>IFERROR(INDEX(Table1[Loss Hours Exclusion],MATCH('(HOT) V600 Alkox Reactor'!B2,Table1[Unit3],0)),"")</f>
        <v/>
      </c>
      <c r="E5" s="317" t="s">
        <v>637</v>
      </c>
      <c r="F5" s="64"/>
      <c r="G5" s="360"/>
      <c r="H5" s="361"/>
      <c r="O5" s="95" t="s">
        <v>674</v>
      </c>
      <c r="P5" s="95"/>
      <c r="Q5" s="146" t="s">
        <v>604</v>
      </c>
      <c r="R5" s="96" t="str">
        <f t="shared" si="0"/>
        <v>Unit Name</v>
      </c>
      <c r="S5" s="264" t="str">
        <f>B2</f>
        <v>(HOT) V600 Alkox Reactor</v>
      </c>
      <c r="T5" t="str">
        <f t="shared" si="1"/>
        <v>(HOT) V600 Alkox Reactor</v>
      </c>
      <c r="U5" t="s">
        <v>875</v>
      </c>
    </row>
    <row r="6" spans="1:21">
      <c r="A6" s="34" t="s">
        <v>735</v>
      </c>
      <c r="B6" s="219">
        <v>0</v>
      </c>
      <c r="C6" s="270">
        <f>SUMIF(B31:B39,"&gt;0",B31:B39)</f>
        <v>2818.9410290999613</v>
      </c>
      <c r="D6" s="270">
        <f>SUMIF(B31:B39,"&lt;0",B31:B39)</f>
        <v>-684.17056250824498</v>
      </c>
      <c r="E6" s="318" t="s">
        <v>1032</v>
      </c>
      <c r="F6" s="64"/>
      <c r="G6" s="360"/>
      <c r="H6" s="361"/>
      <c r="O6" s="95" t="s">
        <v>674</v>
      </c>
      <c r="P6" s="95"/>
      <c r="Q6" s="146" t="s">
        <v>139</v>
      </c>
      <c r="R6" s="96" t="str">
        <f t="shared" si="0"/>
        <v>Unit Type</v>
      </c>
      <c r="S6" s="264" t="str">
        <f t="shared" ref="S6" si="2">B3</f>
        <v>Batch</v>
      </c>
      <c r="T6" t="str">
        <f t="shared" si="1"/>
        <v>(HOT) V600 Alkox Reactor</v>
      </c>
      <c r="U6" t="s">
        <v>875</v>
      </c>
    </row>
    <row r="7" spans="1:21">
      <c r="A7" t="s">
        <v>702</v>
      </c>
      <c r="B7" s="6">
        <f>IFERROR(B48/D48-1,0)</f>
        <v>4.5199010847976062E-3</v>
      </c>
      <c r="C7" s="121">
        <f>IF(B8="Include",B45*B7/(1+B7),0)</f>
        <v>0</v>
      </c>
      <c r="D7" s="59">
        <f>IFERROR(C6/(C6-D6),0)</f>
        <v>0.80469632650378786</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0</v>
      </c>
      <c r="T7" t="str">
        <f t="shared" si="1"/>
        <v>(HOT) V600 Alkox Reactor</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(HOT) V600 Alkox Reactor</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4.5199010847976062E-3</v>
      </c>
      <c r="T9" t="str">
        <f t="shared" si="1"/>
        <v>(HOT) V600 Alkox Reactor</v>
      </c>
      <c r="U9" t="s">
        <v>875</v>
      </c>
    </row>
    <row r="10" spans="1:21">
      <c r="A10" s="141" t="s">
        <v>718</v>
      </c>
      <c r="B10" s="59" t="str">
        <f>IF(MIN(C31:C39)&lt;-1%,"Gain","No Gain")</f>
        <v>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(HOT) V600 Alkox Reactor</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V600 Alkox Reactor</v>
      </c>
      <c r="U11" t="s">
        <v>875</v>
      </c>
    </row>
    <row r="12" spans="1:21">
      <c r="A12" s="30" t="s">
        <v>1016</v>
      </c>
      <c r="B12" s="5">
        <f>IF($B$3="Batch",INDEX(BatchMatrix[Target Improvement],MATCH(E48,BatchMatrix[Min OEE],1)),IF($B$3="Continuous",INDEX(ContinousMatrix[Target Improvement],MATCH(E48,ContinousMatrix[Min OEE],1)),""))</f>
        <v>0.04</v>
      </c>
      <c r="C12" s="3"/>
      <c r="E12" s="387"/>
      <c r="F12" s="388"/>
      <c r="G12" s="388"/>
      <c r="H12" s="388"/>
      <c r="I12" s="389"/>
      <c r="O12" s="95" t="s">
        <v>674</v>
      </c>
      <c r="P12" s="95"/>
      <c r="Q12" s="222" t="s">
        <v>718</v>
      </c>
      <c r="R12" s="96" t="str">
        <f t="shared" si="0"/>
        <v>Running OEE LY &gt;100%</v>
      </c>
      <c r="S12" s="264" t="str">
        <f t="shared" si="3"/>
        <v>Gain</v>
      </c>
      <c r="T12" t="str">
        <f t="shared" si="1"/>
        <v>(HOT) V600 Alkox Reactor</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V600 Alkox Reactor</v>
      </c>
      <c r="U13" t="s">
        <v>875</v>
      </c>
    </row>
    <row r="14" spans="1:21">
      <c r="A14" s="33" t="s">
        <v>309</v>
      </c>
      <c r="B14" s="36">
        <f>IF(B11="Manual OEE target",B13,IF(B11="Playbook Matrix value",B12,""))</f>
        <v>0.04</v>
      </c>
      <c r="C14" s="3"/>
      <c r="E14" s="390"/>
      <c r="F14" s="391"/>
      <c r="G14" s="391"/>
      <c r="H14" s="391"/>
      <c r="I14" s="392"/>
      <c r="O14" s="95" t="s">
        <v>674</v>
      </c>
      <c r="P14" s="95"/>
      <c r="Q14" s="224" t="s">
        <v>1292</v>
      </c>
      <c r="R14" s="96" t="str">
        <f t="shared" si="0"/>
        <v>Target OEE Improvement (playbook)</v>
      </c>
      <c r="S14" s="264">
        <f t="shared" si="3"/>
        <v>0.04</v>
      </c>
      <c r="T14" t="str">
        <f t="shared" si="1"/>
        <v>(HOT) V600 Alkox Reactor</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V600 Alkox Reactor</v>
      </c>
      <c r="U15" t="s">
        <v>875</v>
      </c>
    </row>
    <row r="16" spans="1:21">
      <c r="E16" s="390"/>
      <c r="F16" s="391"/>
      <c r="G16" s="391"/>
      <c r="H16" s="391"/>
      <c r="I16" s="392"/>
      <c r="O16" s="95" t="s">
        <v>674</v>
      </c>
      <c r="P16" s="95"/>
      <c r="Q16" s="225" t="s">
        <v>309</v>
      </c>
      <c r="R16" s="96" t="str">
        <f t="shared" si="0"/>
        <v>Selected OEE target (used in table below)</v>
      </c>
      <c r="S16" s="264">
        <f t="shared" si="3"/>
        <v>0.04</v>
      </c>
      <c r="T16" t="str">
        <f t="shared" si="1"/>
        <v>(HOT) V600 Alkox Reactor</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V600 Alkox Reactor</v>
      </c>
      <c r="U17" t="s">
        <v>875</v>
      </c>
    </row>
    <row r="18" spans="1:21">
      <c r="A18" s="44" t="s">
        <v>374</v>
      </c>
      <c r="B18" s="7">
        <f>INDEX(TableOEE[Sum of Planned Turnaround Hours],MATCH($B$2,TableOEE[Unit],0))</f>
        <v>0</v>
      </c>
      <c r="C18" s="42">
        <v>0</v>
      </c>
      <c r="D18" s="1" t="str">
        <f>IFERROR(INDEX(Table13[Distributed Turnaround (hrs) matching?],MATCH('(HOT) V600 Alkox Reactor'!B2,Table13[ 2025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V600 Alkox Reactor</v>
      </c>
      <c r="U18" t="s">
        <v>877</v>
      </c>
    </row>
    <row r="19" spans="1:21">
      <c r="A19" s="45" t="s">
        <v>375</v>
      </c>
      <c r="B19" s="46">
        <f>INDEX(TableOEE[Sum of Planned Shutdown Hours],MATCH($B$2,TableOEE[Unit],0))</f>
        <v>180.88444438289099</v>
      </c>
      <c r="C19" s="42">
        <v>0</v>
      </c>
      <c r="D19" s="259" t="str">
        <f>IFERROR(INDEX(Table12[Distributed Shutdown (hrs) matching?],MATCH('(HOT) V600 Alkox Reactor'!B2,Table12[ 2025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180.88444438289099</v>
      </c>
      <c r="T19" t="str">
        <f t="shared" si="1"/>
        <v>(HOT) V600 Alkox Reactor</v>
      </c>
      <c r="U19" t="s">
        <v>877</v>
      </c>
    </row>
    <row r="20" spans="1:21">
      <c r="A20" s="30" t="s">
        <v>716</v>
      </c>
      <c r="B20" s="7">
        <f>INDEX(TableOEE[Sum of Planned Maintenance Hours],MATCH($B$2,TableOEE[Unit],0))</f>
        <v>180.88444438289099</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180.88444438289099</v>
      </c>
      <c r="T20" t="str">
        <f t="shared" si="1"/>
        <v>(HOT) V600 Alkox Reactor</v>
      </c>
      <c r="U20" t="s">
        <v>877</v>
      </c>
    </row>
    <row r="21" spans="1:21" ht="13.5" thickBot="1">
      <c r="A21" s="43" t="s">
        <v>715</v>
      </c>
      <c r="B21" s="7">
        <f>C20-B20</f>
        <v>-180.88444438289099</v>
      </c>
      <c r="C21" s="5">
        <f>IF(B20&gt;0,C20/B20-1,0)</f>
        <v>-1</v>
      </c>
      <c r="D21" s="269"/>
      <c r="E21" s="393"/>
      <c r="F21" s="394"/>
      <c r="G21" s="394"/>
      <c r="H21" s="394"/>
      <c r="I21" s="395"/>
      <c r="O21" s="95" t="s">
        <v>674</v>
      </c>
      <c r="P21" s="95" t="s">
        <v>879</v>
      </c>
      <c r="Q21" s="147" t="s">
        <v>715</v>
      </c>
      <c r="R21" s="96" t="str">
        <f t="shared" si="0"/>
        <v>Planned Maintenance Increase_Actual_LJ</v>
      </c>
      <c r="S21" s="265">
        <f>B21</f>
        <v>-180.88444438289099</v>
      </c>
      <c r="T21" t="str">
        <f t="shared" si="1"/>
        <v>(HOT) V600 Alkox Reactor</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V600 Alkox Reactor</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V600 Alkox Reactor</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(HOT) V600 Alkox Reactor</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(HOT) V600 Alkox Reactor</v>
      </c>
      <c r="U25" t="s">
        <v>877</v>
      </c>
    </row>
    <row r="26" spans="1:21">
      <c r="A26" s="126" t="s">
        <v>7</v>
      </c>
      <c r="B26" s="161">
        <f>INDEX(TableOEE[Sum of ComercialLossInHours],MATCH($B$2,TableOEE[Unit],0))</f>
        <v>1221.6658328318499</v>
      </c>
      <c r="C26" s="85"/>
      <c r="D26" s="161">
        <f>B26</f>
        <v>1221.6658328318499</v>
      </c>
      <c r="E26" s="159"/>
      <c r="F26" s="282"/>
      <c r="G26" s="294">
        <f>IFERROR(-(I26-D26),"")</f>
        <v>-569.239615121528</v>
      </c>
      <c r="H26" s="295"/>
      <c r="I26" s="161">
        <f>I25-I28</f>
        <v>1790.9054479533779</v>
      </c>
      <c r="J26" s="206"/>
      <c r="O26" s="95" t="s">
        <v>675</v>
      </c>
      <c r="P26" s="95" t="s">
        <v>685</v>
      </c>
      <c r="Q26" s="147" t="s">
        <v>715</v>
      </c>
      <c r="R26" s="96" t="str">
        <f t="shared" si="0"/>
        <v>Planned Maintenance Increase_Target_NJ</v>
      </c>
      <c r="S26" s="264">
        <f>C21</f>
        <v>-1</v>
      </c>
      <c r="T26" t="str">
        <f t="shared" si="1"/>
        <v>(HOT) V600 Alkox Reactor</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f>E12</f>
        <v>0</v>
      </c>
      <c r="T27" t="str">
        <f t="shared" si="1"/>
        <v>(HOT) V600 Alkox Reactor</v>
      </c>
      <c r="U27" t="s">
        <v>706</v>
      </c>
    </row>
    <row r="28" spans="1:21">
      <c r="A28" s="128" t="s">
        <v>14</v>
      </c>
      <c r="B28" s="162">
        <f>INDEX(TableOEE[Sum of AvailableInHours],MATCH($B$2,TableOEE[Unit],0))+B40</f>
        <v>7562.3341671681501</v>
      </c>
      <c r="C28" s="110">
        <f>IFERROR($B28/$B$28,)</f>
        <v>1</v>
      </c>
      <c r="D28" s="162">
        <f>D25-D26-D27</f>
        <v>7562.3341671681501</v>
      </c>
      <c r="E28" s="163">
        <v>1</v>
      </c>
      <c r="F28" s="284"/>
      <c r="G28" s="297">
        <f>D28-I28</f>
        <v>593.239615121528</v>
      </c>
      <c r="H28" s="298"/>
      <c r="I28" s="162">
        <f>IFERROR(IF(B15="OEE",I45/F48,I30+I29),0)</f>
        <v>6969.0945520466221</v>
      </c>
      <c r="J28" s="207">
        <v>1</v>
      </c>
      <c r="O28" s="95" t="s">
        <v>674</v>
      </c>
      <c r="P28" s="95" t="s">
        <v>686</v>
      </c>
      <c r="Q28" s="150" t="s">
        <v>10</v>
      </c>
      <c r="R28" s="96" t="str">
        <f t="shared" si="0"/>
        <v>OEE_Actuals_LJ</v>
      </c>
      <c r="S28" s="264">
        <f>B48</f>
        <v>0.69379098307662612</v>
      </c>
      <c r="T28" t="str">
        <f t="shared" si="1"/>
        <v>(HOT) V600 Alkox Reactor</v>
      </c>
      <c r="U28" t="s">
        <v>141</v>
      </c>
    </row>
    <row r="29" spans="1:21" ht="13.5" thickBot="1">
      <c r="A29" s="129" t="s">
        <v>17</v>
      </c>
      <c r="B29" s="164">
        <f>INDEX(TableOEE[Sum of Planned Maintenance Hours],MATCH($B$2,TableOEE[Unit],0))</f>
        <v>180.88444438289099</v>
      </c>
      <c r="C29" s="16">
        <f>IFERROR($B29/$B$28,)</f>
        <v>2.3919128721949401E-2</v>
      </c>
      <c r="D29" s="164">
        <f>B29</f>
        <v>180.88444438289099</v>
      </c>
      <c r="E29" s="165">
        <f>D29/$D$28</f>
        <v>2.3919128721949401E-2</v>
      </c>
      <c r="F29" s="285"/>
      <c r="G29" s="299">
        <f>-(I29-D29)</f>
        <v>180.88444438289099</v>
      </c>
      <c r="H29" s="285">
        <f>IFERROR($C29-$J29,)</f>
        <v>2.3919128721949401E-2</v>
      </c>
      <c r="I29" s="164">
        <f>C20</f>
        <v>0</v>
      </c>
      <c r="J29" s="208">
        <f>IFERROR(I29/I28,)</f>
        <v>0</v>
      </c>
      <c r="O29" s="95" t="s">
        <v>674</v>
      </c>
      <c r="P29" s="95" t="s">
        <v>686</v>
      </c>
      <c r="Q29" s="150" t="s">
        <v>666</v>
      </c>
      <c r="R29" s="96" t="str">
        <f t="shared" si="0"/>
        <v>Running OEE_Actuals_LJ</v>
      </c>
      <c r="S29" s="264">
        <f t="shared" ref="S29:S31" si="4">B49</f>
        <v>0.71079252087810862</v>
      </c>
      <c r="T29" t="str">
        <f t="shared" si="1"/>
        <v>(HOT) V600 Alkox Reactor</v>
      </c>
      <c r="U29" t="s">
        <v>141</v>
      </c>
    </row>
    <row r="30" spans="1:21">
      <c r="A30" s="128" t="s">
        <v>665</v>
      </c>
      <c r="B30" s="162">
        <f>B28-B29</f>
        <v>7381.4497227852589</v>
      </c>
      <c r="C30" s="110">
        <f>B30/B28</f>
        <v>0.97608087127805054</v>
      </c>
      <c r="D30" s="162">
        <f>D28-D29</f>
        <v>7381.4497227852589</v>
      </c>
      <c r="E30" s="163">
        <f>D30/D28</f>
        <v>0.97608087127805054</v>
      </c>
      <c r="F30" s="284"/>
      <c r="G30" s="297">
        <f>D30-I30</f>
        <v>412.35517073863684</v>
      </c>
      <c r="H30" s="298"/>
      <c r="I30" s="162">
        <f>IF(B15="OEE",I28-I29,I45/F49)</f>
        <v>6969.0945520466221</v>
      </c>
      <c r="J30" s="209"/>
      <c r="O30" s="95" t="s">
        <v>674</v>
      </c>
      <c r="P30" s="95" t="s">
        <v>686</v>
      </c>
      <c r="Q30" s="150" t="s">
        <v>8</v>
      </c>
      <c r="R30" s="96" t="str">
        <f t="shared" si="0"/>
        <v>Utilization_Actuals_LJ</v>
      </c>
      <c r="S30" s="264">
        <f t="shared" si="4"/>
        <v>0.86092146711841422</v>
      </c>
      <c r="T30" t="str">
        <f t="shared" si="1"/>
        <v>(HOT) V600 Alkox Reactor</v>
      </c>
      <c r="U30" t="s">
        <v>141</v>
      </c>
    </row>
    <row r="31" spans="1:21">
      <c r="A31" s="130" t="s">
        <v>18</v>
      </c>
      <c r="B31" s="166">
        <f>INDEX(TableCategories[Equipment Reliability],MATCH($B$2,TableCategories[Row Labels],0))-B29</f>
        <v>284.82305504988801</v>
      </c>
      <c r="C31" s="71">
        <f t="shared" ref="C31:C39" si="5">IFERROR($B31/$B$28,)</f>
        <v>3.7663378628049311E-2</v>
      </c>
      <c r="D31" s="166">
        <f>IFERROR(IF($B$8="Exclude",B31,IF($B$9="No",B31,IF(B31&lt;0,B31+$C$7*(1-$D$7)*B31/$D$6,B31+(($C$7*$D$7)*B31/$C$6)))),0)</f>
        <v>284.82305504988801</v>
      </c>
      <c r="E31" s="167">
        <f>D31/$D$28</f>
        <v>3.7663378628049311E-2</v>
      </c>
      <c r="F31" s="325">
        <v>0</v>
      </c>
      <c r="G31" s="166">
        <f>IF($F$24="% decrease",D31-I31,F31)</f>
        <v>22.343408241480404</v>
      </c>
      <c r="H31" s="327">
        <f t="shared" ref="H31:H39" si="6">IF($F$24="% decrease",$F31,$E31-$J31)</f>
        <v>0</v>
      </c>
      <c r="I31" s="166">
        <f>IF($F$24="% decrease",J31*$I$28,$D31-$G31)</f>
        <v>262.47964680840761</v>
      </c>
      <c r="J31" s="210">
        <f t="shared" ref="J31:J39" si="7">IF($F$24="% decrease",$E31-$H31,I31/I$28)</f>
        <v>3.7663378628049311E-2</v>
      </c>
      <c r="O31" s="95" t="s">
        <v>674</v>
      </c>
      <c r="P31" s="95" t="s">
        <v>686</v>
      </c>
      <c r="Q31" s="150" t="s">
        <v>376</v>
      </c>
      <c r="R31" s="96" t="str">
        <f t="shared" si="0"/>
        <v>OAU_Actuals_LJ</v>
      </c>
      <c r="S31" s="264">
        <f t="shared" si="4"/>
        <v>0.5972995510238559</v>
      </c>
      <c r="T31" t="str">
        <f t="shared" si="1"/>
        <v>(HOT) V600 Alkox Reactor</v>
      </c>
      <c r="U31" t="s">
        <v>141</v>
      </c>
    </row>
    <row r="32" spans="1:21">
      <c r="A32" s="131" t="s">
        <v>1</v>
      </c>
      <c r="B32" s="168">
        <f>INDEX(TableCategories[Operational Reliability],MATCH($B$2,TableCategories[Row Labels],0))</f>
        <v>1142.27888420656</v>
      </c>
      <c r="C32" s="9">
        <f t="shared" si="5"/>
        <v>0.1510484539503372</v>
      </c>
      <c r="D32" s="168">
        <f t="shared" ref="D32:D39" si="8">IFERROR(IF($B$8="Exclude",B32,IF($B$9="No",B32,IF(B32&lt;0,B32+$C$7*(1-$D$7)*B32/$D$6,B32+(($C$7*$D$7)*B32/$C$6)))),0)</f>
        <v>1142.27888420656</v>
      </c>
      <c r="E32" s="169">
        <f t="shared" ref="E32:E41" si="9">D32/$D$28</f>
        <v>0.1510484539503372</v>
      </c>
      <c r="F32" s="325">
        <v>0</v>
      </c>
      <c r="G32" s="168">
        <f t="shared" ref="G32:G41" si="10">IF($F$24="% decrease",D32-I32,F32)</f>
        <v>89.607926686200017</v>
      </c>
      <c r="H32" s="327">
        <f t="shared" si="6"/>
        <v>0</v>
      </c>
      <c r="I32" s="168">
        <f t="shared" ref="I32:I41" si="11">IF($F$24="% decrease",J32*$I$28,$D32-$G32)</f>
        <v>1052.6709575203599</v>
      </c>
      <c r="J32" s="211">
        <f t="shared" si="7"/>
        <v>0.1510484539503372</v>
      </c>
      <c r="O32" s="95" t="s">
        <v>675</v>
      </c>
      <c r="P32" s="95" t="s">
        <v>719</v>
      </c>
      <c r="Q32" s="13" t="s">
        <v>10</v>
      </c>
      <c r="R32" s="96" t="str">
        <f t="shared" si="0"/>
        <v>OEE_Actuals_LJ_corrected</v>
      </c>
      <c r="S32" s="264">
        <f>C48</f>
        <v>0.69379098307662612</v>
      </c>
      <c r="T32" t="str">
        <f t="shared" si="1"/>
        <v>(HOT) V600 Alkox Reactor</v>
      </c>
      <c r="U32" t="s">
        <v>141</v>
      </c>
    </row>
    <row r="33" spans="1:21">
      <c r="A33" s="130" t="s">
        <v>2</v>
      </c>
      <c r="B33" s="166">
        <f>INDEX(TableCategories[Technology Reliability],MATCH($B$2,TableCategories[Row Labels],0))</f>
        <v>731.47583001664998</v>
      </c>
      <c r="C33" s="71">
        <f t="shared" si="5"/>
        <v>9.6726197738305458E-2</v>
      </c>
      <c r="D33" s="166">
        <f t="shared" si="8"/>
        <v>731.47583001664998</v>
      </c>
      <c r="E33" s="167">
        <f t="shared" si="9"/>
        <v>9.6726197738305458E-2</v>
      </c>
      <c r="F33" s="355">
        <v>0</v>
      </c>
      <c r="G33" s="166">
        <f t="shared" si="10"/>
        <v>57.381812318441121</v>
      </c>
      <c r="H33" s="327">
        <f t="shared" si="6"/>
        <v>0</v>
      </c>
      <c r="I33" s="166">
        <f t="shared" si="11"/>
        <v>674.09401769820886</v>
      </c>
      <c r="J33" s="210">
        <f t="shared" si="7"/>
        <v>9.6726197738305458E-2</v>
      </c>
      <c r="O33" s="95" t="s">
        <v>675</v>
      </c>
      <c r="P33" s="95" t="s">
        <v>719</v>
      </c>
      <c r="Q33" s="13" t="s">
        <v>666</v>
      </c>
      <c r="R33" s="96" t="str">
        <f t="shared" si="0"/>
        <v>Running OEE_Actuals_LJ_corrected</v>
      </c>
      <c r="S33" s="264">
        <f>C49</f>
        <v>0.71079252087810862</v>
      </c>
      <c r="T33" t="str">
        <f t="shared" si="1"/>
        <v>(HOT) V600 Alkox Reactor</v>
      </c>
      <c r="U33" t="s">
        <v>141</v>
      </c>
    </row>
    <row r="34" spans="1:21">
      <c r="A34" s="131" t="s">
        <v>3</v>
      </c>
      <c r="B34" s="168">
        <f>INDEX(TableCategories[Material Reliability],MATCH($B$2,TableCategories[Row Labels],0))</f>
        <v>73.5561108166645</v>
      </c>
      <c r="C34" s="9">
        <f t="shared" si="5"/>
        <v>9.7266411653703592E-3</v>
      </c>
      <c r="D34" s="168">
        <f t="shared" si="8"/>
        <v>73.5561108166645</v>
      </c>
      <c r="E34" s="169">
        <f t="shared" si="9"/>
        <v>9.7266411653703592E-3</v>
      </c>
      <c r="F34" s="273">
        <v>0</v>
      </c>
      <c r="G34" s="168">
        <f t="shared" si="10"/>
        <v>5.7702288613695174</v>
      </c>
      <c r="H34" s="327">
        <f t="shared" si="6"/>
        <v>0</v>
      </c>
      <c r="I34" s="168">
        <f t="shared" si="11"/>
        <v>67.785881955294983</v>
      </c>
      <c r="J34" s="211">
        <f t="shared" si="7"/>
        <v>9.7266411653703592E-3</v>
      </c>
      <c r="O34" s="95" t="s">
        <v>675</v>
      </c>
      <c r="P34" s="95" t="s">
        <v>719</v>
      </c>
      <c r="Q34" s="13" t="s">
        <v>8</v>
      </c>
      <c r="R34" s="96" t="str">
        <f t="shared" si="0"/>
        <v>Utilization_Actuals_LJ_corrected</v>
      </c>
      <c r="S34" s="264">
        <f>C50</f>
        <v>0.86092146711841422</v>
      </c>
      <c r="T34" t="str">
        <f t="shared" si="1"/>
        <v>(HOT) V600 Alkox Reactor</v>
      </c>
      <c r="U34" t="s">
        <v>141</v>
      </c>
    </row>
    <row r="35" spans="1:21">
      <c r="A35" s="130" t="s">
        <v>4</v>
      </c>
      <c r="B35" s="166">
        <f>INDEX(TableCategories[Logistics/Supply Reliability],MATCH($B$2,TableCategories[Row Labels],0))</f>
        <v>263.763055283234</v>
      </c>
      <c r="C35" s="71">
        <f t="shared" si="5"/>
        <v>3.4878524203328709E-2</v>
      </c>
      <c r="D35" s="166">
        <f t="shared" si="8"/>
        <v>263.763055283234</v>
      </c>
      <c r="E35" s="167">
        <f t="shared" si="9"/>
        <v>3.4878524203328709E-2</v>
      </c>
      <c r="F35" s="325">
        <v>0</v>
      </c>
      <c r="G35" s="166">
        <f t="shared" si="10"/>
        <v>20.691322274389648</v>
      </c>
      <c r="H35" s="327">
        <f t="shared" si="6"/>
        <v>0</v>
      </c>
      <c r="I35" s="166">
        <f t="shared" si="11"/>
        <v>243.07173300884435</v>
      </c>
      <c r="J35" s="210">
        <f t="shared" si="7"/>
        <v>3.4878524203328709E-2</v>
      </c>
      <c r="O35" s="95" t="s">
        <v>675</v>
      </c>
      <c r="P35" s="95" t="s">
        <v>719</v>
      </c>
      <c r="Q35" s="13" t="s">
        <v>376</v>
      </c>
      <c r="R35" s="96" t="str">
        <f t="shared" si="0"/>
        <v>OAU_Actuals_LJ_corrected</v>
      </c>
      <c r="S35" s="264">
        <f>C51</f>
        <v>0.5972995510238559</v>
      </c>
      <c r="T35" t="str">
        <f t="shared" si="1"/>
        <v>(HOT) V600 Alkox Reactor</v>
      </c>
      <c r="U35" t="s">
        <v>141</v>
      </c>
    </row>
    <row r="36" spans="1:21">
      <c r="A36" s="131" t="s">
        <v>5</v>
      </c>
      <c r="B36" s="168">
        <f>INDEX(TableCategories[External Reliability],MATCH($B$2,TableCategories[Row Labels],0))</f>
        <v>191.22361099936001</v>
      </c>
      <c r="C36" s="9">
        <f t="shared" si="5"/>
        <v>2.5286321229965835E-2</v>
      </c>
      <c r="D36" s="168">
        <f t="shared" si="8"/>
        <v>191.22361099936001</v>
      </c>
      <c r="E36" s="169">
        <f t="shared" si="9"/>
        <v>2.5286321229965835E-2</v>
      </c>
      <c r="F36" s="355">
        <v>0</v>
      </c>
      <c r="G36" s="168">
        <f t="shared" si="10"/>
        <v>15.000847474304265</v>
      </c>
      <c r="H36" s="327">
        <f t="shared" si="6"/>
        <v>0</v>
      </c>
      <c r="I36" s="168">
        <f t="shared" si="11"/>
        <v>176.22276352505574</v>
      </c>
      <c r="J36" s="211">
        <f t="shared" si="7"/>
        <v>2.5286321229965835E-2</v>
      </c>
      <c r="O36" s="95" t="s">
        <v>676</v>
      </c>
      <c r="P36" s="95" t="s">
        <v>684</v>
      </c>
      <c r="Q36" s="150" t="s">
        <v>10</v>
      </c>
      <c r="R36" s="96" t="str">
        <f t="shared" si="0"/>
        <v>OEE_Normalized_LJ</v>
      </c>
      <c r="S36" s="264">
        <f>D48</f>
        <v>0.69066922649057505</v>
      </c>
      <c r="T36" t="str">
        <f t="shared" si="1"/>
        <v>(HOT) V600 Alkox Reactor</v>
      </c>
      <c r="U36" t="s">
        <v>141</v>
      </c>
    </row>
    <row r="37" spans="1:21">
      <c r="A37" s="130" t="s">
        <v>11</v>
      </c>
      <c r="B37" s="166">
        <f>INDEX(TableCategories[Other Reliability],MATCH($B$2,TableCategories[Row Labels],0))</f>
        <v>-684.17056250824498</v>
      </c>
      <c r="C37" s="71">
        <f t="shared" si="5"/>
        <v>-9.0470818583840068E-2</v>
      </c>
      <c r="D37" s="166">
        <f t="shared" si="8"/>
        <v>-684.17056250824498</v>
      </c>
      <c r="E37" s="167">
        <f t="shared" si="9"/>
        <v>-9.0470818583840068E-2</v>
      </c>
      <c r="F37" s="325">
        <v>0</v>
      </c>
      <c r="G37" s="166">
        <f t="shared" si="10"/>
        <v>-53.670873596406864</v>
      </c>
      <c r="H37" s="327">
        <f t="shared" si="6"/>
        <v>0</v>
      </c>
      <c r="I37" s="166">
        <f t="shared" si="11"/>
        <v>-630.49968891183812</v>
      </c>
      <c r="J37" s="210">
        <f t="shared" si="7"/>
        <v>-9.0470818583840068E-2</v>
      </c>
      <c r="O37" s="95" t="s">
        <v>676</v>
      </c>
      <c r="P37" s="95" t="s">
        <v>684</v>
      </c>
      <c r="Q37" s="150" t="s">
        <v>666</v>
      </c>
      <c r="R37" s="96" t="str">
        <f t="shared" si="0"/>
        <v>Running OEE_Normalized_LJ</v>
      </c>
      <c r="S37" s="264">
        <f>D49</f>
        <v>0.70759426479307386</v>
      </c>
      <c r="T37" t="str">
        <f t="shared" si="1"/>
        <v>(HOT) V600 Alkox Reactor</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0.86092146711825301</v>
      </c>
      <c r="T38" t="str">
        <f t="shared" si="1"/>
        <v>(HOT) V600 Alkox Reactor</v>
      </c>
      <c r="U38" t="s">
        <v>141</v>
      </c>
    </row>
    <row r="39" spans="1:21">
      <c r="A39" s="131" t="s">
        <v>16</v>
      </c>
      <c r="B39" s="166">
        <f>INDEX(TableOEE[Sum of UndetectedInHours],MATCH($B$2,TableOEE[Unit],0))</f>
        <v>131.820482727605</v>
      </c>
      <c r="C39" s="71">
        <f t="shared" si="5"/>
        <v>1.7431189869908579E-2</v>
      </c>
      <c r="D39" s="166">
        <f t="shared" si="8"/>
        <v>131.820482727605</v>
      </c>
      <c r="E39" s="167">
        <f t="shared" si="9"/>
        <v>1.7431189869908579E-2</v>
      </c>
      <c r="F39" s="355">
        <v>0</v>
      </c>
      <c r="G39" s="166">
        <f t="shared" si="10"/>
        <v>10.34087236953485</v>
      </c>
      <c r="H39" s="327">
        <f t="shared" si="6"/>
        <v>0</v>
      </c>
      <c r="I39" s="166">
        <f t="shared" si="11"/>
        <v>121.47961035807015</v>
      </c>
      <c r="J39" s="210">
        <f t="shared" si="7"/>
        <v>1.7431189869908579E-2</v>
      </c>
      <c r="O39" s="95" t="s">
        <v>676</v>
      </c>
      <c r="P39" s="95" t="s">
        <v>684</v>
      </c>
      <c r="Q39" s="150" t="s">
        <v>376</v>
      </c>
      <c r="R39" s="96" t="str">
        <f t="shared" si="0"/>
        <v>OAU_Normalized_LJ</v>
      </c>
      <c r="S39" s="264">
        <f>D51</f>
        <v>0.59461196376369496</v>
      </c>
      <c r="T39" t="str">
        <f t="shared" si="1"/>
        <v>(HOT) V600 Alkox Reactor</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0.69379098307662612</v>
      </c>
      <c r="T40" t="str">
        <f t="shared" si="1"/>
        <v>(HOT) V600 Alkox Reactor</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0.71079252087810862</v>
      </c>
      <c r="T41" t="str">
        <f t="shared" si="1"/>
        <v>(HOT) V600 Alkox Reactor</v>
      </c>
      <c r="U41" t="s">
        <v>141</v>
      </c>
    </row>
    <row r="42" spans="1:21" ht="13.5" thickBot="1">
      <c r="A42" s="134" t="s">
        <v>705</v>
      </c>
      <c r="B42" s="172"/>
      <c r="C42" s="72"/>
      <c r="D42" s="172">
        <f>D30-D31-D32-D33-D34-D35-D36-D37-D38-D39-D40-D41-D45</f>
        <v>-9.0949470177292824E-12</v>
      </c>
      <c r="E42" s="173"/>
      <c r="F42" s="287"/>
      <c r="G42" s="306"/>
      <c r="H42" s="307">
        <f>IFERROR(I42/I28,0)</f>
        <v>3.3082409079534046E-2</v>
      </c>
      <c r="I42" s="184">
        <f>-(I43-I31-I32-I33-I34-I35-I36-I37-I38-I39-I41-I40)</f>
        <v>230.55443688475845</v>
      </c>
      <c r="J42" s="212">
        <f>-H42</f>
        <v>-3.3082409079534046E-2</v>
      </c>
      <c r="O42" s="95" t="s">
        <v>677</v>
      </c>
      <c r="P42" s="95" t="s">
        <v>720</v>
      </c>
      <c r="Q42" s="13" t="s">
        <v>8</v>
      </c>
      <c r="R42" s="96" t="str">
        <f t="shared" si="0"/>
        <v>Utilization_Baseline target setting</v>
      </c>
      <c r="S42" s="264">
        <f>E50</f>
        <v>0.86092146711841422</v>
      </c>
      <c r="T42" t="str">
        <f t="shared" si="1"/>
        <v>(HOT) V600 Alkox Reactor</v>
      </c>
      <c r="U42" t="s">
        <v>141</v>
      </c>
    </row>
    <row r="43" spans="1:21" ht="13.5" hidden="1" thickBot="1">
      <c r="A43" s="135" t="s">
        <v>397</v>
      </c>
      <c r="B43" s="174">
        <f>SUBTOTAL(109,B31:B40)</f>
        <v>2134.7704665917163</v>
      </c>
      <c r="C43" s="106">
        <f>IFERROR($B43/$B$28,)</f>
        <v>0.28228988820142537</v>
      </c>
      <c r="D43" s="174">
        <f>SUBTOTAL(109,D31:D41)</f>
        <v>2134.7704665917163</v>
      </c>
      <c r="E43" s="175">
        <f>D43/D28</f>
        <v>0.28228988820142537</v>
      </c>
      <c r="F43" s="288"/>
      <c r="G43" s="308">
        <f>I43-D43</f>
        <v>-398.01998151407133</v>
      </c>
      <c r="H43" s="309">
        <f>E43-J43</f>
        <v>3.3082409079534053E-2</v>
      </c>
      <c r="I43" s="174">
        <f>I30-I45</f>
        <v>1736.750485077645</v>
      </c>
      <c r="J43" s="213">
        <f>SUM(J31:J42)</f>
        <v>0.24920747912189131</v>
      </c>
      <c r="O43" s="95" t="s">
        <v>677</v>
      </c>
      <c r="P43" s="95"/>
      <c r="Q43" s="13" t="s">
        <v>722</v>
      </c>
      <c r="R43" s="96" t="str">
        <f t="shared" si="0"/>
        <v>BLANK1</v>
      </c>
      <c r="S43" s="264"/>
      <c r="T43" t="str">
        <f t="shared" si="1"/>
        <v>(HOT) V600 Alkox Reactor</v>
      </c>
      <c r="U43" t="s">
        <v>141</v>
      </c>
    </row>
    <row r="44" spans="1:21" ht="13.5" hidden="1" thickBot="1">
      <c r="A44" s="136" t="s">
        <v>398</v>
      </c>
      <c r="B44" s="176">
        <f>B43+B29</f>
        <v>2315.6549109746074</v>
      </c>
      <c r="C44" s="31">
        <f>IFERROR($B44/$B$28,)</f>
        <v>0.30620901692337477</v>
      </c>
      <c r="D44" s="176">
        <f>D43+D29</f>
        <v>2315.6549109746074</v>
      </c>
      <c r="E44" s="177">
        <f>D44/D28</f>
        <v>0.30620901692337477</v>
      </c>
      <c r="F44" s="289"/>
      <c r="G44" s="310">
        <f>I44-D44</f>
        <v>-578.90442589696249</v>
      </c>
      <c r="H44" s="311">
        <f>IFERROR(E44-J44,)</f>
        <v>5.7001537801483426E-2</v>
      </c>
      <c r="I44" s="176">
        <f>I28-I45</f>
        <v>1736.750485077645</v>
      </c>
      <c r="J44" s="214">
        <f>IFERROR(1-J45,)</f>
        <v>0.24920747912189134</v>
      </c>
      <c r="O44" s="95" t="s">
        <v>677</v>
      </c>
      <c r="P44" s="95"/>
      <c r="Q44" s="151" t="s">
        <v>721</v>
      </c>
      <c r="R44" s="96" t="str">
        <f t="shared" si="0"/>
        <v>BLANK2</v>
      </c>
      <c r="S44" s="264"/>
      <c r="T44" t="str">
        <f t="shared" si="1"/>
        <v>(HOT) V600 Alkox Reactor</v>
      </c>
      <c r="U44" t="s">
        <v>141</v>
      </c>
    </row>
    <row r="45" spans="1:21" ht="13.5" thickBot="1">
      <c r="A45" s="137" t="s">
        <v>712</v>
      </c>
      <c r="B45" s="178">
        <f>INDEX(TableOEE[Sum of ActualInHours],MATCH($B$2,TableOEE[Unit],0))</f>
        <v>5246.6792561935499</v>
      </c>
      <c r="C45" s="139">
        <f>IFERROR($B45/$B$28,)</f>
        <v>0.69379098307662612</v>
      </c>
      <c r="D45" s="178">
        <f>IF(B8="Include",B45/(1+B7),B45)</f>
        <v>5246.6792561935499</v>
      </c>
      <c r="E45" s="179">
        <f>D45/D28</f>
        <v>0.69379098307662612</v>
      </c>
      <c r="F45" s="290"/>
      <c r="G45" s="312">
        <f>I45-D45</f>
        <v>-14.335189224572787</v>
      </c>
      <c r="H45" s="290">
        <f>H43+H29+H42+H41</f>
        <v>9.0083946881017507E-2</v>
      </c>
      <c r="I45" s="178">
        <f>D45*(1+B6)*I25/B25</f>
        <v>5232.3440669689771</v>
      </c>
      <c r="J45" s="215">
        <f>F48</f>
        <v>0.75079252087810866</v>
      </c>
      <c r="O45" s="95" t="s">
        <v>677</v>
      </c>
      <c r="P45" s="95" t="s">
        <v>720</v>
      </c>
      <c r="Q45" s="13" t="s">
        <v>376</v>
      </c>
      <c r="R45" s="96" t="str">
        <f t="shared" si="0"/>
        <v>OAU_Baseline target setting</v>
      </c>
      <c r="S45" s="264">
        <f>E51</f>
        <v>0.5972995510238559</v>
      </c>
      <c r="T45" t="str">
        <f t="shared" si="1"/>
        <v>(HOT) V600 Alkox Reactor</v>
      </c>
      <c r="U45" t="s">
        <v>141</v>
      </c>
    </row>
    <row r="46" spans="1:21">
      <c r="F46" t="s">
        <v>713</v>
      </c>
      <c r="O46" s="95" t="s">
        <v>678</v>
      </c>
      <c r="P46" s="95" t="s">
        <v>880</v>
      </c>
      <c r="Q46" s="150" t="s">
        <v>10</v>
      </c>
      <c r="R46" s="96" t="str">
        <f t="shared" si="0"/>
        <v>OEE_Targets_NJ</v>
      </c>
      <c r="S46" s="264">
        <f>F48</f>
        <v>0.75079252087810866</v>
      </c>
      <c r="T46" t="str">
        <f t="shared" si="1"/>
        <v>(HOT) V600 Alkox Reactor</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0.75079252087810866</v>
      </c>
      <c r="T47" t="str">
        <f t="shared" si="1"/>
        <v>(HOT) V600 Alkox Reactor</v>
      </c>
      <c r="U47" t="s">
        <v>141</v>
      </c>
    </row>
    <row r="48" spans="1:21">
      <c r="A48" s="88" t="s">
        <v>10</v>
      </c>
      <c r="B48" s="89">
        <f>IFERROR(B45/(B28-B40),)</f>
        <v>0.69379098307662612</v>
      </c>
      <c r="C48" s="69">
        <f>IFERROR(B45/(B28-B5),)</f>
        <v>0.69379098307662612</v>
      </c>
      <c r="D48" s="89">
        <f>IFERROR(IF(INDEX(TableOEEnormalized[LastYear Normalized OEE],MATCH($B$2,TableOEEnormalized[Unit],0))&gt;0,
        INDEX(TableOEEnormalized[LastYear Normalized OEE],MATCH($B$2,TableOEEnormalized[Unit],0)),""),Table101291218[[#This Row],[Actual 2024]])</f>
        <v>0.69066922649057505</v>
      </c>
      <c r="E48" s="69">
        <f>IF(B8="Include",C48/(1+B7),C48)</f>
        <v>0.69379098307662612</v>
      </c>
      <c r="F48" s="275">
        <f>IFERROR(IF(B15="OEE", E48+B14,I45/I28),)</f>
        <v>0.75079252087810866</v>
      </c>
      <c r="G48" s="276" t="s">
        <v>707</v>
      </c>
      <c r="O48" s="95" t="s">
        <v>678</v>
      </c>
      <c r="P48" s="95" t="s">
        <v>880</v>
      </c>
      <c r="Q48" s="150" t="s">
        <v>8</v>
      </c>
      <c r="R48" s="96" t="str">
        <f t="shared" si="0"/>
        <v>Utilization_Targets_NJ</v>
      </c>
      <c r="S48" s="264">
        <f>F50</f>
        <v>0.79555873881810757</v>
      </c>
      <c r="T48" t="str">
        <f t="shared" si="1"/>
        <v>(HOT) V600 Alkox Reactor</v>
      </c>
      <c r="U48" t="s">
        <v>141</v>
      </c>
    </row>
    <row r="49" spans="1:35">
      <c r="A49" s="90" t="s">
        <v>666</v>
      </c>
      <c r="B49" s="69">
        <f>IFERROR(B45/(B30-B40),)</f>
        <v>0.71079252087810862</v>
      </c>
      <c r="C49" s="69">
        <f>IFERROR(B45/(B30-B5),)</f>
        <v>0.71079252087810862</v>
      </c>
      <c r="D49" s="123">
        <f>IFERROR(B45/(1+B7)/(B28-B29),)</f>
        <v>0.70759426479307386</v>
      </c>
      <c r="E49" s="69">
        <f>IFERROR(D45/(D30),)</f>
        <v>0.71079252087810862</v>
      </c>
      <c r="F49" s="123">
        <f>IFERROR(IF(B15="OEE",(I45/I30),E49+B14),)</f>
        <v>0.75079252087810866</v>
      </c>
      <c r="G49" s="274" t="s">
        <v>669</v>
      </c>
      <c r="O49" s="95" t="s">
        <v>678</v>
      </c>
      <c r="P49" s="95" t="s">
        <v>880</v>
      </c>
      <c r="Q49" s="150" t="s">
        <v>376</v>
      </c>
      <c r="R49" s="96" t="str">
        <f t="shared" si="0"/>
        <v>OAU_Targets_NJ</v>
      </c>
      <c r="S49" s="264">
        <f>F51</f>
        <v>0.59729955102385579</v>
      </c>
      <c r="T49" t="str">
        <f t="shared" si="1"/>
        <v>(HOT) V600 Alkox Reactor</v>
      </c>
      <c r="U49" t="s">
        <v>141</v>
      </c>
    </row>
    <row r="50" spans="1:35">
      <c r="A50" s="90" t="s">
        <v>8</v>
      </c>
      <c r="B50" s="5">
        <f>IFERROR((B28+B27)/(B25),)</f>
        <v>0.86092146711841422</v>
      </c>
      <c r="C50" s="69">
        <f>IFERROR((B28-B5)/B25,)</f>
        <v>0.86092146711841422</v>
      </c>
      <c r="D50" s="123">
        <f>IFERROR(IF(INDEX(TableOEEnormalized[LastYear Normalized Utilization],MATCH($B$2,TableOEEnormalized[Unit],0))&gt;0,
      INDEX(TableOEEnormalized[LastYear Normalized Utilization],MATCH($B$2,TableOEEnormalized[Unit],0)),""),Table101291218[[#This Row],[Actual 2024]])</f>
        <v>0.86092146711825301</v>
      </c>
      <c r="E50" s="69">
        <f>IFERROR(D28/D25,)</f>
        <v>0.86092146711841422</v>
      </c>
      <c r="F50" s="69">
        <f>IFERROR(I28/I25,)</f>
        <v>0.79555873881810757</v>
      </c>
      <c r="G50" s="91" t="s">
        <v>1188</v>
      </c>
      <c r="O50" s="95" t="s">
        <v>679</v>
      </c>
      <c r="P50" s="95" t="s">
        <v>706</v>
      </c>
      <c r="Q50" s="13" t="s">
        <v>10</v>
      </c>
      <c r="R50" s="96" t="str">
        <f t="shared" si="0"/>
        <v>OEE_Remarks</v>
      </c>
      <c r="S50" s="264" t="str">
        <f>G48</f>
        <v>OEE target</v>
      </c>
      <c r="T50" t="str">
        <f t="shared" si="1"/>
        <v>(HOT) V600 Alkox Reactor</v>
      </c>
      <c r="U50" t="s">
        <v>878</v>
      </c>
    </row>
    <row r="51" spans="1:35">
      <c r="A51" s="90" t="s">
        <v>376</v>
      </c>
      <c r="B51" s="69">
        <f>IFERROR(B45/B25,)</f>
        <v>0.5972995510238559</v>
      </c>
      <c r="C51" s="6">
        <f>Table101291218[[#This Row],[Actual 2024]]</f>
        <v>0.5972995510238559</v>
      </c>
      <c r="D51" s="123">
        <f>IFERROR(IF(INDEX(TableOEEnormalized[LastYear Normalized OAU],MATCH($B$2,TableOEEnormalized[Unit],0))&gt;0,
   INDEX(TableOEEnormalized[LastYear Normalized OAU],MATCH($B$2,TableOEEnormalized[Unit],0)),""),Table101291218[[#This Row],[Actual 2024]])</f>
        <v>0.59461196376369496</v>
      </c>
      <c r="E51" s="5">
        <f>D45/D25</f>
        <v>0.5972995510238559</v>
      </c>
      <c r="F51" s="69">
        <f>I45/I25</f>
        <v>0.59729955102385579</v>
      </c>
      <c r="G51" s="91"/>
      <c r="O51" s="95" t="s">
        <v>679</v>
      </c>
      <c r="P51" s="95" t="s">
        <v>706</v>
      </c>
      <c r="Q51" s="13" t="s">
        <v>666</v>
      </c>
      <c r="R51" s="96" t="str">
        <f t="shared" si="0"/>
        <v>Running OEE_Remarks</v>
      </c>
      <c r="S51" s="264" t="str">
        <f>G49</f>
        <v>Running OEE target</v>
      </c>
      <c r="T51" t="str">
        <f t="shared" si="1"/>
        <v>(HOT) V600 Alkox Reactor</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V600 Alkox Reactor</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V600 Alkox Reactor</v>
      </c>
      <c r="U53" t="s">
        <v>878</v>
      </c>
    </row>
    <row r="54" spans="1:35">
      <c r="A54" s="65" t="str">
        <f>B2</f>
        <v>(HOT) V600 Alkox Reactor</v>
      </c>
      <c r="B54" s="75">
        <f>B48</f>
        <v>0.69379098307662612</v>
      </c>
      <c r="C54" s="75">
        <f>D48</f>
        <v>0.69066922649057505</v>
      </c>
      <c r="D54" s="75">
        <f>E48</f>
        <v>0.69379098307662612</v>
      </c>
      <c r="E54" s="75">
        <f>F48</f>
        <v>0.75079252087810866</v>
      </c>
      <c r="F54" s="76">
        <f>B6</f>
        <v>0</v>
      </c>
      <c r="G54" s="97">
        <f>B5</f>
        <v>0</v>
      </c>
      <c r="H54" s="76">
        <f>B14</f>
        <v>0.04</v>
      </c>
      <c r="I54" s="76" t="str">
        <f>B11</f>
        <v>Playbook Matrix Value</v>
      </c>
      <c r="J54" s="76" t="str">
        <f>B15</f>
        <v>Running OEE</v>
      </c>
      <c r="K54" s="102">
        <f>C18</f>
        <v>0</v>
      </c>
      <c r="L54" s="102">
        <f>C19</f>
        <v>0</v>
      </c>
      <c r="M54" s="104">
        <f>F49</f>
        <v>0.75079252087810866</v>
      </c>
      <c r="O54" s="95" t="s">
        <v>674</v>
      </c>
      <c r="P54" s="95" t="s">
        <v>683</v>
      </c>
      <c r="Q54" s="142" t="s">
        <v>13</v>
      </c>
      <c r="R54" s="96" t="str">
        <f t="shared" si="0"/>
        <v>MAC - Calender hours_Loss_Hours_LJ</v>
      </c>
      <c r="S54" s="267">
        <f>B25</f>
        <v>8784</v>
      </c>
      <c r="T54" t="str">
        <f t="shared" si="1"/>
        <v>(HOT) V600 Alkox Reactor</v>
      </c>
      <c r="U54" t="s">
        <v>876</v>
      </c>
    </row>
    <row r="55" spans="1:35">
      <c r="O55" s="95" t="s">
        <v>674</v>
      </c>
      <c r="P55" s="95" t="s">
        <v>683</v>
      </c>
      <c r="Q55" s="152" t="s">
        <v>7</v>
      </c>
      <c r="R55" s="96" t="str">
        <f t="shared" si="0"/>
        <v>Commercial Reliability_Loss_Hours_LJ</v>
      </c>
      <c r="S55" s="267">
        <f t="shared" ref="S55:S74" si="12">B26</f>
        <v>1221.6658328318499</v>
      </c>
      <c r="T55" t="str">
        <f t="shared" si="1"/>
        <v>(HOT) V600 Alkox Reactor</v>
      </c>
      <c r="U55" t="s">
        <v>876</v>
      </c>
    </row>
    <row r="56" spans="1:35">
      <c r="D56" s="5"/>
      <c r="O56" s="95" t="s">
        <v>674</v>
      </c>
      <c r="P56" s="95" t="s">
        <v>683</v>
      </c>
      <c r="Q56" s="152" t="s">
        <v>704</v>
      </c>
      <c r="R56" s="96" t="str">
        <f t="shared" si="0"/>
        <v>Exception hours (loss excluded from OEE)_Loss_Hours_LJ</v>
      </c>
      <c r="S56" s="267">
        <f t="shared" si="12"/>
        <v>0</v>
      </c>
      <c r="T56" t="str">
        <f t="shared" si="1"/>
        <v>(HOT) V600 Alkox Reactor</v>
      </c>
      <c r="U56" t="s">
        <v>876</v>
      </c>
    </row>
    <row r="57" spans="1:35">
      <c r="D57" s="5"/>
      <c r="F57" s="54"/>
      <c r="O57" s="95" t="s">
        <v>674</v>
      </c>
      <c r="P57" s="95" t="s">
        <v>683</v>
      </c>
      <c r="Q57" s="152" t="s">
        <v>14</v>
      </c>
      <c r="R57" s="96" t="str">
        <f t="shared" si="0"/>
        <v>Available OEE - Scheduled hours_Loss_Hours_LJ</v>
      </c>
      <c r="S57" s="267">
        <f t="shared" si="12"/>
        <v>7562.3341671681501</v>
      </c>
      <c r="T57" t="str">
        <f t="shared" si="1"/>
        <v>(HOT) V600 Alkox Reactor</v>
      </c>
      <c r="U57" t="s">
        <v>876</v>
      </c>
    </row>
    <row r="58" spans="1:35">
      <c r="B58" s="83"/>
      <c r="C58" s="51"/>
      <c r="O58" s="95" t="s">
        <v>674</v>
      </c>
      <c r="P58" s="95" t="s">
        <v>683</v>
      </c>
      <c r="Q58" s="152" t="s">
        <v>17</v>
      </c>
      <c r="R58" s="96" t="str">
        <f t="shared" si="0"/>
        <v>Equipment Reliability - Planned TA &amp; Planned SD_Loss_Hours_LJ</v>
      </c>
      <c r="S58" s="267">
        <f t="shared" si="12"/>
        <v>180.88444438289099</v>
      </c>
      <c r="T58" t="str">
        <f t="shared" si="1"/>
        <v>(HOT) V600 Alkox Reactor</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7381.4497227852589</v>
      </c>
      <c r="T59" t="str">
        <f t="shared" si="1"/>
        <v>(HOT) V600 Alkox Reactor</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284.82305504988801</v>
      </c>
      <c r="T60" t="str">
        <f t="shared" si="1"/>
        <v>(HOT) V600 Alkox Reactor</v>
      </c>
      <c r="U60" t="s">
        <v>876</v>
      </c>
    </row>
    <row r="61" spans="1:35">
      <c r="B61" s="53"/>
      <c r="C61" s="53"/>
      <c r="O61" s="95" t="s">
        <v>674</v>
      </c>
      <c r="P61" s="95" t="s">
        <v>683</v>
      </c>
      <c r="Q61" s="152" t="s">
        <v>1</v>
      </c>
      <c r="R61" s="96" t="str">
        <f t="shared" si="0"/>
        <v>Operational Reliability_Loss_Hours_LJ</v>
      </c>
      <c r="S61" s="267">
        <f t="shared" si="12"/>
        <v>1142.27888420656</v>
      </c>
      <c r="T61" t="str">
        <f t="shared" si="1"/>
        <v>(HOT) V600 Alkox Reactor</v>
      </c>
      <c r="U61" t="s">
        <v>876</v>
      </c>
    </row>
    <row r="62" spans="1:35">
      <c r="B62" s="53"/>
      <c r="C62" s="53"/>
      <c r="I62" s="6"/>
      <c r="J62" s="6"/>
      <c r="K62" s="6"/>
      <c r="L62" s="6"/>
      <c r="M62" s="6"/>
      <c r="O62" s="95" t="s">
        <v>674</v>
      </c>
      <c r="P62" s="95" t="s">
        <v>683</v>
      </c>
      <c r="Q62" s="152" t="s">
        <v>2</v>
      </c>
      <c r="R62" s="96" t="str">
        <f t="shared" si="0"/>
        <v>Technology Reliability_Loss_Hours_LJ</v>
      </c>
      <c r="S62" s="267">
        <f t="shared" si="12"/>
        <v>731.47583001664998</v>
      </c>
      <c r="T62" t="str">
        <f t="shared" si="1"/>
        <v>(HOT) V600 Alkox Reactor</v>
      </c>
      <c r="U62" t="s">
        <v>876</v>
      </c>
    </row>
    <row r="63" spans="1:35">
      <c r="B63" s="82"/>
      <c r="C63" s="2"/>
      <c r="O63" s="95" t="s">
        <v>674</v>
      </c>
      <c r="P63" s="95" t="s">
        <v>683</v>
      </c>
      <c r="Q63" s="152" t="s">
        <v>3</v>
      </c>
      <c r="R63" s="96" t="str">
        <f t="shared" si="0"/>
        <v>Material Reliability_Loss_Hours_LJ</v>
      </c>
      <c r="S63" s="267">
        <f t="shared" si="12"/>
        <v>73.5561108166645</v>
      </c>
      <c r="T63" t="str">
        <f t="shared" si="1"/>
        <v>(HOT) V600 Alkox Reactor</v>
      </c>
      <c r="U63" t="s">
        <v>876</v>
      </c>
    </row>
    <row r="64" spans="1:35">
      <c r="B64" s="5"/>
      <c r="O64" s="95" t="s">
        <v>674</v>
      </c>
      <c r="P64" s="95" t="s">
        <v>683</v>
      </c>
      <c r="Q64" s="152" t="s">
        <v>4</v>
      </c>
      <c r="R64" s="96" t="str">
        <f t="shared" si="0"/>
        <v>Logistics/Supply Reliability_Loss_Hours_LJ</v>
      </c>
      <c r="S64" s="267">
        <f t="shared" si="12"/>
        <v>263.763055283234</v>
      </c>
      <c r="T64" t="str">
        <f t="shared" si="1"/>
        <v>(HOT) V600 Alkox Reactor</v>
      </c>
      <c r="U64" t="s">
        <v>876</v>
      </c>
    </row>
    <row r="65" spans="15:35">
      <c r="O65" s="95" t="s">
        <v>674</v>
      </c>
      <c r="P65" s="95" t="s">
        <v>683</v>
      </c>
      <c r="Q65" s="152" t="s">
        <v>5</v>
      </c>
      <c r="R65" s="96" t="str">
        <f t="shared" si="0"/>
        <v>External Reliability_Loss_Hours_LJ</v>
      </c>
      <c r="S65" s="267">
        <f t="shared" si="12"/>
        <v>191.22361099936001</v>
      </c>
      <c r="T65" t="str">
        <f t="shared" si="1"/>
        <v>(HOT) V600 Alkox Reactor</v>
      </c>
      <c r="U65" t="s">
        <v>876</v>
      </c>
    </row>
    <row r="66" spans="15:35">
      <c r="O66" s="95" t="s">
        <v>674</v>
      </c>
      <c r="P66" s="95" t="s">
        <v>683</v>
      </c>
      <c r="Q66" s="152" t="s">
        <v>11</v>
      </c>
      <c r="R66" s="96" t="str">
        <f t="shared" ref="R66:R129" si="13">IF(ISBLANK(P66),Q66,_xlfn.CONCAT(Q66,"_",P66))</f>
        <v>Other Reliability_Loss_Hours_LJ</v>
      </c>
      <c r="S66" s="267">
        <f t="shared" si="12"/>
        <v>-684.17056250824498</v>
      </c>
      <c r="T66" t="str">
        <f t="shared" si="1"/>
        <v>(HOT) V600 Alkox Reactor</v>
      </c>
      <c r="U66" t="s">
        <v>876</v>
      </c>
    </row>
    <row r="67" spans="15:35">
      <c r="O67" s="95" t="s">
        <v>674</v>
      </c>
      <c r="P67" s="95" t="s">
        <v>683</v>
      </c>
      <c r="Q67" s="152" t="s">
        <v>15</v>
      </c>
      <c r="R67" s="96" t="str">
        <f t="shared" si="13"/>
        <v>Unspecified_Loss_Hours_LJ</v>
      </c>
      <c r="S67" s="267">
        <f t="shared" si="12"/>
        <v>0</v>
      </c>
      <c r="T67" t="str">
        <f t="shared" ref="T67:T130" si="14">$B$2</f>
        <v>(HOT) V600 Alkox Reactor</v>
      </c>
      <c r="U67" t="s">
        <v>876</v>
      </c>
    </row>
    <row r="68" spans="15:35">
      <c r="O68" s="95" t="s">
        <v>674</v>
      </c>
      <c r="P68" s="95" t="s">
        <v>683</v>
      </c>
      <c r="Q68" s="152" t="s">
        <v>16</v>
      </c>
      <c r="R68" s="96" t="str">
        <f t="shared" si="13"/>
        <v>Undetected_Loss_Hours_LJ</v>
      </c>
      <c r="S68" s="267">
        <f t="shared" si="12"/>
        <v>131.820482727605</v>
      </c>
      <c r="T68" t="str">
        <f t="shared" si="14"/>
        <v>(HOT) V600 Alkox Reactor</v>
      </c>
      <c r="U68" t="s">
        <v>876</v>
      </c>
      <c r="AH68" s="6"/>
      <c r="AI68" s="6"/>
    </row>
    <row r="69" spans="15:35">
      <c r="O69" s="95" t="s">
        <v>674</v>
      </c>
      <c r="P69" s="95" t="s">
        <v>683</v>
      </c>
      <c r="Q69" s="152" t="s">
        <v>664</v>
      </c>
      <c r="R69" s="96" t="str">
        <f t="shared" si="13"/>
        <v>Exception hours_Loss_Hours_LJ</v>
      </c>
      <c r="S69" s="267">
        <f t="shared" si="12"/>
        <v>0</v>
      </c>
      <c r="T69" t="str">
        <f t="shared" si="14"/>
        <v>(HOT) V600 Alkox Reactor</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V600 Alkox Reactor</v>
      </c>
      <c r="U70" t="s">
        <v>876</v>
      </c>
      <c r="AH70" s="6"/>
      <c r="AI70" s="6"/>
    </row>
    <row r="71" spans="15:35">
      <c r="O71" s="95" t="s">
        <v>674</v>
      </c>
      <c r="P71" s="95" t="s">
        <v>683</v>
      </c>
      <c r="Q71" s="152" t="s">
        <v>705</v>
      </c>
      <c r="R71" s="96" t="str">
        <f t="shared" si="13"/>
        <v>Improvement target not assigned_Loss_Hours_LJ</v>
      </c>
      <c r="S71" s="267">
        <f t="shared" si="12"/>
        <v>0</v>
      </c>
      <c r="T71" t="str">
        <f t="shared" si="14"/>
        <v>(HOT) V600 Alkox Reactor</v>
      </c>
      <c r="U71" t="s">
        <v>876</v>
      </c>
    </row>
    <row r="72" spans="15:35">
      <c r="O72" s="95" t="s">
        <v>674</v>
      </c>
      <c r="P72" s="95" t="s">
        <v>683</v>
      </c>
      <c r="Q72" s="152" t="s">
        <v>397</v>
      </c>
      <c r="R72" s="96" t="str">
        <f t="shared" si="13"/>
        <v>Sum OEE losses (exluding Planned Maintenance)_Loss_Hours_LJ</v>
      </c>
      <c r="S72" s="267">
        <f t="shared" si="12"/>
        <v>2134.7704665917163</v>
      </c>
      <c r="T72" t="str">
        <f t="shared" si="14"/>
        <v>(HOT) V600 Alkox Reactor</v>
      </c>
      <c r="U72" t="s">
        <v>876</v>
      </c>
    </row>
    <row r="73" spans="15:35">
      <c r="O73" s="95" t="s">
        <v>675</v>
      </c>
      <c r="P73" s="95" t="s">
        <v>683</v>
      </c>
      <c r="Q73" s="152" t="s">
        <v>398</v>
      </c>
      <c r="R73" s="96" t="str">
        <f t="shared" si="13"/>
        <v>Sum OEE losses (Including Planned Maintenance)_Loss_Hours_LJ</v>
      </c>
      <c r="S73" s="267">
        <f t="shared" si="12"/>
        <v>2315.6549109746074</v>
      </c>
      <c r="T73" t="str">
        <f t="shared" si="14"/>
        <v>(HOT) V600 Alkox Reactor</v>
      </c>
      <c r="U73" t="s">
        <v>876</v>
      </c>
    </row>
    <row r="74" spans="15:35">
      <c r="O74" s="95" t="s">
        <v>675</v>
      </c>
      <c r="P74" s="95" t="s">
        <v>683</v>
      </c>
      <c r="Q74" s="152" t="s">
        <v>712</v>
      </c>
      <c r="R74" s="96" t="str">
        <f t="shared" si="13"/>
        <v>Production hours on MAC (h) / OEE (%)_Loss_Hours_LJ</v>
      </c>
      <c r="S74" s="267">
        <f t="shared" si="12"/>
        <v>5246.6792561935499</v>
      </c>
      <c r="T74" t="str">
        <f t="shared" si="14"/>
        <v>(HOT) V600 Alkox Reactor</v>
      </c>
      <c r="U74" t="s">
        <v>876</v>
      </c>
    </row>
    <row r="75" spans="15:35">
      <c r="O75" s="95" t="s">
        <v>675</v>
      </c>
      <c r="P75" s="95" t="s">
        <v>682</v>
      </c>
      <c r="Q75" s="143" t="s">
        <v>13</v>
      </c>
      <c r="R75" s="96" t="str">
        <f t="shared" si="13"/>
        <v>MAC - Calender hours_Loss_Percentage_LJ</v>
      </c>
      <c r="S75" s="268">
        <f>C25</f>
        <v>0</v>
      </c>
      <c r="T75" t="str">
        <f t="shared" si="14"/>
        <v>(HOT) V600 Alkox Reactor</v>
      </c>
      <c r="U75" t="s">
        <v>876</v>
      </c>
    </row>
    <row r="76" spans="15:35">
      <c r="O76" s="95" t="s">
        <v>675</v>
      </c>
      <c r="P76" s="95" t="s">
        <v>682</v>
      </c>
      <c r="Q76" s="153" t="s">
        <v>7</v>
      </c>
      <c r="R76" s="96" t="str">
        <f t="shared" si="13"/>
        <v>Commercial Reliability_Loss_Percentage_LJ</v>
      </c>
      <c r="S76" s="268">
        <f t="shared" ref="S76:S95" si="15">C26</f>
        <v>0</v>
      </c>
      <c r="T76" t="str">
        <f t="shared" si="14"/>
        <v>(HOT) V600 Alkox Reactor</v>
      </c>
      <c r="U76" t="s">
        <v>876</v>
      </c>
    </row>
    <row r="77" spans="15:35">
      <c r="O77" s="95" t="s">
        <v>675</v>
      </c>
      <c r="P77" s="95" t="s">
        <v>682</v>
      </c>
      <c r="Q77" s="153" t="s">
        <v>704</v>
      </c>
      <c r="R77" s="96" t="str">
        <f t="shared" si="13"/>
        <v>Exception hours (loss excluded from OEE)_Loss_Percentage_LJ</v>
      </c>
      <c r="S77" s="268">
        <f t="shared" si="15"/>
        <v>0</v>
      </c>
      <c r="T77" t="str">
        <f t="shared" si="14"/>
        <v>(HOT) V600 Alkox Reactor</v>
      </c>
      <c r="U77" t="s">
        <v>876</v>
      </c>
    </row>
    <row r="78" spans="15:35">
      <c r="O78" s="95" t="s">
        <v>675</v>
      </c>
      <c r="P78" s="95" t="s">
        <v>682</v>
      </c>
      <c r="Q78" s="153" t="s">
        <v>14</v>
      </c>
      <c r="R78" s="96" t="str">
        <f t="shared" si="13"/>
        <v>Available OEE - Scheduled hours_Loss_Percentage_LJ</v>
      </c>
      <c r="S78" s="268">
        <f t="shared" si="15"/>
        <v>1</v>
      </c>
      <c r="T78" t="str">
        <f t="shared" si="14"/>
        <v>(HOT) V600 Alkox Reactor</v>
      </c>
      <c r="U78" t="s">
        <v>876</v>
      </c>
    </row>
    <row r="79" spans="15:35">
      <c r="O79" s="95" t="s">
        <v>675</v>
      </c>
      <c r="P79" s="95" t="s">
        <v>682</v>
      </c>
      <c r="Q79" s="153" t="s">
        <v>17</v>
      </c>
      <c r="R79" s="96" t="str">
        <f t="shared" si="13"/>
        <v>Equipment Reliability - Planned TA &amp; Planned SD_Loss_Percentage_LJ</v>
      </c>
      <c r="S79" s="268">
        <f t="shared" si="15"/>
        <v>2.3919128721949401E-2</v>
      </c>
      <c r="T79" t="str">
        <f t="shared" si="14"/>
        <v>(HOT) V600 Alkox Reactor</v>
      </c>
      <c r="U79" t="s">
        <v>876</v>
      </c>
    </row>
    <row r="80" spans="15:35">
      <c r="O80" s="95" t="s">
        <v>675</v>
      </c>
      <c r="P80" s="95" t="s">
        <v>682</v>
      </c>
      <c r="Q80" s="153" t="s">
        <v>665</v>
      </c>
      <c r="R80" s="96" t="str">
        <f t="shared" si="13"/>
        <v>Available running OEE - Running hours_Loss_Percentage_LJ</v>
      </c>
      <c r="S80" s="268">
        <f t="shared" si="15"/>
        <v>0.97608087127805054</v>
      </c>
      <c r="T80" t="str">
        <f t="shared" si="14"/>
        <v>(HOT) V600 Alkox Reactor</v>
      </c>
      <c r="U80" t="s">
        <v>876</v>
      </c>
    </row>
    <row r="81" spans="15:21">
      <c r="O81" s="95" t="s">
        <v>675</v>
      </c>
      <c r="P81" s="95" t="s">
        <v>682</v>
      </c>
      <c r="Q81" s="153" t="s">
        <v>18</v>
      </c>
      <c r="R81" s="96" t="str">
        <f t="shared" si="13"/>
        <v>Equipment Reliability - Equipment Failure_Loss_Percentage_LJ</v>
      </c>
      <c r="S81" s="268">
        <f t="shared" si="15"/>
        <v>3.7663378628049311E-2</v>
      </c>
      <c r="T81" t="str">
        <f t="shared" si="14"/>
        <v>(HOT) V600 Alkox Reactor</v>
      </c>
      <c r="U81" t="s">
        <v>876</v>
      </c>
    </row>
    <row r="82" spans="15:21">
      <c r="O82" s="95" t="s">
        <v>675</v>
      </c>
      <c r="P82" s="95" t="s">
        <v>682</v>
      </c>
      <c r="Q82" s="153" t="s">
        <v>1</v>
      </c>
      <c r="R82" s="96" t="str">
        <f t="shared" si="13"/>
        <v>Operational Reliability_Loss_Percentage_LJ</v>
      </c>
      <c r="S82" s="268">
        <f t="shared" si="15"/>
        <v>0.1510484539503372</v>
      </c>
      <c r="T82" t="str">
        <f t="shared" si="14"/>
        <v>(HOT) V600 Alkox Reactor</v>
      </c>
      <c r="U82" t="s">
        <v>876</v>
      </c>
    </row>
    <row r="83" spans="15:21">
      <c r="O83" s="95" t="s">
        <v>675</v>
      </c>
      <c r="P83" s="95" t="s">
        <v>682</v>
      </c>
      <c r="Q83" s="153" t="s">
        <v>2</v>
      </c>
      <c r="R83" s="96" t="str">
        <f t="shared" si="13"/>
        <v>Technology Reliability_Loss_Percentage_LJ</v>
      </c>
      <c r="S83" s="268">
        <f t="shared" si="15"/>
        <v>9.6726197738305458E-2</v>
      </c>
      <c r="T83" t="str">
        <f t="shared" si="14"/>
        <v>(HOT) V600 Alkox Reactor</v>
      </c>
      <c r="U83" t="s">
        <v>876</v>
      </c>
    </row>
    <row r="84" spans="15:21">
      <c r="O84" s="95" t="s">
        <v>675</v>
      </c>
      <c r="P84" s="95" t="s">
        <v>682</v>
      </c>
      <c r="Q84" s="153" t="s">
        <v>3</v>
      </c>
      <c r="R84" s="96" t="str">
        <f t="shared" si="13"/>
        <v>Material Reliability_Loss_Percentage_LJ</v>
      </c>
      <c r="S84" s="268">
        <f t="shared" si="15"/>
        <v>9.7266411653703592E-3</v>
      </c>
      <c r="T84" t="str">
        <f t="shared" si="14"/>
        <v>(HOT) V600 Alkox Reactor</v>
      </c>
      <c r="U84" t="s">
        <v>876</v>
      </c>
    </row>
    <row r="85" spans="15:21">
      <c r="O85" s="95" t="s">
        <v>675</v>
      </c>
      <c r="P85" s="95" t="s">
        <v>682</v>
      </c>
      <c r="Q85" s="153" t="s">
        <v>4</v>
      </c>
      <c r="R85" s="96" t="str">
        <f t="shared" si="13"/>
        <v>Logistics/Supply Reliability_Loss_Percentage_LJ</v>
      </c>
      <c r="S85" s="268">
        <f t="shared" si="15"/>
        <v>3.4878524203328709E-2</v>
      </c>
      <c r="T85" t="str">
        <f t="shared" si="14"/>
        <v>(HOT) V600 Alkox Reactor</v>
      </c>
      <c r="U85" t="s">
        <v>876</v>
      </c>
    </row>
    <row r="86" spans="15:21">
      <c r="O86" s="95" t="s">
        <v>675</v>
      </c>
      <c r="P86" s="95" t="s">
        <v>682</v>
      </c>
      <c r="Q86" s="153" t="s">
        <v>5</v>
      </c>
      <c r="R86" s="96" t="str">
        <f t="shared" si="13"/>
        <v>External Reliability_Loss_Percentage_LJ</v>
      </c>
      <c r="S86" s="268">
        <f t="shared" si="15"/>
        <v>2.5286321229965835E-2</v>
      </c>
      <c r="T86" t="str">
        <f t="shared" si="14"/>
        <v>(HOT) V600 Alkox Reactor</v>
      </c>
      <c r="U86" t="s">
        <v>876</v>
      </c>
    </row>
    <row r="87" spans="15:21">
      <c r="O87" s="95" t="s">
        <v>675</v>
      </c>
      <c r="P87" s="95" t="s">
        <v>682</v>
      </c>
      <c r="Q87" s="153" t="s">
        <v>11</v>
      </c>
      <c r="R87" s="96" t="str">
        <f t="shared" si="13"/>
        <v>Other Reliability_Loss_Percentage_LJ</v>
      </c>
      <c r="S87" s="268">
        <f t="shared" si="15"/>
        <v>-9.0470818583840068E-2</v>
      </c>
      <c r="T87" t="str">
        <f t="shared" si="14"/>
        <v>(HOT) V600 Alkox Reactor</v>
      </c>
      <c r="U87" t="s">
        <v>876</v>
      </c>
    </row>
    <row r="88" spans="15:21">
      <c r="O88" s="95" t="s">
        <v>675</v>
      </c>
      <c r="P88" s="95" t="s">
        <v>682</v>
      </c>
      <c r="Q88" s="153" t="s">
        <v>15</v>
      </c>
      <c r="R88" s="96" t="str">
        <f t="shared" si="13"/>
        <v>Unspecified_Loss_Percentage_LJ</v>
      </c>
      <c r="S88" s="268">
        <f t="shared" si="15"/>
        <v>0</v>
      </c>
      <c r="T88" t="str">
        <f t="shared" si="14"/>
        <v>(HOT) V600 Alkox Reactor</v>
      </c>
      <c r="U88" t="s">
        <v>876</v>
      </c>
    </row>
    <row r="89" spans="15:21">
      <c r="O89" s="95" t="s">
        <v>675</v>
      </c>
      <c r="P89" s="95" t="s">
        <v>682</v>
      </c>
      <c r="Q89" s="153" t="s">
        <v>16</v>
      </c>
      <c r="R89" s="96" t="str">
        <f t="shared" si="13"/>
        <v>Undetected_Loss_Percentage_LJ</v>
      </c>
      <c r="S89" s="268">
        <f t="shared" si="15"/>
        <v>1.7431189869908579E-2</v>
      </c>
      <c r="T89" t="str">
        <f t="shared" si="14"/>
        <v>(HOT) V600 Alkox Reactor</v>
      </c>
      <c r="U89" t="s">
        <v>876</v>
      </c>
    </row>
    <row r="90" spans="15:21">
      <c r="O90" s="95" t="s">
        <v>675</v>
      </c>
      <c r="P90" s="95" t="s">
        <v>682</v>
      </c>
      <c r="Q90" s="153" t="s">
        <v>664</v>
      </c>
      <c r="R90" s="96" t="str">
        <f t="shared" si="13"/>
        <v>Exception hours_Loss_Percentage_LJ</v>
      </c>
      <c r="S90" s="268">
        <f t="shared" si="15"/>
        <v>0</v>
      </c>
      <c r="T90" t="str">
        <f t="shared" si="14"/>
        <v>(HOT) V600 Alkox Reactor</v>
      </c>
      <c r="U90" t="s">
        <v>876</v>
      </c>
    </row>
    <row r="91" spans="15:21">
      <c r="O91" s="95" t="s">
        <v>675</v>
      </c>
      <c r="P91" s="95" t="s">
        <v>682</v>
      </c>
      <c r="Q91" s="153" t="s">
        <v>703</v>
      </c>
      <c r="R91" s="96" t="str">
        <f t="shared" si="13"/>
        <v>Extra loss hours in baseline due to MAC change_Loss_Percentage_LJ</v>
      </c>
      <c r="S91" s="268">
        <f t="shared" si="15"/>
        <v>0</v>
      </c>
      <c r="T91" t="str">
        <f t="shared" si="14"/>
        <v>(HOT) V600 Alkox Reactor</v>
      </c>
      <c r="U91" t="s">
        <v>876</v>
      </c>
    </row>
    <row r="92" spans="15:21">
      <c r="O92" s="95" t="s">
        <v>675</v>
      </c>
      <c r="P92" s="95" t="s">
        <v>682</v>
      </c>
      <c r="Q92" s="153" t="s">
        <v>705</v>
      </c>
      <c r="R92" s="96" t="str">
        <f t="shared" si="13"/>
        <v>Improvement target not assigned_Loss_Percentage_LJ</v>
      </c>
      <c r="S92" s="268">
        <f t="shared" si="15"/>
        <v>0</v>
      </c>
      <c r="T92" t="str">
        <f t="shared" si="14"/>
        <v>(HOT) V600 Alkox Reactor</v>
      </c>
      <c r="U92" t="s">
        <v>876</v>
      </c>
    </row>
    <row r="93" spans="15:21">
      <c r="O93" s="95" t="s">
        <v>675</v>
      </c>
      <c r="P93" s="95" t="s">
        <v>682</v>
      </c>
      <c r="Q93" s="153" t="s">
        <v>397</v>
      </c>
      <c r="R93" s="96" t="str">
        <f t="shared" si="13"/>
        <v>Sum OEE losses (exluding Planned Maintenance)_Loss_Percentage_LJ</v>
      </c>
      <c r="S93" s="268">
        <f t="shared" si="15"/>
        <v>0.28228988820142537</v>
      </c>
      <c r="T93" t="str">
        <f t="shared" si="14"/>
        <v>(HOT) V600 Alkox Reactor</v>
      </c>
      <c r="U93" t="s">
        <v>876</v>
      </c>
    </row>
    <row r="94" spans="15:21">
      <c r="O94" s="95" t="s">
        <v>675</v>
      </c>
      <c r="P94" s="95" t="s">
        <v>682</v>
      </c>
      <c r="Q94" s="153" t="s">
        <v>398</v>
      </c>
      <c r="R94" s="96" t="str">
        <f t="shared" si="13"/>
        <v>Sum OEE losses (Including Planned Maintenance)_Loss_Percentage_LJ</v>
      </c>
      <c r="S94" s="268">
        <f t="shared" si="15"/>
        <v>0.30620901692337477</v>
      </c>
      <c r="T94" t="str">
        <f t="shared" si="14"/>
        <v>(HOT) V600 Alkox Reactor</v>
      </c>
      <c r="U94" t="s">
        <v>876</v>
      </c>
    </row>
    <row r="95" spans="15:21">
      <c r="O95" s="95" t="s">
        <v>675</v>
      </c>
      <c r="P95" s="95" t="s">
        <v>682</v>
      </c>
      <c r="Q95" s="153" t="s">
        <v>712</v>
      </c>
      <c r="R95" s="96" t="str">
        <f t="shared" si="13"/>
        <v>Production hours on MAC (h) / OEE (%)_Loss_Percentage_LJ</v>
      </c>
      <c r="S95" s="268">
        <f t="shared" si="15"/>
        <v>0.69379098307662612</v>
      </c>
      <c r="T95" t="str">
        <f t="shared" si="14"/>
        <v>(HOT) V600 Alkox Reactor</v>
      </c>
      <c r="U95" t="s">
        <v>876</v>
      </c>
    </row>
    <row r="96" spans="15:21">
      <c r="O96" s="95" t="s">
        <v>676</v>
      </c>
      <c r="P96" s="95" t="s">
        <v>725</v>
      </c>
      <c r="Q96" s="142" t="s">
        <v>13</v>
      </c>
      <c r="R96" s="96" t="str">
        <f t="shared" si="13"/>
        <v>MAC - Calender hours_Corrected_loss_hours_LY</v>
      </c>
      <c r="S96" s="265">
        <f>D25</f>
        <v>8784</v>
      </c>
      <c r="T96" t="str">
        <f t="shared" si="14"/>
        <v>(HOT) V600 Alkox Reactor</v>
      </c>
      <c r="U96" t="s">
        <v>876</v>
      </c>
    </row>
    <row r="97" spans="15:21">
      <c r="O97" s="95" t="s">
        <v>676</v>
      </c>
      <c r="P97" s="95" t="s">
        <v>725</v>
      </c>
      <c r="Q97" s="152" t="s">
        <v>7</v>
      </c>
      <c r="R97" s="96" t="str">
        <f t="shared" si="13"/>
        <v>Commercial Reliability_Corrected_loss_hours_LY</v>
      </c>
      <c r="S97" s="265">
        <f t="shared" ref="S97:S116" si="16">D26</f>
        <v>1221.6658328318499</v>
      </c>
      <c r="T97" t="str">
        <f t="shared" si="14"/>
        <v>(HOT) V600 Alkox Reactor</v>
      </c>
      <c r="U97" t="s">
        <v>876</v>
      </c>
    </row>
    <row r="98" spans="15:21">
      <c r="O98" s="95" t="s">
        <v>676</v>
      </c>
      <c r="P98" s="95" t="s">
        <v>725</v>
      </c>
      <c r="Q98" s="152" t="s">
        <v>704</v>
      </c>
      <c r="R98" s="96" t="str">
        <f t="shared" si="13"/>
        <v>Exception hours (loss excluded from OEE)_Corrected_loss_hours_LY</v>
      </c>
      <c r="S98" s="265">
        <f t="shared" si="16"/>
        <v>0</v>
      </c>
      <c r="T98" t="str">
        <f t="shared" si="14"/>
        <v>(HOT) V600 Alkox Reactor</v>
      </c>
      <c r="U98" t="s">
        <v>876</v>
      </c>
    </row>
    <row r="99" spans="15:21">
      <c r="O99" s="95" t="s">
        <v>676</v>
      </c>
      <c r="P99" s="95" t="s">
        <v>725</v>
      </c>
      <c r="Q99" s="152" t="s">
        <v>14</v>
      </c>
      <c r="R99" s="96" t="str">
        <f t="shared" si="13"/>
        <v>Available OEE - Scheduled hours_Corrected_loss_hours_LY</v>
      </c>
      <c r="S99" s="265">
        <f t="shared" si="16"/>
        <v>7562.3341671681501</v>
      </c>
      <c r="T99" t="str">
        <f t="shared" si="14"/>
        <v>(HOT) V600 Alkox Reactor</v>
      </c>
      <c r="U99" t="s">
        <v>876</v>
      </c>
    </row>
    <row r="100" spans="15:21">
      <c r="O100" s="95" t="s">
        <v>676</v>
      </c>
      <c r="P100" s="95" t="s">
        <v>725</v>
      </c>
      <c r="Q100" s="152" t="s">
        <v>17</v>
      </c>
      <c r="R100" s="96" t="str">
        <f t="shared" si="13"/>
        <v>Equipment Reliability - Planned TA &amp; Planned SD_Corrected_loss_hours_LY</v>
      </c>
      <c r="S100" s="265">
        <f t="shared" si="16"/>
        <v>180.88444438289099</v>
      </c>
      <c r="T100" t="str">
        <f t="shared" si="14"/>
        <v>(HOT) V600 Alkox Reactor</v>
      </c>
      <c r="U100" t="s">
        <v>876</v>
      </c>
    </row>
    <row r="101" spans="15:21">
      <c r="O101" s="95" t="s">
        <v>676</v>
      </c>
      <c r="P101" s="95" t="s">
        <v>725</v>
      </c>
      <c r="Q101" s="152" t="s">
        <v>665</v>
      </c>
      <c r="R101" s="96" t="str">
        <f t="shared" si="13"/>
        <v>Available running OEE - Running hours_Corrected_loss_hours_LY</v>
      </c>
      <c r="S101" s="265">
        <f t="shared" si="16"/>
        <v>7381.4497227852589</v>
      </c>
      <c r="T101" t="str">
        <f t="shared" si="14"/>
        <v>(HOT) V600 Alkox Reactor</v>
      </c>
      <c r="U101" t="s">
        <v>876</v>
      </c>
    </row>
    <row r="102" spans="15:21">
      <c r="O102" s="95" t="s">
        <v>676</v>
      </c>
      <c r="P102" s="95" t="s">
        <v>725</v>
      </c>
      <c r="Q102" s="152" t="s">
        <v>18</v>
      </c>
      <c r="R102" s="96" t="str">
        <f t="shared" si="13"/>
        <v>Equipment Reliability - Equipment Failure_Corrected_loss_hours_LY</v>
      </c>
      <c r="S102" s="265">
        <f t="shared" si="16"/>
        <v>284.82305504988801</v>
      </c>
      <c r="T102" t="str">
        <f t="shared" si="14"/>
        <v>(HOT) V600 Alkox Reactor</v>
      </c>
      <c r="U102" t="s">
        <v>876</v>
      </c>
    </row>
    <row r="103" spans="15:21">
      <c r="O103" s="95" t="s">
        <v>676</v>
      </c>
      <c r="P103" s="95" t="s">
        <v>725</v>
      </c>
      <c r="Q103" s="152" t="s">
        <v>1</v>
      </c>
      <c r="R103" s="96" t="str">
        <f t="shared" si="13"/>
        <v>Operational Reliability_Corrected_loss_hours_LY</v>
      </c>
      <c r="S103" s="265">
        <f t="shared" si="16"/>
        <v>1142.27888420656</v>
      </c>
      <c r="T103" t="str">
        <f t="shared" si="14"/>
        <v>(HOT) V600 Alkox Reactor</v>
      </c>
      <c r="U103" t="s">
        <v>876</v>
      </c>
    </row>
    <row r="104" spans="15:21">
      <c r="O104" s="95" t="s">
        <v>676</v>
      </c>
      <c r="P104" s="95" t="s">
        <v>725</v>
      </c>
      <c r="Q104" s="152" t="s">
        <v>2</v>
      </c>
      <c r="R104" s="96" t="str">
        <f t="shared" si="13"/>
        <v>Technology Reliability_Corrected_loss_hours_LY</v>
      </c>
      <c r="S104" s="265">
        <f t="shared" si="16"/>
        <v>731.47583001664998</v>
      </c>
      <c r="T104" t="str">
        <f t="shared" si="14"/>
        <v>(HOT) V600 Alkox Reactor</v>
      </c>
      <c r="U104" t="s">
        <v>876</v>
      </c>
    </row>
    <row r="105" spans="15:21">
      <c r="O105" s="95" t="s">
        <v>676</v>
      </c>
      <c r="P105" s="95" t="s">
        <v>725</v>
      </c>
      <c r="Q105" s="152" t="s">
        <v>3</v>
      </c>
      <c r="R105" s="96" t="str">
        <f t="shared" si="13"/>
        <v>Material Reliability_Corrected_loss_hours_LY</v>
      </c>
      <c r="S105" s="265">
        <f t="shared" si="16"/>
        <v>73.5561108166645</v>
      </c>
      <c r="T105" t="str">
        <f t="shared" si="14"/>
        <v>(HOT) V600 Alkox Reactor</v>
      </c>
      <c r="U105" t="s">
        <v>876</v>
      </c>
    </row>
    <row r="106" spans="15:21">
      <c r="O106" s="95" t="s">
        <v>676</v>
      </c>
      <c r="P106" s="95" t="s">
        <v>725</v>
      </c>
      <c r="Q106" s="152" t="s">
        <v>4</v>
      </c>
      <c r="R106" s="96" t="str">
        <f t="shared" si="13"/>
        <v>Logistics/Supply Reliability_Corrected_loss_hours_LY</v>
      </c>
      <c r="S106" s="265">
        <f t="shared" si="16"/>
        <v>263.763055283234</v>
      </c>
      <c r="T106" t="str">
        <f t="shared" si="14"/>
        <v>(HOT) V600 Alkox Reactor</v>
      </c>
      <c r="U106" t="s">
        <v>876</v>
      </c>
    </row>
    <row r="107" spans="15:21">
      <c r="O107" s="95" t="s">
        <v>676</v>
      </c>
      <c r="P107" s="95" t="s">
        <v>725</v>
      </c>
      <c r="Q107" s="152" t="s">
        <v>5</v>
      </c>
      <c r="R107" s="96" t="str">
        <f t="shared" si="13"/>
        <v>External Reliability_Corrected_loss_hours_LY</v>
      </c>
      <c r="S107" s="265">
        <f t="shared" si="16"/>
        <v>191.22361099936001</v>
      </c>
      <c r="T107" t="str">
        <f t="shared" si="14"/>
        <v>(HOT) V600 Alkox Reactor</v>
      </c>
      <c r="U107" t="s">
        <v>876</v>
      </c>
    </row>
    <row r="108" spans="15:21">
      <c r="O108" s="95" t="s">
        <v>676</v>
      </c>
      <c r="P108" s="95" t="s">
        <v>725</v>
      </c>
      <c r="Q108" s="152" t="s">
        <v>11</v>
      </c>
      <c r="R108" s="96" t="str">
        <f t="shared" si="13"/>
        <v>Other Reliability_Corrected_loss_hours_LY</v>
      </c>
      <c r="S108" s="265">
        <f t="shared" si="16"/>
        <v>-684.17056250824498</v>
      </c>
      <c r="T108" t="str">
        <f t="shared" si="14"/>
        <v>(HOT) V600 Alkox Reactor</v>
      </c>
      <c r="U108" t="s">
        <v>876</v>
      </c>
    </row>
    <row r="109" spans="15:21">
      <c r="O109" s="95" t="s">
        <v>676</v>
      </c>
      <c r="P109" s="95" t="s">
        <v>725</v>
      </c>
      <c r="Q109" s="152" t="s">
        <v>15</v>
      </c>
      <c r="R109" s="96" t="str">
        <f t="shared" si="13"/>
        <v>Unspecified_Corrected_loss_hours_LY</v>
      </c>
      <c r="S109" s="265">
        <f t="shared" si="16"/>
        <v>0</v>
      </c>
      <c r="T109" t="str">
        <f t="shared" si="14"/>
        <v>(HOT) V600 Alkox Reactor</v>
      </c>
      <c r="U109" t="s">
        <v>876</v>
      </c>
    </row>
    <row r="110" spans="15:21">
      <c r="O110" s="95" t="s">
        <v>676</v>
      </c>
      <c r="P110" s="95" t="s">
        <v>725</v>
      </c>
      <c r="Q110" s="152" t="s">
        <v>16</v>
      </c>
      <c r="R110" s="96" t="str">
        <f t="shared" si="13"/>
        <v>Undetected_Corrected_loss_hours_LY</v>
      </c>
      <c r="S110" s="265">
        <f t="shared" si="16"/>
        <v>131.820482727605</v>
      </c>
      <c r="T110" t="str">
        <f t="shared" si="14"/>
        <v>(HOT) V600 Alkox Reactor</v>
      </c>
      <c r="U110" t="s">
        <v>876</v>
      </c>
    </row>
    <row r="111" spans="15:21">
      <c r="O111" s="95" t="s">
        <v>676</v>
      </c>
      <c r="P111" s="95" t="s">
        <v>725</v>
      </c>
      <c r="Q111" s="152" t="s">
        <v>664</v>
      </c>
      <c r="R111" s="96" t="str">
        <f t="shared" si="13"/>
        <v>Exception hours_Corrected_loss_hours_LY</v>
      </c>
      <c r="S111" s="265">
        <f t="shared" si="16"/>
        <v>0</v>
      </c>
      <c r="T111" t="str">
        <f t="shared" si="14"/>
        <v>(HOT) V600 Alkox Reactor</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(HOT) V600 Alkox Reactor</v>
      </c>
      <c r="U112" t="s">
        <v>876</v>
      </c>
    </row>
    <row r="113" spans="15:21">
      <c r="O113" s="95" t="s">
        <v>676</v>
      </c>
      <c r="P113" s="95" t="s">
        <v>725</v>
      </c>
      <c r="Q113" s="152" t="s">
        <v>705</v>
      </c>
      <c r="R113" s="96" t="str">
        <f t="shared" si="13"/>
        <v>Improvement target not assigned_Corrected_loss_hours_LY</v>
      </c>
      <c r="S113" s="265">
        <f t="shared" si="16"/>
        <v>-9.0949470177292824E-12</v>
      </c>
      <c r="T113" t="str">
        <f t="shared" si="14"/>
        <v>(HOT) V600 Alkox Reactor</v>
      </c>
      <c r="U113" t="s">
        <v>876</v>
      </c>
    </row>
    <row r="114" spans="15:21">
      <c r="O114" s="95" t="s">
        <v>676</v>
      </c>
      <c r="P114" s="95" t="s">
        <v>725</v>
      </c>
      <c r="Q114" s="152" t="s">
        <v>397</v>
      </c>
      <c r="R114" s="96" t="str">
        <f t="shared" si="13"/>
        <v>Sum OEE losses (exluding Planned Maintenance)_Corrected_loss_hours_LY</v>
      </c>
      <c r="S114" s="265">
        <f t="shared" si="16"/>
        <v>2134.7704665917163</v>
      </c>
      <c r="T114" t="str">
        <f t="shared" si="14"/>
        <v>(HOT) V600 Alkox Reactor</v>
      </c>
      <c r="U114" t="s">
        <v>876</v>
      </c>
    </row>
    <row r="115" spans="15:21">
      <c r="O115" s="95" t="s">
        <v>676</v>
      </c>
      <c r="P115" s="95" t="s">
        <v>725</v>
      </c>
      <c r="Q115" s="152" t="s">
        <v>398</v>
      </c>
      <c r="R115" s="96" t="str">
        <f t="shared" si="13"/>
        <v>Sum OEE losses (Including Planned Maintenance)_Corrected_loss_hours_LY</v>
      </c>
      <c r="S115" s="265">
        <f t="shared" si="16"/>
        <v>2315.6549109746074</v>
      </c>
      <c r="T115" t="str">
        <f t="shared" si="14"/>
        <v>(HOT) V600 Alkox Reactor</v>
      </c>
      <c r="U115" t="s">
        <v>876</v>
      </c>
    </row>
    <row r="116" spans="15:21">
      <c r="O116" s="95" t="s">
        <v>676</v>
      </c>
      <c r="P116" s="95" t="s">
        <v>725</v>
      </c>
      <c r="Q116" s="152" t="s">
        <v>712</v>
      </c>
      <c r="R116" s="96" t="str">
        <f t="shared" si="13"/>
        <v>Production hours on MAC (h) / OEE (%)_Corrected_loss_hours_LY</v>
      </c>
      <c r="S116" s="265">
        <f t="shared" si="16"/>
        <v>5246.6792561935499</v>
      </c>
      <c r="T116" t="str">
        <f t="shared" si="14"/>
        <v>(HOT) V600 Alkox Reactor</v>
      </c>
      <c r="U116" t="s">
        <v>876</v>
      </c>
    </row>
    <row r="117" spans="15:21">
      <c r="O117" s="95" t="s">
        <v>677</v>
      </c>
      <c r="P117" s="95" t="s">
        <v>726</v>
      </c>
      <c r="Q117" s="143" t="s">
        <v>13</v>
      </c>
      <c r="R117" s="96" t="str">
        <f t="shared" si="13"/>
        <v>MAC - Calender hours_Corrected_loss_percentage_LY</v>
      </c>
      <c r="S117" s="264">
        <f>E25</f>
        <v>0</v>
      </c>
      <c r="T117" t="str">
        <f t="shared" si="14"/>
        <v>(HOT) V600 Alkox Reactor</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V600 Alkox Reactor</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V600 Alkox Reactor</v>
      </c>
      <c r="U119" t="s">
        <v>876</v>
      </c>
    </row>
    <row r="120" spans="15:21">
      <c r="O120" s="95" t="s">
        <v>677</v>
      </c>
      <c r="P120" s="95" t="s">
        <v>726</v>
      </c>
      <c r="Q120" s="153" t="s">
        <v>14</v>
      </c>
      <c r="R120" s="96" t="str">
        <f t="shared" si="13"/>
        <v>Available OEE - Scheduled hours_Corrected_loss_percentage_LY</v>
      </c>
      <c r="S120" s="264">
        <f t="shared" si="17"/>
        <v>1</v>
      </c>
      <c r="T120" t="str">
        <f t="shared" si="14"/>
        <v>(HOT) V600 Alkox Reactor</v>
      </c>
      <c r="U120" t="s">
        <v>876</v>
      </c>
    </row>
    <row r="121" spans="15:21">
      <c r="O121" s="95" t="s">
        <v>677</v>
      </c>
      <c r="P121" s="95" t="s">
        <v>726</v>
      </c>
      <c r="Q121" s="153" t="s">
        <v>17</v>
      </c>
      <c r="R121" s="96" t="str">
        <f t="shared" si="13"/>
        <v>Equipment Reliability - Planned TA &amp; Planned SD_Corrected_loss_percentage_LY</v>
      </c>
      <c r="S121" s="264">
        <f t="shared" si="17"/>
        <v>2.3919128721949401E-2</v>
      </c>
      <c r="T121" t="str">
        <f t="shared" si="14"/>
        <v>(HOT) V600 Alkox Reactor</v>
      </c>
      <c r="U121" t="s">
        <v>876</v>
      </c>
    </row>
    <row r="122" spans="15:21">
      <c r="O122" s="95" t="s">
        <v>677</v>
      </c>
      <c r="P122" s="95" t="s">
        <v>726</v>
      </c>
      <c r="Q122" s="153" t="s">
        <v>665</v>
      </c>
      <c r="R122" s="96" t="str">
        <f t="shared" si="13"/>
        <v>Available running OEE - Running hours_Corrected_loss_percentage_LY</v>
      </c>
      <c r="S122" s="264">
        <f t="shared" si="17"/>
        <v>0.97608087127805054</v>
      </c>
      <c r="T122" t="str">
        <f t="shared" si="14"/>
        <v>(HOT) V600 Alkox Reactor</v>
      </c>
      <c r="U122" t="s">
        <v>876</v>
      </c>
    </row>
    <row r="123" spans="15:21">
      <c r="O123" s="95" t="s">
        <v>677</v>
      </c>
      <c r="P123" s="95" t="s">
        <v>726</v>
      </c>
      <c r="Q123" s="153" t="s">
        <v>18</v>
      </c>
      <c r="R123" s="96" t="str">
        <f t="shared" si="13"/>
        <v>Equipment Reliability - Equipment Failure_Corrected_loss_percentage_LY</v>
      </c>
      <c r="S123" s="264">
        <f t="shared" si="17"/>
        <v>3.7663378628049311E-2</v>
      </c>
      <c r="T123" t="str">
        <f t="shared" si="14"/>
        <v>(HOT) V600 Alkox Reactor</v>
      </c>
      <c r="U123" t="s">
        <v>876</v>
      </c>
    </row>
    <row r="124" spans="15:21">
      <c r="O124" s="95" t="s">
        <v>677</v>
      </c>
      <c r="P124" s="95" t="s">
        <v>726</v>
      </c>
      <c r="Q124" s="153" t="s">
        <v>1</v>
      </c>
      <c r="R124" s="96" t="str">
        <f t="shared" si="13"/>
        <v>Operational Reliability_Corrected_loss_percentage_LY</v>
      </c>
      <c r="S124" s="264">
        <f t="shared" si="17"/>
        <v>0.1510484539503372</v>
      </c>
      <c r="T124" t="str">
        <f t="shared" si="14"/>
        <v>(HOT) V600 Alkox Reactor</v>
      </c>
      <c r="U124" t="s">
        <v>876</v>
      </c>
    </row>
    <row r="125" spans="15:21">
      <c r="O125" s="95" t="s">
        <v>677</v>
      </c>
      <c r="P125" s="95" t="s">
        <v>726</v>
      </c>
      <c r="Q125" s="153" t="s">
        <v>2</v>
      </c>
      <c r="R125" s="96" t="str">
        <f t="shared" si="13"/>
        <v>Technology Reliability_Corrected_loss_percentage_LY</v>
      </c>
      <c r="S125" s="264">
        <f t="shared" si="17"/>
        <v>9.6726197738305458E-2</v>
      </c>
      <c r="T125" t="str">
        <f t="shared" si="14"/>
        <v>(HOT) V600 Alkox Reactor</v>
      </c>
      <c r="U125" t="s">
        <v>876</v>
      </c>
    </row>
    <row r="126" spans="15:21">
      <c r="O126" s="95" t="s">
        <v>677</v>
      </c>
      <c r="P126" s="95" t="s">
        <v>726</v>
      </c>
      <c r="Q126" s="153" t="s">
        <v>3</v>
      </c>
      <c r="R126" s="96" t="str">
        <f t="shared" si="13"/>
        <v>Material Reliability_Corrected_loss_percentage_LY</v>
      </c>
      <c r="S126" s="264">
        <f t="shared" si="17"/>
        <v>9.7266411653703592E-3</v>
      </c>
      <c r="T126" t="str">
        <f t="shared" si="14"/>
        <v>(HOT) V600 Alkox Reactor</v>
      </c>
      <c r="U126" t="s">
        <v>876</v>
      </c>
    </row>
    <row r="127" spans="15:21">
      <c r="O127" s="95" t="s">
        <v>677</v>
      </c>
      <c r="P127" s="95" t="s">
        <v>726</v>
      </c>
      <c r="Q127" s="153" t="s">
        <v>4</v>
      </c>
      <c r="R127" s="96" t="str">
        <f t="shared" si="13"/>
        <v>Logistics/Supply Reliability_Corrected_loss_percentage_LY</v>
      </c>
      <c r="S127" s="264">
        <f t="shared" si="17"/>
        <v>3.4878524203328709E-2</v>
      </c>
      <c r="T127" t="str">
        <f t="shared" si="14"/>
        <v>(HOT) V600 Alkox Reactor</v>
      </c>
      <c r="U127" t="s">
        <v>876</v>
      </c>
    </row>
    <row r="128" spans="15:21">
      <c r="O128" s="95" t="s">
        <v>677</v>
      </c>
      <c r="P128" s="95" t="s">
        <v>726</v>
      </c>
      <c r="Q128" s="153" t="s">
        <v>5</v>
      </c>
      <c r="R128" s="96" t="str">
        <f t="shared" si="13"/>
        <v>External Reliability_Corrected_loss_percentage_LY</v>
      </c>
      <c r="S128" s="264">
        <f t="shared" si="17"/>
        <v>2.5286321229965835E-2</v>
      </c>
      <c r="T128" t="str">
        <f t="shared" si="14"/>
        <v>(HOT) V600 Alkox Reactor</v>
      </c>
      <c r="U128" t="s">
        <v>876</v>
      </c>
    </row>
    <row r="129" spans="15:21">
      <c r="O129" s="95" t="s">
        <v>677</v>
      </c>
      <c r="P129" s="95" t="s">
        <v>726</v>
      </c>
      <c r="Q129" s="153" t="s">
        <v>11</v>
      </c>
      <c r="R129" s="96" t="str">
        <f t="shared" si="13"/>
        <v>Other Reliability_Corrected_loss_percentage_LY</v>
      </c>
      <c r="S129" s="264">
        <f t="shared" si="17"/>
        <v>-9.0470818583840068E-2</v>
      </c>
      <c r="T129" t="str">
        <f t="shared" si="14"/>
        <v>(HOT) V600 Alkox Reactor</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(HOT) V600 Alkox Reactor</v>
      </c>
      <c r="U130" t="s">
        <v>876</v>
      </c>
    </row>
    <row r="131" spans="15:21">
      <c r="O131" s="95" t="s">
        <v>677</v>
      </c>
      <c r="P131" s="95" t="s">
        <v>726</v>
      </c>
      <c r="Q131" s="153" t="s">
        <v>16</v>
      </c>
      <c r="R131" s="96" t="str">
        <f t="shared" si="18"/>
        <v>Undetected_Corrected_loss_percentage_LY</v>
      </c>
      <c r="S131" s="264">
        <f t="shared" si="17"/>
        <v>1.7431189869908579E-2</v>
      </c>
      <c r="T131" t="str">
        <f t="shared" ref="T131:T194" si="19">$B$2</f>
        <v>(HOT) V600 Alkox Reactor</v>
      </c>
      <c r="U131" t="s">
        <v>876</v>
      </c>
    </row>
    <row r="132" spans="15:21">
      <c r="O132" s="95" t="s">
        <v>677</v>
      </c>
      <c r="P132" s="95" t="s">
        <v>726</v>
      </c>
      <c r="Q132" s="153" t="s">
        <v>664</v>
      </c>
      <c r="R132" s="96" t="str">
        <f t="shared" si="18"/>
        <v>Exception hours_Corrected_loss_percentage_LY</v>
      </c>
      <c r="S132" s="264">
        <f t="shared" si="17"/>
        <v>0</v>
      </c>
      <c r="T132" t="str">
        <f t="shared" si="19"/>
        <v>(HOT) V600 Alkox Reactor</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(HOT) V600 Alkox Reactor</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V600 Alkox Reactor</v>
      </c>
      <c r="U134" t="s">
        <v>876</v>
      </c>
    </row>
    <row r="135" spans="15:21">
      <c r="O135" s="95" t="s">
        <v>677</v>
      </c>
      <c r="P135" s="95" t="s">
        <v>726</v>
      </c>
      <c r="Q135" s="153" t="s">
        <v>397</v>
      </c>
      <c r="R135" s="96" t="str">
        <f t="shared" si="18"/>
        <v>Sum OEE losses (exluding Planned Maintenance)_Corrected_loss_percentage_LY</v>
      </c>
      <c r="S135" s="264">
        <f t="shared" si="17"/>
        <v>0.28228988820142537</v>
      </c>
      <c r="T135" t="str">
        <f t="shared" si="19"/>
        <v>(HOT) V600 Alkox Reactor</v>
      </c>
      <c r="U135" t="s">
        <v>876</v>
      </c>
    </row>
    <row r="136" spans="15:21">
      <c r="O136" s="95" t="s">
        <v>677</v>
      </c>
      <c r="P136" s="95" t="s">
        <v>726</v>
      </c>
      <c r="Q136" s="153" t="s">
        <v>398</v>
      </c>
      <c r="R136" s="96" t="str">
        <f t="shared" si="18"/>
        <v>Sum OEE losses (Including Planned Maintenance)_Corrected_loss_percentage_LY</v>
      </c>
      <c r="S136" s="264">
        <f t="shared" si="17"/>
        <v>0.30620901692337477</v>
      </c>
      <c r="T136" t="str">
        <f t="shared" si="19"/>
        <v>(HOT) V600 Alkox Reactor</v>
      </c>
      <c r="U136" t="s">
        <v>876</v>
      </c>
    </row>
    <row r="137" spans="15:21">
      <c r="O137" s="95" t="s">
        <v>677</v>
      </c>
      <c r="P137" s="95" t="s">
        <v>726</v>
      </c>
      <c r="Q137" s="153" t="s">
        <v>712</v>
      </c>
      <c r="R137" s="96" t="str">
        <f t="shared" si="18"/>
        <v>Production hours on MAC (h) / OEE (%)_Corrected_loss_percentage_LY</v>
      </c>
      <c r="S137" s="264">
        <f t="shared" si="17"/>
        <v>0.69379098307662612</v>
      </c>
      <c r="T137" t="str">
        <f t="shared" si="19"/>
        <v>(HOT) V600 Alkox Reactor</v>
      </c>
      <c r="U137" t="s">
        <v>876</v>
      </c>
    </row>
    <row r="138" spans="15:21">
      <c r="O138" s="95" t="s">
        <v>679</v>
      </c>
      <c r="P138" s="95" t="s">
        <v>688</v>
      </c>
      <c r="Q138" s="142" t="s">
        <v>13</v>
      </c>
      <c r="R138" s="96" t="str">
        <f t="shared" si="18"/>
        <v>MAC - Calender hours_OEE Improvement_Hours</v>
      </c>
      <c r="S138" s="265">
        <f t="shared" ref="S138:S158" si="20">G25</f>
        <v>0</v>
      </c>
      <c r="T138" t="str">
        <f t="shared" si="19"/>
        <v>(HOT) V600 Alkox Reactor</v>
      </c>
      <c r="U138" t="s">
        <v>876</v>
      </c>
    </row>
    <row r="139" spans="15:21">
      <c r="O139" s="95" t="s">
        <v>679</v>
      </c>
      <c r="P139" s="95" t="s">
        <v>688</v>
      </c>
      <c r="Q139" s="152" t="s">
        <v>7</v>
      </c>
      <c r="R139" s="96" t="str">
        <f t="shared" si="18"/>
        <v>Commercial Reliability_OEE Improvement_Hours</v>
      </c>
      <c r="S139" s="265">
        <f t="shared" si="20"/>
        <v>-569.239615121528</v>
      </c>
      <c r="T139" t="str">
        <f t="shared" si="19"/>
        <v>(HOT) V600 Alkox Reactor</v>
      </c>
      <c r="U139" t="s">
        <v>876</v>
      </c>
    </row>
    <row r="140" spans="15:21">
      <c r="O140" s="95" t="s">
        <v>679</v>
      </c>
      <c r="P140" s="95" t="s">
        <v>688</v>
      </c>
      <c r="Q140" s="152" t="s">
        <v>704</v>
      </c>
      <c r="R140" s="96" t="str">
        <f t="shared" si="18"/>
        <v>Exception hours (loss excluded from OEE)_OEE Improvement_Hours</v>
      </c>
      <c r="S140" s="265">
        <f t="shared" si="20"/>
        <v>0</v>
      </c>
      <c r="T140" t="str">
        <f t="shared" si="19"/>
        <v>(HOT) V600 Alkox Reactor</v>
      </c>
      <c r="U140" t="s">
        <v>876</v>
      </c>
    </row>
    <row r="141" spans="15:21">
      <c r="O141" s="95" t="s">
        <v>679</v>
      </c>
      <c r="P141" s="95" t="s">
        <v>688</v>
      </c>
      <c r="Q141" s="152" t="s">
        <v>14</v>
      </c>
      <c r="R141" s="96" t="str">
        <f t="shared" si="18"/>
        <v>Available OEE - Scheduled hours_OEE Improvement_Hours</v>
      </c>
      <c r="S141" s="265">
        <f t="shared" si="20"/>
        <v>593.239615121528</v>
      </c>
      <c r="T141" t="str">
        <f t="shared" si="19"/>
        <v>(HOT) V600 Alkox Reactor</v>
      </c>
      <c r="U141" t="s">
        <v>876</v>
      </c>
    </row>
    <row r="142" spans="15:21">
      <c r="O142" s="95" t="s">
        <v>679</v>
      </c>
      <c r="P142" s="95" t="s">
        <v>688</v>
      </c>
      <c r="Q142" s="152" t="s">
        <v>17</v>
      </c>
      <c r="R142" s="96" t="str">
        <f t="shared" si="18"/>
        <v>Equipment Reliability - Planned TA &amp; Planned SD_OEE Improvement_Hours</v>
      </c>
      <c r="S142" s="265">
        <f t="shared" si="20"/>
        <v>180.88444438289099</v>
      </c>
      <c r="T142" t="str">
        <f t="shared" si="19"/>
        <v>(HOT) V600 Alkox Reactor</v>
      </c>
      <c r="U142" t="s">
        <v>876</v>
      </c>
    </row>
    <row r="143" spans="15:21">
      <c r="O143" s="95" t="s">
        <v>679</v>
      </c>
      <c r="P143" s="95" t="s">
        <v>688</v>
      </c>
      <c r="Q143" s="152" t="s">
        <v>665</v>
      </c>
      <c r="R143" s="96" t="str">
        <f t="shared" si="18"/>
        <v>Available running OEE - Running hours_OEE Improvement_Hours</v>
      </c>
      <c r="S143" s="265">
        <f t="shared" si="20"/>
        <v>412.35517073863684</v>
      </c>
      <c r="T143" t="str">
        <f t="shared" si="19"/>
        <v>(HOT) V600 Alkox Reactor</v>
      </c>
      <c r="U143" t="s">
        <v>876</v>
      </c>
    </row>
    <row r="144" spans="15:21">
      <c r="O144" s="95" t="s">
        <v>679</v>
      </c>
      <c r="P144" s="95" t="s">
        <v>688</v>
      </c>
      <c r="Q144" s="152" t="s">
        <v>18</v>
      </c>
      <c r="R144" s="96" t="str">
        <f t="shared" si="18"/>
        <v>Equipment Reliability - Equipment Failure_OEE Improvement_Hours</v>
      </c>
      <c r="S144" s="265">
        <f t="shared" si="20"/>
        <v>22.343408241480404</v>
      </c>
      <c r="T144" t="str">
        <f t="shared" si="19"/>
        <v>(HOT) V600 Alkox Reactor</v>
      </c>
      <c r="U144" t="s">
        <v>876</v>
      </c>
    </row>
    <row r="145" spans="15:21">
      <c r="O145" s="95" t="s">
        <v>679</v>
      </c>
      <c r="P145" s="95" t="s">
        <v>688</v>
      </c>
      <c r="Q145" s="152" t="s">
        <v>1</v>
      </c>
      <c r="R145" s="96" t="str">
        <f t="shared" si="18"/>
        <v>Operational Reliability_OEE Improvement_Hours</v>
      </c>
      <c r="S145" s="265">
        <f t="shared" si="20"/>
        <v>89.607926686200017</v>
      </c>
      <c r="T145" t="str">
        <f t="shared" si="19"/>
        <v>(HOT) V600 Alkox Reactor</v>
      </c>
      <c r="U145" t="s">
        <v>876</v>
      </c>
    </row>
    <row r="146" spans="15:21">
      <c r="O146" s="95" t="s">
        <v>679</v>
      </c>
      <c r="P146" s="95" t="s">
        <v>688</v>
      </c>
      <c r="Q146" s="152" t="s">
        <v>2</v>
      </c>
      <c r="R146" s="96" t="str">
        <f t="shared" si="18"/>
        <v>Technology Reliability_OEE Improvement_Hours</v>
      </c>
      <c r="S146" s="265">
        <f t="shared" si="20"/>
        <v>57.381812318441121</v>
      </c>
      <c r="T146" t="str">
        <f t="shared" si="19"/>
        <v>(HOT) V600 Alkox Reactor</v>
      </c>
      <c r="U146" t="s">
        <v>876</v>
      </c>
    </row>
    <row r="147" spans="15:21">
      <c r="O147" s="95" t="s">
        <v>679</v>
      </c>
      <c r="P147" s="95" t="s">
        <v>688</v>
      </c>
      <c r="Q147" s="152" t="s">
        <v>3</v>
      </c>
      <c r="R147" s="96" t="str">
        <f t="shared" si="18"/>
        <v>Material Reliability_OEE Improvement_Hours</v>
      </c>
      <c r="S147" s="265">
        <f t="shared" si="20"/>
        <v>5.7702288613695174</v>
      </c>
      <c r="T147" t="str">
        <f t="shared" si="19"/>
        <v>(HOT) V600 Alkox Reactor</v>
      </c>
      <c r="U147" t="s">
        <v>876</v>
      </c>
    </row>
    <row r="148" spans="15:21">
      <c r="O148" s="95" t="s">
        <v>679</v>
      </c>
      <c r="P148" s="95" t="s">
        <v>688</v>
      </c>
      <c r="Q148" s="152" t="s">
        <v>4</v>
      </c>
      <c r="R148" s="96" t="str">
        <f t="shared" si="18"/>
        <v>Logistics/Supply Reliability_OEE Improvement_Hours</v>
      </c>
      <c r="S148" s="265">
        <f t="shared" si="20"/>
        <v>20.691322274389648</v>
      </c>
      <c r="T148" t="str">
        <f t="shared" si="19"/>
        <v>(HOT) V600 Alkox Reactor</v>
      </c>
      <c r="U148" t="s">
        <v>876</v>
      </c>
    </row>
    <row r="149" spans="15:21">
      <c r="O149" s="95" t="s">
        <v>679</v>
      </c>
      <c r="P149" s="95" t="s">
        <v>688</v>
      </c>
      <c r="Q149" s="152" t="s">
        <v>5</v>
      </c>
      <c r="R149" s="96" t="str">
        <f t="shared" si="18"/>
        <v>External Reliability_OEE Improvement_Hours</v>
      </c>
      <c r="S149" s="265">
        <f t="shared" si="20"/>
        <v>15.000847474304265</v>
      </c>
      <c r="T149" t="str">
        <f t="shared" si="19"/>
        <v>(HOT) V600 Alkox Reactor</v>
      </c>
      <c r="U149" t="s">
        <v>876</v>
      </c>
    </row>
    <row r="150" spans="15:21">
      <c r="O150" s="95" t="s">
        <v>679</v>
      </c>
      <c r="P150" s="95" t="s">
        <v>688</v>
      </c>
      <c r="Q150" s="152" t="s">
        <v>11</v>
      </c>
      <c r="R150" s="96" t="str">
        <f t="shared" si="18"/>
        <v>Other Reliability_OEE Improvement_Hours</v>
      </c>
      <c r="S150" s="265">
        <f t="shared" si="20"/>
        <v>-53.670873596406864</v>
      </c>
      <c r="T150" t="str">
        <f t="shared" si="19"/>
        <v>(HOT) V600 Alkox Reactor</v>
      </c>
      <c r="U150" t="s">
        <v>876</v>
      </c>
    </row>
    <row r="151" spans="15:21">
      <c r="O151" s="95" t="s">
        <v>679</v>
      </c>
      <c r="P151" s="95" t="s">
        <v>688</v>
      </c>
      <c r="Q151" s="152" t="s">
        <v>15</v>
      </c>
      <c r="R151" s="96" t="str">
        <f t="shared" si="18"/>
        <v>Unspecified_OEE Improvement_Hours</v>
      </c>
      <c r="S151" s="265">
        <f t="shared" si="20"/>
        <v>0</v>
      </c>
      <c r="T151" t="str">
        <f t="shared" si="19"/>
        <v>(HOT) V600 Alkox Reactor</v>
      </c>
      <c r="U151" t="s">
        <v>876</v>
      </c>
    </row>
    <row r="152" spans="15:21">
      <c r="O152" s="95" t="s">
        <v>679</v>
      </c>
      <c r="P152" s="95" t="s">
        <v>688</v>
      </c>
      <c r="Q152" s="152" t="s">
        <v>16</v>
      </c>
      <c r="R152" s="96" t="str">
        <f t="shared" si="18"/>
        <v>Undetected_OEE Improvement_Hours</v>
      </c>
      <c r="S152" s="265">
        <f t="shared" si="20"/>
        <v>10.34087236953485</v>
      </c>
      <c r="T152" t="str">
        <f t="shared" si="19"/>
        <v>(HOT) V600 Alkox Reactor</v>
      </c>
      <c r="U152" t="s">
        <v>876</v>
      </c>
    </row>
    <row r="153" spans="15:21">
      <c r="O153" s="95" t="s">
        <v>679</v>
      </c>
      <c r="P153" s="95" t="s">
        <v>688</v>
      </c>
      <c r="Q153" s="152" t="s">
        <v>664</v>
      </c>
      <c r="R153" s="96" t="str">
        <f t="shared" si="18"/>
        <v>Exception hours_OEE Improvement_Hours</v>
      </c>
      <c r="S153" s="265">
        <f t="shared" si="20"/>
        <v>0</v>
      </c>
      <c r="T153" t="str">
        <f t="shared" si="19"/>
        <v>(HOT) V600 Alkox Reactor</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(HOT) V600 Alkox Reactor</v>
      </c>
      <c r="U154" t="s">
        <v>876</v>
      </c>
    </row>
    <row r="155" spans="15:21">
      <c r="O155" s="95" t="s">
        <v>679</v>
      </c>
      <c r="P155" s="95" t="s">
        <v>688</v>
      </c>
      <c r="Q155" s="152" t="s">
        <v>705</v>
      </c>
      <c r="R155" s="96" t="str">
        <f t="shared" si="18"/>
        <v>Improvement target not assigned_OEE Improvement_Hours</v>
      </c>
      <c r="S155" s="265">
        <f t="shared" si="20"/>
        <v>0</v>
      </c>
      <c r="T155" t="str">
        <f t="shared" si="19"/>
        <v>(HOT) V600 Alkox Reactor</v>
      </c>
      <c r="U155" t="s">
        <v>876</v>
      </c>
    </row>
    <row r="156" spans="15:21">
      <c r="O156" s="95" t="s">
        <v>679</v>
      </c>
      <c r="P156" s="95" t="s">
        <v>688</v>
      </c>
      <c r="Q156" s="152" t="s">
        <v>397</v>
      </c>
      <c r="R156" s="96" t="str">
        <f t="shared" si="18"/>
        <v>Sum OEE losses (exluding Planned Maintenance)_OEE Improvement_Hours</v>
      </c>
      <c r="S156" s="265">
        <f t="shared" si="20"/>
        <v>-398.01998151407133</v>
      </c>
      <c r="T156" t="str">
        <f t="shared" si="19"/>
        <v>(HOT) V600 Alkox Reactor</v>
      </c>
      <c r="U156" t="s">
        <v>876</v>
      </c>
    </row>
    <row r="157" spans="15:21">
      <c r="O157" s="95" t="s">
        <v>679</v>
      </c>
      <c r="P157" s="95" t="s">
        <v>688</v>
      </c>
      <c r="Q157" s="152" t="s">
        <v>398</v>
      </c>
      <c r="R157" s="96" t="str">
        <f t="shared" si="18"/>
        <v>Sum OEE losses (Including Planned Maintenance)_OEE Improvement_Hours</v>
      </c>
      <c r="S157" s="265">
        <f t="shared" si="20"/>
        <v>-578.90442589696249</v>
      </c>
      <c r="T157" t="str">
        <f t="shared" si="19"/>
        <v>(HOT) V600 Alkox Reactor</v>
      </c>
      <c r="U157" t="s">
        <v>876</v>
      </c>
    </row>
    <row r="158" spans="15:21">
      <c r="O158" s="95" t="s">
        <v>679</v>
      </c>
      <c r="P158" s="95" t="s">
        <v>688</v>
      </c>
      <c r="Q158" s="152" t="s">
        <v>712</v>
      </c>
      <c r="R158" s="96" t="str">
        <f t="shared" si="18"/>
        <v>Production hours on MAC (h) / OEE (%)_OEE Improvement_Hours</v>
      </c>
      <c r="S158" s="265">
        <f t="shared" si="20"/>
        <v>-14.335189224572787</v>
      </c>
      <c r="T158" t="str">
        <f t="shared" si="19"/>
        <v>(HOT) V600 Alkox Reactor</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V600 Alkox Reactor</v>
      </c>
      <c r="U159" t="s">
        <v>876</v>
      </c>
    </row>
    <row r="160" spans="15:21">
      <c r="O160" s="95" t="s">
        <v>723</v>
      </c>
      <c r="P160" s="95" t="s">
        <v>689</v>
      </c>
      <c r="Q160" s="153" t="s">
        <v>7</v>
      </c>
      <c r="R160" s="96" t="str">
        <f t="shared" si="18"/>
        <v>Commercial Reliability_OEE_Improvement_Percentage</v>
      </c>
      <c r="S160" s="264">
        <f t="shared" si="21"/>
        <v>0</v>
      </c>
      <c r="T160" t="str">
        <f t="shared" si="19"/>
        <v>(HOT) V600 Alkox Reactor</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V600 Alkox Reactor</v>
      </c>
      <c r="U161" t="s">
        <v>876</v>
      </c>
    </row>
    <row r="162" spans="15:21">
      <c r="O162" s="95" t="s">
        <v>723</v>
      </c>
      <c r="P162" s="95" t="s">
        <v>689</v>
      </c>
      <c r="Q162" s="153" t="s">
        <v>14</v>
      </c>
      <c r="R162" s="96" t="str">
        <f t="shared" si="18"/>
        <v>Available OEE - Scheduled hours_OEE_Improvement_Percentage</v>
      </c>
      <c r="S162" s="264">
        <f t="shared" si="21"/>
        <v>0</v>
      </c>
      <c r="T162" t="str">
        <f t="shared" si="19"/>
        <v>(HOT) V600 Alkox Reactor</v>
      </c>
      <c r="U162" t="s">
        <v>876</v>
      </c>
    </row>
    <row r="163" spans="15:21">
      <c r="O163" s="95" t="s">
        <v>723</v>
      </c>
      <c r="P163" s="95" t="s">
        <v>689</v>
      </c>
      <c r="Q163" s="153" t="s">
        <v>17</v>
      </c>
      <c r="R163" s="96" t="str">
        <f t="shared" si="18"/>
        <v>Equipment Reliability - Planned TA &amp; Planned SD_OEE_Improvement_Percentage</v>
      </c>
      <c r="S163" s="264">
        <f t="shared" si="21"/>
        <v>2.3919128721949401E-2</v>
      </c>
      <c r="T163" t="str">
        <f t="shared" si="19"/>
        <v>(HOT) V600 Alkox Reactor</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V600 Alkox Reactor</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(HOT) V600 Alkox Reactor</v>
      </c>
      <c r="U165" t="s">
        <v>876</v>
      </c>
    </row>
    <row r="166" spans="15:21">
      <c r="O166" s="95" t="s">
        <v>723</v>
      </c>
      <c r="P166" s="95" t="s">
        <v>689</v>
      </c>
      <c r="Q166" s="153" t="s">
        <v>1</v>
      </c>
      <c r="R166" s="96" t="str">
        <f t="shared" si="18"/>
        <v>Operational Reliability_OEE_Improvement_Percentage</v>
      </c>
      <c r="S166" s="264">
        <f t="shared" si="21"/>
        <v>0</v>
      </c>
      <c r="T166" t="str">
        <f t="shared" si="19"/>
        <v>(HOT) V600 Alkox Reactor</v>
      </c>
      <c r="U166" t="s">
        <v>876</v>
      </c>
    </row>
    <row r="167" spans="15:21">
      <c r="O167" s="95" t="s">
        <v>723</v>
      </c>
      <c r="P167" s="95" t="s">
        <v>689</v>
      </c>
      <c r="Q167" s="153" t="s">
        <v>2</v>
      </c>
      <c r="R167" s="96" t="str">
        <f t="shared" si="18"/>
        <v>Technology Reliability_OEE_Improvement_Percentage</v>
      </c>
      <c r="S167" s="264">
        <f t="shared" si="21"/>
        <v>0</v>
      </c>
      <c r="T167" t="str">
        <f t="shared" si="19"/>
        <v>(HOT) V600 Alkox Reactor</v>
      </c>
      <c r="U167" t="s">
        <v>876</v>
      </c>
    </row>
    <row r="168" spans="15:21">
      <c r="O168" s="95" t="s">
        <v>723</v>
      </c>
      <c r="P168" s="95" t="s">
        <v>689</v>
      </c>
      <c r="Q168" s="153" t="s">
        <v>3</v>
      </c>
      <c r="R168" s="96" t="str">
        <f t="shared" si="18"/>
        <v>Material Reliability_OEE_Improvement_Percentage</v>
      </c>
      <c r="S168" s="264">
        <f t="shared" si="21"/>
        <v>0</v>
      </c>
      <c r="T168" t="str">
        <f t="shared" si="19"/>
        <v>(HOT) V600 Alkox Reactor</v>
      </c>
      <c r="U168" t="s">
        <v>876</v>
      </c>
    </row>
    <row r="169" spans="15:21">
      <c r="O169" s="95" t="s">
        <v>723</v>
      </c>
      <c r="P169" s="95" t="s">
        <v>689</v>
      </c>
      <c r="Q169" s="153" t="s">
        <v>4</v>
      </c>
      <c r="R169" s="96" t="str">
        <f t="shared" si="18"/>
        <v>Logistics/Supply Reliability_OEE_Improvement_Percentage</v>
      </c>
      <c r="S169" s="264">
        <f t="shared" si="21"/>
        <v>0</v>
      </c>
      <c r="T169" t="str">
        <f t="shared" si="19"/>
        <v>(HOT) V600 Alkox Reactor</v>
      </c>
      <c r="U169" t="s">
        <v>876</v>
      </c>
    </row>
    <row r="170" spans="15:21">
      <c r="O170" s="95" t="s">
        <v>723</v>
      </c>
      <c r="P170" s="95" t="s">
        <v>689</v>
      </c>
      <c r="Q170" s="153" t="s">
        <v>5</v>
      </c>
      <c r="R170" s="96" t="str">
        <f t="shared" si="18"/>
        <v>External Reliability_OEE_Improvement_Percentage</v>
      </c>
      <c r="S170" s="264">
        <f t="shared" si="21"/>
        <v>0</v>
      </c>
      <c r="T170" t="str">
        <f t="shared" si="19"/>
        <v>(HOT) V600 Alkox Reactor</v>
      </c>
      <c r="U170" t="s">
        <v>876</v>
      </c>
    </row>
    <row r="171" spans="15:21">
      <c r="O171" s="95" t="s">
        <v>723</v>
      </c>
      <c r="P171" s="95" t="s">
        <v>689</v>
      </c>
      <c r="Q171" s="153" t="s">
        <v>11</v>
      </c>
      <c r="R171" s="96" t="str">
        <f t="shared" si="18"/>
        <v>Other Reliability_OEE_Improvement_Percentage</v>
      </c>
      <c r="S171" s="264">
        <f t="shared" si="21"/>
        <v>0</v>
      </c>
      <c r="T171" t="str">
        <f t="shared" si="19"/>
        <v>(HOT) V600 Alkox Reactor</v>
      </c>
      <c r="U171" t="s">
        <v>876</v>
      </c>
    </row>
    <row r="172" spans="15:21">
      <c r="O172" s="95" t="s">
        <v>723</v>
      </c>
      <c r="P172" s="95" t="s">
        <v>689</v>
      </c>
      <c r="Q172" s="153" t="s">
        <v>15</v>
      </c>
      <c r="R172" s="96" t="str">
        <f t="shared" si="18"/>
        <v>Unspecified_OEE_Improvement_Percentage</v>
      </c>
      <c r="S172" s="264">
        <f t="shared" si="21"/>
        <v>0</v>
      </c>
      <c r="T172" t="str">
        <f t="shared" si="19"/>
        <v>(HOT) V600 Alkox Reactor</v>
      </c>
      <c r="U172" t="s">
        <v>876</v>
      </c>
    </row>
    <row r="173" spans="15:21">
      <c r="O173" s="95" t="s">
        <v>723</v>
      </c>
      <c r="P173" s="95" t="s">
        <v>689</v>
      </c>
      <c r="Q173" s="153" t="s">
        <v>16</v>
      </c>
      <c r="R173" s="96" t="str">
        <f t="shared" si="18"/>
        <v>Undetected_OEE_Improvement_Percentage</v>
      </c>
      <c r="S173" s="264">
        <f t="shared" si="21"/>
        <v>0</v>
      </c>
      <c r="T173" t="str">
        <f t="shared" si="19"/>
        <v>(HOT) V600 Alkox Reactor</v>
      </c>
      <c r="U173" t="s">
        <v>876</v>
      </c>
    </row>
    <row r="174" spans="15:21">
      <c r="O174" s="95" t="s">
        <v>723</v>
      </c>
      <c r="P174" s="95" t="s">
        <v>689</v>
      </c>
      <c r="Q174" s="153" t="s">
        <v>664</v>
      </c>
      <c r="R174" s="96" t="str">
        <f t="shared" si="18"/>
        <v>Exception hours_OEE_Improvement_Percentage</v>
      </c>
      <c r="S174" s="264">
        <f t="shared" si="21"/>
        <v>0</v>
      </c>
      <c r="T174" t="str">
        <f t="shared" si="19"/>
        <v>(HOT) V600 Alkox Reactor</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(HOT) V600 Alkox Reactor</v>
      </c>
      <c r="U175" t="s">
        <v>876</v>
      </c>
    </row>
    <row r="176" spans="15:21">
      <c r="O176" s="95" t="s">
        <v>723</v>
      </c>
      <c r="P176" s="95" t="s">
        <v>689</v>
      </c>
      <c r="Q176" s="153" t="s">
        <v>705</v>
      </c>
      <c r="R176" s="96" t="str">
        <f t="shared" si="18"/>
        <v>Improvement target not assigned_OEE_Improvement_Percentage</v>
      </c>
      <c r="S176" s="264">
        <f t="shared" si="21"/>
        <v>3.3082409079534046E-2</v>
      </c>
      <c r="T176" t="str">
        <f t="shared" si="19"/>
        <v>(HOT) V600 Alkox Reactor</v>
      </c>
      <c r="U176" t="s">
        <v>876</v>
      </c>
    </row>
    <row r="177" spans="15:21">
      <c r="O177" s="95" t="s">
        <v>723</v>
      </c>
      <c r="P177" s="95" t="s">
        <v>689</v>
      </c>
      <c r="Q177" s="153" t="s">
        <v>397</v>
      </c>
      <c r="R177" s="96" t="str">
        <f t="shared" si="18"/>
        <v>Sum OEE losses (exluding Planned Maintenance)_OEE_Improvement_Percentage</v>
      </c>
      <c r="S177" s="264">
        <f t="shared" si="21"/>
        <v>3.3082409079534053E-2</v>
      </c>
      <c r="T177" t="str">
        <f t="shared" si="19"/>
        <v>(HOT) V600 Alkox Reactor</v>
      </c>
      <c r="U177" t="s">
        <v>876</v>
      </c>
    </row>
    <row r="178" spans="15:21">
      <c r="O178" s="95" t="s">
        <v>723</v>
      </c>
      <c r="P178" s="95" t="s">
        <v>689</v>
      </c>
      <c r="Q178" s="153" t="s">
        <v>398</v>
      </c>
      <c r="R178" s="96" t="str">
        <f t="shared" si="18"/>
        <v>Sum OEE losses (Including Planned Maintenance)_OEE_Improvement_Percentage</v>
      </c>
      <c r="S178" s="264">
        <f t="shared" si="21"/>
        <v>5.7001537801483426E-2</v>
      </c>
      <c r="T178" t="str">
        <f t="shared" si="19"/>
        <v>(HOT) V600 Alkox Reactor</v>
      </c>
      <c r="U178" t="s">
        <v>876</v>
      </c>
    </row>
    <row r="179" spans="15:21">
      <c r="O179" s="95" t="s">
        <v>723</v>
      </c>
      <c r="P179" s="95" t="s">
        <v>689</v>
      </c>
      <c r="Q179" s="153" t="s">
        <v>712</v>
      </c>
      <c r="R179" s="96" t="str">
        <f t="shared" si="18"/>
        <v>Production hours on MAC (h) / OEE (%)_OEE_Improvement_Percentage</v>
      </c>
      <c r="S179" s="264">
        <f t="shared" si="21"/>
        <v>9.0083946881017507E-2</v>
      </c>
      <c r="T179" t="str">
        <f t="shared" si="19"/>
        <v>(HOT) V600 Alkox Reactor</v>
      </c>
      <c r="U179" t="s">
        <v>876</v>
      </c>
    </row>
    <row r="180" spans="15:21">
      <c r="O180" s="95" t="s">
        <v>724</v>
      </c>
      <c r="P180" s="95" t="s">
        <v>687</v>
      </c>
      <c r="Q180" s="142" t="s">
        <v>13</v>
      </c>
      <c r="R180" s="96" t="str">
        <f t="shared" si="18"/>
        <v>MAC - Calender hours_Loss_Hours_NJ</v>
      </c>
      <c r="S180" s="265">
        <f t="shared" ref="S180:S200" si="22">I25</f>
        <v>8760</v>
      </c>
      <c r="T180" t="str">
        <f t="shared" si="19"/>
        <v>(HOT) V600 Alkox Reactor</v>
      </c>
      <c r="U180" t="s">
        <v>876</v>
      </c>
    </row>
    <row r="181" spans="15:21">
      <c r="O181" s="95" t="s">
        <v>724</v>
      </c>
      <c r="P181" s="95" t="s">
        <v>687</v>
      </c>
      <c r="Q181" s="152" t="s">
        <v>7</v>
      </c>
      <c r="R181" s="96" t="str">
        <f t="shared" si="18"/>
        <v>Commercial Reliability_Loss_Hours_NJ</v>
      </c>
      <c r="S181" s="265">
        <f t="shared" si="22"/>
        <v>1790.9054479533779</v>
      </c>
      <c r="T181" t="str">
        <f t="shared" si="19"/>
        <v>(HOT) V600 Alkox Reactor</v>
      </c>
      <c r="U181" t="s">
        <v>876</v>
      </c>
    </row>
    <row r="182" spans="15:21">
      <c r="O182" s="95" t="s">
        <v>724</v>
      </c>
      <c r="P182" s="95" t="s">
        <v>687</v>
      </c>
      <c r="Q182" s="152" t="s">
        <v>704</v>
      </c>
      <c r="R182" s="96" t="str">
        <f t="shared" si="18"/>
        <v>Exception hours (loss excluded from OEE)_Loss_Hours_NJ</v>
      </c>
      <c r="S182" s="265">
        <f t="shared" si="22"/>
        <v>0</v>
      </c>
      <c r="T182" t="str">
        <f t="shared" si="19"/>
        <v>(HOT) V600 Alkox Reactor</v>
      </c>
      <c r="U182" t="s">
        <v>876</v>
      </c>
    </row>
    <row r="183" spans="15:21">
      <c r="O183" s="95" t="s">
        <v>724</v>
      </c>
      <c r="P183" s="95" t="s">
        <v>687</v>
      </c>
      <c r="Q183" s="152" t="s">
        <v>14</v>
      </c>
      <c r="R183" s="96" t="str">
        <f t="shared" si="18"/>
        <v>Available OEE - Scheduled hours_Loss_Hours_NJ</v>
      </c>
      <c r="S183" s="265">
        <f t="shared" si="22"/>
        <v>6969.0945520466221</v>
      </c>
      <c r="T183" t="str">
        <f t="shared" si="19"/>
        <v>(HOT) V600 Alkox Reactor</v>
      </c>
      <c r="U183" t="s">
        <v>876</v>
      </c>
    </row>
    <row r="184" spans="15:21">
      <c r="O184" s="95" t="s">
        <v>724</v>
      </c>
      <c r="P184" s="95" t="s">
        <v>687</v>
      </c>
      <c r="Q184" s="152" t="s">
        <v>17</v>
      </c>
      <c r="R184" s="96" t="str">
        <f t="shared" si="18"/>
        <v>Equipment Reliability - Planned TA &amp; Planned SD_Loss_Hours_NJ</v>
      </c>
      <c r="S184" s="265">
        <f t="shared" si="22"/>
        <v>0</v>
      </c>
      <c r="T184" t="str">
        <f t="shared" si="19"/>
        <v>(HOT) V600 Alkox Reactor</v>
      </c>
      <c r="U184" t="s">
        <v>876</v>
      </c>
    </row>
    <row r="185" spans="15:21">
      <c r="O185" s="95" t="s">
        <v>724</v>
      </c>
      <c r="P185" s="95" t="s">
        <v>687</v>
      </c>
      <c r="Q185" s="152" t="s">
        <v>665</v>
      </c>
      <c r="R185" s="96" t="str">
        <f t="shared" si="18"/>
        <v>Available running OEE - Running hours_Loss_Hours_NJ</v>
      </c>
      <c r="S185" s="265">
        <f t="shared" si="22"/>
        <v>6969.0945520466221</v>
      </c>
      <c r="T185" t="str">
        <f t="shared" si="19"/>
        <v>(HOT) V600 Alkox Reactor</v>
      </c>
      <c r="U185" t="s">
        <v>876</v>
      </c>
    </row>
    <row r="186" spans="15:21">
      <c r="O186" s="95" t="s">
        <v>724</v>
      </c>
      <c r="P186" s="95" t="s">
        <v>687</v>
      </c>
      <c r="Q186" s="152" t="s">
        <v>18</v>
      </c>
      <c r="R186" s="96" t="str">
        <f t="shared" si="18"/>
        <v>Equipment Reliability - Equipment Failure_Loss_Hours_NJ</v>
      </c>
      <c r="S186" s="265">
        <f t="shared" si="22"/>
        <v>262.47964680840761</v>
      </c>
      <c r="T186" t="str">
        <f t="shared" si="19"/>
        <v>(HOT) V600 Alkox Reactor</v>
      </c>
      <c r="U186" t="s">
        <v>876</v>
      </c>
    </row>
    <row r="187" spans="15:21">
      <c r="O187" s="95" t="s">
        <v>724</v>
      </c>
      <c r="P187" s="95" t="s">
        <v>687</v>
      </c>
      <c r="Q187" s="152" t="s">
        <v>1</v>
      </c>
      <c r="R187" s="96" t="str">
        <f t="shared" si="18"/>
        <v>Operational Reliability_Loss_Hours_NJ</v>
      </c>
      <c r="S187" s="265">
        <f t="shared" si="22"/>
        <v>1052.6709575203599</v>
      </c>
      <c r="T187" t="str">
        <f t="shared" si="19"/>
        <v>(HOT) V600 Alkox Reactor</v>
      </c>
      <c r="U187" t="s">
        <v>876</v>
      </c>
    </row>
    <row r="188" spans="15:21">
      <c r="O188" s="95" t="s">
        <v>724</v>
      </c>
      <c r="P188" s="95" t="s">
        <v>687</v>
      </c>
      <c r="Q188" s="152" t="s">
        <v>2</v>
      </c>
      <c r="R188" s="96" t="str">
        <f t="shared" si="18"/>
        <v>Technology Reliability_Loss_Hours_NJ</v>
      </c>
      <c r="S188" s="265">
        <f t="shared" si="22"/>
        <v>674.09401769820886</v>
      </c>
      <c r="T188" t="str">
        <f t="shared" si="19"/>
        <v>(HOT) V600 Alkox Reactor</v>
      </c>
      <c r="U188" t="s">
        <v>876</v>
      </c>
    </row>
    <row r="189" spans="15:21">
      <c r="O189" s="95" t="s">
        <v>724</v>
      </c>
      <c r="P189" s="95" t="s">
        <v>687</v>
      </c>
      <c r="Q189" s="152" t="s">
        <v>3</v>
      </c>
      <c r="R189" s="96" t="str">
        <f t="shared" si="18"/>
        <v>Material Reliability_Loss_Hours_NJ</v>
      </c>
      <c r="S189" s="265">
        <f t="shared" si="22"/>
        <v>67.785881955294983</v>
      </c>
      <c r="T189" t="str">
        <f t="shared" si="19"/>
        <v>(HOT) V600 Alkox Reactor</v>
      </c>
      <c r="U189" t="s">
        <v>876</v>
      </c>
    </row>
    <row r="190" spans="15:21">
      <c r="O190" s="95" t="s">
        <v>724</v>
      </c>
      <c r="P190" s="95" t="s">
        <v>687</v>
      </c>
      <c r="Q190" s="152" t="s">
        <v>4</v>
      </c>
      <c r="R190" s="96" t="str">
        <f t="shared" si="18"/>
        <v>Logistics/Supply Reliability_Loss_Hours_NJ</v>
      </c>
      <c r="S190" s="265">
        <f t="shared" si="22"/>
        <v>243.07173300884435</v>
      </c>
      <c r="T190" t="str">
        <f t="shared" si="19"/>
        <v>(HOT) V600 Alkox Reactor</v>
      </c>
      <c r="U190" t="s">
        <v>876</v>
      </c>
    </row>
    <row r="191" spans="15:21">
      <c r="O191" s="95" t="s">
        <v>724</v>
      </c>
      <c r="P191" s="95" t="s">
        <v>687</v>
      </c>
      <c r="Q191" s="152" t="s">
        <v>5</v>
      </c>
      <c r="R191" s="96" t="str">
        <f t="shared" si="18"/>
        <v>External Reliability_Loss_Hours_NJ</v>
      </c>
      <c r="S191" s="265">
        <f t="shared" si="22"/>
        <v>176.22276352505574</v>
      </c>
      <c r="T191" t="str">
        <f t="shared" si="19"/>
        <v>(HOT) V600 Alkox Reactor</v>
      </c>
      <c r="U191" t="s">
        <v>876</v>
      </c>
    </row>
    <row r="192" spans="15:21">
      <c r="O192" s="95" t="s">
        <v>724</v>
      </c>
      <c r="P192" s="95" t="s">
        <v>687</v>
      </c>
      <c r="Q192" s="152" t="s">
        <v>11</v>
      </c>
      <c r="R192" s="96" t="str">
        <f t="shared" si="18"/>
        <v>Other Reliability_Loss_Hours_NJ</v>
      </c>
      <c r="S192" s="265">
        <f t="shared" si="22"/>
        <v>-630.49968891183812</v>
      </c>
      <c r="T192" t="str">
        <f t="shared" si="19"/>
        <v>(HOT) V600 Alkox Reactor</v>
      </c>
      <c r="U192" t="s">
        <v>876</v>
      </c>
    </row>
    <row r="193" spans="15:21">
      <c r="O193" s="95" t="s">
        <v>724</v>
      </c>
      <c r="P193" s="95" t="s">
        <v>687</v>
      </c>
      <c r="Q193" s="152" t="s">
        <v>15</v>
      </c>
      <c r="R193" s="96" t="str">
        <f t="shared" si="18"/>
        <v>Unspecified_Loss_Hours_NJ</v>
      </c>
      <c r="S193" s="265">
        <f t="shared" si="22"/>
        <v>0</v>
      </c>
      <c r="T193" t="str">
        <f t="shared" si="19"/>
        <v>(HOT) V600 Alkox Reactor</v>
      </c>
      <c r="U193" t="s">
        <v>876</v>
      </c>
    </row>
    <row r="194" spans="15:21">
      <c r="O194" s="95" t="s">
        <v>724</v>
      </c>
      <c r="P194" s="95" t="s">
        <v>687</v>
      </c>
      <c r="Q194" s="152" t="s">
        <v>16</v>
      </c>
      <c r="R194" s="96" t="str">
        <f t="shared" ref="R194:R248" si="23">IF(ISBLANK(P194),Q194,_xlfn.CONCAT(Q194,"_",P194))</f>
        <v>Undetected_Loss_Hours_NJ</v>
      </c>
      <c r="S194" s="265">
        <f t="shared" si="22"/>
        <v>121.47961035807015</v>
      </c>
      <c r="T194" t="str">
        <f t="shared" si="19"/>
        <v>(HOT) V600 Alkox Reactor</v>
      </c>
      <c r="U194" t="s">
        <v>876</v>
      </c>
    </row>
    <row r="195" spans="15:21">
      <c r="O195" s="95" t="s">
        <v>724</v>
      </c>
      <c r="P195" s="95" t="s">
        <v>687</v>
      </c>
      <c r="Q195" s="152" t="s">
        <v>664</v>
      </c>
      <c r="R195" s="96" t="str">
        <f t="shared" si="23"/>
        <v>Exception hours_Loss_Hours_NJ</v>
      </c>
      <c r="S195" s="265">
        <f t="shared" si="22"/>
        <v>0</v>
      </c>
      <c r="T195" t="str">
        <f t="shared" ref="T195:T248" si="24">$B$2</f>
        <v>(HOT) V600 Alkox Reactor</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V600 Alkox Reactor</v>
      </c>
      <c r="U196" t="s">
        <v>876</v>
      </c>
    </row>
    <row r="197" spans="15:21">
      <c r="O197" s="95" t="s">
        <v>724</v>
      </c>
      <c r="P197" s="95" t="s">
        <v>687</v>
      </c>
      <c r="Q197" s="152" t="s">
        <v>705</v>
      </c>
      <c r="R197" s="96" t="str">
        <f t="shared" si="23"/>
        <v>Improvement target not assigned_Loss_Hours_NJ</v>
      </c>
      <c r="S197" s="265">
        <f t="shared" si="22"/>
        <v>230.55443688475845</v>
      </c>
      <c r="T197" t="str">
        <f t="shared" si="24"/>
        <v>(HOT) V600 Alkox Reactor</v>
      </c>
      <c r="U197" t="s">
        <v>876</v>
      </c>
    </row>
    <row r="198" spans="15:21">
      <c r="O198" s="95" t="s">
        <v>724</v>
      </c>
      <c r="P198" s="95" t="s">
        <v>687</v>
      </c>
      <c r="Q198" s="152" t="s">
        <v>397</v>
      </c>
      <c r="R198" s="96" t="str">
        <f t="shared" si="23"/>
        <v>Sum OEE losses (exluding Planned Maintenance)_Loss_Hours_NJ</v>
      </c>
      <c r="S198" s="265">
        <f t="shared" si="22"/>
        <v>1736.750485077645</v>
      </c>
      <c r="T198" t="str">
        <f t="shared" si="24"/>
        <v>(HOT) V600 Alkox Reactor</v>
      </c>
      <c r="U198" t="s">
        <v>876</v>
      </c>
    </row>
    <row r="199" spans="15:21">
      <c r="O199" s="95" t="s">
        <v>724</v>
      </c>
      <c r="P199" s="95" t="s">
        <v>687</v>
      </c>
      <c r="Q199" s="152" t="s">
        <v>398</v>
      </c>
      <c r="R199" s="96" t="str">
        <f t="shared" si="23"/>
        <v>Sum OEE losses (Including Planned Maintenance)_Loss_Hours_NJ</v>
      </c>
      <c r="S199" s="265">
        <f t="shared" si="22"/>
        <v>1736.750485077645</v>
      </c>
      <c r="T199" t="str">
        <f t="shared" si="24"/>
        <v>(HOT) V600 Alkox Reactor</v>
      </c>
      <c r="U199" t="s">
        <v>876</v>
      </c>
    </row>
    <row r="200" spans="15:21">
      <c r="O200" s="95" t="s">
        <v>724</v>
      </c>
      <c r="P200" s="95" t="s">
        <v>687</v>
      </c>
      <c r="Q200" s="152" t="s">
        <v>712</v>
      </c>
      <c r="R200" s="96" t="str">
        <f t="shared" si="23"/>
        <v>Production hours on MAC (h) / OEE (%)_Loss_Hours_NJ</v>
      </c>
      <c r="S200" s="265">
        <f t="shared" si="22"/>
        <v>5232.3440669689771</v>
      </c>
      <c r="T200" t="str">
        <f t="shared" si="24"/>
        <v>(HOT) V600 Alkox Reactor</v>
      </c>
      <c r="U200" t="s">
        <v>876</v>
      </c>
    </row>
    <row r="201" spans="15:21">
      <c r="O201" s="95" t="s">
        <v>1183</v>
      </c>
      <c r="P201" s="95" t="s">
        <v>681</v>
      </c>
      <c r="Q201" s="143" t="s">
        <v>13</v>
      </c>
      <c r="R201" s="96" t="str">
        <f t="shared" si="23"/>
        <v>MAC - Calender hours_Loss Percentage_NJ</v>
      </c>
      <c r="S201" s="268">
        <f>J25</f>
        <v>0</v>
      </c>
      <c r="T201" t="str">
        <f t="shared" si="24"/>
        <v>(HOT) V600 Alkox Reactor</v>
      </c>
      <c r="U201" t="s">
        <v>876</v>
      </c>
    </row>
    <row r="202" spans="15:21">
      <c r="O202" s="95" t="s">
        <v>1183</v>
      </c>
      <c r="P202" s="95" t="s">
        <v>681</v>
      </c>
      <c r="Q202" s="153" t="s">
        <v>7</v>
      </c>
      <c r="R202" s="96" t="str">
        <f t="shared" si="23"/>
        <v>Commercial Reliability_Loss Percentage_NJ</v>
      </c>
      <c r="S202" s="268">
        <f t="shared" ref="S202:S221" si="25">J26</f>
        <v>0</v>
      </c>
      <c r="T202" t="str">
        <f t="shared" si="24"/>
        <v>(HOT) V600 Alkox Reactor</v>
      </c>
      <c r="U202" t="s">
        <v>876</v>
      </c>
    </row>
    <row r="203" spans="15:21">
      <c r="O203" s="95" t="s">
        <v>1183</v>
      </c>
      <c r="P203" s="95" t="s">
        <v>681</v>
      </c>
      <c r="Q203" s="153" t="s">
        <v>704</v>
      </c>
      <c r="R203" s="96" t="str">
        <f t="shared" si="23"/>
        <v>Exception hours (loss excluded from OEE)_Loss Percentage_NJ</v>
      </c>
      <c r="S203" s="268">
        <f t="shared" si="25"/>
        <v>0</v>
      </c>
      <c r="T203" t="str">
        <f t="shared" si="24"/>
        <v>(HOT) V600 Alkox Reactor</v>
      </c>
      <c r="U203" t="s">
        <v>876</v>
      </c>
    </row>
    <row r="204" spans="15:21">
      <c r="O204" s="95" t="s">
        <v>1183</v>
      </c>
      <c r="P204" s="95" t="s">
        <v>681</v>
      </c>
      <c r="Q204" s="153" t="s">
        <v>14</v>
      </c>
      <c r="R204" s="96" t="str">
        <f t="shared" si="23"/>
        <v>Available OEE - Scheduled hours_Loss Percentage_NJ</v>
      </c>
      <c r="S204" s="268">
        <f t="shared" si="25"/>
        <v>1</v>
      </c>
      <c r="T204" t="str">
        <f t="shared" si="24"/>
        <v>(HOT) V600 Alkox Reactor</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(HOT) V600 Alkox Reactor</v>
      </c>
      <c r="U205" t="s">
        <v>876</v>
      </c>
    </row>
    <row r="206" spans="15:21">
      <c r="O206" s="95" t="s">
        <v>1183</v>
      </c>
      <c r="P206" s="95" t="s">
        <v>681</v>
      </c>
      <c r="Q206" s="153" t="s">
        <v>665</v>
      </c>
      <c r="R206" s="96" t="str">
        <f t="shared" si="23"/>
        <v>Available running OEE - Running hours_Loss Percentage_NJ</v>
      </c>
      <c r="S206" s="268">
        <f t="shared" si="25"/>
        <v>0</v>
      </c>
      <c r="T206" t="str">
        <f t="shared" si="24"/>
        <v>(HOT) V600 Alkox Reactor</v>
      </c>
      <c r="U206" t="s">
        <v>876</v>
      </c>
    </row>
    <row r="207" spans="15:21">
      <c r="O207" s="95" t="s">
        <v>1183</v>
      </c>
      <c r="P207" s="95" t="s">
        <v>681</v>
      </c>
      <c r="Q207" s="153" t="s">
        <v>18</v>
      </c>
      <c r="R207" s="96" t="str">
        <f t="shared" si="23"/>
        <v>Equipment Reliability - Equipment Failure_Loss Percentage_NJ</v>
      </c>
      <c r="S207" s="268">
        <f t="shared" si="25"/>
        <v>3.7663378628049311E-2</v>
      </c>
      <c r="T207" t="str">
        <f t="shared" si="24"/>
        <v>(HOT) V600 Alkox Reactor</v>
      </c>
      <c r="U207" t="s">
        <v>876</v>
      </c>
    </row>
    <row r="208" spans="15:21">
      <c r="O208" s="95" t="s">
        <v>1183</v>
      </c>
      <c r="P208" s="95" t="s">
        <v>681</v>
      </c>
      <c r="Q208" s="153" t="s">
        <v>1</v>
      </c>
      <c r="R208" s="96" t="str">
        <f t="shared" si="23"/>
        <v>Operational Reliability_Loss Percentage_NJ</v>
      </c>
      <c r="S208" s="268">
        <f t="shared" si="25"/>
        <v>0.1510484539503372</v>
      </c>
      <c r="T208" t="str">
        <f t="shared" si="24"/>
        <v>(HOT) V600 Alkox Reactor</v>
      </c>
      <c r="U208" t="s">
        <v>876</v>
      </c>
    </row>
    <row r="209" spans="15:21">
      <c r="O209" s="95" t="s">
        <v>1183</v>
      </c>
      <c r="P209" s="95" t="s">
        <v>681</v>
      </c>
      <c r="Q209" s="153" t="s">
        <v>2</v>
      </c>
      <c r="R209" s="96" t="str">
        <f t="shared" si="23"/>
        <v>Technology Reliability_Loss Percentage_NJ</v>
      </c>
      <c r="S209" s="268">
        <f t="shared" si="25"/>
        <v>9.6726197738305458E-2</v>
      </c>
      <c r="T209" t="str">
        <f t="shared" si="24"/>
        <v>(HOT) V600 Alkox Reactor</v>
      </c>
      <c r="U209" t="s">
        <v>876</v>
      </c>
    </row>
    <row r="210" spans="15:21">
      <c r="O210" s="95" t="s">
        <v>1183</v>
      </c>
      <c r="P210" s="95" t="s">
        <v>681</v>
      </c>
      <c r="Q210" s="153" t="s">
        <v>3</v>
      </c>
      <c r="R210" s="96" t="str">
        <f t="shared" si="23"/>
        <v>Material Reliability_Loss Percentage_NJ</v>
      </c>
      <c r="S210" s="268">
        <f t="shared" si="25"/>
        <v>9.7266411653703592E-3</v>
      </c>
      <c r="T210" t="str">
        <f t="shared" si="24"/>
        <v>(HOT) V600 Alkox Reactor</v>
      </c>
      <c r="U210" t="s">
        <v>876</v>
      </c>
    </row>
    <row r="211" spans="15:21">
      <c r="O211" s="95" t="s">
        <v>1183</v>
      </c>
      <c r="P211" s="95" t="s">
        <v>681</v>
      </c>
      <c r="Q211" s="153" t="s">
        <v>4</v>
      </c>
      <c r="R211" s="96" t="str">
        <f t="shared" si="23"/>
        <v>Logistics/Supply Reliability_Loss Percentage_NJ</v>
      </c>
      <c r="S211" s="268">
        <f t="shared" si="25"/>
        <v>3.4878524203328709E-2</v>
      </c>
      <c r="T211" t="str">
        <f t="shared" si="24"/>
        <v>(HOT) V600 Alkox Reactor</v>
      </c>
      <c r="U211" t="s">
        <v>876</v>
      </c>
    </row>
    <row r="212" spans="15:21">
      <c r="O212" s="95" t="s">
        <v>1183</v>
      </c>
      <c r="P212" s="95" t="s">
        <v>681</v>
      </c>
      <c r="Q212" s="153" t="s">
        <v>5</v>
      </c>
      <c r="R212" s="96" t="str">
        <f t="shared" si="23"/>
        <v>External Reliability_Loss Percentage_NJ</v>
      </c>
      <c r="S212" s="268">
        <f t="shared" si="25"/>
        <v>2.5286321229965835E-2</v>
      </c>
      <c r="T212" t="str">
        <f t="shared" si="24"/>
        <v>(HOT) V600 Alkox Reactor</v>
      </c>
      <c r="U212" t="s">
        <v>876</v>
      </c>
    </row>
    <row r="213" spans="15:21">
      <c r="O213" s="95" t="s">
        <v>1183</v>
      </c>
      <c r="P213" s="95" t="s">
        <v>681</v>
      </c>
      <c r="Q213" s="153" t="s">
        <v>11</v>
      </c>
      <c r="R213" s="96" t="str">
        <f t="shared" si="23"/>
        <v>Other Reliability_Loss Percentage_NJ</v>
      </c>
      <c r="S213" s="268">
        <f t="shared" si="25"/>
        <v>-9.0470818583840068E-2</v>
      </c>
      <c r="T213" t="str">
        <f t="shared" si="24"/>
        <v>(HOT) V600 Alkox Reactor</v>
      </c>
      <c r="U213" t="s">
        <v>876</v>
      </c>
    </row>
    <row r="214" spans="15:21">
      <c r="O214" s="95" t="s">
        <v>1183</v>
      </c>
      <c r="P214" s="95" t="s">
        <v>681</v>
      </c>
      <c r="Q214" s="153" t="s">
        <v>15</v>
      </c>
      <c r="R214" s="96" t="str">
        <f t="shared" si="23"/>
        <v>Unspecified_Loss Percentage_NJ</v>
      </c>
      <c r="S214" s="268">
        <f t="shared" si="25"/>
        <v>0</v>
      </c>
      <c r="T214" t="str">
        <f t="shared" si="24"/>
        <v>(HOT) V600 Alkox Reactor</v>
      </c>
      <c r="U214" t="s">
        <v>876</v>
      </c>
    </row>
    <row r="215" spans="15:21">
      <c r="O215" s="95" t="s">
        <v>1183</v>
      </c>
      <c r="P215" s="95" t="s">
        <v>681</v>
      </c>
      <c r="Q215" s="153" t="s">
        <v>16</v>
      </c>
      <c r="R215" s="96" t="str">
        <f t="shared" si="23"/>
        <v>Undetected_Loss Percentage_NJ</v>
      </c>
      <c r="S215" s="268">
        <f t="shared" si="25"/>
        <v>1.7431189869908579E-2</v>
      </c>
      <c r="T215" t="str">
        <f t="shared" si="24"/>
        <v>(HOT) V600 Alkox Reactor</v>
      </c>
      <c r="U215" t="s">
        <v>876</v>
      </c>
    </row>
    <row r="216" spans="15:21">
      <c r="O216" s="95" t="s">
        <v>1183</v>
      </c>
      <c r="P216" s="95" t="s">
        <v>681</v>
      </c>
      <c r="Q216" s="153" t="s">
        <v>664</v>
      </c>
      <c r="R216" s="96" t="str">
        <f t="shared" si="23"/>
        <v>Exception hours_Loss Percentage_NJ</v>
      </c>
      <c r="S216" s="268">
        <f t="shared" si="25"/>
        <v>0</v>
      </c>
      <c r="T216" t="str">
        <f t="shared" si="24"/>
        <v>(HOT) V600 Alkox Reactor</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V600 Alkox Reactor</v>
      </c>
      <c r="U217" t="s">
        <v>876</v>
      </c>
    </row>
    <row r="218" spans="15:21">
      <c r="O218" s="95" t="s">
        <v>1183</v>
      </c>
      <c r="P218" s="95" t="s">
        <v>681</v>
      </c>
      <c r="Q218" s="153" t="s">
        <v>705</v>
      </c>
      <c r="R218" s="96" t="str">
        <f t="shared" si="23"/>
        <v>Improvement target not assigned_Loss Percentage_NJ</v>
      </c>
      <c r="S218" s="268">
        <f t="shared" si="25"/>
        <v>-3.3082409079534046E-2</v>
      </c>
      <c r="T218" t="str">
        <f t="shared" si="24"/>
        <v>(HOT) V600 Alkox Reactor</v>
      </c>
      <c r="U218" t="s">
        <v>876</v>
      </c>
    </row>
    <row r="219" spans="15:21">
      <c r="O219" s="95" t="s">
        <v>1183</v>
      </c>
      <c r="P219" s="95" t="s">
        <v>681</v>
      </c>
      <c r="Q219" s="153" t="s">
        <v>397</v>
      </c>
      <c r="R219" s="96" t="str">
        <f t="shared" si="23"/>
        <v>Sum OEE losses (exluding Planned Maintenance)_Loss Percentage_NJ</v>
      </c>
      <c r="S219" s="268">
        <f t="shared" si="25"/>
        <v>0.24920747912189131</v>
      </c>
      <c r="T219" t="str">
        <f t="shared" si="24"/>
        <v>(HOT) V600 Alkox Reactor</v>
      </c>
      <c r="U219" t="s">
        <v>876</v>
      </c>
    </row>
    <row r="220" spans="15:21">
      <c r="O220" s="95" t="s">
        <v>1183</v>
      </c>
      <c r="P220" s="95" t="s">
        <v>681</v>
      </c>
      <c r="Q220" s="153" t="s">
        <v>398</v>
      </c>
      <c r="R220" s="96" t="str">
        <f t="shared" si="23"/>
        <v>Sum OEE losses (Including Planned Maintenance)_Loss Percentage_NJ</v>
      </c>
      <c r="S220" s="268">
        <f t="shared" si="25"/>
        <v>0.24920747912189134</v>
      </c>
      <c r="T220" t="str">
        <f t="shared" si="24"/>
        <v>(HOT) V600 Alkox Reactor</v>
      </c>
      <c r="U220" t="s">
        <v>876</v>
      </c>
    </row>
    <row r="221" spans="15:21">
      <c r="O221" s="95" t="s">
        <v>1183</v>
      </c>
      <c r="P221" s="95" t="s">
        <v>681</v>
      </c>
      <c r="Q221" s="153" t="s">
        <v>712</v>
      </c>
      <c r="R221" s="96" t="str">
        <f t="shared" si="23"/>
        <v>Production hours on MAC (h) / OEE (%)_Loss Percentage_NJ</v>
      </c>
      <c r="S221" s="268">
        <f t="shared" si="25"/>
        <v>0.75079252087810866</v>
      </c>
      <c r="T221" t="str">
        <f t="shared" si="24"/>
        <v>(HOT) V600 Alkox Reactor</v>
      </c>
      <c r="U221" t="s">
        <v>876</v>
      </c>
    </row>
    <row r="222" spans="15:21">
      <c r="O222" s="95" t="s">
        <v>676</v>
      </c>
      <c r="P222" s="95" t="s">
        <v>994</v>
      </c>
      <c r="Q222" s="144" t="s">
        <v>374</v>
      </c>
      <c r="R222" s="96" t="str">
        <f t="shared" si="23"/>
        <v>Planned Turnaround (h)_NJ_Maintenance_plan</v>
      </c>
      <c r="S222" s="1" t="str">
        <f>D18</f>
        <v/>
      </c>
      <c r="T222" t="str">
        <f t="shared" si="24"/>
        <v>(HOT) V600 Alkox Reactor</v>
      </c>
      <c r="U222" t="s">
        <v>877</v>
      </c>
    </row>
    <row r="223" spans="15:21">
      <c r="O223" s="95" t="s">
        <v>676</v>
      </c>
      <c r="P223" s="95" t="s">
        <v>994</v>
      </c>
      <c r="Q223" s="144" t="s">
        <v>375</v>
      </c>
      <c r="R223" s="96" t="str">
        <f t="shared" si="23"/>
        <v>Planned Shutdown (h)_NJ_Maintenance_plan</v>
      </c>
      <c r="S223" s="1" t="str">
        <f t="shared" ref="S223:S224" si="26">D19</f>
        <v/>
      </c>
      <c r="T223" t="str">
        <f t="shared" si="24"/>
        <v>(HOT) V600 Alkox Reactor</v>
      </c>
      <c r="U223" t="s">
        <v>877</v>
      </c>
    </row>
    <row r="224" spans="15:21">
      <c r="O224" s="95" t="s">
        <v>676</v>
      </c>
      <c r="P224" s="95" t="s">
        <v>994</v>
      </c>
      <c r="Q224" s="144" t="s">
        <v>716</v>
      </c>
      <c r="R224" s="96" t="str">
        <f t="shared" si="23"/>
        <v>Total Planned Maintenance (h)_NJ_Maintenance_plan</v>
      </c>
      <c r="S224" s="1" t="str">
        <f t="shared" si="26"/>
        <v/>
      </c>
      <c r="T224" t="str">
        <f t="shared" si="24"/>
        <v>(HOT) V600 Alkox Reactor</v>
      </c>
      <c r="U224" t="s">
        <v>877</v>
      </c>
    </row>
    <row r="225" spans="15:21">
      <c r="O225" s="95" t="s">
        <v>674</v>
      </c>
      <c r="Q225" s="144" t="s">
        <v>1184</v>
      </c>
      <c r="R225" s="96" t="str">
        <f t="shared" si="23"/>
        <v>OEE_Running OEE Override</v>
      </c>
      <c r="S225" s="1" t="str">
        <f>B60</f>
        <v>Automatic</v>
      </c>
      <c r="T225" t="str">
        <f t="shared" si="24"/>
        <v>(HOT) V600 Alkox Reactor</v>
      </c>
      <c r="U225" t="s">
        <v>875</v>
      </c>
    </row>
    <row r="226" spans="15:21">
      <c r="O226" s="95" t="s">
        <v>678</v>
      </c>
      <c r="Q226" s="144" t="s">
        <v>1182</v>
      </c>
      <c r="R226" s="96" t="str">
        <f t="shared" si="23"/>
        <v>Unit of Loss Decrease entry</v>
      </c>
      <c r="S226" s="370" t="str">
        <f>F24</f>
        <v>% decrease</v>
      </c>
      <c r="T226" t="str">
        <f t="shared" si="24"/>
        <v>(HOT) V600 Alkox Reactor</v>
      </c>
      <c r="U226" t="s">
        <v>875</v>
      </c>
    </row>
    <row r="227" spans="15:21">
      <c r="O227" s="95" t="s">
        <v>678</v>
      </c>
      <c r="P227" s="95" t="s">
        <v>1185</v>
      </c>
      <c r="Q227" s="142" t="s">
        <v>13</v>
      </c>
      <c r="R227" s="96" t="str">
        <f t="shared" si="23"/>
        <v>MAC - Calender hours_OEE_Improvement_Entry</v>
      </c>
      <c r="S227" s="371">
        <f>F25</f>
        <v>0</v>
      </c>
      <c r="T227" t="str">
        <f t="shared" si="24"/>
        <v>(HOT) V600 Alkox Reactor</v>
      </c>
      <c r="U227" t="s">
        <v>876</v>
      </c>
    </row>
    <row r="228" spans="15:21">
      <c r="O228" s="95" t="s">
        <v>678</v>
      </c>
      <c r="P228" s="95" t="s">
        <v>1185</v>
      </c>
      <c r="Q228" s="152" t="s">
        <v>7</v>
      </c>
      <c r="R228" s="96" t="str">
        <f t="shared" si="23"/>
        <v>Commercial Reliability_OEE_Improvement_Entry</v>
      </c>
      <c r="S228" s="371">
        <f t="shared" ref="S228:S247" si="27">F26</f>
        <v>0</v>
      </c>
      <c r="T228" t="str">
        <f t="shared" si="24"/>
        <v>(HOT) V600 Alkox Reactor</v>
      </c>
      <c r="U228" t="s">
        <v>876</v>
      </c>
    </row>
    <row r="229" spans="15:21">
      <c r="O229" s="95" t="s">
        <v>678</v>
      </c>
      <c r="P229" s="95" t="s">
        <v>1185</v>
      </c>
      <c r="Q229" s="152" t="s">
        <v>704</v>
      </c>
      <c r="R229" s="96" t="str">
        <f t="shared" si="23"/>
        <v>Exception hours (loss excluded from OEE)_OEE_Improvement_Entry</v>
      </c>
      <c r="S229" s="371" t="str">
        <f t="shared" si="27"/>
        <v/>
      </c>
      <c r="T229" t="str">
        <f t="shared" si="24"/>
        <v>(HOT) V600 Alkox Reactor</v>
      </c>
      <c r="U229" t="s">
        <v>876</v>
      </c>
    </row>
    <row r="230" spans="15:21">
      <c r="O230" s="95" t="s">
        <v>678</v>
      </c>
      <c r="P230" s="95" t="s">
        <v>1185</v>
      </c>
      <c r="Q230" s="152" t="s">
        <v>14</v>
      </c>
      <c r="R230" s="96" t="str">
        <f t="shared" si="23"/>
        <v>Available OEE - Scheduled hours_OEE_Improvement_Entry</v>
      </c>
      <c r="S230" s="371">
        <f t="shared" si="27"/>
        <v>0</v>
      </c>
      <c r="T230" t="str">
        <f t="shared" si="24"/>
        <v>(HOT) V600 Alkox Reactor</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V600 Alkox Reactor</v>
      </c>
      <c r="U231" t="s">
        <v>876</v>
      </c>
    </row>
    <row r="232" spans="15:21">
      <c r="O232" s="95" t="s">
        <v>678</v>
      </c>
      <c r="P232" s="95" t="s">
        <v>1185</v>
      </c>
      <c r="Q232" s="152" t="s">
        <v>665</v>
      </c>
      <c r="R232" s="96" t="str">
        <f t="shared" si="23"/>
        <v>Available running OEE - Running hours_OEE_Improvement_Entry</v>
      </c>
      <c r="S232" s="371">
        <f t="shared" si="27"/>
        <v>0</v>
      </c>
      <c r="T232" t="str">
        <f t="shared" si="24"/>
        <v>(HOT) V600 Alkox Reactor</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V600 Alkox Reactor</v>
      </c>
      <c r="U233" t="s">
        <v>876</v>
      </c>
    </row>
    <row r="234" spans="15:21">
      <c r="O234" s="95" t="s">
        <v>678</v>
      </c>
      <c r="P234" s="95" t="s">
        <v>1185</v>
      </c>
      <c r="Q234" s="152" t="s">
        <v>1</v>
      </c>
      <c r="R234" s="96" t="str">
        <f t="shared" si="23"/>
        <v>Operational Reliability_OEE_Improvement_Entry</v>
      </c>
      <c r="S234" s="371">
        <f t="shared" si="27"/>
        <v>0</v>
      </c>
      <c r="T234" t="str">
        <f t="shared" si="24"/>
        <v>(HOT) V600 Alkox Reactor</v>
      </c>
      <c r="U234" t="s">
        <v>876</v>
      </c>
    </row>
    <row r="235" spans="15:21">
      <c r="O235" s="95" t="s">
        <v>678</v>
      </c>
      <c r="P235" s="95" t="s">
        <v>1185</v>
      </c>
      <c r="Q235" s="152" t="s">
        <v>2</v>
      </c>
      <c r="R235" s="96" t="str">
        <f t="shared" si="23"/>
        <v>Technology Reliability_OEE_Improvement_Entry</v>
      </c>
      <c r="S235" s="371">
        <f t="shared" si="27"/>
        <v>0</v>
      </c>
      <c r="T235" t="str">
        <f t="shared" si="24"/>
        <v>(HOT) V600 Alkox Reactor</v>
      </c>
      <c r="U235" t="s">
        <v>876</v>
      </c>
    </row>
    <row r="236" spans="15:21">
      <c r="O236" s="95" t="s">
        <v>678</v>
      </c>
      <c r="P236" s="95" t="s">
        <v>1185</v>
      </c>
      <c r="Q236" s="152" t="s">
        <v>3</v>
      </c>
      <c r="R236" s="96" t="str">
        <f t="shared" si="23"/>
        <v>Material Reliability_OEE_Improvement_Entry</v>
      </c>
      <c r="S236" s="371">
        <f t="shared" si="27"/>
        <v>0</v>
      </c>
      <c r="T236" t="str">
        <f t="shared" si="24"/>
        <v>(HOT) V600 Alkox Reactor</v>
      </c>
      <c r="U236" t="s">
        <v>876</v>
      </c>
    </row>
    <row r="237" spans="15:21">
      <c r="O237" s="95" t="s">
        <v>678</v>
      </c>
      <c r="P237" s="95" t="s">
        <v>1185</v>
      </c>
      <c r="Q237" s="152" t="s">
        <v>4</v>
      </c>
      <c r="R237" s="96" t="str">
        <f t="shared" si="23"/>
        <v>Logistics/Supply Reliability_OEE_Improvement_Entry</v>
      </c>
      <c r="S237" s="371">
        <f t="shared" si="27"/>
        <v>0</v>
      </c>
      <c r="T237" t="str">
        <f t="shared" si="24"/>
        <v>(HOT) V600 Alkox Reactor</v>
      </c>
      <c r="U237" t="s">
        <v>876</v>
      </c>
    </row>
    <row r="238" spans="15:21">
      <c r="O238" s="95" t="s">
        <v>678</v>
      </c>
      <c r="P238" s="95" t="s">
        <v>1185</v>
      </c>
      <c r="Q238" s="152" t="s">
        <v>5</v>
      </c>
      <c r="R238" s="96" t="str">
        <f t="shared" si="23"/>
        <v>External Reliability_OEE_Improvement_Entry</v>
      </c>
      <c r="S238" s="371">
        <f t="shared" si="27"/>
        <v>0</v>
      </c>
      <c r="T238" t="str">
        <f t="shared" si="24"/>
        <v>(HOT) V600 Alkox Reactor</v>
      </c>
      <c r="U238" t="s">
        <v>876</v>
      </c>
    </row>
    <row r="239" spans="15:21">
      <c r="O239" s="95" t="s">
        <v>678</v>
      </c>
      <c r="P239" s="95" t="s">
        <v>1185</v>
      </c>
      <c r="Q239" s="152" t="s">
        <v>11</v>
      </c>
      <c r="R239" s="96" t="str">
        <f t="shared" si="23"/>
        <v>Other Reliability_OEE_Improvement_Entry</v>
      </c>
      <c r="S239" s="371">
        <f t="shared" si="27"/>
        <v>0</v>
      </c>
      <c r="T239" t="str">
        <f t="shared" si="24"/>
        <v>(HOT) V600 Alkox Reactor</v>
      </c>
      <c r="U239" t="s">
        <v>876</v>
      </c>
    </row>
    <row r="240" spans="15:21">
      <c r="O240" s="95" t="s">
        <v>678</v>
      </c>
      <c r="P240" s="95" t="s">
        <v>1185</v>
      </c>
      <c r="Q240" s="152" t="s">
        <v>15</v>
      </c>
      <c r="R240" s="96" t="str">
        <f t="shared" si="23"/>
        <v>Unspecified_OEE_Improvement_Entry</v>
      </c>
      <c r="S240" s="371">
        <f t="shared" si="27"/>
        <v>0</v>
      </c>
      <c r="T240" t="str">
        <f t="shared" si="24"/>
        <v>(HOT) V600 Alkox Reactor</v>
      </c>
      <c r="U240" t="s">
        <v>876</v>
      </c>
    </row>
    <row r="241" spans="15:21">
      <c r="O241" s="95" t="s">
        <v>678</v>
      </c>
      <c r="P241" s="95" t="s">
        <v>1185</v>
      </c>
      <c r="Q241" s="152" t="s">
        <v>16</v>
      </c>
      <c r="R241" s="96" t="str">
        <f t="shared" si="23"/>
        <v>Undetected_OEE_Improvement_Entry</v>
      </c>
      <c r="S241" s="371">
        <f t="shared" si="27"/>
        <v>0</v>
      </c>
      <c r="T241" t="str">
        <f t="shared" si="24"/>
        <v>(HOT) V600 Alkox Reactor</v>
      </c>
      <c r="U241" t="s">
        <v>876</v>
      </c>
    </row>
    <row r="242" spans="15:21">
      <c r="O242" s="95" t="s">
        <v>678</v>
      </c>
      <c r="P242" s="95" t="s">
        <v>1185</v>
      </c>
      <c r="Q242" s="152" t="s">
        <v>664</v>
      </c>
      <c r="R242" s="96" t="str">
        <f t="shared" si="23"/>
        <v>Exception hours_OEE_Improvement_Entry</v>
      </c>
      <c r="S242" s="371">
        <f t="shared" si="27"/>
        <v>0</v>
      </c>
      <c r="T242" t="str">
        <f t="shared" si="24"/>
        <v>(HOT) V600 Alkox Reactor</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V600 Alkox Reactor</v>
      </c>
      <c r="U243" t="s">
        <v>876</v>
      </c>
    </row>
    <row r="244" spans="15:21">
      <c r="O244" s="95" t="s">
        <v>678</v>
      </c>
      <c r="P244" s="95" t="s">
        <v>1185</v>
      </c>
      <c r="Q244" s="152" t="s">
        <v>705</v>
      </c>
      <c r="R244" s="96" t="str">
        <f t="shared" si="23"/>
        <v>Improvement target not assigned_OEE_Improvement_Entry</v>
      </c>
      <c r="S244" s="371">
        <f t="shared" si="27"/>
        <v>0</v>
      </c>
      <c r="T244" t="str">
        <f t="shared" si="24"/>
        <v>(HOT) V600 Alkox Reactor</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V600 Alkox Reactor</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V600 Alkox Reactor</v>
      </c>
      <c r="U246" t="s">
        <v>876</v>
      </c>
    </row>
    <row r="247" spans="15:21">
      <c r="O247" s="95" t="s">
        <v>678</v>
      </c>
      <c r="P247" s="95" t="s">
        <v>1185</v>
      </c>
      <c r="Q247" s="152" t="s">
        <v>712</v>
      </c>
      <c r="R247" s="96" t="str">
        <f t="shared" si="23"/>
        <v>Production hours on MAC (h) / OEE (%)_OEE_Improvement_Entry</v>
      </c>
      <c r="S247" s="371">
        <f t="shared" si="27"/>
        <v>0</v>
      </c>
      <c r="T247" t="str">
        <f t="shared" si="24"/>
        <v>(HOT) V600 Alkox Reactor</v>
      </c>
      <c r="U247" t="s">
        <v>876</v>
      </c>
    </row>
    <row r="248" spans="15:21">
      <c r="O248" s="95" t="s">
        <v>1192</v>
      </c>
      <c r="Q248" s="144" t="s">
        <v>1191</v>
      </c>
      <c r="R248" s="96" t="str">
        <f t="shared" si="23"/>
        <v>Sheet used for target setting</v>
      </c>
      <c r="S248" s="1" t="s">
        <v>1190</v>
      </c>
      <c r="T248" t="str">
        <f t="shared" si="24"/>
        <v>(HOT) V600 Alkox Reactor</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194" priority="25">
      <formula>$B$22=""</formula>
    </cfRule>
  </conditionalFormatting>
  <conditionalFormatting sqref="B6">
    <cfRule type="cellIs" dxfId="193" priority="21" operator="lessThan">
      <formula>-0.1</formula>
    </cfRule>
    <cfRule type="cellIs" dxfId="192" priority="22" operator="greaterThan">
      <formula>0.1</formula>
    </cfRule>
    <cfRule type="cellIs" dxfId="191" priority="23" operator="between">
      <formula>-0.1</formula>
      <formula>0.1</formula>
    </cfRule>
  </conditionalFormatting>
  <conditionalFormatting sqref="C21">
    <cfRule type="cellIs" dxfId="190" priority="18" operator="lessThan">
      <formula>-0.1</formula>
    </cfRule>
    <cfRule type="cellIs" dxfId="189" priority="19" operator="greaterThan">
      <formula>0.1</formula>
    </cfRule>
    <cfRule type="cellIs" dxfId="188" priority="20" operator="between">
      <formula>-0.1</formula>
      <formula>0.1</formula>
    </cfRule>
  </conditionalFormatting>
  <conditionalFormatting sqref="A9:B9">
    <cfRule type="expression" dxfId="187" priority="16">
      <formula>$B$8="Exclude"</formula>
    </cfRule>
    <cfRule type="expression" dxfId="186" priority="17">
      <formula>$B$8="Include"</formula>
    </cfRule>
  </conditionalFormatting>
  <conditionalFormatting sqref="C9">
    <cfRule type="expression" dxfId="185" priority="26">
      <formula>$B$8="Exclude"</formula>
    </cfRule>
    <cfRule type="expression" dxfId="184" priority="27">
      <formula>$B$9="No"</formula>
    </cfRule>
    <cfRule type="expression" dxfId="183" priority="28">
      <formula xml:space="preserve"> $B$9="Yes"</formula>
    </cfRule>
  </conditionalFormatting>
  <conditionalFormatting sqref="C15">
    <cfRule type="expression" dxfId="182" priority="29">
      <formula>$B$15=$D$15</formula>
    </cfRule>
    <cfRule type="expression" dxfId="181" priority="30">
      <formula>$B$1&lt;&gt;$D$15</formula>
    </cfRule>
  </conditionalFormatting>
  <conditionalFormatting sqref="F50:F51">
    <cfRule type="cellIs" dxfId="180" priority="14" operator="greaterThan">
      <formula>1</formula>
    </cfRule>
    <cfRule type="cellIs" dxfId="179" priority="15" operator="lessThanOrEqual">
      <formula>1</formula>
    </cfRule>
  </conditionalFormatting>
  <conditionalFormatting sqref="D17">
    <cfRule type="expression" dxfId="178" priority="12">
      <formula>$D$20=""</formula>
    </cfRule>
    <cfRule type="expression" dxfId="177" priority="13">
      <formula>$D$20&gt;0</formula>
    </cfRule>
  </conditionalFormatting>
  <conditionalFormatting sqref="D19">
    <cfRule type="expression" dxfId="176" priority="10">
      <formula>$D$20=""</formula>
    </cfRule>
    <cfRule type="expression" dxfId="175" priority="11">
      <formula>$D$20&gt;0</formula>
    </cfRule>
  </conditionalFormatting>
  <conditionalFormatting sqref="C10">
    <cfRule type="expression" dxfId="174" priority="5">
      <formula>$B$8="Exclude"</formula>
    </cfRule>
    <cfRule type="expression" dxfId="173" priority="6">
      <formula>$B$9="No"</formula>
    </cfRule>
    <cfRule type="expression" dxfId="172" priority="7">
      <formula>$B$10="No Gain"</formula>
    </cfRule>
    <cfRule type="expression" dxfId="171" priority="8">
      <formula xml:space="preserve"> $B$9="Yes"</formula>
    </cfRule>
    <cfRule type="expression" dxfId="170" priority="9">
      <formula>$B$10="Gain"</formula>
    </cfRule>
  </conditionalFormatting>
  <conditionalFormatting sqref="H31:H39">
    <cfRule type="expression" dxfId="169" priority="33">
      <formula>$F$24="% decrease"</formula>
    </cfRule>
  </conditionalFormatting>
  <conditionalFormatting sqref="H32 H34 H36 H38">
    <cfRule type="expression" dxfId="168" priority="34">
      <formula>$F$24="hours decrease"</formula>
    </cfRule>
  </conditionalFormatting>
  <conditionalFormatting sqref="G31:G39">
    <cfRule type="expression" dxfId="167" priority="35">
      <formula>$F$24="hours decrease"</formula>
    </cfRule>
  </conditionalFormatting>
  <conditionalFormatting sqref="G32 G34 G36 G38">
    <cfRule type="expression" dxfId="166" priority="36">
      <formula>$F$24="% decrease"</formula>
    </cfRule>
  </conditionalFormatting>
  <conditionalFormatting sqref="G40">
    <cfRule type="expression" dxfId="165" priority="4">
      <formula>$F$24="% decrease"</formula>
    </cfRule>
  </conditionalFormatting>
  <conditionalFormatting sqref="F31:F40">
    <cfRule type="expression" dxfId="164" priority="31">
      <formula>$F$24="% decrease"</formula>
    </cfRule>
    <cfRule type="expression" dxfId="163" priority="32">
      <formula>$F$24="hours decrease"</formula>
    </cfRule>
  </conditionalFormatting>
  <conditionalFormatting sqref="C4:C5">
    <cfRule type="expression" dxfId="162" priority="1">
      <formula>$C$5=0</formula>
    </cfRule>
    <cfRule type="expression" dxfId="161" priority="2">
      <formula>$C$5=""</formula>
    </cfRule>
    <cfRule type="expression" dxfId="160" priority="3">
      <formula>$C$5&gt;0</formula>
    </cfRule>
  </conditionalFormatting>
  <dataValidations count="6">
    <dataValidation type="list" allowBlank="1" showInputMessage="1" showErrorMessage="1" sqref="B60" xr:uid="{9F2E0CDD-6141-4168-88CC-BBBFD57D7DD3}">
      <formula1>"Automatic, Force OEE, Force Running OEE"</formula1>
    </dataValidation>
    <dataValidation type="list" allowBlank="1" showInputMessage="1" showErrorMessage="1" sqref="F24" xr:uid="{0F0DA07F-4D0C-41EC-AF6A-CF402123CF2E}">
      <formula1>"% decrease,hours decrease"</formula1>
    </dataValidation>
    <dataValidation type="list" allowBlank="1" showInputMessage="1" showErrorMessage="1" sqref="B8" xr:uid="{EA566725-5B3D-46FA-B16A-48D1F2E5AA6F}">
      <formula1>"Include,Exclude"</formula1>
    </dataValidation>
    <dataValidation type="list" allowBlank="1" showInputMessage="1" showErrorMessage="1" sqref="B9" xr:uid="{441FC1CF-8DF7-4086-BBAA-648FC7C02011}">
      <formula1>"Yes,No"</formula1>
    </dataValidation>
    <dataValidation type="list" allowBlank="1" showInputMessage="1" showErrorMessage="1" sqref="B11" xr:uid="{B987B51C-4C99-489B-9499-7CC3369E837D}">
      <formula1>"Playbook Matrix value, Manual OEE target"</formula1>
    </dataValidation>
    <dataValidation type="list" allowBlank="1" showInputMessage="1" showErrorMessage="1" sqref="B2" xr:uid="{D36BE4AA-4701-4155-9EA0-E50A2E893A14}">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22882"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22883"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22884"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48AFE-EA95-46D9-B14B-84F606952A20}">
  <sheetPr codeName="Sheet13">
    <tabColor rgb="FF00B0F0"/>
  </sheetPr>
  <dimension ref="A1:AI248"/>
  <sheetViews>
    <sheetView showGridLines="0" zoomScaleNormal="100" workbookViewId="0">
      <selection activeCell="B2" sqref="B2"/>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203</v>
      </c>
      <c r="E2" s="314" t="s">
        <v>303</v>
      </c>
      <c r="G2" s="37" t="s">
        <v>670</v>
      </c>
      <c r="H2" s="40">
        <v>5.3</v>
      </c>
      <c r="O2" s="94" t="s">
        <v>679</v>
      </c>
      <c r="P2" s="94"/>
      <c r="Q2" s="145" t="s">
        <v>670</v>
      </c>
      <c r="R2" s="96" t="str">
        <f t="shared" ref="R2:R65" si="0">IF(ISBLANK(P2),Q2,_xlfn.CONCAT(Q2,"_",P2))</f>
        <v>Template Version:</v>
      </c>
      <c r="S2" s="261">
        <f>H2</f>
        <v>5.3</v>
      </c>
      <c r="T2" t="str">
        <f>$B$2</f>
        <v>(HOT) V500 Alkox Reactor</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V500 Alkox Reactor</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V500 Alkox Reactor</v>
      </c>
      <c r="U4" t="s">
        <v>874</v>
      </c>
    </row>
    <row r="5" spans="1:21">
      <c r="A5" s="34" t="s">
        <v>733</v>
      </c>
      <c r="B5" s="42">
        <v>0</v>
      </c>
      <c r="C5" t="str">
        <f>IFERROR(INDEX(Table1[Loss Hours Exclusion],MATCH('(HOT) V500 Alkox Reactor'!B2,Table1[Unit3],0)),"")</f>
        <v/>
      </c>
      <c r="E5" s="317" t="s">
        <v>637</v>
      </c>
      <c r="F5" s="64"/>
      <c r="G5" s="360"/>
      <c r="H5" s="361"/>
      <c r="O5" s="95" t="s">
        <v>674</v>
      </c>
      <c r="P5" s="95"/>
      <c r="Q5" s="146" t="s">
        <v>604</v>
      </c>
      <c r="R5" s="96" t="str">
        <f t="shared" si="0"/>
        <v>Unit Name</v>
      </c>
      <c r="S5" s="264" t="str">
        <f>B2</f>
        <v>(HOT) V500 Alkox Reactor</v>
      </c>
      <c r="T5" t="str">
        <f t="shared" si="1"/>
        <v>(HOT) V500 Alkox Reactor</v>
      </c>
      <c r="U5" t="s">
        <v>875</v>
      </c>
    </row>
    <row r="6" spans="1:21">
      <c r="A6" s="34" t="s">
        <v>735</v>
      </c>
      <c r="B6" s="219">
        <v>0</v>
      </c>
      <c r="C6" s="270">
        <f>SUMIF(B31:B39,"&gt;0",B31:B39)</f>
        <v>1848.1145244849397</v>
      </c>
      <c r="D6" s="270">
        <f>SUMIF(B31:B39,"&lt;0",B31:B39)</f>
        <v>-461.43705864261801</v>
      </c>
      <c r="E6" s="318" t="s">
        <v>1032</v>
      </c>
      <c r="F6" s="64"/>
      <c r="G6" s="360"/>
      <c r="H6" s="361"/>
      <c r="O6" s="95" t="s">
        <v>674</v>
      </c>
      <c r="P6" s="95"/>
      <c r="Q6" s="146" t="s">
        <v>139</v>
      </c>
      <c r="R6" s="96" t="str">
        <f t="shared" si="0"/>
        <v>Unit Type</v>
      </c>
      <c r="S6" s="264" t="str">
        <f t="shared" ref="S6" si="2">B3</f>
        <v>Batch</v>
      </c>
      <c r="T6" t="str">
        <f t="shared" si="1"/>
        <v>(HOT) V500 Alkox Reactor</v>
      </c>
      <c r="U6" t="s">
        <v>875</v>
      </c>
    </row>
    <row r="7" spans="1:21">
      <c r="A7" t="s">
        <v>702</v>
      </c>
      <c r="B7" s="6">
        <f>IFERROR(B48/D48-1,0)</f>
        <v>-1.3997691894473974E-12</v>
      </c>
      <c r="C7" s="121">
        <f>IF(B8="Include",B45*B7/(1+B7),0)</f>
        <v>0</v>
      </c>
      <c r="D7" s="59">
        <f>IFERROR(C6/(C6-D6),0)</f>
        <v>0.80020491336342114</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0</v>
      </c>
      <c r="T7" t="str">
        <f t="shared" si="1"/>
        <v>(HOT) V500 Alkox Reactor</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(HOT) V500 Alkox Reactor</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-1.3997691894473974E-12</v>
      </c>
      <c r="T9" t="str">
        <f t="shared" si="1"/>
        <v>(HOT) V500 Alkox Reactor</v>
      </c>
      <c r="U9" t="s">
        <v>875</v>
      </c>
    </row>
    <row r="10" spans="1:21">
      <c r="A10" s="141" t="s">
        <v>718</v>
      </c>
      <c r="B10" s="59" t="str">
        <f>IF(MIN(C31:C39)&lt;-1%,"Gain","No Gain")</f>
        <v>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(HOT) V500 Alkox Reactor</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V500 Alkox Reactor</v>
      </c>
      <c r="U11" t="s">
        <v>875</v>
      </c>
    </row>
    <row r="12" spans="1:21">
      <c r="A12" s="30" t="s">
        <v>1016</v>
      </c>
      <c r="B12" s="5">
        <f>IF($B$3="Batch",INDEX(BatchMatrix[Target Improvement],MATCH(E48,BatchMatrix[Min OEE],1)),IF($B$3="Continuous",INDEX(ContinousMatrix[Target Improvement],MATCH(E48,ContinousMatrix[Min OEE],1)),""))</f>
        <v>0.03</v>
      </c>
      <c r="C12" s="3"/>
      <c r="E12" s="387"/>
      <c r="F12" s="388"/>
      <c r="G12" s="388"/>
      <c r="H12" s="388"/>
      <c r="I12" s="389"/>
      <c r="O12" s="95" t="s">
        <v>674</v>
      </c>
      <c r="P12" s="95"/>
      <c r="Q12" s="222" t="s">
        <v>718</v>
      </c>
      <c r="R12" s="96" t="str">
        <f t="shared" si="0"/>
        <v>Running OEE LY &gt;100%</v>
      </c>
      <c r="S12" s="264" t="str">
        <f t="shared" si="3"/>
        <v>Gain</v>
      </c>
      <c r="T12" t="str">
        <f t="shared" si="1"/>
        <v>(HOT) V500 Alkox Reactor</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V500 Alkox Reactor</v>
      </c>
      <c r="U13" t="s">
        <v>875</v>
      </c>
    </row>
    <row r="14" spans="1:21">
      <c r="A14" s="33" t="s">
        <v>309</v>
      </c>
      <c r="B14" s="36">
        <f>IF(B11="Manual OEE target",B13,IF(B11="Playbook Matrix value",B12,""))</f>
        <v>0.03</v>
      </c>
      <c r="C14" s="3"/>
      <c r="E14" s="390"/>
      <c r="F14" s="391"/>
      <c r="G14" s="391"/>
      <c r="H14" s="391"/>
      <c r="I14" s="392"/>
      <c r="O14" s="95" t="s">
        <v>674</v>
      </c>
      <c r="P14" s="95"/>
      <c r="Q14" s="224" t="s">
        <v>1292</v>
      </c>
      <c r="R14" s="96" t="str">
        <f t="shared" si="0"/>
        <v>Target OEE Improvement (playbook)</v>
      </c>
      <c r="S14" s="264">
        <f t="shared" si="3"/>
        <v>0.03</v>
      </c>
      <c r="T14" t="str">
        <f t="shared" si="1"/>
        <v>(HOT) V500 Alkox Reactor</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V500 Alkox Reactor</v>
      </c>
      <c r="U15" t="s">
        <v>875</v>
      </c>
    </row>
    <row r="16" spans="1:21">
      <c r="E16" s="390"/>
      <c r="F16" s="391"/>
      <c r="G16" s="391"/>
      <c r="H16" s="391"/>
      <c r="I16" s="392"/>
      <c r="O16" s="95" t="s">
        <v>674</v>
      </c>
      <c r="P16" s="95"/>
      <c r="Q16" s="225" t="s">
        <v>309</v>
      </c>
      <c r="R16" s="96" t="str">
        <f t="shared" si="0"/>
        <v>Selected OEE target (used in table below)</v>
      </c>
      <c r="S16" s="264">
        <f t="shared" si="3"/>
        <v>0.03</v>
      </c>
      <c r="T16" t="str">
        <f t="shared" si="1"/>
        <v>(HOT) V500 Alkox Reactor</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V500 Alkox Reactor</v>
      </c>
      <c r="U17" t="s">
        <v>875</v>
      </c>
    </row>
    <row r="18" spans="1:21">
      <c r="A18" s="44" t="s">
        <v>374</v>
      </c>
      <c r="B18" s="7">
        <f>INDEX(TableOEE[Sum of Planned Turnaround Hours],MATCH($B$2,TableOEE[Unit],0))</f>
        <v>0</v>
      </c>
      <c r="C18" s="42">
        <v>0</v>
      </c>
      <c r="D18" s="1" t="str">
        <f>IFERROR(INDEX(Table13[Distributed Turnaround (hrs) matching?],MATCH('(HOT) V500 Alkox Reactor'!B2,Table13[ 2025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V500 Alkox Reactor</v>
      </c>
      <c r="U18" t="s">
        <v>877</v>
      </c>
    </row>
    <row r="19" spans="1:21">
      <c r="A19" s="45" t="s">
        <v>375</v>
      </c>
      <c r="B19" s="46">
        <f>INDEX(TableOEE[Sum of Planned Shutdown Hours],MATCH($B$2,TableOEE[Unit],0))</f>
        <v>13.5699999833333</v>
      </c>
      <c r="C19" s="42">
        <v>0</v>
      </c>
      <c r="D19" s="259" t="str">
        <f>IFERROR(INDEX(Table12[Distributed Shutdown (hrs) matching?],MATCH('(HOT) V500 Alkox Reactor'!B2,Table12[ 2025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13.5699999833333</v>
      </c>
      <c r="T19" t="str">
        <f t="shared" si="1"/>
        <v>(HOT) V500 Alkox Reactor</v>
      </c>
      <c r="U19" t="s">
        <v>877</v>
      </c>
    </row>
    <row r="20" spans="1:21">
      <c r="A20" s="30" t="s">
        <v>716</v>
      </c>
      <c r="B20" s="7">
        <f>INDEX(TableOEE[Sum of Planned Maintenance Hours],MATCH($B$2,TableOEE[Unit],0))</f>
        <v>13.5699999833333</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13.5699999833333</v>
      </c>
      <c r="T20" t="str">
        <f t="shared" si="1"/>
        <v>(HOT) V500 Alkox Reactor</v>
      </c>
      <c r="U20" t="s">
        <v>877</v>
      </c>
    </row>
    <row r="21" spans="1:21" ht="13.5" thickBot="1">
      <c r="A21" s="43" t="s">
        <v>715</v>
      </c>
      <c r="B21" s="7">
        <f>C20-B20</f>
        <v>-13.5699999833333</v>
      </c>
      <c r="C21" s="5">
        <f>IF(B20&gt;0,C20/B20-1,0)</f>
        <v>-1</v>
      </c>
      <c r="D21" s="269"/>
      <c r="E21" s="393"/>
      <c r="F21" s="394"/>
      <c r="G21" s="394"/>
      <c r="H21" s="394"/>
      <c r="I21" s="395"/>
      <c r="O21" s="95" t="s">
        <v>674</v>
      </c>
      <c r="P21" s="95" t="s">
        <v>879</v>
      </c>
      <c r="Q21" s="147" t="s">
        <v>715</v>
      </c>
      <c r="R21" s="96" t="str">
        <f t="shared" si="0"/>
        <v>Planned Maintenance Increase_Actual_LJ</v>
      </c>
      <c r="S21" s="265">
        <f>B21</f>
        <v>-13.5699999833333</v>
      </c>
      <c r="T21" t="str">
        <f t="shared" si="1"/>
        <v>(HOT) V500 Alkox Reactor</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V500 Alkox Reactor</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V500 Alkox Reactor</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(HOT) V500 Alkox Reactor</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(HOT) V500 Alkox Reactor</v>
      </c>
      <c r="U25" t="s">
        <v>877</v>
      </c>
    </row>
    <row r="26" spans="1:21">
      <c r="A26" s="126" t="s">
        <v>7</v>
      </c>
      <c r="B26" s="161">
        <f>INDEX(TableOEE[Sum of ComercialLossInHours],MATCH($B$2,TableOEE[Unit],0))</f>
        <v>3496.2977771149299</v>
      </c>
      <c r="C26" s="85"/>
      <c r="D26" s="161">
        <f>B26</f>
        <v>3496.2977771149299</v>
      </c>
      <c r="E26" s="159"/>
      <c r="F26" s="282"/>
      <c r="G26" s="294">
        <f>IFERROR(-(I26-D26),"")</f>
        <v>-209.68463886321661</v>
      </c>
      <c r="H26" s="295"/>
      <c r="I26" s="161">
        <f>I25-I28</f>
        <v>3705.9824159781465</v>
      </c>
      <c r="J26" s="206"/>
      <c r="O26" s="95" t="s">
        <v>675</v>
      </c>
      <c r="P26" s="95" t="s">
        <v>685</v>
      </c>
      <c r="Q26" s="147" t="s">
        <v>715</v>
      </c>
      <c r="R26" s="96" t="str">
        <f t="shared" si="0"/>
        <v>Planned Maintenance Increase_Target_NJ</v>
      </c>
      <c r="S26" s="264">
        <f>C21</f>
        <v>-1</v>
      </c>
      <c r="T26" t="str">
        <f t="shared" si="1"/>
        <v>(HOT) V500 Alkox Reactor</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f>E12</f>
        <v>0</v>
      </c>
      <c r="T27" t="str">
        <f t="shared" si="1"/>
        <v>(HOT) V500 Alkox Reactor</v>
      </c>
      <c r="U27" t="s">
        <v>706</v>
      </c>
    </row>
    <row r="28" spans="1:21">
      <c r="A28" s="128" t="s">
        <v>14</v>
      </c>
      <c r="B28" s="162">
        <f>INDEX(TableOEE[Sum of AvailableInHours],MATCH($B$2,TableOEE[Unit],0))+B40</f>
        <v>5287.7022228850801</v>
      </c>
      <c r="C28" s="110">
        <f>IFERROR($B28/$B$28,)</f>
        <v>1</v>
      </c>
      <c r="D28" s="162">
        <f>D25-D26-D27</f>
        <v>5287.7022228850701</v>
      </c>
      <c r="E28" s="163">
        <v>1</v>
      </c>
      <c r="F28" s="284"/>
      <c r="G28" s="297">
        <f>D28-I28</f>
        <v>233.68463886321661</v>
      </c>
      <c r="H28" s="298"/>
      <c r="I28" s="162">
        <f>IFERROR(IF(B15="OEE",I45/F48,I30+I29),0)</f>
        <v>5054.0175840218535</v>
      </c>
      <c r="J28" s="207">
        <v>1</v>
      </c>
      <c r="O28" s="95" t="s">
        <v>674</v>
      </c>
      <c r="P28" s="95" t="s">
        <v>686</v>
      </c>
      <c r="Q28" s="150" t="s">
        <v>10</v>
      </c>
      <c r="R28" s="96" t="str">
        <f t="shared" si="0"/>
        <v>OEE_Actuals_LJ</v>
      </c>
      <c r="S28" s="264">
        <f>B48</f>
        <v>0.73518791210189294</v>
      </c>
      <c r="T28" t="str">
        <f t="shared" si="1"/>
        <v>(HOT) V500 Alkox Reactor</v>
      </c>
      <c r="U28" t="s">
        <v>141</v>
      </c>
    </row>
    <row r="29" spans="1:21" ht="13.5" thickBot="1">
      <c r="A29" s="129" t="s">
        <v>17</v>
      </c>
      <c r="B29" s="164">
        <f>INDEX(TableOEE[Sum of Planned Maintenance Hours],MATCH($B$2,TableOEE[Unit],0))</f>
        <v>13.5699999833333</v>
      </c>
      <c r="C29" s="16">
        <f>IFERROR($B29/$B$28,)</f>
        <v>2.5663321063358266E-3</v>
      </c>
      <c r="D29" s="164">
        <f>B29</f>
        <v>13.5699999833333</v>
      </c>
      <c r="E29" s="165">
        <f>D29/$D$28</f>
        <v>2.5663321063358314E-3</v>
      </c>
      <c r="F29" s="285"/>
      <c r="G29" s="299">
        <f>-(I29-D29)</f>
        <v>13.5699999833333</v>
      </c>
      <c r="H29" s="285">
        <f>IFERROR($C29-$J29,)</f>
        <v>2.5663321063358266E-3</v>
      </c>
      <c r="I29" s="164">
        <f>C20</f>
        <v>0</v>
      </c>
      <c r="J29" s="208">
        <f>IFERROR(I29/I28,)</f>
        <v>0</v>
      </c>
      <c r="O29" s="95" t="s">
        <v>674</v>
      </c>
      <c r="P29" s="95" t="s">
        <v>686</v>
      </c>
      <c r="Q29" s="150" t="s">
        <v>666</v>
      </c>
      <c r="R29" s="96" t="str">
        <f t="shared" si="0"/>
        <v>Running OEE_Actuals_LJ</v>
      </c>
      <c r="S29" s="264">
        <f t="shared" ref="S29:S31" si="4">B49</f>
        <v>0.73707950289509461</v>
      </c>
      <c r="T29" t="str">
        <f t="shared" si="1"/>
        <v>(HOT) V500 Alkox Reactor</v>
      </c>
      <c r="U29" t="s">
        <v>141</v>
      </c>
    </row>
    <row r="30" spans="1:21">
      <c r="A30" s="128" t="s">
        <v>665</v>
      </c>
      <c r="B30" s="162">
        <f>B28-B29</f>
        <v>5274.1322229017469</v>
      </c>
      <c r="C30" s="110">
        <f>B30/B28</f>
        <v>0.99743366789366417</v>
      </c>
      <c r="D30" s="162">
        <f>D28-D29</f>
        <v>5274.1322229017369</v>
      </c>
      <c r="E30" s="163">
        <f>D30/D28</f>
        <v>0.99743366789366417</v>
      </c>
      <c r="F30" s="284"/>
      <c r="G30" s="297">
        <f>D30-I30</f>
        <v>220.11463887988339</v>
      </c>
      <c r="H30" s="298"/>
      <c r="I30" s="162">
        <f>IF(B15="OEE",I28-I29,I45/F49)</f>
        <v>5054.0175840218535</v>
      </c>
      <c r="J30" s="209"/>
      <c r="O30" s="95" t="s">
        <v>674</v>
      </c>
      <c r="P30" s="95" t="s">
        <v>686</v>
      </c>
      <c r="Q30" s="150" t="s">
        <v>8</v>
      </c>
      <c r="R30" s="96" t="str">
        <f t="shared" si="0"/>
        <v>Utilization_Actuals_LJ</v>
      </c>
      <c r="S30" s="264">
        <f t="shared" si="4"/>
        <v>0.60196974304247264</v>
      </c>
      <c r="T30" t="str">
        <f t="shared" si="1"/>
        <v>(HOT) V500 Alkox Reactor</v>
      </c>
      <c r="U30" t="s">
        <v>141</v>
      </c>
    </row>
    <row r="31" spans="1:21">
      <c r="A31" s="130" t="s">
        <v>18</v>
      </c>
      <c r="B31" s="166">
        <f>INDEX(TableCategories[Equipment Reliability],MATCH($B$2,TableCategories[Row Labels],0))-B29</f>
        <v>84.655555249979301</v>
      </c>
      <c r="C31" s="71">
        <f t="shared" ref="C31:C39" si="5">IFERROR($B31/$B$28,)</f>
        <v>1.6009894597239532E-2</v>
      </c>
      <c r="D31" s="166">
        <f>IFERROR(IF($B$8="Exclude",B31,IF($B$9="No",B31,IF(B31&lt;0,B31+$C$7*(1-$D$7)*B31/$D$6,B31+(($C$7*$D$7)*B31/$C$6)))),0)</f>
        <v>84.655555249979301</v>
      </c>
      <c r="E31" s="167">
        <f>D31/$D$28</f>
        <v>1.600989459723956E-2</v>
      </c>
      <c r="F31" s="325">
        <v>0</v>
      </c>
      <c r="G31" s="166">
        <f>IF($F$24="% decrease",D31-I31,F31)</f>
        <v>3.7412664371940991</v>
      </c>
      <c r="H31" s="327">
        <f t="shared" ref="H31:H39" si="6">IF($F$24="% decrease",$F31,$E31-$J31)</f>
        <v>0</v>
      </c>
      <c r="I31" s="166">
        <f>IF($F$24="% decrease",J31*$I$28,$D31-$G31)</f>
        <v>80.914288812785202</v>
      </c>
      <c r="J31" s="210">
        <f t="shared" ref="J31:J39" si="7">IF($F$24="% decrease",$E31-$H31,I31/I$28)</f>
        <v>1.600989459723956E-2</v>
      </c>
      <c r="O31" s="95" t="s">
        <v>674</v>
      </c>
      <c r="P31" s="95" t="s">
        <v>686</v>
      </c>
      <c r="Q31" s="150" t="s">
        <v>376</v>
      </c>
      <c r="R31" s="96" t="str">
        <f t="shared" si="0"/>
        <v>OAU_Actuals_LJ</v>
      </c>
      <c r="S31" s="264">
        <f t="shared" si="4"/>
        <v>0.44256087853590848</v>
      </c>
      <c r="T31" t="str">
        <f t="shared" si="1"/>
        <v>(HOT) V500 Alkox Reactor</v>
      </c>
      <c r="U31" t="s">
        <v>141</v>
      </c>
    </row>
    <row r="32" spans="1:21">
      <c r="A32" s="131" t="s">
        <v>1</v>
      </c>
      <c r="B32" s="168">
        <f>INDEX(TableCategories[Operational Reliability],MATCH($B$2,TableCategories[Row Labels],0))</f>
        <v>809.80777308311895</v>
      </c>
      <c r="C32" s="9">
        <f t="shared" si="5"/>
        <v>0.15314927712424603</v>
      </c>
      <c r="D32" s="168">
        <f t="shared" ref="D32:D39" si="8">IFERROR(IF($B$8="Exclude",B32,IF($B$9="No",B32,IF(B32&lt;0,B32+$C$7*(1-$D$7)*B32/$D$6,B32+(($C$7*$D$7)*B32/$C$6)))),0)</f>
        <v>809.80777308311895</v>
      </c>
      <c r="E32" s="169">
        <f t="shared" ref="E32:E41" si="9">D32/$D$28</f>
        <v>0.15314927712424634</v>
      </c>
      <c r="F32" s="325">
        <v>0</v>
      </c>
      <c r="G32" s="168">
        <f t="shared" ref="G32:G41" si="10">IF($F$24="% decrease",D32-I32,F32)</f>
        <v>35.788633516942127</v>
      </c>
      <c r="H32" s="327">
        <f t="shared" si="6"/>
        <v>0</v>
      </c>
      <c r="I32" s="168">
        <f t="shared" ref="I32:I41" si="11">IF($F$24="% decrease",J32*$I$28,$D32-$G32)</f>
        <v>774.01913956617682</v>
      </c>
      <c r="J32" s="211">
        <f t="shared" si="7"/>
        <v>0.15314927712424634</v>
      </c>
      <c r="O32" s="95" t="s">
        <v>675</v>
      </c>
      <c r="P32" s="95" t="s">
        <v>719</v>
      </c>
      <c r="Q32" s="13" t="s">
        <v>10</v>
      </c>
      <c r="R32" s="96" t="str">
        <f t="shared" si="0"/>
        <v>OEE_Actuals_LJ_corrected</v>
      </c>
      <c r="S32" s="264">
        <f>C48</f>
        <v>0.73518791210189294</v>
      </c>
      <c r="T32" t="str">
        <f t="shared" si="1"/>
        <v>(HOT) V500 Alkox Reactor</v>
      </c>
      <c r="U32" t="s">
        <v>141</v>
      </c>
    </row>
    <row r="33" spans="1:21">
      <c r="A33" s="130" t="s">
        <v>2</v>
      </c>
      <c r="B33" s="166">
        <f>INDEX(TableCategories[Technology Reliability],MATCH($B$2,TableCategories[Row Labels],0))</f>
        <v>568.511544904321</v>
      </c>
      <c r="C33" s="71">
        <f t="shared" si="5"/>
        <v>0.1075158019382811</v>
      </c>
      <c r="D33" s="166">
        <f t="shared" si="8"/>
        <v>568.511544904321</v>
      </c>
      <c r="E33" s="167">
        <f t="shared" si="9"/>
        <v>0.10751580193828131</v>
      </c>
      <c r="F33" s="355">
        <v>0</v>
      </c>
      <c r="G33" s="166">
        <f t="shared" si="10"/>
        <v>25.12479134803641</v>
      </c>
      <c r="H33" s="327">
        <f t="shared" si="6"/>
        <v>0</v>
      </c>
      <c r="I33" s="166">
        <f t="shared" si="11"/>
        <v>543.38675355628459</v>
      </c>
      <c r="J33" s="210">
        <f t="shared" si="7"/>
        <v>0.10751580193828131</v>
      </c>
      <c r="O33" s="95" t="s">
        <v>675</v>
      </c>
      <c r="P33" s="95" t="s">
        <v>719</v>
      </c>
      <c r="Q33" s="13" t="s">
        <v>666</v>
      </c>
      <c r="R33" s="96" t="str">
        <f t="shared" si="0"/>
        <v>Running OEE_Actuals_LJ_corrected</v>
      </c>
      <c r="S33" s="264">
        <f>C49</f>
        <v>0.73707950289509461</v>
      </c>
      <c r="T33" t="str">
        <f t="shared" si="1"/>
        <v>(HOT) V500 Alkox Reactor</v>
      </c>
      <c r="U33" t="s">
        <v>141</v>
      </c>
    </row>
    <row r="34" spans="1:21">
      <c r="A34" s="131" t="s">
        <v>3</v>
      </c>
      <c r="B34" s="168">
        <f>INDEX(TableCategories[Material Reliability],MATCH($B$2,TableCategories[Row Labels],0))</f>
        <v>81.508610716665302</v>
      </c>
      <c r="C34" s="9">
        <f t="shared" si="5"/>
        <v>1.5414750543988181E-2</v>
      </c>
      <c r="D34" s="168">
        <f t="shared" si="8"/>
        <v>81.508610716665302</v>
      </c>
      <c r="E34" s="169">
        <f t="shared" si="9"/>
        <v>1.541475054398821E-2</v>
      </c>
      <c r="F34" s="273">
        <v>0</v>
      </c>
      <c r="G34" s="168">
        <f t="shared" si="10"/>
        <v>3.6021904140384606</v>
      </c>
      <c r="H34" s="327">
        <f t="shared" si="6"/>
        <v>0</v>
      </c>
      <c r="I34" s="168">
        <f t="shared" si="11"/>
        <v>77.906420302626842</v>
      </c>
      <c r="J34" s="211">
        <f t="shared" si="7"/>
        <v>1.541475054398821E-2</v>
      </c>
      <c r="O34" s="95" t="s">
        <v>675</v>
      </c>
      <c r="P34" s="95" t="s">
        <v>719</v>
      </c>
      <c r="Q34" s="13" t="s">
        <v>8</v>
      </c>
      <c r="R34" s="96" t="str">
        <f t="shared" si="0"/>
        <v>Utilization_Actuals_LJ_corrected</v>
      </c>
      <c r="S34" s="264">
        <f>C50</f>
        <v>0.60196974304247264</v>
      </c>
      <c r="T34" t="str">
        <f t="shared" si="1"/>
        <v>(HOT) V500 Alkox Reactor</v>
      </c>
      <c r="U34" t="s">
        <v>141</v>
      </c>
    </row>
    <row r="35" spans="1:21">
      <c r="A35" s="130" t="s">
        <v>4</v>
      </c>
      <c r="B35" s="166">
        <f>INDEX(TableCategories[Logistics/Supply Reliability],MATCH($B$2,TableCategories[Row Labels],0))</f>
        <v>66.015833249898193</v>
      </c>
      <c r="C35" s="71">
        <f t="shared" si="5"/>
        <v>1.2484786485173626E-2</v>
      </c>
      <c r="D35" s="166">
        <f t="shared" si="8"/>
        <v>66.015833249898193</v>
      </c>
      <c r="E35" s="167">
        <f t="shared" si="9"/>
        <v>1.2484786485173651E-2</v>
      </c>
      <c r="F35" s="325">
        <v>0</v>
      </c>
      <c r="G35" s="166">
        <f t="shared" si="10"/>
        <v>2.9175028210721692</v>
      </c>
      <c r="H35" s="327">
        <f t="shared" si="6"/>
        <v>0</v>
      </c>
      <c r="I35" s="166">
        <f t="shared" si="11"/>
        <v>63.098330428826024</v>
      </c>
      <c r="J35" s="210">
        <f t="shared" si="7"/>
        <v>1.2484786485173651E-2</v>
      </c>
      <c r="O35" s="95" t="s">
        <v>675</v>
      </c>
      <c r="P35" s="95" t="s">
        <v>719</v>
      </c>
      <c r="Q35" s="13" t="s">
        <v>376</v>
      </c>
      <c r="R35" s="96" t="str">
        <f t="shared" si="0"/>
        <v>OAU_Actuals_LJ_corrected</v>
      </c>
      <c r="S35" s="264">
        <f>C51</f>
        <v>0.44256087853590848</v>
      </c>
      <c r="T35" t="str">
        <f t="shared" si="1"/>
        <v>(HOT) V500 Alkox Reactor</v>
      </c>
      <c r="U35" t="s">
        <v>141</v>
      </c>
    </row>
    <row r="36" spans="1:21">
      <c r="A36" s="131" t="s">
        <v>5</v>
      </c>
      <c r="B36" s="168">
        <f>INDEX(TableCategories[External Reliability],MATCH($B$2,TableCategories[Row Labels],0))</f>
        <v>112.756666633069</v>
      </c>
      <c r="C36" s="9">
        <f t="shared" si="5"/>
        <v>2.1324322338928274E-2</v>
      </c>
      <c r="D36" s="168">
        <f t="shared" si="8"/>
        <v>112.756666633069</v>
      </c>
      <c r="E36" s="169">
        <f t="shared" si="9"/>
        <v>2.1324322338928312E-2</v>
      </c>
      <c r="F36" s="355">
        <v>0</v>
      </c>
      <c r="G36" s="168">
        <f t="shared" si="10"/>
        <v>4.9831665647752885</v>
      </c>
      <c r="H36" s="327">
        <f t="shared" si="6"/>
        <v>0</v>
      </c>
      <c r="I36" s="168">
        <f t="shared" si="11"/>
        <v>107.77350006829371</v>
      </c>
      <c r="J36" s="211">
        <f t="shared" si="7"/>
        <v>2.1324322338928312E-2</v>
      </c>
      <c r="O36" s="95" t="s">
        <v>676</v>
      </c>
      <c r="P36" s="95" t="s">
        <v>684</v>
      </c>
      <c r="Q36" s="150" t="s">
        <v>10</v>
      </c>
      <c r="R36" s="96" t="str">
        <f t="shared" si="0"/>
        <v>OEE_Normalized_LJ</v>
      </c>
      <c r="S36" s="264">
        <f>D48</f>
        <v>0.735187912102922</v>
      </c>
      <c r="T36" t="str">
        <f t="shared" si="1"/>
        <v>(HOT) V500 Alkox Reactor</v>
      </c>
      <c r="U36" t="s">
        <v>141</v>
      </c>
    </row>
    <row r="37" spans="1:21">
      <c r="A37" s="130" t="s">
        <v>11</v>
      </c>
      <c r="B37" s="166">
        <f>INDEX(TableCategories[Other Reliability],MATCH($B$2,TableCategories[Row Labels],0))</f>
        <v>-461.43705864261801</v>
      </c>
      <c r="C37" s="71">
        <f t="shared" si="5"/>
        <v>-8.726608254253175E-2</v>
      </c>
      <c r="D37" s="166">
        <f t="shared" si="8"/>
        <v>-461.43705864261801</v>
      </c>
      <c r="E37" s="167">
        <f t="shared" si="9"/>
        <v>-8.7266082542531917E-2</v>
      </c>
      <c r="F37" s="325">
        <v>0</v>
      </c>
      <c r="G37" s="166">
        <f t="shared" si="10"/>
        <v>-20.392742983959181</v>
      </c>
      <c r="H37" s="327">
        <f t="shared" si="6"/>
        <v>0</v>
      </c>
      <c r="I37" s="166">
        <f t="shared" si="11"/>
        <v>-441.04431565865883</v>
      </c>
      <c r="J37" s="210">
        <f t="shared" si="7"/>
        <v>-8.7266082542531917E-2</v>
      </c>
      <c r="O37" s="95" t="s">
        <v>676</v>
      </c>
      <c r="P37" s="95" t="s">
        <v>684</v>
      </c>
      <c r="Q37" s="150" t="s">
        <v>666</v>
      </c>
      <c r="R37" s="96" t="str">
        <f t="shared" si="0"/>
        <v>Running OEE_Normalized_LJ</v>
      </c>
      <c r="S37" s="264">
        <f>D49</f>
        <v>0.73707950289612634</v>
      </c>
      <c r="T37" t="str">
        <f t="shared" si="1"/>
        <v>(HOT) V500 Alkox Reactor</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0.60196974304163098</v>
      </c>
      <c r="T38" t="str">
        <f t="shared" si="1"/>
        <v>(HOT) V500 Alkox Reactor</v>
      </c>
      <c r="U38" t="s">
        <v>141</v>
      </c>
    </row>
    <row r="39" spans="1:21">
      <c r="A39" s="131" t="s">
        <v>16</v>
      </c>
      <c r="B39" s="166">
        <f>INDEX(TableOEE[Sum of UndetectedInHours],MATCH($B$2,TableOEE[Unit],0))</f>
        <v>124.85854064788801</v>
      </c>
      <c r="C39" s="71">
        <f t="shared" si="5"/>
        <v>2.3613005306445299E-2</v>
      </c>
      <c r="D39" s="166">
        <f t="shared" si="8"/>
        <v>124.85854064788801</v>
      </c>
      <c r="E39" s="167">
        <f t="shared" si="9"/>
        <v>2.3613005306445344E-2</v>
      </c>
      <c r="F39" s="355">
        <v>0</v>
      </c>
      <c r="G39" s="166">
        <f t="shared" si="10"/>
        <v>5.5179966175118977</v>
      </c>
      <c r="H39" s="327">
        <f t="shared" si="6"/>
        <v>0</v>
      </c>
      <c r="I39" s="166">
        <f t="shared" si="11"/>
        <v>119.34054403037611</v>
      </c>
      <c r="J39" s="210">
        <f t="shared" si="7"/>
        <v>2.3613005306445344E-2</v>
      </c>
      <c r="O39" s="95" t="s">
        <v>676</v>
      </c>
      <c r="P39" s="95" t="s">
        <v>684</v>
      </c>
      <c r="Q39" s="150" t="s">
        <v>376</v>
      </c>
      <c r="R39" s="96" t="str">
        <f t="shared" si="0"/>
        <v>OAU_Normalized_LJ</v>
      </c>
      <c r="S39" s="264">
        <f>D51</f>
        <v>0.44256087853590897</v>
      </c>
      <c r="T39" t="str">
        <f t="shared" si="1"/>
        <v>(HOT) V500 Alkox Reactor</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0.73518791210189294</v>
      </c>
      <c r="T40" t="str">
        <f t="shared" si="1"/>
        <v>(HOT) V500 Alkox Reactor</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0.73707950289509605</v>
      </c>
      <c r="T41" t="str">
        <f t="shared" si="1"/>
        <v>(HOT) V500 Alkox Reactor</v>
      </c>
      <c r="U41" t="s">
        <v>141</v>
      </c>
    </row>
    <row r="42" spans="1:21" ht="13.5" thickBot="1">
      <c r="A42" s="134" t="s">
        <v>705</v>
      </c>
      <c r="B42" s="172"/>
      <c r="C42" s="72"/>
      <c r="D42" s="172">
        <f>D30-D31-D32-D33-D34-D35-D36-D37-D38-D39-D40-D41-D45</f>
        <v>-5.0022208597511053E-12</v>
      </c>
      <c r="E42" s="173"/>
      <c r="F42" s="287"/>
      <c r="G42" s="306"/>
      <c r="H42" s="307">
        <f>IFERROR(I42/I28,0)</f>
        <v>2.9325258686866907E-2</v>
      </c>
      <c r="I42" s="184">
        <f>-(I43-I31-I32-I33-I34-I35-I36-I37-I38-I39-I41-I40)</f>
        <v>148.21037305941496</v>
      </c>
      <c r="J42" s="212">
        <f>-H42</f>
        <v>-2.9325258686866907E-2</v>
      </c>
      <c r="O42" s="95" t="s">
        <v>677</v>
      </c>
      <c r="P42" s="95" t="s">
        <v>720</v>
      </c>
      <c r="Q42" s="13" t="s">
        <v>8</v>
      </c>
      <c r="R42" s="96" t="str">
        <f t="shared" si="0"/>
        <v>Utilization_Baseline target setting</v>
      </c>
      <c r="S42" s="264">
        <f>E50</f>
        <v>0.60196974304247153</v>
      </c>
      <c r="T42" t="str">
        <f t="shared" si="1"/>
        <v>(HOT) V500 Alkox Reactor</v>
      </c>
      <c r="U42" t="s">
        <v>141</v>
      </c>
    </row>
    <row r="43" spans="1:21" ht="13.5" hidden="1" thickBot="1">
      <c r="A43" s="135" t="s">
        <v>397</v>
      </c>
      <c r="B43" s="174">
        <f>SUBTOTAL(109,B31:B40)</f>
        <v>1386.6774658423217</v>
      </c>
      <c r="C43" s="106">
        <f>IFERROR($B43/$B$28,)</f>
        <v>0.26224575579177029</v>
      </c>
      <c r="D43" s="174">
        <f>SUBTOTAL(109,D31:D41)</f>
        <v>1386.6774658423217</v>
      </c>
      <c r="E43" s="175">
        <f>D43/D28</f>
        <v>0.26224575579177078</v>
      </c>
      <c r="F43" s="288"/>
      <c r="G43" s="308">
        <f>I43-D43</f>
        <v>-209.49317779502621</v>
      </c>
      <c r="H43" s="309">
        <f>E43-J43</f>
        <v>2.9325258686866862E-2</v>
      </c>
      <c r="I43" s="174">
        <f>I30-I45</f>
        <v>1177.1842880472955</v>
      </c>
      <c r="J43" s="213">
        <f>SUM(J31:J42)</f>
        <v>0.23292049710490392</v>
      </c>
      <c r="O43" s="95" t="s">
        <v>677</v>
      </c>
      <c r="P43" s="95"/>
      <c r="Q43" s="13" t="s">
        <v>722</v>
      </c>
      <c r="R43" s="96" t="str">
        <f t="shared" si="0"/>
        <v>BLANK1</v>
      </c>
      <c r="S43" s="264"/>
      <c r="T43" t="str">
        <f t="shared" si="1"/>
        <v>(HOT) V500 Alkox Reactor</v>
      </c>
      <c r="U43" t="s">
        <v>141</v>
      </c>
    </row>
    <row r="44" spans="1:21" ht="13.5" hidden="1" thickBot="1">
      <c r="A44" s="136" t="s">
        <v>398</v>
      </c>
      <c r="B44" s="176">
        <f>B43+B29</f>
        <v>1400.2474658256549</v>
      </c>
      <c r="C44" s="31">
        <f>IFERROR($B44/$B$28,)</f>
        <v>0.26481208789810612</v>
      </c>
      <c r="D44" s="176">
        <f>D43+D29</f>
        <v>1400.2474658256549</v>
      </c>
      <c r="E44" s="177">
        <f>D44/D28</f>
        <v>0.26481208789810662</v>
      </c>
      <c r="F44" s="289"/>
      <c r="G44" s="310">
        <f>I44-D44</f>
        <v>-223.06317777835943</v>
      </c>
      <c r="H44" s="311">
        <f>IFERROR(E44-J44,)</f>
        <v>3.1891590793202695E-2</v>
      </c>
      <c r="I44" s="176">
        <f>I28-I45</f>
        <v>1177.1842880472955</v>
      </c>
      <c r="J44" s="214">
        <f>IFERROR(1-J45,)</f>
        <v>0.23292049710490392</v>
      </c>
      <c r="O44" s="95" t="s">
        <v>677</v>
      </c>
      <c r="P44" s="95"/>
      <c r="Q44" s="151" t="s">
        <v>721</v>
      </c>
      <c r="R44" s="96" t="str">
        <f t="shared" si="0"/>
        <v>BLANK2</v>
      </c>
      <c r="S44" s="264"/>
      <c r="T44" t="str">
        <f t="shared" si="1"/>
        <v>(HOT) V500 Alkox Reactor</v>
      </c>
      <c r="U44" t="s">
        <v>141</v>
      </c>
    </row>
    <row r="45" spans="1:21" ht="13.5" thickBot="1">
      <c r="A45" s="137" t="s">
        <v>712</v>
      </c>
      <c r="B45" s="178">
        <f>INDEX(TableOEE[Sum of ActualInHours],MATCH($B$2,TableOEE[Unit],0))</f>
        <v>3887.45475705942</v>
      </c>
      <c r="C45" s="139">
        <f>IFERROR($B45/$B$28,)</f>
        <v>0.73518791210189294</v>
      </c>
      <c r="D45" s="178">
        <f>IF(B8="Include",B45/(1+B7),B45)</f>
        <v>3887.45475705942</v>
      </c>
      <c r="E45" s="179">
        <f>D45/D28</f>
        <v>0.73518791210189427</v>
      </c>
      <c r="F45" s="290"/>
      <c r="G45" s="312">
        <f>I45-D45</f>
        <v>-10.621461084861949</v>
      </c>
      <c r="H45" s="290">
        <f>H43+H29+H42+H41</f>
        <v>6.1216849480069599E-2</v>
      </c>
      <c r="I45" s="178">
        <f>D45*(1+B6)*I25/B25</f>
        <v>3876.833295974558</v>
      </c>
      <c r="J45" s="215">
        <f>F48</f>
        <v>0.76707950289509608</v>
      </c>
      <c r="O45" s="95" t="s">
        <v>677</v>
      </c>
      <c r="P45" s="95" t="s">
        <v>720</v>
      </c>
      <c r="Q45" s="13" t="s">
        <v>376</v>
      </c>
      <c r="R45" s="96" t="str">
        <f t="shared" si="0"/>
        <v>OAU_Baseline target setting</v>
      </c>
      <c r="S45" s="264">
        <f>E51</f>
        <v>0.44256087853590848</v>
      </c>
      <c r="T45" t="str">
        <f t="shared" si="1"/>
        <v>(HOT) V500 Alkox Reactor</v>
      </c>
      <c r="U45" t="s">
        <v>141</v>
      </c>
    </row>
    <row r="46" spans="1:21">
      <c r="F46" t="s">
        <v>713</v>
      </c>
      <c r="O46" s="95" t="s">
        <v>678</v>
      </c>
      <c r="P46" s="95" t="s">
        <v>880</v>
      </c>
      <c r="Q46" s="150" t="s">
        <v>10</v>
      </c>
      <c r="R46" s="96" t="str">
        <f t="shared" si="0"/>
        <v>OEE_Targets_NJ</v>
      </c>
      <c r="S46" s="264">
        <f>F48</f>
        <v>0.76707950289509608</v>
      </c>
      <c r="T46" t="str">
        <f t="shared" si="1"/>
        <v>(HOT) V500 Alkox Reactor</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0.76707950289509608</v>
      </c>
      <c r="T47" t="str">
        <f t="shared" si="1"/>
        <v>(HOT) V500 Alkox Reactor</v>
      </c>
      <c r="U47" t="s">
        <v>141</v>
      </c>
    </row>
    <row r="48" spans="1:21">
      <c r="A48" s="88" t="s">
        <v>10</v>
      </c>
      <c r="B48" s="89">
        <f>IFERROR(B45/(B28-B40),)</f>
        <v>0.73518791210189294</v>
      </c>
      <c r="C48" s="69">
        <f>IFERROR(B45/(B28-B5),)</f>
        <v>0.73518791210189294</v>
      </c>
      <c r="D48" s="89">
        <f>IFERROR(IF(INDEX(TableOEEnormalized[LastYear Normalized OEE],MATCH($B$2,TableOEEnormalized[Unit],0))&gt;0,
        INDEX(TableOEEnormalized[LastYear Normalized OEE],MATCH($B$2,TableOEEnormalized[Unit],0)),""),Table101291217[[#This Row],[Actual 2024]])</f>
        <v>0.735187912102922</v>
      </c>
      <c r="E48" s="69">
        <f>IF(B8="Include",C48/(1+B7),C48)</f>
        <v>0.73518791210189294</v>
      </c>
      <c r="F48" s="275">
        <f>IFERROR(IF(B15="OEE", E48+B14,I45/I28),)</f>
        <v>0.76707950289509608</v>
      </c>
      <c r="G48" s="276" t="s">
        <v>707</v>
      </c>
      <c r="O48" s="95" t="s">
        <v>678</v>
      </c>
      <c r="P48" s="95" t="s">
        <v>880</v>
      </c>
      <c r="Q48" s="150" t="s">
        <v>8</v>
      </c>
      <c r="R48" s="96" t="str">
        <f t="shared" si="0"/>
        <v>Utilization_Targets_NJ</v>
      </c>
      <c r="S48" s="264">
        <f>F50</f>
        <v>0.57694264657783711</v>
      </c>
      <c r="T48" t="str">
        <f t="shared" si="1"/>
        <v>(HOT) V500 Alkox Reactor</v>
      </c>
      <c r="U48" t="s">
        <v>141</v>
      </c>
    </row>
    <row r="49" spans="1:35">
      <c r="A49" s="90" t="s">
        <v>666</v>
      </c>
      <c r="B49" s="69">
        <f>IFERROR(B45/(B30-B40),)</f>
        <v>0.73707950289509461</v>
      </c>
      <c r="C49" s="69">
        <f>IFERROR(B45/(B30-B5),)</f>
        <v>0.73707950289509461</v>
      </c>
      <c r="D49" s="123">
        <f>IFERROR(B45/(1+B7)/(B28-B29),)</f>
        <v>0.73707950289612634</v>
      </c>
      <c r="E49" s="69">
        <f>IFERROR(D45/(D30),)</f>
        <v>0.73707950289509605</v>
      </c>
      <c r="F49" s="123">
        <f>IFERROR(IF(B15="OEE",(I45/I30),E49+B14),)</f>
        <v>0.76707950289509608</v>
      </c>
      <c r="G49" s="274" t="s">
        <v>669</v>
      </c>
      <c r="O49" s="95" t="s">
        <v>678</v>
      </c>
      <c r="P49" s="95" t="s">
        <v>880</v>
      </c>
      <c r="Q49" s="150" t="s">
        <v>376</v>
      </c>
      <c r="R49" s="96" t="str">
        <f t="shared" si="0"/>
        <v>OAU_Targets_NJ</v>
      </c>
      <c r="S49" s="264">
        <f>F51</f>
        <v>0.44256087853590848</v>
      </c>
      <c r="T49" t="str">
        <f t="shared" si="1"/>
        <v>(HOT) V500 Alkox Reactor</v>
      </c>
      <c r="U49" t="s">
        <v>141</v>
      </c>
    </row>
    <row r="50" spans="1:35">
      <c r="A50" s="90" t="s">
        <v>8</v>
      </c>
      <c r="B50" s="5">
        <f>IFERROR((B28+B27)/(B25),)</f>
        <v>0.60196974304247264</v>
      </c>
      <c r="C50" s="69">
        <f>IFERROR((B28-B5)/B25,)</f>
        <v>0.60196974304247264</v>
      </c>
      <c r="D50" s="123">
        <f>IFERROR(IF(INDEX(TableOEEnormalized[LastYear Normalized Utilization],MATCH($B$2,TableOEEnormalized[Unit],0))&gt;0,
      INDEX(TableOEEnormalized[LastYear Normalized Utilization],MATCH($B$2,TableOEEnormalized[Unit],0)),""),Table101291217[[#This Row],[Actual 2024]])</f>
        <v>0.60196974304163098</v>
      </c>
      <c r="E50" s="69">
        <f>IFERROR(D28/D25,)</f>
        <v>0.60196974304247153</v>
      </c>
      <c r="F50" s="69">
        <f>IFERROR(I28/I25,)</f>
        <v>0.57694264657783711</v>
      </c>
      <c r="G50" s="91" t="s">
        <v>1188</v>
      </c>
      <c r="O50" s="95" t="s">
        <v>679</v>
      </c>
      <c r="P50" s="95" t="s">
        <v>706</v>
      </c>
      <c r="Q50" s="13" t="s">
        <v>10</v>
      </c>
      <c r="R50" s="96" t="str">
        <f t="shared" si="0"/>
        <v>OEE_Remarks</v>
      </c>
      <c r="S50" s="264" t="str">
        <f>G48</f>
        <v>OEE target</v>
      </c>
      <c r="T50" t="str">
        <f t="shared" si="1"/>
        <v>(HOT) V500 Alkox Reactor</v>
      </c>
      <c r="U50" t="s">
        <v>878</v>
      </c>
    </row>
    <row r="51" spans="1:35">
      <c r="A51" s="90" t="s">
        <v>376</v>
      </c>
      <c r="B51" s="69">
        <f>IFERROR(B45/B25,)</f>
        <v>0.44256087853590848</v>
      </c>
      <c r="C51" s="6">
        <f>Table101291217[[#This Row],[Actual 2024]]</f>
        <v>0.44256087853590848</v>
      </c>
      <c r="D51" s="123">
        <f>IFERROR(IF(INDEX(TableOEEnormalized[LastYear Normalized OAU],MATCH($B$2,TableOEEnormalized[Unit],0))&gt;0,
   INDEX(TableOEEnormalized[LastYear Normalized OAU],MATCH($B$2,TableOEEnormalized[Unit],0)),""),Table101291217[[#This Row],[Actual 2024]])</f>
        <v>0.44256087853590897</v>
      </c>
      <c r="E51" s="5">
        <f>D45/D25</f>
        <v>0.44256087853590848</v>
      </c>
      <c r="F51" s="69">
        <f>I45/I25</f>
        <v>0.44256087853590848</v>
      </c>
      <c r="G51" s="91"/>
      <c r="O51" s="95" t="s">
        <v>679</v>
      </c>
      <c r="P51" s="95" t="s">
        <v>706</v>
      </c>
      <c r="Q51" s="13" t="s">
        <v>666</v>
      </c>
      <c r="R51" s="96" t="str">
        <f t="shared" si="0"/>
        <v>Running OEE_Remarks</v>
      </c>
      <c r="S51" s="264" t="str">
        <f>G49</f>
        <v>Running OEE target</v>
      </c>
      <c r="T51" t="str">
        <f t="shared" si="1"/>
        <v>(HOT) V500 Alkox Reactor</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V500 Alkox Reactor</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V500 Alkox Reactor</v>
      </c>
      <c r="U53" t="s">
        <v>878</v>
      </c>
    </row>
    <row r="54" spans="1:35">
      <c r="A54" s="65" t="str">
        <f>B2</f>
        <v>(HOT) V500 Alkox Reactor</v>
      </c>
      <c r="B54" s="75">
        <f>B48</f>
        <v>0.73518791210189294</v>
      </c>
      <c r="C54" s="75">
        <f>D48</f>
        <v>0.735187912102922</v>
      </c>
      <c r="D54" s="75">
        <f>E48</f>
        <v>0.73518791210189294</v>
      </c>
      <c r="E54" s="75">
        <f>F48</f>
        <v>0.76707950289509608</v>
      </c>
      <c r="F54" s="76">
        <f>B6</f>
        <v>0</v>
      </c>
      <c r="G54" s="97">
        <f>B5</f>
        <v>0</v>
      </c>
      <c r="H54" s="76">
        <f>B14</f>
        <v>0.03</v>
      </c>
      <c r="I54" s="76" t="str">
        <f>B11</f>
        <v>Playbook Matrix Value</v>
      </c>
      <c r="J54" s="76" t="str">
        <f>B15</f>
        <v>Running OEE</v>
      </c>
      <c r="K54" s="102">
        <f>C18</f>
        <v>0</v>
      </c>
      <c r="L54" s="102">
        <f>C19</f>
        <v>0</v>
      </c>
      <c r="M54" s="104">
        <f>F49</f>
        <v>0.76707950289509608</v>
      </c>
      <c r="O54" s="95" t="s">
        <v>674</v>
      </c>
      <c r="P54" s="95" t="s">
        <v>683</v>
      </c>
      <c r="Q54" s="142" t="s">
        <v>13</v>
      </c>
      <c r="R54" s="96" t="str">
        <f t="shared" si="0"/>
        <v>MAC - Calender hours_Loss_Hours_LJ</v>
      </c>
      <c r="S54" s="267">
        <f>B25</f>
        <v>8784</v>
      </c>
      <c r="T54" t="str">
        <f t="shared" si="1"/>
        <v>(HOT) V500 Alkox Reactor</v>
      </c>
      <c r="U54" t="s">
        <v>876</v>
      </c>
    </row>
    <row r="55" spans="1:35">
      <c r="O55" s="95" t="s">
        <v>674</v>
      </c>
      <c r="P55" s="95" t="s">
        <v>683</v>
      </c>
      <c r="Q55" s="152" t="s">
        <v>7</v>
      </c>
      <c r="R55" s="96" t="str">
        <f t="shared" si="0"/>
        <v>Commercial Reliability_Loss_Hours_LJ</v>
      </c>
      <c r="S55" s="267">
        <f t="shared" ref="S55:S74" si="12">B26</f>
        <v>3496.2977771149299</v>
      </c>
      <c r="T55" t="str">
        <f t="shared" si="1"/>
        <v>(HOT) V500 Alkox Reactor</v>
      </c>
      <c r="U55" t="s">
        <v>876</v>
      </c>
    </row>
    <row r="56" spans="1:35">
      <c r="D56" s="5"/>
      <c r="O56" s="95" t="s">
        <v>674</v>
      </c>
      <c r="P56" s="95" t="s">
        <v>683</v>
      </c>
      <c r="Q56" s="152" t="s">
        <v>704</v>
      </c>
      <c r="R56" s="96" t="str">
        <f t="shared" si="0"/>
        <v>Exception hours (loss excluded from OEE)_Loss_Hours_LJ</v>
      </c>
      <c r="S56" s="267">
        <f t="shared" si="12"/>
        <v>0</v>
      </c>
      <c r="T56" t="str">
        <f t="shared" si="1"/>
        <v>(HOT) V500 Alkox Reactor</v>
      </c>
      <c r="U56" t="s">
        <v>876</v>
      </c>
    </row>
    <row r="57" spans="1:35">
      <c r="D57" s="5"/>
      <c r="F57" s="54"/>
      <c r="O57" s="95" t="s">
        <v>674</v>
      </c>
      <c r="P57" s="95" t="s">
        <v>683</v>
      </c>
      <c r="Q57" s="152" t="s">
        <v>14</v>
      </c>
      <c r="R57" s="96" t="str">
        <f t="shared" si="0"/>
        <v>Available OEE - Scheduled hours_Loss_Hours_LJ</v>
      </c>
      <c r="S57" s="267">
        <f t="shared" si="12"/>
        <v>5287.7022228850801</v>
      </c>
      <c r="T57" t="str">
        <f t="shared" si="1"/>
        <v>(HOT) V500 Alkox Reactor</v>
      </c>
      <c r="U57" t="s">
        <v>876</v>
      </c>
    </row>
    <row r="58" spans="1:35">
      <c r="B58" s="83"/>
      <c r="C58" s="51"/>
      <c r="O58" s="95" t="s">
        <v>674</v>
      </c>
      <c r="P58" s="95" t="s">
        <v>683</v>
      </c>
      <c r="Q58" s="152" t="s">
        <v>17</v>
      </c>
      <c r="R58" s="96" t="str">
        <f t="shared" si="0"/>
        <v>Equipment Reliability - Planned TA &amp; Planned SD_Loss_Hours_LJ</v>
      </c>
      <c r="S58" s="267">
        <f t="shared" si="12"/>
        <v>13.5699999833333</v>
      </c>
      <c r="T58" t="str">
        <f t="shared" si="1"/>
        <v>(HOT) V500 Alkox Reactor</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5274.1322229017469</v>
      </c>
      <c r="T59" t="str">
        <f t="shared" si="1"/>
        <v>(HOT) V500 Alkox Reactor</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84.655555249979301</v>
      </c>
      <c r="T60" t="str">
        <f t="shared" si="1"/>
        <v>(HOT) V500 Alkox Reactor</v>
      </c>
      <c r="U60" t="s">
        <v>876</v>
      </c>
    </row>
    <row r="61" spans="1:35">
      <c r="B61" s="53"/>
      <c r="C61" s="53"/>
      <c r="O61" s="95" t="s">
        <v>674</v>
      </c>
      <c r="P61" s="95" t="s">
        <v>683</v>
      </c>
      <c r="Q61" s="152" t="s">
        <v>1</v>
      </c>
      <c r="R61" s="96" t="str">
        <f t="shared" si="0"/>
        <v>Operational Reliability_Loss_Hours_LJ</v>
      </c>
      <c r="S61" s="267">
        <f t="shared" si="12"/>
        <v>809.80777308311895</v>
      </c>
      <c r="T61" t="str">
        <f t="shared" si="1"/>
        <v>(HOT) V500 Alkox Reactor</v>
      </c>
      <c r="U61" t="s">
        <v>876</v>
      </c>
    </row>
    <row r="62" spans="1:35">
      <c r="B62" s="53"/>
      <c r="C62" s="53"/>
      <c r="I62" s="6"/>
      <c r="J62" s="6"/>
      <c r="K62" s="6"/>
      <c r="L62" s="6"/>
      <c r="M62" s="6"/>
      <c r="O62" s="95" t="s">
        <v>674</v>
      </c>
      <c r="P62" s="95" t="s">
        <v>683</v>
      </c>
      <c r="Q62" s="152" t="s">
        <v>2</v>
      </c>
      <c r="R62" s="96" t="str">
        <f t="shared" si="0"/>
        <v>Technology Reliability_Loss_Hours_LJ</v>
      </c>
      <c r="S62" s="267">
        <f t="shared" si="12"/>
        <v>568.511544904321</v>
      </c>
      <c r="T62" t="str">
        <f t="shared" si="1"/>
        <v>(HOT) V500 Alkox Reactor</v>
      </c>
      <c r="U62" t="s">
        <v>876</v>
      </c>
    </row>
    <row r="63" spans="1:35">
      <c r="B63" s="82"/>
      <c r="C63" s="2"/>
      <c r="O63" s="95" t="s">
        <v>674</v>
      </c>
      <c r="P63" s="95" t="s">
        <v>683</v>
      </c>
      <c r="Q63" s="152" t="s">
        <v>3</v>
      </c>
      <c r="R63" s="96" t="str">
        <f t="shared" si="0"/>
        <v>Material Reliability_Loss_Hours_LJ</v>
      </c>
      <c r="S63" s="267">
        <f t="shared" si="12"/>
        <v>81.508610716665302</v>
      </c>
      <c r="T63" t="str">
        <f t="shared" si="1"/>
        <v>(HOT) V500 Alkox Reactor</v>
      </c>
      <c r="U63" t="s">
        <v>876</v>
      </c>
    </row>
    <row r="64" spans="1:35">
      <c r="B64" s="5"/>
      <c r="O64" s="95" t="s">
        <v>674</v>
      </c>
      <c r="P64" s="95" t="s">
        <v>683</v>
      </c>
      <c r="Q64" s="152" t="s">
        <v>4</v>
      </c>
      <c r="R64" s="96" t="str">
        <f t="shared" si="0"/>
        <v>Logistics/Supply Reliability_Loss_Hours_LJ</v>
      </c>
      <c r="S64" s="267">
        <f t="shared" si="12"/>
        <v>66.015833249898193</v>
      </c>
      <c r="T64" t="str">
        <f t="shared" si="1"/>
        <v>(HOT) V500 Alkox Reactor</v>
      </c>
      <c r="U64" t="s">
        <v>876</v>
      </c>
    </row>
    <row r="65" spans="15:35">
      <c r="O65" s="95" t="s">
        <v>674</v>
      </c>
      <c r="P65" s="95" t="s">
        <v>683</v>
      </c>
      <c r="Q65" s="152" t="s">
        <v>5</v>
      </c>
      <c r="R65" s="96" t="str">
        <f t="shared" si="0"/>
        <v>External Reliability_Loss_Hours_LJ</v>
      </c>
      <c r="S65" s="267">
        <f t="shared" si="12"/>
        <v>112.756666633069</v>
      </c>
      <c r="T65" t="str">
        <f t="shared" si="1"/>
        <v>(HOT) V500 Alkox Reactor</v>
      </c>
      <c r="U65" t="s">
        <v>876</v>
      </c>
    </row>
    <row r="66" spans="15:35">
      <c r="O66" s="95" t="s">
        <v>674</v>
      </c>
      <c r="P66" s="95" t="s">
        <v>683</v>
      </c>
      <c r="Q66" s="152" t="s">
        <v>11</v>
      </c>
      <c r="R66" s="96" t="str">
        <f t="shared" ref="R66:R129" si="13">IF(ISBLANK(P66),Q66,_xlfn.CONCAT(Q66,"_",P66))</f>
        <v>Other Reliability_Loss_Hours_LJ</v>
      </c>
      <c r="S66" s="267">
        <f t="shared" si="12"/>
        <v>-461.43705864261801</v>
      </c>
      <c r="T66" t="str">
        <f t="shared" si="1"/>
        <v>(HOT) V500 Alkox Reactor</v>
      </c>
      <c r="U66" t="s">
        <v>876</v>
      </c>
    </row>
    <row r="67" spans="15:35">
      <c r="O67" s="95" t="s">
        <v>674</v>
      </c>
      <c r="P67" s="95" t="s">
        <v>683</v>
      </c>
      <c r="Q67" s="152" t="s">
        <v>15</v>
      </c>
      <c r="R67" s="96" t="str">
        <f t="shared" si="13"/>
        <v>Unspecified_Loss_Hours_LJ</v>
      </c>
      <c r="S67" s="267">
        <f t="shared" si="12"/>
        <v>0</v>
      </c>
      <c r="T67" t="str">
        <f t="shared" ref="T67:T130" si="14">$B$2</f>
        <v>(HOT) V500 Alkox Reactor</v>
      </c>
      <c r="U67" t="s">
        <v>876</v>
      </c>
    </row>
    <row r="68" spans="15:35">
      <c r="O68" s="95" t="s">
        <v>674</v>
      </c>
      <c r="P68" s="95" t="s">
        <v>683</v>
      </c>
      <c r="Q68" s="152" t="s">
        <v>16</v>
      </c>
      <c r="R68" s="96" t="str">
        <f t="shared" si="13"/>
        <v>Undetected_Loss_Hours_LJ</v>
      </c>
      <c r="S68" s="267">
        <f t="shared" si="12"/>
        <v>124.85854064788801</v>
      </c>
      <c r="T68" t="str">
        <f t="shared" si="14"/>
        <v>(HOT) V500 Alkox Reactor</v>
      </c>
      <c r="U68" t="s">
        <v>876</v>
      </c>
      <c r="AH68" s="6"/>
      <c r="AI68" s="6"/>
    </row>
    <row r="69" spans="15:35">
      <c r="O69" s="95" t="s">
        <v>674</v>
      </c>
      <c r="P69" s="95" t="s">
        <v>683</v>
      </c>
      <c r="Q69" s="152" t="s">
        <v>664</v>
      </c>
      <c r="R69" s="96" t="str">
        <f t="shared" si="13"/>
        <v>Exception hours_Loss_Hours_LJ</v>
      </c>
      <c r="S69" s="267">
        <f t="shared" si="12"/>
        <v>0</v>
      </c>
      <c r="T69" t="str">
        <f t="shared" si="14"/>
        <v>(HOT) V500 Alkox Reactor</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V500 Alkox Reactor</v>
      </c>
      <c r="U70" t="s">
        <v>876</v>
      </c>
      <c r="AH70" s="6"/>
      <c r="AI70" s="6"/>
    </row>
    <row r="71" spans="15:35">
      <c r="O71" s="95" t="s">
        <v>674</v>
      </c>
      <c r="P71" s="95" t="s">
        <v>683</v>
      </c>
      <c r="Q71" s="152" t="s">
        <v>705</v>
      </c>
      <c r="R71" s="96" t="str">
        <f t="shared" si="13"/>
        <v>Improvement target not assigned_Loss_Hours_LJ</v>
      </c>
      <c r="S71" s="267">
        <f t="shared" si="12"/>
        <v>0</v>
      </c>
      <c r="T71" t="str">
        <f t="shared" si="14"/>
        <v>(HOT) V500 Alkox Reactor</v>
      </c>
      <c r="U71" t="s">
        <v>876</v>
      </c>
    </row>
    <row r="72" spans="15:35">
      <c r="O72" s="95" t="s">
        <v>674</v>
      </c>
      <c r="P72" s="95" t="s">
        <v>683</v>
      </c>
      <c r="Q72" s="152" t="s">
        <v>397</v>
      </c>
      <c r="R72" s="96" t="str">
        <f t="shared" si="13"/>
        <v>Sum OEE losses (exluding Planned Maintenance)_Loss_Hours_LJ</v>
      </c>
      <c r="S72" s="267">
        <f t="shared" si="12"/>
        <v>1386.6774658423217</v>
      </c>
      <c r="T72" t="str">
        <f t="shared" si="14"/>
        <v>(HOT) V500 Alkox Reactor</v>
      </c>
      <c r="U72" t="s">
        <v>876</v>
      </c>
    </row>
    <row r="73" spans="15:35">
      <c r="O73" s="95" t="s">
        <v>675</v>
      </c>
      <c r="P73" s="95" t="s">
        <v>683</v>
      </c>
      <c r="Q73" s="152" t="s">
        <v>398</v>
      </c>
      <c r="R73" s="96" t="str">
        <f t="shared" si="13"/>
        <v>Sum OEE losses (Including Planned Maintenance)_Loss_Hours_LJ</v>
      </c>
      <c r="S73" s="267">
        <f t="shared" si="12"/>
        <v>1400.2474658256549</v>
      </c>
      <c r="T73" t="str">
        <f t="shared" si="14"/>
        <v>(HOT) V500 Alkox Reactor</v>
      </c>
      <c r="U73" t="s">
        <v>876</v>
      </c>
    </row>
    <row r="74" spans="15:35">
      <c r="O74" s="95" t="s">
        <v>675</v>
      </c>
      <c r="P74" s="95" t="s">
        <v>683</v>
      </c>
      <c r="Q74" s="152" t="s">
        <v>712</v>
      </c>
      <c r="R74" s="96" t="str">
        <f t="shared" si="13"/>
        <v>Production hours on MAC (h) / OEE (%)_Loss_Hours_LJ</v>
      </c>
      <c r="S74" s="267">
        <f t="shared" si="12"/>
        <v>3887.45475705942</v>
      </c>
      <c r="T74" t="str">
        <f t="shared" si="14"/>
        <v>(HOT) V500 Alkox Reactor</v>
      </c>
      <c r="U74" t="s">
        <v>876</v>
      </c>
    </row>
    <row r="75" spans="15:35">
      <c r="O75" s="95" t="s">
        <v>675</v>
      </c>
      <c r="P75" s="95" t="s">
        <v>682</v>
      </c>
      <c r="Q75" s="143" t="s">
        <v>13</v>
      </c>
      <c r="R75" s="96" t="str">
        <f t="shared" si="13"/>
        <v>MAC - Calender hours_Loss_Percentage_LJ</v>
      </c>
      <c r="S75" s="268">
        <f>C25</f>
        <v>0</v>
      </c>
      <c r="T75" t="str">
        <f t="shared" si="14"/>
        <v>(HOT) V500 Alkox Reactor</v>
      </c>
      <c r="U75" t="s">
        <v>876</v>
      </c>
    </row>
    <row r="76" spans="15:35">
      <c r="O76" s="95" t="s">
        <v>675</v>
      </c>
      <c r="P76" s="95" t="s">
        <v>682</v>
      </c>
      <c r="Q76" s="153" t="s">
        <v>7</v>
      </c>
      <c r="R76" s="96" t="str">
        <f t="shared" si="13"/>
        <v>Commercial Reliability_Loss_Percentage_LJ</v>
      </c>
      <c r="S76" s="268">
        <f t="shared" ref="S76:S95" si="15">C26</f>
        <v>0</v>
      </c>
      <c r="T76" t="str">
        <f t="shared" si="14"/>
        <v>(HOT) V500 Alkox Reactor</v>
      </c>
      <c r="U76" t="s">
        <v>876</v>
      </c>
    </row>
    <row r="77" spans="15:35">
      <c r="O77" s="95" t="s">
        <v>675</v>
      </c>
      <c r="P77" s="95" t="s">
        <v>682</v>
      </c>
      <c r="Q77" s="153" t="s">
        <v>704</v>
      </c>
      <c r="R77" s="96" t="str">
        <f t="shared" si="13"/>
        <v>Exception hours (loss excluded from OEE)_Loss_Percentage_LJ</v>
      </c>
      <c r="S77" s="268">
        <f t="shared" si="15"/>
        <v>0</v>
      </c>
      <c r="T77" t="str">
        <f t="shared" si="14"/>
        <v>(HOT) V500 Alkox Reactor</v>
      </c>
      <c r="U77" t="s">
        <v>876</v>
      </c>
    </row>
    <row r="78" spans="15:35">
      <c r="O78" s="95" t="s">
        <v>675</v>
      </c>
      <c r="P78" s="95" t="s">
        <v>682</v>
      </c>
      <c r="Q78" s="153" t="s">
        <v>14</v>
      </c>
      <c r="R78" s="96" t="str">
        <f t="shared" si="13"/>
        <v>Available OEE - Scheduled hours_Loss_Percentage_LJ</v>
      </c>
      <c r="S78" s="268">
        <f t="shared" si="15"/>
        <v>1</v>
      </c>
      <c r="T78" t="str">
        <f t="shared" si="14"/>
        <v>(HOT) V500 Alkox Reactor</v>
      </c>
      <c r="U78" t="s">
        <v>876</v>
      </c>
    </row>
    <row r="79" spans="15:35">
      <c r="O79" s="95" t="s">
        <v>675</v>
      </c>
      <c r="P79" s="95" t="s">
        <v>682</v>
      </c>
      <c r="Q79" s="153" t="s">
        <v>17</v>
      </c>
      <c r="R79" s="96" t="str">
        <f t="shared" si="13"/>
        <v>Equipment Reliability - Planned TA &amp; Planned SD_Loss_Percentage_LJ</v>
      </c>
      <c r="S79" s="268">
        <f t="shared" si="15"/>
        <v>2.5663321063358266E-3</v>
      </c>
      <c r="T79" t="str">
        <f t="shared" si="14"/>
        <v>(HOT) V500 Alkox Reactor</v>
      </c>
      <c r="U79" t="s">
        <v>876</v>
      </c>
    </row>
    <row r="80" spans="15:35">
      <c r="O80" s="95" t="s">
        <v>675</v>
      </c>
      <c r="P80" s="95" t="s">
        <v>682</v>
      </c>
      <c r="Q80" s="153" t="s">
        <v>665</v>
      </c>
      <c r="R80" s="96" t="str">
        <f t="shared" si="13"/>
        <v>Available running OEE - Running hours_Loss_Percentage_LJ</v>
      </c>
      <c r="S80" s="268">
        <f t="shared" si="15"/>
        <v>0.99743366789366417</v>
      </c>
      <c r="T80" t="str">
        <f t="shared" si="14"/>
        <v>(HOT) V500 Alkox Reactor</v>
      </c>
      <c r="U80" t="s">
        <v>876</v>
      </c>
    </row>
    <row r="81" spans="15:21">
      <c r="O81" s="95" t="s">
        <v>675</v>
      </c>
      <c r="P81" s="95" t="s">
        <v>682</v>
      </c>
      <c r="Q81" s="153" t="s">
        <v>18</v>
      </c>
      <c r="R81" s="96" t="str">
        <f t="shared" si="13"/>
        <v>Equipment Reliability - Equipment Failure_Loss_Percentage_LJ</v>
      </c>
      <c r="S81" s="268">
        <f t="shared" si="15"/>
        <v>1.6009894597239532E-2</v>
      </c>
      <c r="T81" t="str">
        <f t="shared" si="14"/>
        <v>(HOT) V500 Alkox Reactor</v>
      </c>
      <c r="U81" t="s">
        <v>876</v>
      </c>
    </row>
    <row r="82" spans="15:21">
      <c r="O82" s="95" t="s">
        <v>675</v>
      </c>
      <c r="P82" s="95" t="s">
        <v>682</v>
      </c>
      <c r="Q82" s="153" t="s">
        <v>1</v>
      </c>
      <c r="R82" s="96" t="str">
        <f t="shared" si="13"/>
        <v>Operational Reliability_Loss_Percentage_LJ</v>
      </c>
      <c r="S82" s="268">
        <f t="shared" si="15"/>
        <v>0.15314927712424603</v>
      </c>
      <c r="T82" t="str">
        <f t="shared" si="14"/>
        <v>(HOT) V500 Alkox Reactor</v>
      </c>
      <c r="U82" t="s">
        <v>876</v>
      </c>
    </row>
    <row r="83" spans="15:21">
      <c r="O83" s="95" t="s">
        <v>675</v>
      </c>
      <c r="P83" s="95" t="s">
        <v>682</v>
      </c>
      <c r="Q83" s="153" t="s">
        <v>2</v>
      </c>
      <c r="R83" s="96" t="str">
        <f t="shared" si="13"/>
        <v>Technology Reliability_Loss_Percentage_LJ</v>
      </c>
      <c r="S83" s="268">
        <f t="shared" si="15"/>
        <v>0.1075158019382811</v>
      </c>
      <c r="T83" t="str">
        <f t="shared" si="14"/>
        <v>(HOT) V500 Alkox Reactor</v>
      </c>
      <c r="U83" t="s">
        <v>876</v>
      </c>
    </row>
    <row r="84" spans="15:21">
      <c r="O84" s="95" t="s">
        <v>675</v>
      </c>
      <c r="P84" s="95" t="s">
        <v>682</v>
      </c>
      <c r="Q84" s="153" t="s">
        <v>3</v>
      </c>
      <c r="R84" s="96" t="str">
        <f t="shared" si="13"/>
        <v>Material Reliability_Loss_Percentage_LJ</v>
      </c>
      <c r="S84" s="268">
        <f t="shared" si="15"/>
        <v>1.5414750543988181E-2</v>
      </c>
      <c r="T84" t="str">
        <f t="shared" si="14"/>
        <v>(HOT) V500 Alkox Reactor</v>
      </c>
      <c r="U84" t="s">
        <v>876</v>
      </c>
    </row>
    <row r="85" spans="15:21">
      <c r="O85" s="95" t="s">
        <v>675</v>
      </c>
      <c r="P85" s="95" t="s">
        <v>682</v>
      </c>
      <c r="Q85" s="153" t="s">
        <v>4</v>
      </c>
      <c r="R85" s="96" t="str">
        <f t="shared" si="13"/>
        <v>Logistics/Supply Reliability_Loss_Percentage_LJ</v>
      </c>
      <c r="S85" s="268">
        <f t="shared" si="15"/>
        <v>1.2484786485173626E-2</v>
      </c>
      <c r="T85" t="str">
        <f t="shared" si="14"/>
        <v>(HOT) V500 Alkox Reactor</v>
      </c>
      <c r="U85" t="s">
        <v>876</v>
      </c>
    </row>
    <row r="86" spans="15:21">
      <c r="O86" s="95" t="s">
        <v>675</v>
      </c>
      <c r="P86" s="95" t="s">
        <v>682</v>
      </c>
      <c r="Q86" s="153" t="s">
        <v>5</v>
      </c>
      <c r="R86" s="96" t="str">
        <f t="shared" si="13"/>
        <v>External Reliability_Loss_Percentage_LJ</v>
      </c>
      <c r="S86" s="268">
        <f t="shared" si="15"/>
        <v>2.1324322338928274E-2</v>
      </c>
      <c r="T86" t="str">
        <f t="shared" si="14"/>
        <v>(HOT) V500 Alkox Reactor</v>
      </c>
      <c r="U86" t="s">
        <v>876</v>
      </c>
    </row>
    <row r="87" spans="15:21">
      <c r="O87" s="95" t="s">
        <v>675</v>
      </c>
      <c r="P87" s="95" t="s">
        <v>682</v>
      </c>
      <c r="Q87" s="153" t="s">
        <v>11</v>
      </c>
      <c r="R87" s="96" t="str">
        <f t="shared" si="13"/>
        <v>Other Reliability_Loss_Percentage_LJ</v>
      </c>
      <c r="S87" s="268">
        <f t="shared" si="15"/>
        <v>-8.726608254253175E-2</v>
      </c>
      <c r="T87" t="str">
        <f t="shared" si="14"/>
        <v>(HOT) V500 Alkox Reactor</v>
      </c>
      <c r="U87" t="s">
        <v>876</v>
      </c>
    </row>
    <row r="88" spans="15:21">
      <c r="O88" s="95" t="s">
        <v>675</v>
      </c>
      <c r="P88" s="95" t="s">
        <v>682</v>
      </c>
      <c r="Q88" s="153" t="s">
        <v>15</v>
      </c>
      <c r="R88" s="96" t="str">
        <f t="shared" si="13"/>
        <v>Unspecified_Loss_Percentage_LJ</v>
      </c>
      <c r="S88" s="268">
        <f t="shared" si="15"/>
        <v>0</v>
      </c>
      <c r="T88" t="str">
        <f t="shared" si="14"/>
        <v>(HOT) V500 Alkox Reactor</v>
      </c>
      <c r="U88" t="s">
        <v>876</v>
      </c>
    </row>
    <row r="89" spans="15:21">
      <c r="O89" s="95" t="s">
        <v>675</v>
      </c>
      <c r="P89" s="95" t="s">
        <v>682</v>
      </c>
      <c r="Q89" s="153" t="s">
        <v>16</v>
      </c>
      <c r="R89" s="96" t="str">
        <f t="shared" si="13"/>
        <v>Undetected_Loss_Percentage_LJ</v>
      </c>
      <c r="S89" s="268">
        <f t="shared" si="15"/>
        <v>2.3613005306445299E-2</v>
      </c>
      <c r="T89" t="str">
        <f t="shared" si="14"/>
        <v>(HOT) V500 Alkox Reactor</v>
      </c>
      <c r="U89" t="s">
        <v>876</v>
      </c>
    </row>
    <row r="90" spans="15:21">
      <c r="O90" s="95" t="s">
        <v>675</v>
      </c>
      <c r="P90" s="95" t="s">
        <v>682</v>
      </c>
      <c r="Q90" s="153" t="s">
        <v>664</v>
      </c>
      <c r="R90" s="96" t="str">
        <f t="shared" si="13"/>
        <v>Exception hours_Loss_Percentage_LJ</v>
      </c>
      <c r="S90" s="268">
        <f t="shared" si="15"/>
        <v>0</v>
      </c>
      <c r="T90" t="str">
        <f t="shared" si="14"/>
        <v>(HOT) V500 Alkox Reactor</v>
      </c>
      <c r="U90" t="s">
        <v>876</v>
      </c>
    </row>
    <row r="91" spans="15:21">
      <c r="O91" s="95" t="s">
        <v>675</v>
      </c>
      <c r="P91" s="95" t="s">
        <v>682</v>
      </c>
      <c r="Q91" s="153" t="s">
        <v>703</v>
      </c>
      <c r="R91" s="96" t="str">
        <f t="shared" si="13"/>
        <v>Extra loss hours in baseline due to MAC change_Loss_Percentage_LJ</v>
      </c>
      <c r="S91" s="268">
        <f t="shared" si="15"/>
        <v>0</v>
      </c>
      <c r="T91" t="str">
        <f t="shared" si="14"/>
        <v>(HOT) V500 Alkox Reactor</v>
      </c>
      <c r="U91" t="s">
        <v>876</v>
      </c>
    </row>
    <row r="92" spans="15:21">
      <c r="O92" s="95" t="s">
        <v>675</v>
      </c>
      <c r="P92" s="95" t="s">
        <v>682</v>
      </c>
      <c r="Q92" s="153" t="s">
        <v>705</v>
      </c>
      <c r="R92" s="96" t="str">
        <f t="shared" si="13"/>
        <v>Improvement target not assigned_Loss_Percentage_LJ</v>
      </c>
      <c r="S92" s="268">
        <f t="shared" si="15"/>
        <v>0</v>
      </c>
      <c r="T92" t="str">
        <f t="shared" si="14"/>
        <v>(HOT) V500 Alkox Reactor</v>
      </c>
      <c r="U92" t="s">
        <v>876</v>
      </c>
    </row>
    <row r="93" spans="15:21">
      <c r="O93" s="95" t="s">
        <v>675</v>
      </c>
      <c r="P93" s="95" t="s">
        <v>682</v>
      </c>
      <c r="Q93" s="153" t="s">
        <v>397</v>
      </c>
      <c r="R93" s="96" t="str">
        <f t="shared" si="13"/>
        <v>Sum OEE losses (exluding Planned Maintenance)_Loss_Percentage_LJ</v>
      </c>
      <c r="S93" s="268">
        <f t="shared" si="15"/>
        <v>0.26224575579177029</v>
      </c>
      <c r="T93" t="str">
        <f t="shared" si="14"/>
        <v>(HOT) V500 Alkox Reactor</v>
      </c>
      <c r="U93" t="s">
        <v>876</v>
      </c>
    </row>
    <row r="94" spans="15:21">
      <c r="O94" s="95" t="s">
        <v>675</v>
      </c>
      <c r="P94" s="95" t="s">
        <v>682</v>
      </c>
      <c r="Q94" s="153" t="s">
        <v>398</v>
      </c>
      <c r="R94" s="96" t="str">
        <f t="shared" si="13"/>
        <v>Sum OEE losses (Including Planned Maintenance)_Loss_Percentage_LJ</v>
      </c>
      <c r="S94" s="268">
        <f t="shared" si="15"/>
        <v>0.26481208789810612</v>
      </c>
      <c r="T94" t="str">
        <f t="shared" si="14"/>
        <v>(HOT) V500 Alkox Reactor</v>
      </c>
      <c r="U94" t="s">
        <v>876</v>
      </c>
    </row>
    <row r="95" spans="15:21">
      <c r="O95" s="95" t="s">
        <v>675</v>
      </c>
      <c r="P95" s="95" t="s">
        <v>682</v>
      </c>
      <c r="Q95" s="153" t="s">
        <v>712</v>
      </c>
      <c r="R95" s="96" t="str">
        <f t="shared" si="13"/>
        <v>Production hours on MAC (h) / OEE (%)_Loss_Percentage_LJ</v>
      </c>
      <c r="S95" s="268">
        <f t="shared" si="15"/>
        <v>0.73518791210189294</v>
      </c>
      <c r="T95" t="str">
        <f t="shared" si="14"/>
        <v>(HOT) V500 Alkox Reactor</v>
      </c>
      <c r="U95" t="s">
        <v>876</v>
      </c>
    </row>
    <row r="96" spans="15:21">
      <c r="O96" s="95" t="s">
        <v>676</v>
      </c>
      <c r="P96" s="95" t="s">
        <v>725</v>
      </c>
      <c r="Q96" s="142" t="s">
        <v>13</v>
      </c>
      <c r="R96" s="96" t="str">
        <f t="shared" si="13"/>
        <v>MAC - Calender hours_Corrected_loss_hours_LY</v>
      </c>
      <c r="S96" s="265">
        <f>D25</f>
        <v>8784</v>
      </c>
      <c r="T96" t="str">
        <f t="shared" si="14"/>
        <v>(HOT) V500 Alkox Reactor</v>
      </c>
      <c r="U96" t="s">
        <v>876</v>
      </c>
    </row>
    <row r="97" spans="15:21">
      <c r="O97" s="95" t="s">
        <v>676</v>
      </c>
      <c r="P97" s="95" t="s">
        <v>725</v>
      </c>
      <c r="Q97" s="152" t="s">
        <v>7</v>
      </c>
      <c r="R97" s="96" t="str">
        <f t="shared" si="13"/>
        <v>Commercial Reliability_Corrected_loss_hours_LY</v>
      </c>
      <c r="S97" s="265">
        <f t="shared" ref="S97:S116" si="16">D26</f>
        <v>3496.2977771149299</v>
      </c>
      <c r="T97" t="str">
        <f t="shared" si="14"/>
        <v>(HOT) V500 Alkox Reactor</v>
      </c>
      <c r="U97" t="s">
        <v>876</v>
      </c>
    </row>
    <row r="98" spans="15:21">
      <c r="O98" s="95" t="s">
        <v>676</v>
      </c>
      <c r="P98" s="95" t="s">
        <v>725</v>
      </c>
      <c r="Q98" s="152" t="s">
        <v>704</v>
      </c>
      <c r="R98" s="96" t="str">
        <f t="shared" si="13"/>
        <v>Exception hours (loss excluded from OEE)_Corrected_loss_hours_LY</v>
      </c>
      <c r="S98" s="265">
        <f t="shared" si="16"/>
        <v>0</v>
      </c>
      <c r="T98" t="str">
        <f t="shared" si="14"/>
        <v>(HOT) V500 Alkox Reactor</v>
      </c>
      <c r="U98" t="s">
        <v>876</v>
      </c>
    </row>
    <row r="99" spans="15:21">
      <c r="O99" s="95" t="s">
        <v>676</v>
      </c>
      <c r="P99" s="95" t="s">
        <v>725</v>
      </c>
      <c r="Q99" s="152" t="s">
        <v>14</v>
      </c>
      <c r="R99" s="96" t="str">
        <f t="shared" si="13"/>
        <v>Available OEE - Scheduled hours_Corrected_loss_hours_LY</v>
      </c>
      <c r="S99" s="265">
        <f t="shared" si="16"/>
        <v>5287.7022228850701</v>
      </c>
      <c r="T99" t="str">
        <f t="shared" si="14"/>
        <v>(HOT) V500 Alkox Reactor</v>
      </c>
      <c r="U99" t="s">
        <v>876</v>
      </c>
    </row>
    <row r="100" spans="15:21">
      <c r="O100" s="95" t="s">
        <v>676</v>
      </c>
      <c r="P100" s="95" t="s">
        <v>725</v>
      </c>
      <c r="Q100" s="152" t="s">
        <v>17</v>
      </c>
      <c r="R100" s="96" t="str">
        <f t="shared" si="13"/>
        <v>Equipment Reliability - Planned TA &amp; Planned SD_Corrected_loss_hours_LY</v>
      </c>
      <c r="S100" s="265">
        <f t="shared" si="16"/>
        <v>13.5699999833333</v>
      </c>
      <c r="T100" t="str">
        <f t="shared" si="14"/>
        <v>(HOT) V500 Alkox Reactor</v>
      </c>
      <c r="U100" t="s">
        <v>876</v>
      </c>
    </row>
    <row r="101" spans="15:21">
      <c r="O101" s="95" t="s">
        <v>676</v>
      </c>
      <c r="P101" s="95" t="s">
        <v>725</v>
      </c>
      <c r="Q101" s="152" t="s">
        <v>665</v>
      </c>
      <c r="R101" s="96" t="str">
        <f t="shared" si="13"/>
        <v>Available running OEE - Running hours_Corrected_loss_hours_LY</v>
      </c>
      <c r="S101" s="265">
        <f t="shared" si="16"/>
        <v>5274.1322229017369</v>
      </c>
      <c r="T101" t="str">
        <f t="shared" si="14"/>
        <v>(HOT) V500 Alkox Reactor</v>
      </c>
      <c r="U101" t="s">
        <v>876</v>
      </c>
    </row>
    <row r="102" spans="15:21">
      <c r="O102" s="95" t="s">
        <v>676</v>
      </c>
      <c r="P102" s="95" t="s">
        <v>725</v>
      </c>
      <c r="Q102" s="152" t="s">
        <v>18</v>
      </c>
      <c r="R102" s="96" t="str">
        <f t="shared" si="13"/>
        <v>Equipment Reliability - Equipment Failure_Corrected_loss_hours_LY</v>
      </c>
      <c r="S102" s="265">
        <f t="shared" si="16"/>
        <v>84.655555249979301</v>
      </c>
      <c r="T102" t="str">
        <f t="shared" si="14"/>
        <v>(HOT) V500 Alkox Reactor</v>
      </c>
      <c r="U102" t="s">
        <v>876</v>
      </c>
    </row>
    <row r="103" spans="15:21">
      <c r="O103" s="95" t="s">
        <v>676</v>
      </c>
      <c r="P103" s="95" t="s">
        <v>725</v>
      </c>
      <c r="Q103" s="152" t="s">
        <v>1</v>
      </c>
      <c r="R103" s="96" t="str">
        <f t="shared" si="13"/>
        <v>Operational Reliability_Corrected_loss_hours_LY</v>
      </c>
      <c r="S103" s="265">
        <f t="shared" si="16"/>
        <v>809.80777308311895</v>
      </c>
      <c r="T103" t="str">
        <f t="shared" si="14"/>
        <v>(HOT) V500 Alkox Reactor</v>
      </c>
      <c r="U103" t="s">
        <v>876</v>
      </c>
    </row>
    <row r="104" spans="15:21">
      <c r="O104" s="95" t="s">
        <v>676</v>
      </c>
      <c r="P104" s="95" t="s">
        <v>725</v>
      </c>
      <c r="Q104" s="152" t="s">
        <v>2</v>
      </c>
      <c r="R104" s="96" t="str">
        <f t="shared" si="13"/>
        <v>Technology Reliability_Corrected_loss_hours_LY</v>
      </c>
      <c r="S104" s="265">
        <f t="shared" si="16"/>
        <v>568.511544904321</v>
      </c>
      <c r="T104" t="str">
        <f t="shared" si="14"/>
        <v>(HOT) V500 Alkox Reactor</v>
      </c>
      <c r="U104" t="s">
        <v>876</v>
      </c>
    </row>
    <row r="105" spans="15:21">
      <c r="O105" s="95" t="s">
        <v>676</v>
      </c>
      <c r="P105" s="95" t="s">
        <v>725</v>
      </c>
      <c r="Q105" s="152" t="s">
        <v>3</v>
      </c>
      <c r="R105" s="96" t="str">
        <f t="shared" si="13"/>
        <v>Material Reliability_Corrected_loss_hours_LY</v>
      </c>
      <c r="S105" s="265">
        <f t="shared" si="16"/>
        <v>81.508610716665302</v>
      </c>
      <c r="T105" t="str">
        <f t="shared" si="14"/>
        <v>(HOT) V500 Alkox Reactor</v>
      </c>
      <c r="U105" t="s">
        <v>876</v>
      </c>
    </row>
    <row r="106" spans="15:21">
      <c r="O106" s="95" t="s">
        <v>676</v>
      </c>
      <c r="P106" s="95" t="s">
        <v>725</v>
      </c>
      <c r="Q106" s="152" t="s">
        <v>4</v>
      </c>
      <c r="R106" s="96" t="str">
        <f t="shared" si="13"/>
        <v>Logistics/Supply Reliability_Corrected_loss_hours_LY</v>
      </c>
      <c r="S106" s="265">
        <f t="shared" si="16"/>
        <v>66.015833249898193</v>
      </c>
      <c r="T106" t="str">
        <f t="shared" si="14"/>
        <v>(HOT) V500 Alkox Reactor</v>
      </c>
      <c r="U106" t="s">
        <v>876</v>
      </c>
    </row>
    <row r="107" spans="15:21">
      <c r="O107" s="95" t="s">
        <v>676</v>
      </c>
      <c r="P107" s="95" t="s">
        <v>725</v>
      </c>
      <c r="Q107" s="152" t="s">
        <v>5</v>
      </c>
      <c r="R107" s="96" t="str">
        <f t="shared" si="13"/>
        <v>External Reliability_Corrected_loss_hours_LY</v>
      </c>
      <c r="S107" s="265">
        <f t="shared" si="16"/>
        <v>112.756666633069</v>
      </c>
      <c r="T107" t="str">
        <f t="shared" si="14"/>
        <v>(HOT) V500 Alkox Reactor</v>
      </c>
      <c r="U107" t="s">
        <v>876</v>
      </c>
    </row>
    <row r="108" spans="15:21">
      <c r="O108" s="95" t="s">
        <v>676</v>
      </c>
      <c r="P108" s="95" t="s">
        <v>725</v>
      </c>
      <c r="Q108" s="152" t="s">
        <v>11</v>
      </c>
      <c r="R108" s="96" t="str">
        <f t="shared" si="13"/>
        <v>Other Reliability_Corrected_loss_hours_LY</v>
      </c>
      <c r="S108" s="265">
        <f t="shared" si="16"/>
        <v>-461.43705864261801</v>
      </c>
      <c r="T108" t="str">
        <f t="shared" si="14"/>
        <v>(HOT) V500 Alkox Reactor</v>
      </c>
      <c r="U108" t="s">
        <v>876</v>
      </c>
    </row>
    <row r="109" spans="15:21">
      <c r="O109" s="95" t="s">
        <v>676</v>
      </c>
      <c r="P109" s="95" t="s">
        <v>725</v>
      </c>
      <c r="Q109" s="152" t="s">
        <v>15</v>
      </c>
      <c r="R109" s="96" t="str">
        <f t="shared" si="13"/>
        <v>Unspecified_Corrected_loss_hours_LY</v>
      </c>
      <c r="S109" s="265">
        <f t="shared" si="16"/>
        <v>0</v>
      </c>
      <c r="T109" t="str">
        <f t="shared" si="14"/>
        <v>(HOT) V500 Alkox Reactor</v>
      </c>
      <c r="U109" t="s">
        <v>876</v>
      </c>
    </row>
    <row r="110" spans="15:21">
      <c r="O110" s="95" t="s">
        <v>676</v>
      </c>
      <c r="P110" s="95" t="s">
        <v>725</v>
      </c>
      <c r="Q110" s="152" t="s">
        <v>16</v>
      </c>
      <c r="R110" s="96" t="str">
        <f t="shared" si="13"/>
        <v>Undetected_Corrected_loss_hours_LY</v>
      </c>
      <c r="S110" s="265">
        <f t="shared" si="16"/>
        <v>124.85854064788801</v>
      </c>
      <c r="T110" t="str">
        <f t="shared" si="14"/>
        <v>(HOT) V500 Alkox Reactor</v>
      </c>
      <c r="U110" t="s">
        <v>876</v>
      </c>
    </row>
    <row r="111" spans="15:21">
      <c r="O111" s="95" t="s">
        <v>676</v>
      </c>
      <c r="P111" s="95" t="s">
        <v>725</v>
      </c>
      <c r="Q111" s="152" t="s">
        <v>664</v>
      </c>
      <c r="R111" s="96" t="str">
        <f t="shared" si="13"/>
        <v>Exception hours_Corrected_loss_hours_LY</v>
      </c>
      <c r="S111" s="265">
        <f t="shared" si="16"/>
        <v>0</v>
      </c>
      <c r="T111" t="str">
        <f t="shared" si="14"/>
        <v>(HOT) V500 Alkox Reactor</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(HOT) V500 Alkox Reactor</v>
      </c>
      <c r="U112" t="s">
        <v>876</v>
      </c>
    </row>
    <row r="113" spans="15:21">
      <c r="O113" s="95" t="s">
        <v>676</v>
      </c>
      <c r="P113" s="95" t="s">
        <v>725</v>
      </c>
      <c r="Q113" s="152" t="s">
        <v>705</v>
      </c>
      <c r="R113" s="96" t="str">
        <f t="shared" si="13"/>
        <v>Improvement target not assigned_Corrected_loss_hours_LY</v>
      </c>
      <c r="S113" s="265">
        <f t="shared" si="16"/>
        <v>-5.0022208597511053E-12</v>
      </c>
      <c r="T113" t="str">
        <f t="shared" si="14"/>
        <v>(HOT) V500 Alkox Reactor</v>
      </c>
      <c r="U113" t="s">
        <v>876</v>
      </c>
    </row>
    <row r="114" spans="15:21">
      <c r="O114" s="95" t="s">
        <v>676</v>
      </c>
      <c r="P114" s="95" t="s">
        <v>725</v>
      </c>
      <c r="Q114" s="152" t="s">
        <v>397</v>
      </c>
      <c r="R114" s="96" t="str">
        <f t="shared" si="13"/>
        <v>Sum OEE losses (exluding Planned Maintenance)_Corrected_loss_hours_LY</v>
      </c>
      <c r="S114" s="265">
        <f t="shared" si="16"/>
        <v>1386.6774658423217</v>
      </c>
      <c r="T114" t="str">
        <f t="shared" si="14"/>
        <v>(HOT) V500 Alkox Reactor</v>
      </c>
      <c r="U114" t="s">
        <v>876</v>
      </c>
    </row>
    <row r="115" spans="15:21">
      <c r="O115" s="95" t="s">
        <v>676</v>
      </c>
      <c r="P115" s="95" t="s">
        <v>725</v>
      </c>
      <c r="Q115" s="152" t="s">
        <v>398</v>
      </c>
      <c r="R115" s="96" t="str">
        <f t="shared" si="13"/>
        <v>Sum OEE losses (Including Planned Maintenance)_Corrected_loss_hours_LY</v>
      </c>
      <c r="S115" s="265">
        <f t="shared" si="16"/>
        <v>1400.2474658256549</v>
      </c>
      <c r="T115" t="str">
        <f t="shared" si="14"/>
        <v>(HOT) V500 Alkox Reactor</v>
      </c>
      <c r="U115" t="s">
        <v>876</v>
      </c>
    </row>
    <row r="116" spans="15:21">
      <c r="O116" s="95" t="s">
        <v>676</v>
      </c>
      <c r="P116" s="95" t="s">
        <v>725</v>
      </c>
      <c r="Q116" s="152" t="s">
        <v>712</v>
      </c>
      <c r="R116" s="96" t="str">
        <f t="shared" si="13"/>
        <v>Production hours on MAC (h) / OEE (%)_Corrected_loss_hours_LY</v>
      </c>
      <c r="S116" s="265">
        <f t="shared" si="16"/>
        <v>3887.45475705942</v>
      </c>
      <c r="T116" t="str">
        <f t="shared" si="14"/>
        <v>(HOT) V500 Alkox Reactor</v>
      </c>
      <c r="U116" t="s">
        <v>876</v>
      </c>
    </row>
    <row r="117" spans="15:21">
      <c r="O117" s="95" t="s">
        <v>677</v>
      </c>
      <c r="P117" s="95" t="s">
        <v>726</v>
      </c>
      <c r="Q117" s="143" t="s">
        <v>13</v>
      </c>
      <c r="R117" s="96" t="str">
        <f t="shared" si="13"/>
        <v>MAC - Calender hours_Corrected_loss_percentage_LY</v>
      </c>
      <c r="S117" s="264">
        <f>E25</f>
        <v>0</v>
      </c>
      <c r="T117" t="str">
        <f t="shared" si="14"/>
        <v>(HOT) V500 Alkox Reactor</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V500 Alkox Reactor</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V500 Alkox Reactor</v>
      </c>
      <c r="U119" t="s">
        <v>876</v>
      </c>
    </row>
    <row r="120" spans="15:21">
      <c r="O120" s="95" t="s">
        <v>677</v>
      </c>
      <c r="P120" s="95" t="s">
        <v>726</v>
      </c>
      <c r="Q120" s="153" t="s">
        <v>14</v>
      </c>
      <c r="R120" s="96" t="str">
        <f t="shared" si="13"/>
        <v>Available OEE - Scheduled hours_Corrected_loss_percentage_LY</v>
      </c>
      <c r="S120" s="264">
        <f t="shared" si="17"/>
        <v>1</v>
      </c>
      <c r="T120" t="str">
        <f t="shared" si="14"/>
        <v>(HOT) V500 Alkox Reactor</v>
      </c>
      <c r="U120" t="s">
        <v>876</v>
      </c>
    </row>
    <row r="121" spans="15:21">
      <c r="O121" s="95" t="s">
        <v>677</v>
      </c>
      <c r="P121" s="95" t="s">
        <v>726</v>
      </c>
      <c r="Q121" s="153" t="s">
        <v>17</v>
      </c>
      <c r="R121" s="96" t="str">
        <f t="shared" si="13"/>
        <v>Equipment Reliability - Planned TA &amp; Planned SD_Corrected_loss_percentage_LY</v>
      </c>
      <c r="S121" s="264">
        <f t="shared" si="17"/>
        <v>2.5663321063358314E-3</v>
      </c>
      <c r="T121" t="str">
        <f t="shared" si="14"/>
        <v>(HOT) V500 Alkox Reactor</v>
      </c>
      <c r="U121" t="s">
        <v>876</v>
      </c>
    </row>
    <row r="122" spans="15:21">
      <c r="O122" s="95" t="s">
        <v>677</v>
      </c>
      <c r="P122" s="95" t="s">
        <v>726</v>
      </c>
      <c r="Q122" s="153" t="s">
        <v>665</v>
      </c>
      <c r="R122" s="96" t="str">
        <f t="shared" si="13"/>
        <v>Available running OEE - Running hours_Corrected_loss_percentage_LY</v>
      </c>
      <c r="S122" s="264">
        <f t="shared" si="17"/>
        <v>0.99743366789366417</v>
      </c>
      <c r="T122" t="str">
        <f t="shared" si="14"/>
        <v>(HOT) V500 Alkox Reactor</v>
      </c>
      <c r="U122" t="s">
        <v>876</v>
      </c>
    </row>
    <row r="123" spans="15:21">
      <c r="O123" s="95" t="s">
        <v>677</v>
      </c>
      <c r="P123" s="95" t="s">
        <v>726</v>
      </c>
      <c r="Q123" s="153" t="s">
        <v>18</v>
      </c>
      <c r="R123" s="96" t="str">
        <f t="shared" si="13"/>
        <v>Equipment Reliability - Equipment Failure_Corrected_loss_percentage_LY</v>
      </c>
      <c r="S123" s="264">
        <f t="shared" si="17"/>
        <v>1.600989459723956E-2</v>
      </c>
      <c r="T123" t="str">
        <f t="shared" si="14"/>
        <v>(HOT) V500 Alkox Reactor</v>
      </c>
      <c r="U123" t="s">
        <v>876</v>
      </c>
    </row>
    <row r="124" spans="15:21">
      <c r="O124" s="95" t="s">
        <v>677</v>
      </c>
      <c r="P124" s="95" t="s">
        <v>726</v>
      </c>
      <c r="Q124" s="153" t="s">
        <v>1</v>
      </c>
      <c r="R124" s="96" t="str">
        <f t="shared" si="13"/>
        <v>Operational Reliability_Corrected_loss_percentage_LY</v>
      </c>
      <c r="S124" s="264">
        <f t="shared" si="17"/>
        <v>0.15314927712424634</v>
      </c>
      <c r="T124" t="str">
        <f t="shared" si="14"/>
        <v>(HOT) V500 Alkox Reactor</v>
      </c>
      <c r="U124" t="s">
        <v>876</v>
      </c>
    </row>
    <row r="125" spans="15:21">
      <c r="O125" s="95" t="s">
        <v>677</v>
      </c>
      <c r="P125" s="95" t="s">
        <v>726</v>
      </c>
      <c r="Q125" s="153" t="s">
        <v>2</v>
      </c>
      <c r="R125" s="96" t="str">
        <f t="shared" si="13"/>
        <v>Technology Reliability_Corrected_loss_percentage_LY</v>
      </c>
      <c r="S125" s="264">
        <f t="shared" si="17"/>
        <v>0.10751580193828131</v>
      </c>
      <c r="T125" t="str">
        <f t="shared" si="14"/>
        <v>(HOT) V500 Alkox Reactor</v>
      </c>
      <c r="U125" t="s">
        <v>876</v>
      </c>
    </row>
    <row r="126" spans="15:21">
      <c r="O126" s="95" t="s">
        <v>677</v>
      </c>
      <c r="P126" s="95" t="s">
        <v>726</v>
      </c>
      <c r="Q126" s="153" t="s">
        <v>3</v>
      </c>
      <c r="R126" s="96" t="str">
        <f t="shared" si="13"/>
        <v>Material Reliability_Corrected_loss_percentage_LY</v>
      </c>
      <c r="S126" s="264">
        <f t="shared" si="17"/>
        <v>1.541475054398821E-2</v>
      </c>
      <c r="T126" t="str">
        <f t="shared" si="14"/>
        <v>(HOT) V500 Alkox Reactor</v>
      </c>
      <c r="U126" t="s">
        <v>876</v>
      </c>
    </row>
    <row r="127" spans="15:21">
      <c r="O127" s="95" t="s">
        <v>677</v>
      </c>
      <c r="P127" s="95" t="s">
        <v>726</v>
      </c>
      <c r="Q127" s="153" t="s">
        <v>4</v>
      </c>
      <c r="R127" s="96" t="str">
        <f t="shared" si="13"/>
        <v>Logistics/Supply Reliability_Corrected_loss_percentage_LY</v>
      </c>
      <c r="S127" s="264">
        <f t="shared" si="17"/>
        <v>1.2484786485173651E-2</v>
      </c>
      <c r="T127" t="str">
        <f t="shared" si="14"/>
        <v>(HOT) V500 Alkox Reactor</v>
      </c>
      <c r="U127" t="s">
        <v>876</v>
      </c>
    </row>
    <row r="128" spans="15:21">
      <c r="O128" s="95" t="s">
        <v>677</v>
      </c>
      <c r="P128" s="95" t="s">
        <v>726</v>
      </c>
      <c r="Q128" s="153" t="s">
        <v>5</v>
      </c>
      <c r="R128" s="96" t="str">
        <f t="shared" si="13"/>
        <v>External Reliability_Corrected_loss_percentage_LY</v>
      </c>
      <c r="S128" s="264">
        <f t="shared" si="17"/>
        <v>2.1324322338928312E-2</v>
      </c>
      <c r="T128" t="str">
        <f t="shared" si="14"/>
        <v>(HOT) V500 Alkox Reactor</v>
      </c>
      <c r="U128" t="s">
        <v>876</v>
      </c>
    </row>
    <row r="129" spans="15:21">
      <c r="O129" s="95" t="s">
        <v>677</v>
      </c>
      <c r="P129" s="95" t="s">
        <v>726</v>
      </c>
      <c r="Q129" s="153" t="s">
        <v>11</v>
      </c>
      <c r="R129" s="96" t="str">
        <f t="shared" si="13"/>
        <v>Other Reliability_Corrected_loss_percentage_LY</v>
      </c>
      <c r="S129" s="264">
        <f t="shared" si="17"/>
        <v>-8.7266082542531917E-2</v>
      </c>
      <c r="T129" t="str">
        <f t="shared" si="14"/>
        <v>(HOT) V500 Alkox Reactor</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(HOT) V500 Alkox Reactor</v>
      </c>
      <c r="U130" t="s">
        <v>876</v>
      </c>
    </row>
    <row r="131" spans="15:21">
      <c r="O131" s="95" t="s">
        <v>677</v>
      </c>
      <c r="P131" s="95" t="s">
        <v>726</v>
      </c>
      <c r="Q131" s="153" t="s">
        <v>16</v>
      </c>
      <c r="R131" s="96" t="str">
        <f t="shared" si="18"/>
        <v>Undetected_Corrected_loss_percentage_LY</v>
      </c>
      <c r="S131" s="264">
        <f t="shared" si="17"/>
        <v>2.3613005306445344E-2</v>
      </c>
      <c r="T131" t="str">
        <f t="shared" ref="T131:T194" si="19">$B$2</f>
        <v>(HOT) V500 Alkox Reactor</v>
      </c>
      <c r="U131" t="s">
        <v>876</v>
      </c>
    </row>
    <row r="132" spans="15:21">
      <c r="O132" s="95" t="s">
        <v>677</v>
      </c>
      <c r="P132" s="95" t="s">
        <v>726</v>
      </c>
      <c r="Q132" s="153" t="s">
        <v>664</v>
      </c>
      <c r="R132" s="96" t="str">
        <f t="shared" si="18"/>
        <v>Exception hours_Corrected_loss_percentage_LY</v>
      </c>
      <c r="S132" s="264">
        <f t="shared" si="17"/>
        <v>0</v>
      </c>
      <c r="T132" t="str">
        <f t="shared" si="19"/>
        <v>(HOT) V500 Alkox Reactor</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(HOT) V500 Alkox Reactor</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V500 Alkox Reactor</v>
      </c>
      <c r="U134" t="s">
        <v>876</v>
      </c>
    </row>
    <row r="135" spans="15:21">
      <c r="O135" s="95" t="s">
        <v>677</v>
      </c>
      <c r="P135" s="95" t="s">
        <v>726</v>
      </c>
      <c r="Q135" s="153" t="s">
        <v>397</v>
      </c>
      <c r="R135" s="96" t="str">
        <f t="shared" si="18"/>
        <v>Sum OEE losses (exluding Planned Maintenance)_Corrected_loss_percentage_LY</v>
      </c>
      <c r="S135" s="264">
        <f t="shared" si="17"/>
        <v>0.26224575579177078</v>
      </c>
      <c r="T135" t="str">
        <f t="shared" si="19"/>
        <v>(HOT) V500 Alkox Reactor</v>
      </c>
      <c r="U135" t="s">
        <v>876</v>
      </c>
    </row>
    <row r="136" spans="15:21">
      <c r="O136" s="95" t="s">
        <v>677</v>
      </c>
      <c r="P136" s="95" t="s">
        <v>726</v>
      </c>
      <c r="Q136" s="153" t="s">
        <v>398</v>
      </c>
      <c r="R136" s="96" t="str">
        <f t="shared" si="18"/>
        <v>Sum OEE losses (Including Planned Maintenance)_Corrected_loss_percentage_LY</v>
      </c>
      <c r="S136" s="264">
        <f t="shared" si="17"/>
        <v>0.26481208789810662</v>
      </c>
      <c r="T136" t="str">
        <f t="shared" si="19"/>
        <v>(HOT) V500 Alkox Reactor</v>
      </c>
      <c r="U136" t="s">
        <v>876</v>
      </c>
    </row>
    <row r="137" spans="15:21">
      <c r="O137" s="95" t="s">
        <v>677</v>
      </c>
      <c r="P137" s="95" t="s">
        <v>726</v>
      </c>
      <c r="Q137" s="153" t="s">
        <v>712</v>
      </c>
      <c r="R137" s="96" t="str">
        <f t="shared" si="18"/>
        <v>Production hours on MAC (h) / OEE (%)_Corrected_loss_percentage_LY</v>
      </c>
      <c r="S137" s="264">
        <f t="shared" si="17"/>
        <v>0.73518791210189427</v>
      </c>
      <c r="T137" t="str">
        <f t="shared" si="19"/>
        <v>(HOT) V500 Alkox Reactor</v>
      </c>
      <c r="U137" t="s">
        <v>876</v>
      </c>
    </row>
    <row r="138" spans="15:21">
      <c r="O138" s="95" t="s">
        <v>679</v>
      </c>
      <c r="P138" s="95" t="s">
        <v>688</v>
      </c>
      <c r="Q138" s="142" t="s">
        <v>13</v>
      </c>
      <c r="R138" s="96" t="str">
        <f t="shared" si="18"/>
        <v>MAC - Calender hours_OEE Improvement_Hours</v>
      </c>
      <c r="S138" s="265">
        <f t="shared" ref="S138:S158" si="20">G25</f>
        <v>0</v>
      </c>
      <c r="T138" t="str">
        <f t="shared" si="19"/>
        <v>(HOT) V500 Alkox Reactor</v>
      </c>
      <c r="U138" t="s">
        <v>876</v>
      </c>
    </row>
    <row r="139" spans="15:21">
      <c r="O139" s="95" t="s">
        <v>679</v>
      </c>
      <c r="P139" s="95" t="s">
        <v>688</v>
      </c>
      <c r="Q139" s="152" t="s">
        <v>7</v>
      </c>
      <c r="R139" s="96" t="str">
        <f t="shared" si="18"/>
        <v>Commercial Reliability_OEE Improvement_Hours</v>
      </c>
      <c r="S139" s="265">
        <f t="shared" si="20"/>
        <v>-209.68463886321661</v>
      </c>
      <c r="T139" t="str">
        <f t="shared" si="19"/>
        <v>(HOT) V500 Alkox Reactor</v>
      </c>
      <c r="U139" t="s">
        <v>876</v>
      </c>
    </row>
    <row r="140" spans="15:21">
      <c r="O140" s="95" t="s">
        <v>679</v>
      </c>
      <c r="P140" s="95" t="s">
        <v>688</v>
      </c>
      <c r="Q140" s="152" t="s">
        <v>704</v>
      </c>
      <c r="R140" s="96" t="str">
        <f t="shared" si="18"/>
        <v>Exception hours (loss excluded from OEE)_OEE Improvement_Hours</v>
      </c>
      <c r="S140" s="265">
        <f t="shared" si="20"/>
        <v>0</v>
      </c>
      <c r="T140" t="str">
        <f t="shared" si="19"/>
        <v>(HOT) V500 Alkox Reactor</v>
      </c>
      <c r="U140" t="s">
        <v>876</v>
      </c>
    </row>
    <row r="141" spans="15:21">
      <c r="O141" s="95" t="s">
        <v>679</v>
      </c>
      <c r="P141" s="95" t="s">
        <v>688</v>
      </c>
      <c r="Q141" s="152" t="s">
        <v>14</v>
      </c>
      <c r="R141" s="96" t="str">
        <f t="shared" si="18"/>
        <v>Available OEE - Scheduled hours_OEE Improvement_Hours</v>
      </c>
      <c r="S141" s="265">
        <f t="shared" si="20"/>
        <v>233.68463886321661</v>
      </c>
      <c r="T141" t="str">
        <f t="shared" si="19"/>
        <v>(HOT) V500 Alkox Reactor</v>
      </c>
      <c r="U141" t="s">
        <v>876</v>
      </c>
    </row>
    <row r="142" spans="15:21">
      <c r="O142" s="95" t="s">
        <v>679</v>
      </c>
      <c r="P142" s="95" t="s">
        <v>688</v>
      </c>
      <c r="Q142" s="152" t="s">
        <v>17</v>
      </c>
      <c r="R142" s="96" t="str">
        <f t="shared" si="18"/>
        <v>Equipment Reliability - Planned TA &amp; Planned SD_OEE Improvement_Hours</v>
      </c>
      <c r="S142" s="265">
        <f t="shared" si="20"/>
        <v>13.5699999833333</v>
      </c>
      <c r="T142" t="str">
        <f t="shared" si="19"/>
        <v>(HOT) V500 Alkox Reactor</v>
      </c>
      <c r="U142" t="s">
        <v>876</v>
      </c>
    </row>
    <row r="143" spans="15:21">
      <c r="O143" s="95" t="s">
        <v>679</v>
      </c>
      <c r="P143" s="95" t="s">
        <v>688</v>
      </c>
      <c r="Q143" s="152" t="s">
        <v>665</v>
      </c>
      <c r="R143" s="96" t="str">
        <f t="shared" si="18"/>
        <v>Available running OEE - Running hours_OEE Improvement_Hours</v>
      </c>
      <c r="S143" s="265">
        <f t="shared" si="20"/>
        <v>220.11463887988339</v>
      </c>
      <c r="T143" t="str">
        <f t="shared" si="19"/>
        <v>(HOT) V500 Alkox Reactor</v>
      </c>
      <c r="U143" t="s">
        <v>876</v>
      </c>
    </row>
    <row r="144" spans="15:21">
      <c r="O144" s="95" t="s">
        <v>679</v>
      </c>
      <c r="P144" s="95" t="s">
        <v>688</v>
      </c>
      <c r="Q144" s="152" t="s">
        <v>18</v>
      </c>
      <c r="R144" s="96" t="str">
        <f t="shared" si="18"/>
        <v>Equipment Reliability - Equipment Failure_OEE Improvement_Hours</v>
      </c>
      <c r="S144" s="265">
        <f t="shared" si="20"/>
        <v>3.7412664371940991</v>
      </c>
      <c r="T144" t="str">
        <f t="shared" si="19"/>
        <v>(HOT) V500 Alkox Reactor</v>
      </c>
      <c r="U144" t="s">
        <v>876</v>
      </c>
    </row>
    <row r="145" spans="15:21">
      <c r="O145" s="95" t="s">
        <v>679</v>
      </c>
      <c r="P145" s="95" t="s">
        <v>688</v>
      </c>
      <c r="Q145" s="152" t="s">
        <v>1</v>
      </c>
      <c r="R145" s="96" t="str">
        <f t="shared" si="18"/>
        <v>Operational Reliability_OEE Improvement_Hours</v>
      </c>
      <c r="S145" s="265">
        <f t="shared" si="20"/>
        <v>35.788633516942127</v>
      </c>
      <c r="T145" t="str">
        <f t="shared" si="19"/>
        <v>(HOT) V500 Alkox Reactor</v>
      </c>
      <c r="U145" t="s">
        <v>876</v>
      </c>
    </row>
    <row r="146" spans="15:21">
      <c r="O146" s="95" t="s">
        <v>679</v>
      </c>
      <c r="P146" s="95" t="s">
        <v>688</v>
      </c>
      <c r="Q146" s="152" t="s">
        <v>2</v>
      </c>
      <c r="R146" s="96" t="str">
        <f t="shared" si="18"/>
        <v>Technology Reliability_OEE Improvement_Hours</v>
      </c>
      <c r="S146" s="265">
        <f t="shared" si="20"/>
        <v>25.12479134803641</v>
      </c>
      <c r="T146" t="str">
        <f t="shared" si="19"/>
        <v>(HOT) V500 Alkox Reactor</v>
      </c>
      <c r="U146" t="s">
        <v>876</v>
      </c>
    </row>
    <row r="147" spans="15:21">
      <c r="O147" s="95" t="s">
        <v>679</v>
      </c>
      <c r="P147" s="95" t="s">
        <v>688</v>
      </c>
      <c r="Q147" s="152" t="s">
        <v>3</v>
      </c>
      <c r="R147" s="96" t="str">
        <f t="shared" si="18"/>
        <v>Material Reliability_OEE Improvement_Hours</v>
      </c>
      <c r="S147" s="265">
        <f t="shared" si="20"/>
        <v>3.6021904140384606</v>
      </c>
      <c r="T147" t="str">
        <f t="shared" si="19"/>
        <v>(HOT) V500 Alkox Reactor</v>
      </c>
      <c r="U147" t="s">
        <v>876</v>
      </c>
    </row>
    <row r="148" spans="15:21">
      <c r="O148" s="95" t="s">
        <v>679</v>
      </c>
      <c r="P148" s="95" t="s">
        <v>688</v>
      </c>
      <c r="Q148" s="152" t="s">
        <v>4</v>
      </c>
      <c r="R148" s="96" t="str">
        <f t="shared" si="18"/>
        <v>Logistics/Supply Reliability_OEE Improvement_Hours</v>
      </c>
      <c r="S148" s="265">
        <f t="shared" si="20"/>
        <v>2.9175028210721692</v>
      </c>
      <c r="T148" t="str">
        <f t="shared" si="19"/>
        <v>(HOT) V500 Alkox Reactor</v>
      </c>
      <c r="U148" t="s">
        <v>876</v>
      </c>
    </row>
    <row r="149" spans="15:21">
      <c r="O149" s="95" t="s">
        <v>679</v>
      </c>
      <c r="P149" s="95" t="s">
        <v>688</v>
      </c>
      <c r="Q149" s="152" t="s">
        <v>5</v>
      </c>
      <c r="R149" s="96" t="str">
        <f t="shared" si="18"/>
        <v>External Reliability_OEE Improvement_Hours</v>
      </c>
      <c r="S149" s="265">
        <f t="shared" si="20"/>
        <v>4.9831665647752885</v>
      </c>
      <c r="T149" t="str">
        <f t="shared" si="19"/>
        <v>(HOT) V500 Alkox Reactor</v>
      </c>
      <c r="U149" t="s">
        <v>876</v>
      </c>
    </row>
    <row r="150" spans="15:21">
      <c r="O150" s="95" t="s">
        <v>679</v>
      </c>
      <c r="P150" s="95" t="s">
        <v>688</v>
      </c>
      <c r="Q150" s="152" t="s">
        <v>11</v>
      </c>
      <c r="R150" s="96" t="str">
        <f t="shared" si="18"/>
        <v>Other Reliability_OEE Improvement_Hours</v>
      </c>
      <c r="S150" s="265">
        <f t="shared" si="20"/>
        <v>-20.392742983959181</v>
      </c>
      <c r="T150" t="str">
        <f t="shared" si="19"/>
        <v>(HOT) V500 Alkox Reactor</v>
      </c>
      <c r="U150" t="s">
        <v>876</v>
      </c>
    </row>
    <row r="151" spans="15:21">
      <c r="O151" s="95" t="s">
        <v>679</v>
      </c>
      <c r="P151" s="95" t="s">
        <v>688</v>
      </c>
      <c r="Q151" s="152" t="s">
        <v>15</v>
      </c>
      <c r="R151" s="96" t="str">
        <f t="shared" si="18"/>
        <v>Unspecified_OEE Improvement_Hours</v>
      </c>
      <c r="S151" s="265">
        <f t="shared" si="20"/>
        <v>0</v>
      </c>
      <c r="T151" t="str">
        <f t="shared" si="19"/>
        <v>(HOT) V500 Alkox Reactor</v>
      </c>
      <c r="U151" t="s">
        <v>876</v>
      </c>
    </row>
    <row r="152" spans="15:21">
      <c r="O152" s="95" t="s">
        <v>679</v>
      </c>
      <c r="P152" s="95" t="s">
        <v>688</v>
      </c>
      <c r="Q152" s="152" t="s">
        <v>16</v>
      </c>
      <c r="R152" s="96" t="str">
        <f t="shared" si="18"/>
        <v>Undetected_OEE Improvement_Hours</v>
      </c>
      <c r="S152" s="265">
        <f t="shared" si="20"/>
        <v>5.5179966175118977</v>
      </c>
      <c r="T152" t="str">
        <f t="shared" si="19"/>
        <v>(HOT) V500 Alkox Reactor</v>
      </c>
      <c r="U152" t="s">
        <v>876</v>
      </c>
    </row>
    <row r="153" spans="15:21">
      <c r="O153" s="95" t="s">
        <v>679</v>
      </c>
      <c r="P153" s="95" t="s">
        <v>688</v>
      </c>
      <c r="Q153" s="152" t="s">
        <v>664</v>
      </c>
      <c r="R153" s="96" t="str">
        <f t="shared" si="18"/>
        <v>Exception hours_OEE Improvement_Hours</v>
      </c>
      <c r="S153" s="265">
        <f t="shared" si="20"/>
        <v>0</v>
      </c>
      <c r="T153" t="str">
        <f t="shared" si="19"/>
        <v>(HOT) V500 Alkox Reactor</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(HOT) V500 Alkox Reactor</v>
      </c>
      <c r="U154" t="s">
        <v>876</v>
      </c>
    </row>
    <row r="155" spans="15:21">
      <c r="O155" s="95" t="s">
        <v>679</v>
      </c>
      <c r="P155" s="95" t="s">
        <v>688</v>
      </c>
      <c r="Q155" s="152" t="s">
        <v>705</v>
      </c>
      <c r="R155" s="96" t="str">
        <f t="shared" si="18"/>
        <v>Improvement target not assigned_OEE Improvement_Hours</v>
      </c>
      <c r="S155" s="265">
        <f t="shared" si="20"/>
        <v>0</v>
      </c>
      <c r="T155" t="str">
        <f t="shared" si="19"/>
        <v>(HOT) V500 Alkox Reactor</v>
      </c>
      <c r="U155" t="s">
        <v>876</v>
      </c>
    </row>
    <row r="156" spans="15:21">
      <c r="O156" s="95" t="s">
        <v>679</v>
      </c>
      <c r="P156" s="95" t="s">
        <v>688</v>
      </c>
      <c r="Q156" s="152" t="s">
        <v>397</v>
      </c>
      <c r="R156" s="96" t="str">
        <f t="shared" si="18"/>
        <v>Sum OEE losses (exluding Planned Maintenance)_OEE Improvement_Hours</v>
      </c>
      <c r="S156" s="265">
        <f t="shared" si="20"/>
        <v>-209.49317779502621</v>
      </c>
      <c r="T156" t="str">
        <f t="shared" si="19"/>
        <v>(HOT) V500 Alkox Reactor</v>
      </c>
      <c r="U156" t="s">
        <v>876</v>
      </c>
    </row>
    <row r="157" spans="15:21">
      <c r="O157" s="95" t="s">
        <v>679</v>
      </c>
      <c r="P157" s="95" t="s">
        <v>688</v>
      </c>
      <c r="Q157" s="152" t="s">
        <v>398</v>
      </c>
      <c r="R157" s="96" t="str">
        <f t="shared" si="18"/>
        <v>Sum OEE losses (Including Planned Maintenance)_OEE Improvement_Hours</v>
      </c>
      <c r="S157" s="265">
        <f t="shared" si="20"/>
        <v>-223.06317777835943</v>
      </c>
      <c r="T157" t="str">
        <f t="shared" si="19"/>
        <v>(HOT) V500 Alkox Reactor</v>
      </c>
      <c r="U157" t="s">
        <v>876</v>
      </c>
    </row>
    <row r="158" spans="15:21">
      <c r="O158" s="95" t="s">
        <v>679</v>
      </c>
      <c r="P158" s="95" t="s">
        <v>688</v>
      </c>
      <c r="Q158" s="152" t="s">
        <v>712</v>
      </c>
      <c r="R158" s="96" t="str">
        <f t="shared" si="18"/>
        <v>Production hours on MAC (h) / OEE (%)_OEE Improvement_Hours</v>
      </c>
      <c r="S158" s="265">
        <f t="shared" si="20"/>
        <v>-10.621461084861949</v>
      </c>
      <c r="T158" t="str">
        <f t="shared" si="19"/>
        <v>(HOT) V500 Alkox Reactor</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V500 Alkox Reactor</v>
      </c>
      <c r="U159" t="s">
        <v>876</v>
      </c>
    </row>
    <row r="160" spans="15:21">
      <c r="O160" s="95" t="s">
        <v>723</v>
      </c>
      <c r="P160" s="95" t="s">
        <v>689</v>
      </c>
      <c r="Q160" s="153" t="s">
        <v>7</v>
      </c>
      <c r="R160" s="96" t="str">
        <f t="shared" si="18"/>
        <v>Commercial Reliability_OEE_Improvement_Percentage</v>
      </c>
      <c r="S160" s="264">
        <f t="shared" si="21"/>
        <v>0</v>
      </c>
      <c r="T160" t="str">
        <f t="shared" si="19"/>
        <v>(HOT) V500 Alkox Reactor</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V500 Alkox Reactor</v>
      </c>
      <c r="U161" t="s">
        <v>876</v>
      </c>
    </row>
    <row r="162" spans="15:21">
      <c r="O162" s="95" t="s">
        <v>723</v>
      </c>
      <c r="P162" s="95" t="s">
        <v>689</v>
      </c>
      <c r="Q162" s="153" t="s">
        <v>14</v>
      </c>
      <c r="R162" s="96" t="str">
        <f t="shared" si="18"/>
        <v>Available OEE - Scheduled hours_OEE_Improvement_Percentage</v>
      </c>
      <c r="S162" s="264">
        <f t="shared" si="21"/>
        <v>0</v>
      </c>
      <c r="T162" t="str">
        <f t="shared" si="19"/>
        <v>(HOT) V500 Alkox Reactor</v>
      </c>
      <c r="U162" t="s">
        <v>876</v>
      </c>
    </row>
    <row r="163" spans="15:21">
      <c r="O163" s="95" t="s">
        <v>723</v>
      </c>
      <c r="P163" s="95" t="s">
        <v>689</v>
      </c>
      <c r="Q163" s="153" t="s">
        <v>17</v>
      </c>
      <c r="R163" s="96" t="str">
        <f t="shared" si="18"/>
        <v>Equipment Reliability - Planned TA &amp; Planned SD_OEE_Improvement_Percentage</v>
      </c>
      <c r="S163" s="264">
        <f t="shared" si="21"/>
        <v>2.5663321063358266E-3</v>
      </c>
      <c r="T163" t="str">
        <f t="shared" si="19"/>
        <v>(HOT) V500 Alkox Reactor</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V500 Alkox Reactor</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(HOT) V500 Alkox Reactor</v>
      </c>
      <c r="U165" t="s">
        <v>876</v>
      </c>
    </row>
    <row r="166" spans="15:21">
      <c r="O166" s="95" t="s">
        <v>723</v>
      </c>
      <c r="P166" s="95" t="s">
        <v>689</v>
      </c>
      <c r="Q166" s="153" t="s">
        <v>1</v>
      </c>
      <c r="R166" s="96" t="str">
        <f t="shared" si="18"/>
        <v>Operational Reliability_OEE_Improvement_Percentage</v>
      </c>
      <c r="S166" s="264">
        <f t="shared" si="21"/>
        <v>0</v>
      </c>
      <c r="T166" t="str">
        <f t="shared" si="19"/>
        <v>(HOT) V500 Alkox Reactor</v>
      </c>
      <c r="U166" t="s">
        <v>876</v>
      </c>
    </row>
    <row r="167" spans="15:21">
      <c r="O167" s="95" t="s">
        <v>723</v>
      </c>
      <c r="P167" s="95" t="s">
        <v>689</v>
      </c>
      <c r="Q167" s="153" t="s">
        <v>2</v>
      </c>
      <c r="R167" s="96" t="str">
        <f t="shared" si="18"/>
        <v>Technology Reliability_OEE_Improvement_Percentage</v>
      </c>
      <c r="S167" s="264">
        <f t="shared" si="21"/>
        <v>0</v>
      </c>
      <c r="T167" t="str">
        <f t="shared" si="19"/>
        <v>(HOT) V500 Alkox Reactor</v>
      </c>
      <c r="U167" t="s">
        <v>876</v>
      </c>
    </row>
    <row r="168" spans="15:21">
      <c r="O168" s="95" t="s">
        <v>723</v>
      </c>
      <c r="P168" s="95" t="s">
        <v>689</v>
      </c>
      <c r="Q168" s="153" t="s">
        <v>3</v>
      </c>
      <c r="R168" s="96" t="str">
        <f t="shared" si="18"/>
        <v>Material Reliability_OEE_Improvement_Percentage</v>
      </c>
      <c r="S168" s="264">
        <f t="shared" si="21"/>
        <v>0</v>
      </c>
      <c r="T168" t="str">
        <f t="shared" si="19"/>
        <v>(HOT) V500 Alkox Reactor</v>
      </c>
      <c r="U168" t="s">
        <v>876</v>
      </c>
    </row>
    <row r="169" spans="15:21">
      <c r="O169" s="95" t="s">
        <v>723</v>
      </c>
      <c r="P169" s="95" t="s">
        <v>689</v>
      </c>
      <c r="Q169" s="153" t="s">
        <v>4</v>
      </c>
      <c r="R169" s="96" t="str">
        <f t="shared" si="18"/>
        <v>Logistics/Supply Reliability_OEE_Improvement_Percentage</v>
      </c>
      <c r="S169" s="264">
        <f t="shared" si="21"/>
        <v>0</v>
      </c>
      <c r="T169" t="str">
        <f t="shared" si="19"/>
        <v>(HOT) V500 Alkox Reactor</v>
      </c>
      <c r="U169" t="s">
        <v>876</v>
      </c>
    </row>
    <row r="170" spans="15:21">
      <c r="O170" s="95" t="s">
        <v>723</v>
      </c>
      <c r="P170" s="95" t="s">
        <v>689</v>
      </c>
      <c r="Q170" s="153" t="s">
        <v>5</v>
      </c>
      <c r="R170" s="96" t="str">
        <f t="shared" si="18"/>
        <v>External Reliability_OEE_Improvement_Percentage</v>
      </c>
      <c r="S170" s="264">
        <f t="shared" si="21"/>
        <v>0</v>
      </c>
      <c r="T170" t="str">
        <f t="shared" si="19"/>
        <v>(HOT) V500 Alkox Reactor</v>
      </c>
      <c r="U170" t="s">
        <v>876</v>
      </c>
    </row>
    <row r="171" spans="15:21">
      <c r="O171" s="95" t="s">
        <v>723</v>
      </c>
      <c r="P171" s="95" t="s">
        <v>689</v>
      </c>
      <c r="Q171" s="153" t="s">
        <v>11</v>
      </c>
      <c r="R171" s="96" t="str">
        <f t="shared" si="18"/>
        <v>Other Reliability_OEE_Improvement_Percentage</v>
      </c>
      <c r="S171" s="264">
        <f t="shared" si="21"/>
        <v>0</v>
      </c>
      <c r="T171" t="str">
        <f t="shared" si="19"/>
        <v>(HOT) V500 Alkox Reactor</v>
      </c>
      <c r="U171" t="s">
        <v>876</v>
      </c>
    </row>
    <row r="172" spans="15:21">
      <c r="O172" s="95" t="s">
        <v>723</v>
      </c>
      <c r="P172" s="95" t="s">
        <v>689</v>
      </c>
      <c r="Q172" s="153" t="s">
        <v>15</v>
      </c>
      <c r="R172" s="96" t="str">
        <f t="shared" si="18"/>
        <v>Unspecified_OEE_Improvement_Percentage</v>
      </c>
      <c r="S172" s="264">
        <f t="shared" si="21"/>
        <v>0</v>
      </c>
      <c r="T172" t="str">
        <f t="shared" si="19"/>
        <v>(HOT) V500 Alkox Reactor</v>
      </c>
      <c r="U172" t="s">
        <v>876</v>
      </c>
    </row>
    <row r="173" spans="15:21">
      <c r="O173" s="95" t="s">
        <v>723</v>
      </c>
      <c r="P173" s="95" t="s">
        <v>689</v>
      </c>
      <c r="Q173" s="153" t="s">
        <v>16</v>
      </c>
      <c r="R173" s="96" t="str">
        <f t="shared" si="18"/>
        <v>Undetected_OEE_Improvement_Percentage</v>
      </c>
      <c r="S173" s="264">
        <f t="shared" si="21"/>
        <v>0</v>
      </c>
      <c r="T173" t="str">
        <f t="shared" si="19"/>
        <v>(HOT) V500 Alkox Reactor</v>
      </c>
      <c r="U173" t="s">
        <v>876</v>
      </c>
    </row>
    <row r="174" spans="15:21">
      <c r="O174" s="95" t="s">
        <v>723</v>
      </c>
      <c r="P174" s="95" t="s">
        <v>689</v>
      </c>
      <c r="Q174" s="153" t="s">
        <v>664</v>
      </c>
      <c r="R174" s="96" t="str">
        <f t="shared" si="18"/>
        <v>Exception hours_OEE_Improvement_Percentage</v>
      </c>
      <c r="S174" s="264">
        <f t="shared" si="21"/>
        <v>0</v>
      </c>
      <c r="T174" t="str">
        <f t="shared" si="19"/>
        <v>(HOT) V500 Alkox Reactor</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(HOT) V500 Alkox Reactor</v>
      </c>
      <c r="U175" t="s">
        <v>876</v>
      </c>
    </row>
    <row r="176" spans="15:21">
      <c r="O176" s="95" t="s">
        <v>723</v>
      </c>
      <c r="P176" s="95" t="s">
        <v>689</v>
      </c>
      <c r="Q176" s="153" t="s">
        <v>705</v>
      </c>
      <c r="R176" s="96" t="str">
        <f t="shared" si="18"/>
        <v>Improvement target not assigned_OEE_Improvement_Percentage</v>
      </c>
      <c r="S176" s="264">
        <f t="shared" si="21"/>
        <v>2.9325258686866907E-2</v>
      </c>
      <c r="T176" t="str">
        <f t="shared" si="19"/>
        <v>(HOT) V500 Alkox Reactor</v>
      </c>
      <c r="U176" t="s">
        <v>876</v>
      </c>
    </row>
    <row r="177" spans="15:21">
      <c r="O177" s="95" t="s">
        <v>723</v>
      </c>
      <c r="P177" s="95" t="s">
        <v>689</v>
      </c>
      <c r="Q177" s="153" t="s">
        <v>397</v>
      </c>
      <c r="R177" s="96" t="str">
        <f t="shared" si="18"/>
        <v>Sum OEE losses (exluding Planned Maintenance)_OEE_Improvement_Percentage</v>
      </c>
      <c r="S177" s="264">
        <f t="shared" si="21"/>
        <v>2.9325258686866862E-2</v>
      </c>
      <c r="T177" t="str">
        <f t="shared" si="19"/>
        <v>(HOT) V500 Alkox Reactor</v>
      </c>
      <c r="U177" t="s">
        <v>876</v>
      </c>
    </row>
    <row r="178" spans="15:21">
      <c r="O178" s="95" t="s">
        <v>723</v>
      </c>
      <c r="P178" s="95" t="s">
        <v>689</v>
      </c>
      <c r="Q178" s="153" t="s">
        <v>398</v>
      </c>
      <c r="R178" s="96" t="str">
        <f t="shared" si="18"/>
        <v>Sum OEE losses (Including Planned Maintenance)_OEE_Improvement_Percentage</v>
      </c>
      <c r="S178" s="264">
        <f t="shared" si="21"/>
        <v>3.1891590793202695E-2</v>
      </c>
      <c r="T178" t="str">
        <f t="shared" si="19"/>
        <v>(HOT) V500 Alkox Reactor</v>
      </c>
      <c r="U178" t="s">
        <v>876</v>
      </c>
    </row>
    <row r="179" spans="15:21">
      <c r="O179" s="95" t="s">
        <v>723</v>
      </c>
      <c r="P179" s="95" t="s">
        <v>689</v>
      </c>
      <c r="Q179" s="153" t="s">
        <v>712</v>
      </c>
      <c r="R179" s="96" t="str">
        <f t="shared" si="18"/>
        <v>Production hours on MAC (h) / OEE (%)_OEE_Improvement_Percentage</v>
      </c>
      <c r="S179" s="264">
        <f t="shared" si="21"/>
        <v>6.1216849480069599E-2</v>
      </c>
      <c r="T179" t="str">
        <f t="shared" si="19"/>
        <v>(HOT) V500 Alkox Reactor</v>
      </c>
      <c r="U179" t="s">
        <v>876</v>
      </c>
    </row>
    <row r="180" spans="15:21">
      <c r="O180" s="95" t="s">
        <v>724</v>
      </c>
      <c r="P180" s="95" t="s">
        <v>687</v>
      </c>
      <c r="Q180" s="142" t="s">
        <v>13</v>
      </c>
      <c r="R180" s="96" t="str">
        <f t="shared" si="18"/>
        <v>MAC - Calender hours_Loss_Hours_NJ</v>
      </c>
      <c r="S180" s="265">
        <f t="shared" ref="S180:S200" si="22">I25</f>
        <v>8760</v>
      </c>
      <c r="T180" t="str">
        <f t="shared" si="19"/>
        <v>(HOT) V500 Alkox Reactor</v>
      </c>
      <c r="U180" t="s">
        <v>876</v>
      </c>
    </row>
    <row r="181" spans="15:21">
      <c r="O181" s="95" t="s">
        <v>724</v>
      </c>
      <c r="P181" s="95" t="s">
        <v>687</v>
      </c>
      <c r="Q181" s="152" t="s">
        <v>7</v>
      </c>
      <c r="R181" s="96" t="str">
        <f t="shared" si="18"/>
        <v>Commercial Reliability_Loss_Hours_NJ</v>
      </c>
      <c r="S181" s="265">
        <f t="shared" si="22"/>
        <v>3705.9824159781465</v>
      </c>
      <c r="T181" t="str">
        <f t="shared" si="19"/>
        <v>(HOT) V500 Alkox Reactor</v>
      </c>
      <c r="U181" t="s">
        <v>876</v>
      </c>
    </row>
    <row r="182" spans="15:21">
      <c r="O182" s="95" t="s">
        <v>724</v>
      </c>
      <c r="P182" s="95" t="s">
        <v>687</v>
      </c>
      <c r="Q182" s="152" t="s">
        <v>704</v>
      </c>
      <c r="R182" s="96" t="str">
        <f t="shared" si="18"/>
        <v>Exception hours (loss excluded from OEE)_Loss_Hours_NJ</v>
      </c>
      <c r="S182" s="265">
        <f t="shared" si="22"/>
        <v>0</v>
      </c>
      <c r="T182" t="str">
        <f t="shared" si="19"/>
        <v>(HOT) V500 Alkox Reactor</v>
      </c>
      <c r="U182" t="s">
        <v>876</v>
      </c>
    </row>
    <row r="183" spans="15:21">
      <c r="O183" s="95" t="s">
        <v>724</v>
      </c>
      <c r="P183" s="95" t="s">
        <v>687</v>
      </c>
      <c r="Q183" s="152" t="s">
        <v>14</v>
      </c>
      <c r="R183" s="96" t="str">
        <f t="shared" si="18"/>
        <v>Available OEE - Scheduled hours_Loss_Hours_NJ</v>
      </c>
      <c r="S183" s="265">
        <f t="shared" si="22"/>
        <v>5054.0175840218535</v>
      </c>
      <c r="T183" t="str">
        <f t="shared" si="19"/>
        <v>(HOT) V500 Alkox Reactor</v>
      </c>
      <c r="U183" t="s">
        <v>876</v>
      </c>
    </row>
    <row r="184" spans="15:21">
      <c r="O184" s="95" t="s">
        <v>724</v>
      </c>
      <c r="P184" s="95" t="s">
        <v>687</v>
      </c>
      <c r="Q184" s="152" t="s">
        <v>17</v>
      </c>
      <c r="R184" s="96" t="str">
        <f t="shared" si="18"/>
        <v>Equipment Reliability - Planned TA &amp; Planned SD_Loss_Hours_NJ</v>
      </c>
      <c r="S184" s="265">
        <f t="shared" si="22"/>
        <v>0</v>
      </c>
      <c r="T184" t="str">
        <f t="shared" si="19"/>
        <v>(HOT) V500 Alkox Reactor</v>
      </c>
      <c r="U184" t="s">
        <v>876</v>
      </c>
    </row>
    <row r="185" spans="15:21">
      <c r="O185" s="95" t="s">
        <v>724</v>
      </c>
      <c r="P185" s="95" t="s">
        <v>687</v>
      </c>
      <c r="Q185" s="152" t="s">
        <v>665</v>
      </c>
      <c r="R185" s="96" t="str">
        <f t="shared" si="18"/>
        <v>Available running OEE - Running hours_Loss_Hours_NJ</v>
      </c>
      <c r="S185" s="265">
        <f t="shared" si="22"/>
        <v>5054.0175840218535</v>
      </c>
      <c r="T185" t="str">
        <f t="shared" si="19"/>
        <v>(HOT) V500 Alkox Reactor</v>
      </c>
      <c r="U185" t="s">
        <v>876</v>
      </c>
    </row>
    <row r="186" spans="15:21">
      <c r="O186" s="95" t="s">
        <v>724</v>
      </c>
      <c r="P186" s="95" t="s">
        <v>687</v>
      </c>
      <c r="Q186" s="152" t="s">
        <v>18</v>
      </c>
      <c r="R186" s="96" t="str">
        <f t="shared" si="18"/>
        <v>Equipment Reliability - Equipment Failure_Loss_Hours_NJ</v>
      </c>
      <c r="S186" s="265">
        <f t="shared" si="22"/>
        <v>80.914288812785202</v>
      </c>
      <c r="T186" t="str">
        <f t="shared" si="19"/>
        <v>(HOT) V500 Alkox Reactor</v>
      </c>
      <c r="U186" t="s">
        <v>876</v>
      </c>
    </row>
    <row r="187" spans="15:21">
      <c r="O187" s="95" t="s">
        <v>724</v>
      </c>
      <c r="P187" s="95" t="s">
        <v>687</v>
      </c>
      <c r="Q187" s="152" t="s">
        <v>1</v>
      </c>
      <c r="R187" s="96" t="str">
        <f t="shared" si="18"/>
        <v>Operational Reliability_Loss_Hours_NJ</v>
      </c>
      <c r="S187" s="265">
        <f t="shared" si="22"/>
        <v>774.01913956617682</v>
      </c>
      <c r="T187" t="str">
        <f t="shared" si="19"/>
        <v>(HOT) V500 Alkox Reactor</v>
      </c>
      <c r="U187" t="s">
        <v>876</v>
      </c>
    </row>
    <row r="188" spans="15:21">
      <c r="O188" s="95" t="s">
        <v>724</v>
      </c>
      <c r="P188" s="95" t="s">
        <v>687</v>
      </c>
      <c r="Q188" s="152" t="s">
        <v>2</v>
      </c>
      <c r="R188" s="96" t="str">
        <f t="shared" si="18"/>
        <v>Technology Reliability_Loss_Hours_NJ</v>
      </c>
      <c r="S188" s="265">
        <f t="shared" si="22"/>
        <v>543.38675355628459</v>
      </c>
      <c r="T188" t="str">
        <f t="shared" si="19"/>
        <v>(HOT) V500 Alkox Reactor</v>
      </c>
      <c r="U188" t="s">
        <v>876</v>
      </c>
    </row>
    <row r="189" spans="15:21">
      <c r="O189" s="95" t="s">
        <v>724</v>
      </c>
      <c r="P189" s="95" t="s">
        <v>687</v>
      </c>
      <c r="Q189" s="152" t="s">
        <v>3</v>
      </c>
      <c r="R189" s="96" t="str">
        <f t="shared" si="18"/>
        <v>Material Reliability_Loss_Hours_NJ</v>
      </c>
      <c r="S189" s="265">
        <f t="shared" si="22"/>
        <v>77.906420302626842</v>
      </c>
      <c r="T189" t="str">
        <f t="shared" si="19"/>
        <v>(HOT) V500 Alkox Reactor</v>
      </c>
      <c r="U189" t="s">
        <v>876</v>
      </c>
    </row>
    <row r="190" spans="15:21">
      <c r="O190" s="95" t="s">
        <v>724</v>
      </c>
      <c r="P190" s="95" t="s">
        <v>687</v>
      </c>
      <c r="Q190" s="152" t="s">
        <v>4</v>
      </c>
      <c r="R190" s="96" t="str">
        <f t="shared" si="18"/>
        <v>Logistics/Supply Reliability_Loss_Hours_NJ</v>
      </c>
      <c r="S190" s="265">
        <f t="shared" si="22"/>
        <v>63.098330428826024</v>
      </c>
      <c r="T190" t="str">
        <f t="shared" si="19"/>
        <v>(HOT) V500 Alkox Reactor</v>
      </c>
      <c r="U190" t="s">
        <v>876</v>
      </c>
    </row>
    <row r="191" spans="15:21">
      <c r="O191" s="95" t="s">
        <v>724</v>
      </c>
      <c r="P191" s="95" t="s">
        <v>687</v>
      </c>
      <c r="Q191" s="152" t="s">
        <v>5</v>
      </c>
      <c r="R191" s="96" t="str">
        <f t="shared" si="18"/>
        <v>External Reliability_Loss_Hours_NJ</v>
      </c>
      <c r="S191" s="265">
        <f t="shared" si="22"/>
        <v>107.77350006829371</v>
      </c>
      <c r="T191" t="str">
        <f t="shared" si="19"/>
        <v>(HOT) V500 Alkox Reactor</v>
      </c>
      <c r="U191" t="s">
        <v>876</v>
      </c>
    </row>
    <row r="192" spans="15:21">
      <c r="O192" s="95" t="s">
        <v>724</v>
      </c>
      <c r="P192" s="95" t="s">
        <v>687</v>
      </c>
      <c r="Q192" s="152" t="s">
        <v>11</v>
      </c>
      <c r="R192" s="96" t="str">
        <f t="shared" si="18"/>
        <v>Other Reliability_Loss_Hours_NJ</v>
      </c>
      <c r="S192" s="265">
        <f t="shared" si="22"/>
        <v>-441.04431565865883</v>
      </c>
      <c r="T192" t="str">
        <f t="shared" si="19"/>
        <v>(HOT) V500 Alkox Reactor</v>
      </c>
      <c r="U192" t="s">
        <v>876</v>
      </c>
    </row>
    <row r="193" spans="15:21">
      <c r="O193" s="95" t="s">
        <v>724</v>
      </c>
      <c r="P193" s="95" t="s">
        <v>687</v>
      </c>
      <c r="Q193" s="152" t="s">
        <v>15</v>
      </c>
      <c r="R193" s="96" t="str">
        <f t="shared" si="18"/>
        <v>Unspecified_Loss_Hours_NJ</v>
      </c>
      <c r="S193" s="265">
        <f t="shared" si="22"/>
        <v>0</v>
      </c>
      <c r="T193" t="str">
        <f t="shared" si="19"/>
        <v>(HOT) V500 Alkox Reactor</v>
      </c>
      <c r="U193" t="s">
        <v>876</v>
      </c>
    </row>
    <row r="194" spans="15:21">
      <c r="O194" s="95" t="s">
        <v>724</v>
      </c>
      <c r="P194" s="95" t="s">
        <v>687</v>
      </c>
      <c r="Q194" s="152" t="s">
        <v>16</v>
      </c>
      <c r="R194" s="96" t="str">
        <f t="shared" ref="R194:R248" si="23">IF(ISBLANK(P194),Q194,_xlfn.CONCAT(Q194,"_",P194))</f>
        <v>Undetected_Loss_Hours_NJ</v>
      </c>
      <c r="S194" s="265">
        <f t="shared" si="22"/>
        <v>119.34054403037611</v>
      </c>
      <c r="T194" t="str">
        <f t="shared" si="19"/>
        <v>(HOT) V500 Alkox Reactor</v>
      </c>
      <c r="U194" t="s">
        <v>876</v>
      </c>
    </row>
    <row r="195" spans="15:21">
      <c r="O195" s="95" t="s">
        <v>724</v>
      </c>
      <c r="P195" s="95" t="s">
        <v>687</v>
      </c>
      <c r="Q195" s="152" t="s">
        <v>664</v>
      </c>
      <c r="R195" s="96" t="str">
        <f t="shared" si="23"/>
        <v>Exception hours_Loss_Hours_NJ</v>
      </c>
      <c r="S195" s="265">
        <f t="shared" si="22"/>
        <v>0</v>
      </c>
      <c r="T195" t="str">
        <f t="shared" ref="T195:T248" si="24">$B$2</f>
        <v>(HOT) V500 Alkox Reactor</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V500 Alkox Reactor</v>
      </c>
      <c r="U196" t="s">
        <v>876</v>
      </c>
    </row>
    <row r="197" spans="15:21">
      <c r="O197" s="95" t="s">
        <v>724</v>
      </c>
      <c r="P197" s="95" t="s">
        <v>687</v>
      </c>
      <c r="Q197" s="152" t="s">
        <v>705</v>
      </c>
      <c r="R197" s="96" t="str">
        <f t="shared" si="23"/>
        <v>Improvement target not assigned_Loss_Hours_NJ</v>
      </c>
      <c r="S197" s="265">
        <f t="shared" si="22"/>
        <v>148.21037305941496</v>
      </c>
      <c r="T197" t="str">
        <f t="shared" si="24"/>
        <v>(HOT) V500 Alkox Reactor</v>
      </c>
      <c r="U197" t="s">
        <v>876</v>
      </c>
    </row>
    <row r="198" spans="15:21">
      <c r="O198" s="95" t="s">
        <v>724</v>
      </c>
      <c r="P198" s="95" t="s">
        <v>687</v>
      </c>
      <c r="Q198" s="152" t="s">
        <v>397</v>
      </c>
      <c r="R198" s="96" t="str">
        <f t="shared" si="23"/>
        <v>Sum OEE losses (exluding Planned Maintenance)_Loss_Hours_NJ</v>
      </c>
      <c r="S198" s="265">
        <f t="shared" si="22"/>
        <v>1177.1842880472955</v>
      </c>
      <c r="T198" t="str">
        <f t="shared" si="24"/>
        <v>(HOT) V500 Alkox Reactor</v>
      </c>
      <c r="U198" t="s">
        <v>876</v>
      </c>
    </row>
    <row r="199" spans="15:21">
      <c r="O199" s="95" t="s">
        <v>724</v>
      </c>
      <c r="P199" s="95" t="s">
        <v>687</v>
      </c>
      <c r="Q199" s="152" t="s">
        <v>398</v>
      </c>
      <c r="R199" s="96" t="str">
        <f t="shared" si="23"/>
        <v>Sum OEE losses (Including Planned Maintenance)_Loss_Hours_NJ</v>
      </c>
      <c r="S199" s="265">
        <f t="shared" si="22"/>
        <v>1177.1842880472955</v>
      </c>
      <c r="T199" t="str">
        <f t="shared" si="24"/>
        <v>(HOT) V500 Alkox Reactor</v>
      </c>
      <c r="U199" t="s">
        <v>876</v>
      </c>
    </row>
    <row r="200" spans="15:21">
      <c r="O200" s="95" t="s">
        <v>724</v>
      </c>
      <c r="P200" s="95" t="s">
        <v>687</v>
      </c>
      <c r="Q200" s="152" t="s">
        <v>712</v>
      </c>
      <c r="R200" s="96" t="str">
        <f t="shared" si="23"/>
        <v>Production hours on MAC (h) / OEE (%)_Loss_Hours_NJ</v>
      </c>
      <c r="S200" s="265">
        <f t="shared" si="22"/>
        <v>3876.833295974558</v>
      </c>
      <c r="T200" t="str">
        <f t="shared" si="24"/>
        <v>(HOT) V500 Alkox Reactor</v>
      </c>
      <c r="U200" t="s">
        <v>876</v>
      </c>
    </row>
    <row r="201" spans="15:21">
      <c r="O201" s="95" t="s">
        <v>1183</v>
      </c>
      <c r="P201" s="95" t="s">
        <v>681</v>
      </c>
      <c r="Q201" s="143" t="s">
        <v>13</v>
      </c>
      <c r="R201" s="96" t="str">
        <f t="shared" si="23"/>
        <v>MAC - Calender hours_Loss Percentage_NJ</v>
      </c>
      <c r="S201" s="268">
        <f>J25</f>
        <v>0</v>
      </c>
      <c r="T201" t="str">
        <f t="shared" si="24"/>
        <v>(HOT) V500 Alkox Reactor</v>
      </c>
      <c r="U201" t="s">
        <v>876</v>
      </c>
    </row>
    <row r="202" spans="15:21">
      <c r="O202" s="95" t="s">
        <v>1183</v>
      </c>
      <c r="P202" s="95" t="s">
        <v>681</v>
      </c>
      <c r="Q202" s="153" t="s">
        <v>7</v>
      </c>
      <c r="R202" s="96" t="str">
        <f t="shared" si="23"/>
        <v>Commercial Reliability_Loss Percentage_NJ</v>
      </c>
      <c r="S202" s="268">
        <f t="shared" ref="S202:S221" si="25">J26</f>
        <v>0</v>
      </c>
      <c r="T202" t="str">
        <f t="shared" si="24"/>
        <v>(HOT) V500 Alkox Reactor</v>
      </c>
      <c r="U202" t="s">
        <v>876</v>
      </c>
    </row>
    <row r="203" spans="15:21">
      <c r="O203" s="95" t="s">
        <v>1183</v>
      </c>
      <c r="P203" s="95" t="s">
        <v>681</v>
      </c>
      <c r="Q203" s="153" t="s">
        <v>704</v>
      </c>
      <c r="R203" s="96" t="str">
        <f t="shared" si="23"/>
        <v>Exception hours (loss excluded from OEE)_Loss Percentage_NJ</v>
      </c>
      <c r="S203" s="268">
        <f t="shared" si="25"/>
        <v>0</v>
      </c>
      <c r="T203" t="str">
        <f t="shared" si="24"/>
        <v>(HOT) V500 Alkox Reactor</v>
      </c>
      <c r="U203" t="s">
        <v>876</v>
      </c>
    </row>
    <row r="204" spans="15:21">
      <c r="O204" s="95" t="s">
        <v>1183</v>
      </c>
      <c r="P204" s="95" t="s">
        <v>681</v>
      </c>
      <c r="Q204" s="153" t="s">
        <v>14</v>
      </c>
      <c r="R204" s="96" t="str">
        <f t="shared" si="23"/>
        <v>Available OEE - Scheduled hours_Loss Percentage_NJ</v>
      </c>
      <c r="S204" s="268">
        <f t="shared" si="25"/>
        <v>1</v>
      </c>
      <c r="T204" t="str">
        <f t="shared" si="24"/>
        <v>(HOT) V500 Alkox Reactor</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(HOT) V500 Alkox Reactor</v>
      </c>
      <c r="U205" t="s">
        <v>876</v>
      </c>
    </row>
    <row r="206" spans="15:21">
      <c r="O206" s="95" t="s">
        <v>1183</v>
      </c>
      <c r="P206" s="95" t="s">
        <v>681</v>
      </c>
      <c r="Q206" s="153" t="s">
        <v>665</v>
      </c>
      <c r="R206" s="96" t="str">
        <f t="shared" si="23"/>
        <v>Available running OEE - Running hours_Loss Percentage_NJ</v>
      </c>
      <c r="S206" s="268">
        <f t="shared" si="25"/>
        <v>0</v>
      </c>
      <c r="T206" t="str">
        <f t="shared" si="24"/>
        <v>(HOT) V500 Alkox Reactor</v>
      </c>
      <c r="U206" t="s">
        <v>876</v>
      </c>
    </row>
    <row r="207" spans="15:21">
      <c r="O207" s="95" t="s">
        <v>1183</v>
      </c>
      <c r="P207" s="95" t="s">
        <v>681</v>
      </c>
      <c r="Q207" s="153" t="s">
        <v>18</v>
      </c>
      <c r="R207" s="96" t="str">
        <f t="shared" si="23"/>
        <v>Equipment Reliability - Equipment Failure_Loss Percentage_NJ</v>
      </c>
      <c r="S207" s="268">
        <f t="shared" si="25"/>
        <v>1.600989459723956E-2</v>
      </c>
      <c r="T207" t="str">
        <f t="shared" si="24"/>
        <v>(HOT) V500 Alkox Reactor</v>
      </c>
      <c r="U207" t="s">
        <v>876</v>
      </c>
    </row>
    <row r="208" spans="15:21">
      <c r="O208" s="95" t="s">
        <v>1183</v>
      </c>
      <c r="P208" s="95" t="s">
        <v>681</v>
      </c>
      <c r="Q208" s="153" t="s">
        <v>1</v>
      </c>
      <c r="R208" s="96" t="str">
        <f t="shared" si="23"/>
        <v>Operational Reliability_Loss Percentage_NJ</v>
      </c>
      <c r="S208" s="268">
        <f t="shared" si="25"/>
        <v>0.15314927712424634</v>
      </c>
      <c r="T208" t="str">
        <f t="shared" si="24"/>
        <v>(HOT) V500 Alkox Reactor</v>
      </c>
      <c r="U208" t="s">
        <v>876</v>
      </c>
    </row>
    <row r="209" spans="15:21">
      <c r="O209" s="95" t="s">
        <v>1183</v>
      </c>
      <c r="P209" s="95" t="s">
        <v>681</v>
      </c>
      <c r="Q209" s="153" t="s">
        <v>2</v>
      </c>
      <c r="R209" s="96" t="str">
        <f t="shared" si="23"/>
        <v>Technology Reliability_Loss Percentage_NJ</v>
      </c>
      <c r="S209" s="268">
        <f t="shared" si="25"/>
        <v>0.10751580193828131</v>
      </c>
      <c r="T209" t="str">
        <f t="shared" si="24"/>
        <v>(HOT) V500 Alkox Reactor</v>
      </c>
      <c r="U209" t="s">
        <v>876</v>
      </c>
    </row>
    <row r="210" spans="15:21">
      <c r="O210" s="95" t="s">
        <v>1183</v>
      </c>
      <c r="P210" s="95" t="s">
        <v>681</v>
      </c>
      <c r="Q210" s="153" t="s">
        <v>3</v>
      </c>
      <c r="R210" s="96" t="str">
        <f t="shared" si="23"/>
        <v>Material Reliability_Loss Percentage_NJ</v>
      </c>
      <c r="S210" s="268">
        <f t="shared" si="25"/>
        <v>1.541475054398821E-2</v>
      </c>
      <c r="T210" t="str">
        <f t="shared" si="24"/>
        <v>(HOT) V500 Alkox Reactor</v>
      </c>
      <c r="U210" t="s">
        <v>876</v>
      </c>
    </row>
    <row r="211" spans="15:21">
      <c r="O211" s="95" t="s">
        <v>1183</v>
      </c>
      <c r="P211" s="95" t="s">
        <v>681</v>
      </c>
      <c r="Q211" s="153" t="s">
        <v>4</v>
      </c>
      <c r="R211" s="96" t="str">
        <f t="shared" si="23"/>
        <v>Logistics/Supply Reliability_Loss Percentage_NJ</v>
      </c>
      <c r="S211" s="268">
        <f t="shared" si="25"/>
        <v>1.2484786485173651E-2</v>
      </c>
      <c r="T211" t="str">
        <f t="shared" si="24"/>
        <v>(HOT) V500 Alkox Reactor</v>
      </c>
      <c r="U211" t="s">
        <v>876</v>
      </c>
    </row>
    <row r="212" spans="15:21">
      <c r="O212" s="95" t="s">
        <v>1183</v>
      </c>
      <c r="P212" s="95" t="s">
        <v>681</v>
      </c>
      <c r="Q212" s="153" t="s">
        <v>5</v>
      </c>
      <c r="R212" s="96" t="str">
        <f t="shared" si="23"/>
        <v>External Reliability_Loss Percentage_NJ</v>
      </c>
      <c r="S212" s="268">
        <f t="shared" si="25"/>
        <v>2.1324322338928312E-2</v>
      </c>
      <c r="T212" t="str">
        <f t="shared" si="24"/>
        <v>(HOT) V500 Alkox Reactor</v>
      </c>
      <c r="U212" t="s">
        <v>876</v>
      </c>
    </row>
    <row r="213" spans="15:21">
      <c r="O213" s="95" t="s">
        <v>1183</v>
      </c>
      <c r="P213" s="95" t="s">
        <v>681</v>
      </c>
      <c r="Q213" s="153" t="s">
        <v>11</v>
      </c>
      <c r="R213" s="96" t="str">
        <f t="shared" si="23"/>
        <v>Other Reliability_Loss Percentage_NJ</v>
      </c>
      <c r="S213" s="268">
        <f t="shared" si="25"/>
        <v>-8.7266082542531917E-2</v>
      </c>
      <c r="T213" t="str">
        <f t="shared" si="24"/>
        <v>(HOT) V500 Alkox Reactor</v>
      </c>
      <c r="U213" t="s">
        <v>876</v>
      </c>
    </row>
    <row r="214" spans="15:21">
      <c r="O214" s="95" t="s">
        <v>1183</v>
      </c>
      <c r="P214" s="95" t="s">
        <v>681</v>
      </c>
      <c r="Q214" s="153" t="s">
        <v>15</v>
      </c>
      <c r="R214" s="96" t="str">
        <f t="shared" si="23"/>
        <v>Unspecified_Loss Percentage_NJ</v>
      </c>
      <c r="S214" s="268">
        <f t="shared" si="25"/>
        <v>0</v>
      </c>
      <c r="T214" t="str">
        <f t="shared" si="24"/>
        <v>(HOT) V500 Alkox Reactor</v>
      </c>
      <c r="U214" t="s">
        <v>876</v>
      </c>
    </row>
    <row r="215" spans="15:21">
      <c r="O215" s="95" t="s">
        <v>1183</v>
      </c>
      <c r="P215" s="95" t="s">
        <v>681</v>
      </c>
      <c r="Q215" s="153" t="s">
        <v>16</v>
      </c>
      <c r="R215" s="96" t="str">
        <f t="shared" si="23"/>
        <v>Undetected_Loss Percentage_NJ</v>
      </c>
      <c r="S215" s="268">
        <f t="shared" si="25"/>
        <v>2.3613005306445344E-2</v>
      </c>
      <c r="T215" t="str">
        <f t="shared" si="24"/>
        <v>(HOT) V500 Alkox Reactor</v>
      </c>
      <c r="U215" t="s">
        <v>876</v>
      </c>
    </row>
    <row r="216" spans="15:21">
      <c r="O216" s="95" t="s">
        <v>1183</v>
      </c>
      <c r="P216" s="95" t="s">
        <v>681</v>
      </c>
      <c r="Q216" s="153" t="s">
        <v>664</v>
      </c>
      <c r="R216" s="96" t="str">
        <f t="shared" si="23"/>
        <v>Exception hours_Loss Percentage_NJ</v>
      </c>
      <c r="S216" s="268">
        <f t="shared" si="25"/>
        <v>0</v>
      </c>
      <c r="T216" t="str">
        <f t="shared" si="24"/>
        <v>(HOT) V500 Alkox Reactor</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V500 Alkox Reactor</v>
      </c>
      <c r="U217" t="s">
        <v>876</v>
      </c>
    </row>
    <row r="218" spans="15:21">
      <c r="O218" s="95" t="s">
        <v>1183</v>
      </c>
      <c r="P218" s="95" t="s">
        <v>681</v>
      </c>
      <c r="Q218" s="153" t="s">
        <v>705</v>
      </c>
      <c r="R218" s="96" t="str">
        <f t="shared" si="23"/>
        <v>Improvement target not assigned_Loss Percentage_NJ</v>
      </c>
      <c r="S218" s="268">
        <f t="shared" si="25"/>
        <v>-2.9325258686866907E-2</v>
      </c>
      <c r="T218" t="str">
        <f t="shared" si="24"/>
        <v>(HOT) V500 Alkox Reactor</v>
      </c>
      <c r="U218" t="s">
        <v>876</v>
      </c>
    </row>
    <row r="219" spans="15:21">
      <c r="O219" s="95" t="s">
        <v>1183</v>
      </c>
      <c r="P219" s="95" t="s">
        <v>681</v>
      </c>
      <c r="Q219" s="153" t="s">
        <v>397</v>
      </c>
      <c r="R219" s="96" t="str">
        <f t="shared" si="23"/>
        <v>Sum OEE losses (exluding Planned Maintenance)_Loss Percentage_NJ</v>
      </c>
      <c r="S219" s="268">
        <f t="shared" si="25"/>
        <v>0.23292049710490392</v>
      </c>
      <c r="T219" t="str">
        <f t="shared" si="24"/>
        <v>(HOT) V500 Alkox Reactor</v>
      </c>
      <c r="U219" t="s">
        <v>876</v>
      </c>
    </row>
    <row r="220" spans="15:21">
      <c r="O220" s="95" t="s">
        <v>1183</v>
      </c>
      <c r="P220" s="95" t="s">
        <v>681</v>
      </c>
      <c r="Q220" s="153" t="s">
        <v>398</v>
      </c>
      <c r="R220" s="96" t="str">
        <f t="shared" si="23"/>
        <v>Sum OEE losses (Including Planned Maintenance)_Loss Percentage_NJ</v>
      </c>
      <c r="S220" s="268">
        <f t="shared" si="25"/>
        <v>0.23292049710490392</v>
      </c>
      <c r="T220" t="str">
        <f t="shared" si="24"/>
        <v>(HOT) V500 Alkox Reactor</v>
      </c>
      <c r="U220" t="s">
        <v>876</v>
      </c>
    </row>
    <row r="221" spans="15:21">
      <c r="O221" s="95" t="s">
        <v>1183</v>
      </c>
      <c r="P221" s="95" t="s">
        <v>681</v>
      </c>
      <c r="Q221" s="153" t="s">
        <v>712</v>
      </c>
      <c r="R221" s="96" t="str">
        <f t="shared" si="23"/>
        <v>Production hours on MAC (h) / OEE (%)_Loss Percentage_NJ</v>
      </c>
      <c r="S221" s="268">
        <f t="shared" si="25"/>
        <v>0.76707950289509608</v>
      </c>
      <c r="T221" t="str">
        <f t="shared" si="24"/>
        <v>(HOT) V500 Alkox Reactor</v>
      </c>
      <c r="U221" t="s">
        <v>876</v>
      </c>
    </row>
    <row r="222" spans="15:21">
      <c r="O222" s="95" t="s">
        <v>676</v>
      </c>
      <c r="P222" s="95" t="s">
        <v>994</v>
      </c>
      <c r="Q222" s="144" t="s">
        <v>374</v>
      </c>
      <c r="R222" s="96" t="str">
        <f t="shared" si="23"/>
        <v>Planned Turnaround (h)_NJ_Maintenance_plan</v>
      </c>
      <c r="S222" s="1" t="str">
        <f>D18</f>
        <v/>
      </c>
      <c r="T222" t="str">
        <f t="shared" si="24"/>
        <v>(HOT) V500 Alkox Reactor</v>
      </c>
      <c r="U222" t="s">
        <v>877</v>
      </c>
    </row>
    <row r="223" spans="15:21">
      <c r="O223" s="95" t="s">
        <v>676</v>
      </c>
      <c r="P223" s="95" t="s">
        <v>994</v>
      </c>
      <c r="Q223" s="144" t="s">
        <v>375</v>
      </c>
      <c r="R223" s="96" t="str">
        <f t="shared" si="23"/>
        <v>Planned Shutdown (h)_NJ_Maintenance_plan</v>
      </c>
      <c r="S223" s="1" t="str">
        <f t="shared" ref="S223:S224" si="26">D19</f>
        <v/>
      </c>
      <c r="T223" t="str">
        <f t="shared" si="24"/>
        <v>(HOT) V500 Alkox Reactor</v>
      </c>
      <c r="U223" t="s">
        <v>877</v>
      </c>
    </row>
    <row r="224" spans="15:21">
      <c r="O224" s="95" t="s">
        <v>676</v>
      </c>
      <c r="P224" s="95" t="s">
        <v>994</v>
      </c>
      <c r="Q224" s="144" t="s">
        <v>716</v>
      </c>
      <c r="R224" s="96" t="str">
        <f t="shared" si="23"/>
        <v>Total Planned Maintenance (h)_NJ_Maintenance_plan</v>
      </c>
      <c r="S224" s="1" t="str">
        <f t="shared" si="26"/>
        <v/>
      </c>
      <c r="T224" t="str">
        <f t="shared" si="24"/>
        <v>(HOT) V500 Alkox Reactor</v>
      </c>
      <c r="U224" t="s">
        <v>877</v>
      </c>
    </row>
    <row r="225" spans="15:21">
      <c r="O225" s="95" t="s">
        <v>674</v>
      </c>
      <c r="Q225" s="144" t="s">
        <v>1184</v>
      </c>
      <c r="R225" s="96" t="str">
        <f t="shared" si="23"/>
        <v>OEE_Running OEE Override</v>
      </c>
      <c r="S225" s="1" t="str">
        <f>B60</f>
        <v>Automatic</v>
      </c>
      <c r="T225" t="str">
        <f t="shared" si="24"/>
        <v>(HOT) V500 Alkox Reactor</v>
      </c>
      <c r="U225" t="s">
        <v>875</v>
      </c>
    </row>
    <row r="226" spans="15:21">
      <c r="O226" s="95" t="s">
        <v>678</v>
      </c>
      <c r="Q226" s="144" t="s">
        <v>1182</v>
      </c>
      <c r="R226" s="96" t="str">
        <f t="shared" si="23"/>
        <v>Unit of Loss Decrease entry</v>
      </c>
      <c r="S226" s="370" t="str">
        <f>F24</f>
        <v>% decrease</v>
      </c>
      <c r="T226" t="str">
        <f t="shared" si="24"/>
        <v>(HOT) V500 Alkox Reactor</v>
      </c>
      <c r="U226" t="s">
        <v>875</v>
      </c>
    </row>
    <row r="227" spans="15:21">
      <c r="O227" s="95" t="s">
        <v>678</v>
      </c>
      <c r="P227" s="95" t="s">
        <v>1185</v>
      </c>
      <c r="Q227" s="142" t="s">
        <v>13</v>
      </c>
      <c r="R227" s="96" t="str">
        <f t="shared" si="23"/>
        <v>MAC - Calender hours_OEE_Improvement_Entry</v>
      </c>
      <c r="S227" s="371">
        <f>F25</f>
        <v>0</v>
      </c>
      <c r="T227" t="str">
        <f t="shared" si="24"/>
        <v>(HOT) V500 Alkox Reactor</v>
      </c>
      <c r="U227" t="s">
        <v>876</v>
      </c>
    </row>
    <row r="228" spans="15:21">
      <c r="O228" s="95" t="s">
        <v>678</v>
      </c>
      <c r="P228" s="95" t="s">
        <v>1185</v>
      </c>
      <c r="Q228" s="152" t="s">
        <v>7</v>
      </c>
      <c r="R228" s="96" t="str">
        <f t="shared" si="23"/>
        <v>Commercial Reliability_OEE_Improvement_Entry</v>
      </c>
      <c r="S228" s="371">
        <f t="shared" ref="S228:S247" si="27">F26</f>
        <v>0</v>
      </c>
      <c r="T228" t="str">
        <f t="shared" si="24"/>
        <v>(HOT) V500 Alkox Reactor</v>
      </c>
      <c r="U228" t="s">
        <v>876</v>
      </c>
    </row>
    <row r="229" spans="15:21">
      <c r="O229" s="95" t="s">
        <v>678</v>
      </c>
      <c r="P229" s="95" t="s">
        <v>1185</v>
      </c>
      <c r="Q229" s="152" t="s">
        <v>704</v>
      </c>
      <c r="R229" s="96" t="str">
        <f t="shared" si="23"/>
        <v>Exception hours (loss excluded from OEE)_OEE_Improvement_Entry</v>
      </c>
      <c r="S229" s="371" t="str">
        <f t="shared" si="27"/>
        <v/>
      </c>
      <c r="T229" t="str">
        <f t="shared" si="24"/>
        <v>(HOT) V500 Alkox Reactor</v>
      </c>
      <c r="U229" t="s">
        <v>876</v>
      </c>
    </row>
    <row r="230" spans="15:21">
      <c r="O230" s="95" t="s">
        <v>678</v>
      </c>
      <c r="P230" s="95" t="s">
        <v>1185</v>
      </c>
      <c r="Q230" s="152" t="s">
        <v>14</v>
      </c>
      <c r="R230" s="96" t="str">
        <f t="shared" si="23"/>
        <v>Available OEE - Scheduled hours_OEE_Improvement_Entry</v>
      </c>
      <c r="S230" s="371">
        <f t="shared" si="27"/>
        <v>0</v>
      </c>
      <c r="T230" t="str">
        <f t="shared" si="24"/>
        <v>(HOT) V500 Alkox Reactor</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V500 Alkox Reactor</v>
      </c>
      <c r="U231" t="s">
        <v>876</v>
      </c>
    </row>
    <row r="232" spans="15:21">
      <c r="O232" s="95" t="s">
        <v>678</v>
      </c>
      <c r="P232" s="95" t="s">
        <v>1185</v>
      </c>
      <c r="Q232" s="152" t="s">
        <v>665</v>
      </c>
      <c r="R232" s="96" t="str">
        <f t="shared" si="23"/>
        <v>Available running OEE - Running hours_OEE_Improvement_Entry</v>
      </c>
      <c r="S232" s="371">
        <f t="shared" si="27"/>
        <v>0</v>
      </c>
      <c r="T232" t="str">
        <f t="shared" si="24"/>
        <v>(HOT) V500 Alkox Reactor</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V500 Alkox Reactor</v>
      </c>
      <c r="U233" t="s">
        <v>876</v>
      </c>
    </row>
    <row r="234" spans="15:21">
      <c r="O234" s="95" t="s">
        <v>678</v>
      </c>
      <c r="P234" s="95" t="s">
        <v>1185</v>
      </c>
      <c r="Q234" s="152" t="s">
        <v>1</v>
      </c>
      <c r="R234" s="96" t="str">
        <f t="shared" si="23"/>
        <v>Operational Reliability_OEE_Improvement_Entry</v>
      </c>
      <c r="S234" s="371">
        <f t="shared" si="27"/>
        <v>0</v>
      </c>
      <c r="T234" t="str">
        <f t="shared" si="24"/>
        <v>(HOT) V500 Alkox Reactor</v>
      </c>
      <c r="U234" t="s">
        <v>876</v>
      </c>
    </row>
    <row r="235" spans="15:21">
      <c r="O235" s="95" t="s">
        <v>678</v>
      </c>
      <c r="P235" s="95" t="s">
        <v>1185</v>
      </c>
      <c r="Q235" s="152" t="s">
        <v>2</v>
      </c>
      <c r="R235" s="96" t="str">
        <f t="shared" si="23"/>
        <v>Technology Reliability_OEE_Improvement_Entry</v>
      </c>
      <c r="S235" s="371">
        <f t="shared" si="27"/>
        <v>0</v>
      </c>
      <c r="T235" t="str">
        <f t="shared" si="24"/>
        <v>(HOT) V500 Alkox Reactor</v>
      </c>
      <c r="U235" t="s">
        <v>876</v>
      </c>
    </row>
    <row r="236" spans="15:21">
      <c r="O236" s="95" t="s">
        <v>678</v>
      </c>
      <c r="P236" s="95" t="s">
        <v>1185</v>
      </c>
      <c r="Q236" s="152" t="s">
        <v>3</v>
      </c>
      <c r="R236" s="96" t="str">
        <f t="shared" si="23"/>
        <v>Material Reliability_OEE_Improvement_Entry</v>
      </c>
      <c r="S236" s="371">
        <f t="shared" si="27"/>
        <v>0</v>
      </c>
      <c r="T236" t="str">
        <f t="shared" si="24"/>
        <v>(HOT) V500 Alkox Reactor</v>
      </c>
      <c r="U236" t="s">
        <v>876</v>
      </c>
    </row>
    <row r="237" spans="15:21">
      <c r="O237" s="95" t="s">
        <v>678</v>
      </c>
      <c r="P237" s="95" t="s">
        <v>1185</v>
      </c>
      <c r="Q237" s="152" t="s">
        <v>4</v>
      </c>
      <c r="R237" s="96" t="str">
        <f t="shared" si="23"/>
        <v>Logistics/Supply Reliability_OEE_Improvement_Entry</v>
      </c>
      <c r="S237" s="371">
        <f t="shared" si="27"/>
        <v>0</v>
      </c>
      <c r="T237" t="str">
        <f t="shared" si="24"/>
        <v>(HOT) V500 Alkox Reactor</v>
      </c>
      <c r="U237" t="s">
        <v>876</v>
      </c>
    </row>
    <row r="238" spans="15:21">
      <c r="O238" s="95" t="s">
        <v>678</v>
      </c>
      <c r="P238" s="95" t="s">
        <v>1185</v>
      </c>
      <c r="Q238" s="152" t="s">
        <v>5</v>
      </c>
      <c r="R238" s="96" t="str">
        <f t="shared" si="23"/>
        <v>External Reliability_OEE_Improvement_Entry</v>
      </c>
      <c r="S238" s="371">
        <f t="shared" si="27"/>
        <v>0</v>
      </c>
      <c r="T238" t="str">
        <f t="shared" si="24"/>
        <v>(HOT) V500 Alkox Reactor</v>
      </c>
      <c r="U238" t="s">
        <v>876</v>
      </c>
    </row>
    <row r="239" spans="15:21">
      <c r="O239" s="95" t="s">
        <v>678</v>
      </c>
      <c r="P239" s="95" t="s">
        <v>1185</v>
      </c>
      <c r="Q239" s="152" t="s">
        <v>11</v>
      </c>
      <c r="R239" s="96" t="str">
        <f t="shared" si="23"/>
        <v>Other Reliability_OEE_Improvement_Entry</v>
      </c>
      <c r="S239" s="371">
        <f t="shared" si="27"/>
        <v>0</v>
      </c>
      <c r="T239" t="str">
        <f t="shared" si="24"/>
        <v>(HOT) V500 Alkox Reactor</v>
      </c>
      <c r="U239" t="s">
        <v>876</v>
      </c>
    </row>
    <row r="240" spans="15:21">
      <c r="O240" s="95" t="s">
        <v>678</v>
      </c>
      <c r="P240" s="95" t="s">
        <v>1185</v>
      </c>
      <c r="Q240" s="152" t="s">
        <v>15</v>
      </c>
      <c r="R240" s="96" t="str">
        <f t="shared" si="23"/>
        <v>Unspecified_OEE_Improvement_Entry</v>
      </c>
      <c r="S240" s="371">
        <f t="shared" si="27"/>
        <v>0</v>
      </c>
      <c r="T240" t="str">
        <f t="shared" si="24"/>
        <v>(HOT) V500 Alkox Reactor</v>
      </c>
      <c r="U240" t="s">
        <v>876</v>
      </c>
    </row>
    <row r="241" spans="15:21">
      <c r="O241" s="95" t="s">
        <v>678</v>
      </c>
      <c r="P241" s="95" t="s">
        <v>1185</v>
      </c>
      <c r="Q241" s="152" t="s">
        <v>16</v>
      </c>
      <c r="R241" s="96" t="str">
        <f t="shared" si="23"/>
        <v>Undetected_OEE_Improvement_Entry</v>
      </c>
      <c r="S241" s="371">
        <f t="shared" si="27"/>
        <v>0</v>
      </c>
      <c r="T241" t="str">
        <f t="shared" si="24"/>
        <v>(HOT) V500 Alkox Reactor</v>
      </c>
      <c r="U241" t="s">
        <v>876</v>
      </c>
    </row>
    <row r="242" spans="15:21">
      <c r="O242" s="95" t="s">
        <v>678</v>
      </c>
      <c r="P242" s="95" t="s">
        <v>1185</v>
      </c>
      <c r="Q242" s="152" t="s">
        <v>664</v>
      </c>
      <c r="R242" s="96" t="str">
        <f t="shared" si="23"/>
        <v>Exception hours_OEE_Improvement_Entry</v>
      </c>
      <c r="S242" s="371">
        <f t="shared" si="27"/>
        <v>0</v>
      </c>
      <c r="T242" t="str">
        <f t="shared" si="24"/>
        <v>(HOT) V500 Alkox Reactor</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V500 Alkox Reactor</v>
      </c>
      <c r="U243" t="s">
        <v>876</v>
      </c>
    </row>
    <row r="244" spans="15:21">
      <c r="O244" s="95" t="s">
        <v>678</v>
      </c>
      <c r="P244" s="95" t="s">
        <v>1185</v>
      </c>
      <c r="Q244" s="152" t="s">
        <v>705</v>
      </c>
      <c r="R244" s="96" t="str">
        <f t="shared" si="23"/>
        <v>Improvement target not assigned_OEE_Improvement_Entry</v>
      </c>
      <c r="S244" s="371">
        <f t="shared" si="27"/>
        <v>0</v>
      </c>
      <c r="T244" t="str">
        <f t="shared" si="24"/>
        <v>(HOT) V500 Alkox Reactor</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V500 Alkox Reactor</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V500 Alkox Reactor</v>
      </c>
      <c r="U246" t="s">
        <v>876</v>
      </c>
    </row>
    <row r="247" spans="15:21">
      <c r="O247" s="95" t="s">
        <v>678</v>
      </c>
      <c r="P247" s="95" t="s">
        <v>1185</v>
      </c>
      <c r="Q247" s="152" t="s">
        <v>712</v>
      </c>
      <c r="R247" s="96" t="str">
        <f t="shared" si="23"/>
        <v>Production hours on MAC (h) / OEE (%)_OEE_Improvement_Entry</v>
      </c>
      <c r="S247" s="371">
        <f t="shared" si="27"/>
        <v>0</v>
      </c>
      <c r="T247" t="str">
        <f t="shared" si="24"/>
        <v>(HOT) V500 Alkox Reactor</v>
      </c>
      <c r="U247" t="s">
        <v>876</v>
      </c>
    </row>
    <row r="248" spans="15:21">
      <c r="O248" s="95" t="s">
        <v>1192</v>
      </c>
      <c r="Q248" s="144" t="s">
        <v>1191</v>
      </c>
      <c r="R248" s="96" t="str">
        <f t="shared" si="23"/>
        <v>Sheet used for target setting</v>
      </c>
      <c r="S248" s="1" t="s">
        <v>1190</v>
      </c>
      <c r="T248" t="str">
        <f t="shared" si="24"/>
        <v>(HOT) V500 Alkox Reactor</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152" priority="25">
      <formula>$B$22=""</formula>
    </cfRule>
  </conditionalFormatting>
  <conditionalFormatting sqref="B6">
    <cfRule type="cellIs" dxfId="151" priority="21" operator="lessThan">
      <formula>-0.1</formula>
    </cfRule>
    <cfRule type="cellIs" dxfId="150" priority="22" operator="greaterThan">
      <formula>0.1</formula>
    </cfRule>
    <cfRule type="cellIs" dxfId="149" priority="23" operator="between">
      <formula>-0.1</formula>
      <formula>0.1</formula>
    </cfRule>
  </conditionalFormatting>
  <conditionalFormatting sqref="C21">
    <cfRule type="cellIs" dxfId="148" priority="18" operator="lessThan">
      <formula>-0.1</formula>
    </cfRule>
    <cfRule type="cellIs" dxfId="147" priority="19" operator="greaterThan">
      <formula>0.1</formula>
    </cfRule>
    <cfRule type="cellIs" dxfId="146" priority="20" operator="between">
      <formula>-0.1</formula>
      <formula>0.1</formula>
    </cfRule>
  </conditionalFormatting>
  <conditionalFormatting sqref="A9:B9">
    <cfRule type="expression" dxfId="145" priority="16">
      <formula>$B$8="Exclude"</formula>
    </cfRule>
    <cfRule type="expression" dxfId="144" priority="17">
      <formula>$B$8="Include"</formula>
    </cfRule>
  </conditionalFormatting>
  <conditionalFormatting sqref="C9">
    <cfRule type="expression" dxfId="143" priority="26">
      <formula>$B$8="Exclude"</formula>
    </cfRule>
    <cfRule type="expression" dxfId="142" priority="27">
      <formula>$B$9="No"</formula>
    </cfRule>
    <cfRule type="expression" dxfId="141" priority="28">
      <formula xml:space="preserve"> $B$9="Yes"</formula>
    </cfRule>
  </conditionalFormatting>
  <conditionalFormatting sqref="C15">
    <cfRule type="expression" dxfId="140" priority="29">
      <formula>$B$15=$D$15</formula>
    </cfRule>
    <cfRule type="expression" dxfId="139" priority="30">
      <formula>$B$1&lt;&gt;$D$15</formula>
    </cfRule>
  </conditionalFormatting>
  <conditionalFormatting sqref="F50:F51">
    <cfRule type="cellIs" dxfId="138" priority="14" operator="greaterThan">
      <formula>1</formula>
    </cfRule>
    <cfRule type="cellIs" dxfId="137" priority="15" operator="lessThanOrEqual">
      <formula>1</formula>
    </cfRule>
  </conditionalFormatting>
  <conditionalFormatting sqref="D17">
    <cfRule type="expression" dxfId="136" priority="12">
      <formula>$D$20=""</formula>
    </cfRule>
    <cfRule type="expression" dxfId="135" priority="13">
      <formula>$D$20&gt;0</formula>
    </cfRule>
  </conditionalFormatting>
  <conditionalFormatting sqref="D19">
    <cfRule type="expression" dxfId="134" priority="10">
      <formula>$D$20=""</formula>
    </cfRule>
    <cfRule type="expression" dxfId="133" priority="11">
      <formula>$D$20&gt;0</formula>
    </cfRule>
  </conditionalFormatting>
  <conditionalFormatting sqref="C10">
    <cfRule type="expression" dxfId="132" priority="5">
      <formula>$B$8="Exclude"</formula>
    </cfRule>
    <cfRule type="expression" dxfId="131" priority="6">
      <formula>$B$9="No"</formula>
    </cfRule>
    <cfRule type="expression" dxfId="130" priority="7">
      <formula>$B$10="No Gain"</formula>
    </cfRule>
    <cfRule type="expression" dxfId="129" priority="8">
      <formula xml:space="preserve"> $B$9="Yes"</formula>
    </cfRule>
    <cfRule type="expression" dxfId="128" priority="9">
      <formula>$B$10="Gain"</formula>
    </cfRule>
  </conditionalFormatting>
  <conditionalFormatting sqref="H31:H39">
    <cfRule type="expression" dxfId="127" priority="33">
      <formula>$F$24="% decrease"</formula>
    </cfRule>
  </conditionalFormatting>
  <conditionalFormatting sqref="H32 H34 H36 H38">
    <cfRule type="expression" dxfId="126" priority="34">
      <formula>$F$24="hours decrease"</formula>
    </cfRule>
  </conditionalFormatting>
  <conditionalFormatting sqref="G31:G39">
    <cfRule type="expression" dxfId="125" priority="35">
      <formula>$F$24="hours decrease"</formula>
    </cfRule>
  </conditionalFormatting>
  <conditionalFormatting sqref="G32 G34 G36 G38">
    <cfRule type="expression" dxfId="124" priority="36">
      <formula>$F$24="% decrease"</formula>
    </cfRule>
  </conditionalFormatting>
  <conditionalFormatting sqref="G40">
    <cfRule type="expression" dxfId="123" priority="4">
      <formula>$F$24="% decrease"</formula>
    </cfRule>
  </conditionalFormatting>
  <conditionalFormatting sqref="F31:F40">
    <cfRule type="expression" dxfId="122" priority="31">
      <formula>$F$24="% decrease"</formula>
    </cfRule>
    <cfRule type="expression" dxfId="121" priority="32">
      <formula>$F$24="hours decrease"</formula>
    </cfRule>
  </conditionalFormatting>
  <conditionalFormatting sqref="C4:C5">
    <cfRule type="expression" dxfId="120" priority="1">
      <formula>$C$5=0</formula>
    </cfRule>
    <cfRule type="expression" dxfId="119" priority="2">
      <formula>$C$5=""</formula>
    </cfRule>
    <cfRule type="expression" dxfId="118" priority="3">
      <formula>$C$5&gt;0</formula>
    </cfRule>
  </conditionalFormatting>
  <dataValidations count="6">
    <dataValidation type="list" allowBlank="1" showInputMessage="1" showErrorMessage="1" sqref="B60" xr:uid="{0233CD5B-EA2F-4BD2-B99B-0DD207037D0F}">
      <formula1>"Automatic, Force OEE, Force Running OEE"</formula1>
    </dataValidation>
    <dataValidation type="list" allowBlank="1" showInputMessage="1" showErrorMessage="1" sqref="F24" xr:uid="{A5AEEF9A-CB73-4885-9770-3B97C7E2419E}">
      <formula1>"% decrease,hours decrease"</formula1>
    </dataValidation>
    <dataValidation type="list" allowBlank="1" showInputMessage="1" showErrorMessage="1" sqref="B8" xr:uid="{1216274B-34A1-49C2-845F-6E2F68B31179}">
      <formula1>"Include,Exclude"</formula1>
    </dataValidation>
    <dataValidation type="list" allowBlank="1" showInputMessage="1" showErrorMessage="1" sqref="B9" xr:uid="{43FA19D8-0A3F-444F-ADAE-E6E6C4B6F160}">
      <formula1>"Yes,No"</formula1>
    </dataValidation>
    <dataValidation type="list" allowBlank="1" showInputMessage="1" showErrorMessage="1" sqref="B11" xr:uid="{8A42AF2E-065B-460C-B662-C9FB9D66408C}">
      <formula1>"Playbook Matrix value, Manual OEE target"</formula1>
    </dataValidation>
    <dataValidation type="list" allowBlank="1" showInputMessage="1" showErrorMessage="1" sqref="B2" xr:uid="{12142E29-3DE8-4688-85BD-0D549B009F5C}">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21858"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21859"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21860"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83227-5579-47DD-ACA9-CBAC68055C2C}">
  <sheetPr codeName="Sheet19">
    <tabColor rgb="FF00B0F0"/>
  </sheetPr>
  <dimension ref="A1:AI248"/>
  <sheetViews>
    <sheetView showGridLines="0" zoomScaleNormal="100" workbookViewId="0">
      <selection activeCell="C8" sqref="C8"/>
    </sheetView>
  </sheetViews>
  <sheetFormatPr defaultRowHeight="12.75"/>
  <cols>
    <col min="1" max="1" width="48.5703125" bestFit="1" customWidth="1"/>
    <col min="2" max="9" width="23.7109375" customWidth="1"/>
    <col min="10" max="10" width="23.5703125" customWidth="1"/>
    <col min="11" max="13" width="14.7109375" customWidth="1"/>
    <col min="14" max="14" width="9.140625" customWidth="1"/>
    <col min="15" max="15" width="8.85546875" hidden="1" customWidth="1"/>
    <col min="16" max="16" width="28.42578125" hidden="1" customWidth="1"/>
    <col min="17" max="17" width="46.28515625" style="154" hidden="1" customWidth="1"/>
    <col min="18" max="18" width="74.85546875" hidden="1" customWidth="1"/>
    <col min="19" max="19" width="18.42578125" style="1" hidden="1" customWidth="1"/>
    <col min="20" max="20" width="27.140625" hidden="1" customWidth="1"/>
    <col min="21" max="21" width="9.140625" hidden="1" customWidth="1"/>
    <col min="22" max="22" width="9.140625" customWidth="1"/>
    <col min="23" max="23" width="4.140625" customWidth="1"/>
    <col min="24" max="45" width="9.140625" customWidth="1"/>
  </cols>
  <sheetData>
    <row r="1" spans="1:21">
      <c r="E1" s="12" t="s">
        <v>304</v>
      </c>
      <c r="O1" s="94" t="s">
        <v>672</v>
      </c>
      <c r="P1" s="94" t="s">
        <v>680</v>
      </c>
      <c r="Q1" s="155" t="s">
        <v>690</v>
      </c>
      <c r="R1" s="94" t="s">
        <v>691</v>
      </c>
      <c r="S1" s="260" t="s">
        <v>673</v>
      </c>
      <c r="T1" s="94" t="s">
        <v>9</v>
      </c>
      <c r="U1" s="94" t="s">
        <v>873</v>
      </c>
    </row>
    <row r="2" spans="1:21" ht="14.25">
      <c r="A2" s="30" t="s">
        <v>604</v>
      </c>
      <c r="B2" s="122" t="s">
        <v>205</v>
      </c>
      <c r="E2" s="314" t="s">
        <v>303</v>
      </c>
      <c r="G2" s="37" t="s">
        <v>670</v>
      </c>
      <c r="H2" s="40">
        <v>5.3</v>
      </c>
      <c r="O2" s="94" t="s">
        <v>679</v>
      </c>
      <c r="P2" s="94"/>
      <c r="Q2" s="145" t="s">
        <v>670</v>
      </c>
      <c r="R2" s="96" t="str">
        <f t="shared" ref="R2:R65" si="0">IF(ISBLANK(P2),Q2,_xlfn.CONCAT(Q2,"_",P2))</f>
        <v>Template Version:</v>
      </c>
      <c r="S2" s="261">
        <f>H2</f>
        <v>5.3</v>
      </c>
      <c r="T2" t="str">
        <f>$B$2</f>
        <v>(HOT) V700 Alkox Reactor</v>
      </c>
      <c r="U2" t="s">
        <v>874</v>
      </c>
    </row>
    <row r="3" spans="1:21">
      <c r="A3" s="30" t="s">
        <v>139</v>
      </c>
      <c r="B3" s="29" t="str">
        <f>INDEX(TableOEE[Unit Type],MATCH($B$2,TableOEE[Unit],0))</f>
        <v>Batch</v>
      </c>
      <c r="E3" s="315" t="s">
        <v>305</v>
      </c>
      <c r="G3" s="37" t="s">
        <v>701</v>
      </c>
      <c r="H3" s="92">
        <v>45679</v>
      </c>
      <c r="O3" s="94" t="s">
        <v>679</v>
      </c>
      <c r="P3" s="94"/>
      <c r="Q3" s="145" t="s">
        <v>701</v>
      </c>
      <c r="R3" s="96" t="str">
        <f t="shared" si="0"/>
        <v>Template last update:</v>
      </c>
      <c r="S3" s="262">
        <f>H3</f>
        <v>45679</v>
      </c>
      <c r="T3" t="str">
        <f t="shared" ref="T3:T66" si="1">$B$2</f>
        <v>(HOT) V700 Alkox Reactor</v>
      </c>
      <c r="U3" t="s">
        <v>874</v>
      </c>
    </row>
    <row r="4" spans="1:21">
      <c r="C4" s="54" t="s">
        <v>664</v>
      </c>
      <c r="E4" s="316" t="s">
        <v>411</v>
      </c>
      <c r="G4" s="37" t="s">
        <v>671</v>
      </c>
      <c r="H4" s="93" t="s">
        <v>1265</v>
      </c>
      <c r="O4" s="94" t="s">
        <v>679</v>
      </c>
      <c r="P4" s="94"/>
      <c r="Q4" s="145" t="s">
        <v>671</v>
      </c>
      <c r="R4" s="96" t="str">
        <f t="shared" si="0"/>
        <v>Reference data last update:</v>
      </c>
      <c r="S4" s="263" t="str">
        <f>H4</f>
        <v>2025-01-21(normalized OEE)</v>
      </c>
      <c r="T4" t="str">
        <f t="shared" si="1"/>
        <v>(HOT) V700 Alkox Reactor</v>
      </c>
      <c r="U4" t="s">
        <v>874</v>
      </c>
    </row>
    <row r="5" spans="1:21">
      <c r="A5" s="34" t="s">
        <v>733</v>
      </c>
      <c r="B5" s="42">
        <v>0</v>
      </c>
      <c r="C5" t="str">
        <f>IFERROR(INDEX(Table1[Loss Hours Exclusion],MATCH('(HOT) V700 Alkox Reactor'!B2,Table1[Unit3],0)),"")</f>
        <v/>
      </c>
      <c r="E5" s="317" t="s">
        <v>637</v>
      </c>
      <c r="F5" s="64"/>
      <c r="G5" s="360"/>
      <c r="H5" s="361"/>
      <c r="O5" s="95" t="s">
        <v>674</v>
      </c>
      <c r="P5" s="95"/>
      <c r="Q5" s="146" t="s">
        <v>604</v>
      </c>
      <c r="R5" s="96" t="str">
        <f t="shared" si="0"/>
        <v>Unit Name</v>
      </c>
      <c r="S5" s="264" t="str">
        <f>B2</f>
        <v>(HOT) V700 Alkox Reactor</v>
      </c>
      <c r="T5" t="str">
        <f t="shared" si="1"/>
        <v>(HOT) V700 Alkox Reactor</v>
      </c>
      <c r="U5" t="s">
        <v>875</v>
      </c>
    </row>
    <row r="6" spans="1:21">
      <c r="A6" s="34" t="s">
        <v>735</v>
      </c>
      <c r="B6" s="219">
        <v>0</v>
      </c>
      <c r="C6" s="270">
        <f>SUMIF(B31:B39,"&gt;0",B31:B39)</f>
        <v>2975.9130598634315</v>
      </c>
      <c r="D6" s="270">
        <f>SUMIF(B31:B39,"&lt;0",B31:B39)</f>
        <v>0</v>
      </c>
      <c r="E6" s="318" t="s">
        <v>1032</v>
      </c>
      <c r="F6" s="64"/>
      <c r="G6" s="360"/>
      <c r="H6" s="361"/>
      <c r="O6" s="95" t="s">
        <v>674</v>
      </c>
      <c r="P6" s="95"/>
      <c r="Q6" s="146" t="s">
        <v>139</v>
      </c>
      <c r="R6" s="96" t="str">
        <f t="shared" si="0"/>
        <v>Unit Type</v>
      </c>
      <c r="S6" s="264" t="str">
        <f t="shared" ref="S6" si="2">B3</f>
        <v>Batch</v>
      </c>
      <c r="T6" t="str">
        <f t="shared" si="1"/>
        <v>(HOT) V700 Alkox Reactor</v>
      </c>
      <c r="U6" t="s">
        <v>875</v>
      </c>
    </row>
    <row r="7" spans="1:21">
      <c r="A7" t="s">
        <v>702</v>
      </c>
      <c r="B7" s="6">
        <f>IFERROR(B48/D48-1,0)</f>
        <v>-2.6252796005166168E-3</v>
      </c>
      <c r="C7" s="121">
        <f>IF(B8="Include",B45*B7/(1+B7),0)</f>
        <v>0</v>
      </c>
      <c r="D7" s="59">
        <f>IFERROR(C6/(C6-D6),0)</f>
        <v>1</v>
      </c>
      <c r="E7" s="319" t="s">
        <v>1033</v>
      </c>
      <c r="F7" s="64"/>
      <c r="G7" s="362" t="str">
        <f ca="1">IF(ISREF(INDIRECT("'"&amp;B2&amp;"'"&amp;"!A1")),"Already separate sheet present for this unit","")</f>
        <v>Already separate sheet present for this unit</v>
      </c>
      <c r="H7" s="64"/>
      <c r="O7" s="95" t="s">
        <v>674</v>
      </c>
      <c r="P7" s="95"/>
      <c r="Q7" s="223" t="s">
        <v>733</v>
      </c>
      <c r="R7" s="96" t="str">
        <f t="shared" si="0"/>
        <v>Exception hours Last Year for baseline correction</v>
      </c>
      <c r="S7" s="264">
        <f>B5</f>
        <v>0</v>
      </c>
      <c r="T7" t="str">
        <f t="shared" si="1"/>
        <v>(HOT) V700 Alkox Reactor</v>
      </c>
      <c r="U7" t="s">
        <v>875</v>
      </c>
    </row>
    <row r="8" spans="1:21">
      <c r="A8" t="s">
        <v>710</v>
      </c>
      <c r="B8" s="119" t="s">
        <v>1189</v>
      </c>
      <c r="E8" s="320" t="s">
        <v>1034</v>
      </c>
      <c r="F8" s="64"/>
      <c r="G8" s="64"/>
      <c r="H8" s="64"/>
      <c r="O8" s="95" t="s">
        <v>674</v>
      </c>
      <c r="P8" s="95"/>
      <c r="Q8" s="223" t="s">
        <v>735</v>
      </c>
      <c r="R8" s="96" t="str">
        <f t="shared" si="0"/>
        <v>Estimated production volume growth vs Last Year</v>
      </c>
      <c r="S8" s="264">
        <f t="shared" ref="S8:S17" si="3">B6</f>
        <v>0</v>
      </c>
      <c r="T8" t="str">
        <f t="shared" si="1"/>
        <v>(HOT) V700 Alkox Reactor</v>
      </c>
      <c r="U8" t="s">
        <v>875</v>
      </c>
    </row>
    <row r="9" spans="1:21">
      <c r="A9" t="s">
        <v>1002</v>
      </c>
      <c r="B9" s="119" t="s">
        <v>385</v>
      </c>
      <c r="C9" s="120" t="s">
        <v>1003</v>
      </c>
      <c r="E9" s="3"/>
      <c r="F9" s="64"/>
      <c r="G9" s="64"/>
      <c r="H9" s="64"/>
      <c r="O9" s="95" t="s">
        <v>674</v>
      </c>
      <c r="P9" s="95"/>
      <c r="Q9" s="222" t="s">
        <v>702</v>
      </c>
      <c r="R9" s="96" t="str">
        <f t="shared" si="0"/>
        <v>MAC increase vs average MAC Last Year (Normalized)</v>
      </c>
      <c r="S9" s="264">
        <f t="shared" si="3"/>
        <v>-2.6252796005166168E-3</v>
      </c>
      <c r="T9" t="str">
        <f t="shared" si="1"/>
        <v>(HOT) V700 Alkox Reactor</v>
      </c>
      <c r="U9" t="s">
        <v>875</v>
      </c>
    </row>
    <row r="10" spans="1:21">
      <c r="A10" s="141" t="s">
        <v>718</v>
      </c>
      <c r="B10" s="59" t="str">
        <f>IF(MIN(C31:C39)&lt;-1%,"Gain","No Gain")</f>
        <v>No Gain</v>
      </c>
      <c r="C10" s="226" t="s">
        <v>1186</v>
      </c>
      <c r="E10" s="3"/>
      <c r="F10" s="363"/>
      <c r="G10" s="363"/>
      <c r="H10" s="363"/>
      <c r="O10" s="95" t="s">
        <v>674</v>
      </c>
      <c r="P10" s="95"/>
      <c r="Q10" s="222" t="s">
        <v>710</v>
      </c>
      <c r="R10" s="96" t="str">
        <f t="shared" si="0"/>
        <v>Include/exclude MAC change impact on target setting</v>
      </c>
      <c r="S10" s="264" t="str">
        <f t="shared" si="3"/>
        <v>Exclude</v>
      </c>
      <c r="T10" t="str">
        <f t="shared" si="1"/>
        <v>(HOT) V700 Alkox Reactor</v>
      </c>
      <c r="U10" t="s">
        <v>875</v>
      </c>
    </row>
    <row r="11" spans="1:21" ht="13.5" thickBot="1">
      <c r="A11" s="30" t="s">
        <v>140</v>
      </c>
      <c r="B11" s="38" t="s">
        <v>1169</v>
      </c>
      <c r="C11" s="3"/>
      <c r="E11" s="49" t="s">
        <v>318</v>
      </c>
      <c r="F11" s="363"/>
      <c r="G11" s="363"/>
      <c r="H11" s="363"/>
      <c r="O11" s="95" t="s">
        <v>674</v>
      </c>
      <c r="P11" s="95"/>
      <c r="Q11" s="222" t="s">
        <v>714</v>
      </c>
      <c r="R11" s="96" t="str">
        <f t="shared" si="0"/>
        <v>Correct Basline loss distibution for MAC improvement</v>
      </c>
      <c r="S11" s="264" t="str">
        <f t="shared" si="3"/>
        <v>No</v>
      </c>
      <c r="T11" t="str">
        <f t="shared" si="1"/>
        <v>(HOT) V700 Alkox Reactor</v>
      </c>
      <c r="U11" t="s">
        <v>875</v>
      </c>
    </row>
    <row r="12" spans="1:21">
      <c r="A12" s="30" t="s">
        <v>1016</v>
      </c>
      <c r="B12" s="5">
        <f>IF($B$3="Batch",INDEX(BatchMatrix[Target Improvement],MATCH(E48,BatchMatrix[Min OEE],1)),IF($B$3="Continuous",INDEX(ContinousMatrix[Target Improvement],MATCH(E48,ContinousMatrix[Min OEE],1)),""))</f>
        <v>0.06</v>
      </c>
      <c r="C12" s="3"/>
      <c r="E12" s="387"/>
      <c r="F12" s="388"/>
      <c r="G12" s="388"/>
      <c r="H12" s="388"/>
      <c r="I12" s="389"/>
      <c r="O12" s="95" t="s">
        <v>674</v>
      </c>
      <c r="P12" s="95"/>
      <c r="Q12" s="222" t="s">
        <v>718</v>
      </c>
      <c r="R12" s="96" t="str">
        <f t="shared" si="0"/>
        <v>Running OEE LY &gt;100%</v>
      </c>
      <c r="S12" s="264" t="str">
        <f t="shared" si="3"/>
        <v>No Gain</v>
      </c>
      <c r="T12" t="str">
        <f t="shared" si="1"/>
        <v>(HOT) V700 Alkox Reactor</v>
      </c>
      <c r="U12" t="s">
        <v>875</v>
      </c>
    </row>
    <row r="13" spans="1:21">
      <c r="A13" s="30" t="s">
        <v>308</v>
      </c>
      <c r="B13" s="39">
        <v>0</v>
      </c>
      <c r="E13" s="390"/>
      <c r="F13" s="391"/>
      <c r="G13" s="391"/>
      <c r="H13" s="391"/>
      <c r="I13" s="392"/>
      <c r="O13" s="95" t="s">
        <v>674</v>
      </c>
      <c r="P13" s="95"/>
      <c r="Q13" s="224" t="s">
        <v>140</v>
      </c>
      <c r="R13" s="96" t="str">
        <f t="shared" si="0"/>
        <v>OEE target selection</v>
      </c>
      <c r="S13" s="264" t="str">
        <f t="shared" si="3"/>
        <v>Playbook Matrix Value</v>
      </c>
      <c r="T13" t="str">
        <f t="shared" si="1"/>
        <v>(HOT) V700 Alkox Reactor</v>
      </c>
      <c r="U13" t="s">
        <v>875</v>
      </c>
    </row>
    <row r="14" spans="1:21">
      <c r="A14" s="33" t="s">
        <v>309</v>
      </c>
      <c r="B14" s="36">
        <f>IF(B11="Manual OEE target",B13,IF(B11="Playbook Matrix value",B12,""))</f>
        <v>0.06</v>
      </c>
      <c r="C14" s="3"/>
      <c r="E14" s="390"/>
      <c r="F14" s="391"/>
      <c r="G14" s="391"/>
      <c r="H14" s="391"/>
      <c r="I14" s="392"/>
      <c r="O14" s="95" t="s">
        <v>674</v>
      </c>
      <c r="P14" s="95"/>
      <c r="Q14" s="224" t="s">
        <v>1292</v>
      </c>
      <c r="R14" s="96" t="str">
        <f t="shared" si="0"/>
        <v>Target OEE Improvement (playbook)</v>
      </c>
      <c r="S14" s="264">
        <f t="shared" si="3"/>
        <v>0.06</v>
      </c>
      <c r="T14" t="str">
        <f t="shared" si="1"/>
        <v>(HOT) V700 Alkox Reactor</v>
      </c>
      <c r="U14" t="s">
        <v>875</v>
      </c>
    </row>
    <row r="15" spans="1:21">
      <c r="A15" s="33" t="s">
        <v>667</v>
      </c>
      <c r="B15" s="278" t="str">
        <f>IF(B60="Automatic",IF(OR(ABS(C21)&gt;RunningOEE_criteriaPM,ABS($B$6)&gt;RunningOEE_criteriaVolume),"Running OEE", "OEE"),IF(B60="Force Running OEE","Running OEE", "OEE"))</f>
        <v>Running OEE</v>
      </c>
      <c r="C15" s="140" t="str">
        <f>IF(D15="Running OEE","Advice: switch to Running OEE",IF(D15="OEE", "Advice: switch to OEE",""))</f>
        <v>Advice: switch to Running OEE</v>
      </c>
      <c r="D15" s="59" t="str">
        <f>IF(OR(ABS(C21)&gt;RunningOEE_criteriaPM,ABS($B$6)&gt;RunningOEE_criteriaVolume),"Running OEE", "OEE")</f>
        <v>Running OEE</v>
      </c>
      <c r="E15" s="390"/>
      <c r="F15" s="391"/>
      <c r="G15" s="391"/>
      <c r="H15" s="391"/>
      <c r="I15" s="392"/>
      <c r="O15" s="95" t="s">
        <v>674</v>
      </c>
      <c r="P15" s="95"/>
      <c r="Q15" s="224" t="s">
        <v>308</v>
      </c>
      <c r="R15" s="96" t="str">
        <f t="shared" si="0"/>
        <v>Manual OEE target setting</v>
      </c>
      <c r="S15" s="264">
        <f>B13</f>
        <v>0</v>
      </c>
      <c r="T15" t="str">
        <f t="shared" si="1"/>
        <v>(HOT) V700 Alkox Reactor</v>
      </c>
      <c r="U15" t="s">
        <v>875</v>
      </c>
    </row>
    <row r="16" spans="1:21">
      <c r="E16" s="390"/>
      <c r="F16" s="391"/>
      <c r="G16" s="391"/>
      <c r="H16" s="391"/>
      <c r="I16" s="392"/>
      <c r="O16" s="95" t="s">
        <v>674</v>
      </c>
      <c r="P16" s="95"/>
      <c r="Q16" s="225" t="s">
        <v>309</v>
      </c>
      <c r="R16" s="96" t="str">
        <f t="shared" si="0"/>
        <v>Selected OEE target (used in table below)</v>
      </c>
      <c r="S16" s="264">
        <f t="shared" si="3"/>
        <v>0.06</v>
      </c>
      <c r="T16" t="str">
        <f t="shared" si="1"/>
        <v>(HOT) V700 Alkox Reactor</v>
      </c>
      <c r="U16" t="s">
        <v>875</v>
      </c>
    </row>
    <row r="17" spans="1:21">
      <c r="A17" s="57" t="s">
        <v>115</v>
      </c>
      <c r="B17" s="37" t="s">
        <v>1017</v>
      </c>
      <c r="C17" s="61" t="s">
        <v>1010</v>
      </c>
      <c r="D17" s="54" t="s">
        <v>1011</v>
      </c>
      <c r="E17" s="390"/>
      <c r="F17" s="391"/>
      <c r="G17" s="391"/>
      <c r="H17" s="391"/>
      <c r="I17" s="392"/>
      <c r="O17" s="95" t="s">
        <v>674</v>
      </c>
      <c r="P17" s="95"/>
      <c r="Q17" s="225" t="s">
        <v>667</v>
      </c>
      <c r="R17" s="96" t="str">
        <f t="shared" si="0"/>
        <v>Target increase added to OEE or Running OEE</v>
      </c>
      <c r="S17" s="264" t="str">
        <f t="shared" si="3"/>
        <v>Running OEE</v>
      </c>
      <c r="T17" t="str">
        <f t="shared" si="1"/>
        <v>(HOT) V700 Alkox Reactor</v>
      </c>
      <c r="U17" t="s">
        <v>875</v>
      </c>
    </row>
    <row r="18" spans="1:21">
      <c r="A18" s="44" t="s">
        <v>374</v>
      </c>
      <c r="B18" s="7">
        <f>INDEX(TableOEE[Sum of Planned Turnaround Hours],MATCH($B$2,TableOEE[Unit],0))</f>
        <v>0</v>
      </c>
      <c r="C18" s="42">
        <v>0</v>
      </c>
      <c r="D18" s="1" t="str">
        <f>IFERROR(INDEX(Table13[Distributed Turnaround (hrs) matching?],MATCH('(HOT) V700 Alkox Reactor'!B2,Table13[ 2025 EQ Reliability Target Setting - All EMEA Sites (1).xlsx],0)),"")</f>
        <v/>
      </c>
      <c r="E18" s="390"/>
      <c r="F18" s="391"/>
      <c r="G18" s="391"/>
      <c r="H18" s="391"/>
      <c r="I18" s="392"/>
      <c r="J18" s="21"/>
      <c r="O18" s="95" t="s">
        <v>674</v>
      </c>
      <c r="P18" s="95" t="s">
        <v>879</v>
      </c>
      <c r="Q18" s="144" t="s">
        <v>374</v>
      </c>
      <c r="R18" s="96" t="str">
        <f t="shared" si="0"/>
        <v>Planned Turnaround (h)_Actual_LJ</v>
      </c>
      <c r="S18" s="265">
        <f>B18</f>
        <v>0</v>
      </c>
      <c r="T18" t="str">
        <f t="shared" si="1"/>
        <v>(HOT) V700 Alkox Reactor</v>
      </c>
      <c r="U18" t="s">
        <v>877</v>
      </c>
    </row>
    <row r="19" spans="1:21">
      <c r="A19" s="45" t="s">
        <v>375</v>
      </c>
      <c r="B19" s="46">
        <f>INDEX(TableOEE[Sum of Planned Shutdown Hours],MATCH($B$2,TableOEE[Unit],0))</f>
        <v>44.046388833325203</v>
      </c>
      <c r="C19" s="42">
        <v>0</v>
      </c>
      <c r="D19" s="259" t="str">
        <f>IFERROR(INDEX(Table12[Distributed Shutdown (hrs) matching?],MATCH('(HOT) V700 Alkox Reactor'!B2,Table12[ 2025 EQ Reliability Target Setting - All EMEA Sites (1).xlsx],0)),"")</f>
        <v/>
      </c>
      <c r="E19" s="390"/>
      <c r="F19" s="391"/>
      <c r="G19" s="391"/>
      <c r="H19" s="391"/>
      <c r="I19" s="392"/>
      <c r="O19" s="95" t="s">
        <v>674</v>
      </c>
      <c r="P19" s="95" t="s">
        <v>879</v>
      </c>
      <c r="Q19" s="144" t="s">
        <v>375</v>
      </c>
      <c r="R19" s="96" t="str">
        <f t="shared" si="0"/>
        <v>Planned Shutdown (h)_Actual_LJ</v>
      </c>
      <c r="S19" s="265">
        <f>B19</f>
        <v>44.046388833325203</v>
      </c>
      <c r="T19" t="str">
        <f t="shared" si="1"/>
        <v>(HOT) V700 Alkox Reactor</v>
      </c>
      <c r="U19" t="s">
        <v>877</v>
      </c>
    </row>
    <row r="20" spans="1:21">
      <c r="A20" s="30" t="s">
        <v>716</v>
      </c>
      <c r="B20" s="7">
        <f>INDEX(TableOEE[Sum of Planned Maintenance Hours],MATCH($B$2,TableOEE[Unit],0))</f>
        <v>44.046388833325203</v>
      </c>
      <c r="C20" s="58">
        <f>SUM(C18:C19)</f>
        <v>0</v>
      </c>
      <c r="D20" s="1" t="str">
        <f>IFERROR(D18+D19,"")</f>
        <v/>
      </c>
      <c r="E20" s="390"/>
      <c r="F20" s="391"/>
      <c r="G20" s="391"/>
      <c r="H20" s="391"/>
      <c r="I20" s="392"/>
      <c r="O20" s="95" t="s">
        <v>674</v>
      </c>
      <c r="P20" s="95" t="s">
        <v>879</v>
      </c>
      <c r="Q20" s="144" t="s">
        <v>716</v>
      </c>
      <c r="R20" s="96" t="str">
        <f t="shared" si="0"/>
        <v>Total Planned Maintenance (h)_Actual_LJ</v>
      </c>
      <c r="S20" s="265">
        <f>B20</f>
        <v>44.046388833325203</v>
      </c>
      <c r="T20" t="str">
        <f t="shared" si="1"/>
        <v>(HOT) V700 Alkox Reactor</v>
      </c>
      <c r="U20" t="s">
        <v>877</v>
      </c>
    </row>
    <row r="21" spans="1:21" ht="13.5" thickBot="1">
      <c r="A21" s="43" t="s">
        <v>715</v>
      </c>
      <c r="B21" s="7">
        <f>C20-B20</f>
        <v>-44.046388833325203</v>
      </c>
      <c r="C21" s="5">
        <f>IF(B20&gt;0,C20/B20-1,0)</f>
        <v>-1</v>
      </c>
      <c r="D21" s="269"/>
      <c r="E21" s="393"/>
      <c r="F21" s="394"/>
      <c r="G21" s="394"/>
      <c r="H21" s="394"/>
      <c r="I21" s="395"/>
      <c r="O21" s="95" t="s">
        <v>674</v>
      </c>
      <c r="P21" s="95" t="s">
        <v>879</v>
      </c>
      <c r="Q21" s="147" t="s">
        <v>715</v>
      </c>
      <c r="R21" s="96" t="str">
        <f t="shared" si="0"/>
        <v>Planned Maintenance Increase_Actual_LJ</v>
      </c>
      <c r="S21" s="265">
        <f>B21</f>
        <v>-44.046388833325203</v>
      </c>
      <c r="T21" t="str">
        <f t="shared" si="1"/>
        <v>(HOT) V700 Alkox Reactor</v>
      </c>
      <c r="U21" t="s">
        <v>877</v>
      </c>
    </row>
    <row r="22" spans="1:21">
      <c r="A22" s="34" t="s">
        <v>636</v>
      </c>
      <c r="B22" s="5" t="str">
        <f>IFERROR(INDEX(#REF!,MATCH($B$2,#REF!,0)),"")</f>
        <v/>
      </c>
      <c r="G22" s="3"/>
      <c r="O22" s="95" t="s">
        <v>674</v>
      </c>
      <c r="P22" s="95"/>
      <c r="Q22" s="224" t="s">
        <v>636</v>
      </c>
      <c r="R22" s="96" t="str">
        <f t="shared" si="0"/>
        <v>Expected Utilization from ISC EMEA Budget</v>
      </c>
      <c r="S22" s="264" t="str">
        <f>B22</f>
        <v/>
      </c>
      <c r="T22" t="str">
        <f t="shared" si="1"/>
        <v>(HOT) V700 Alkox Reactor</v>
      </c>
      <c r="U22" t="s">
        <v>877</v>
      </c>
    </row>
    <row r="23" spans="1:21" ht="13.5" customHeight="1" thickBot="1">
      <c r="B23" s="383" t="s">
        <v>1018</v>
      </c>
      <c r="C23" s="384"/>
      <c r="D23" s="385" t="s">
        <v>737</v>
      </c>
      <c r="E23" s="386"/>
      <c r="F23" s="280" t="s">
        <v>1027</v>
      </c>
      <c r="G23" s="398" t="s">
        <v>736</v>
      </c>
      <c r="H23" s="399"/>
      <c r="I23" s="396" t="s">
        <v>1012</v>
      </c>
      <c r="J23" s="397"/>
      <c r="K23" s="3"/>
      <c r="O23" s="95" t="s">
        <v>675</v>
      </c>
      <c r="P23" s="95" t="s">
        <v>685</v>
      </c>
      <c r="Q23" s="148" t="s">
        <v>374</v>
      </c>
      <c r="R23" s="96" t="str">
        <f t="shared" si="0"/>
        <v>Planned Turnaround (h)_Target_NJ</v>
      </c>
      <c r="S23" s="265">
        <f>C18</f>
        <v>0</v>
      </c>
      <c r="T23" t="str">
        <f t="shared" si="1"/>
        <v>(HOT) V700 Alkox Reactor</v>
      </c>
      <c r="U23" t="s">
        <v>877</v>
      </c>
    </row>
    <row r="24" spans="1:21">
      <c r="A24" s="124" t="s">
        <v>0</v>
      </c>
      <c r="B24" s="182" t="s">
        <v>1019</v>
      </c>
      <c r="C24" s="183" t="s">
        <v>1020</v>
      </c>
      <c r="D24" s="180" t="s">
        <v>1021</v>
      </c>
      <c r="E24" s="181" t="s">
        <v>1022</v>
      </c>
      <c r="F24" s="279" t="s">
        <v>1026</v>
      </c>
      <c r="G24" s="326" t="s">
        <v>1035</v>
      </c>
      <c r="H24" s="291" t="s">
        <v>708</v>
      </c>
      <c r="I24" s="181" t="s">
        <v>1013</v>
      </c>
      <c r="J24" s="216" t="s">
        <v>1014</v>
      </c>
      <c r="O24" s="95" t="s">
        <v>675</v>
      </c>
      <c r="P24" s="95" t="s">
        <v>685</v>
      </c>
      <c r="Q24" s="148" t="s">
        <v>375</v>
      </c>
      <c r="R24" s="96" t="str">
        <f t="shared" si="0"/>
        <v>Planned Shutdown (h)_Target_NJ</v>
      </c>
      <c r="S24" s="265">
        <f>C19</f>
        <v>0</v>
      </c>
      <c r="T24" t="str">
        <f t="shared" si="1"/>
        <v>(HOT) V700 Alkox Reactor</v>
      </c>
      <c r="U24" t="s">
        <v>877</v>
      </c>
    </row>
    <row r="25" spans="1:21">
      <c r="A25" s="125" t="s">
        <v>13</v>
      </c>
      <c r="B25" s="160">
        <f>INDEX(TableOEE[Sum of MACInHours],MATCH($B$2,TableOEE[Unit],0))</f>
        <v>8784</v>
      </c>
      <c r="C25" s="107"/>
      <c r="D25" s="160">
        <f>B25</f>
        <v>8784</v>
      </c>
      <c r="E25" s="158"/>
      <c r="F25" s="281"/>
      <c r="G25" s="292"/>
      <c r="H25" s="293"/>
      <c r="I25" s="160">
        <v>8760</v>
      </c>
      <c r="J25" s="205"/>
      <c r="O25" s="95" t="s">
        <v>675</v>
      </c>
      <c r="P25" s="95" t="s">
        <v>685</v>
      </c>
      <c r="Q25" s="144" t="s">
        <v>716</v>
      </c>
      <c r="R25" s="96" t="str">
        <f t="shared" si="0"/>
        <v>Total Planned Maintenance (h)_Target_NJ</v>
      </c>
      <c r="S25" s="265">
        <f>C20</f>
        <v>0</v>
      </c>
      <c r="T25" t="str">
        <f t="shared" si="1"/>
        <v>(HOT) V700 Alkox Reactor</v>
      </c>
      <c r="U25" t="s">
        <v>877</v>
      </c>
    </row>
    <row r="26" spans="1:21">
      <c r="A26" s="126" t="s">
        <v>7</v>
      </c>
      <c r="B26" s="161">
        <f>INDEX(TableOEE[Sum of ComercialLossInHours],MATCH($B$2,TableOEE[Unit],0))</f>
        <v>1506.9955549681799</v>
      </c>
      <c r="C26" s="85"/>
      <c r="D26" s="161">
        <f>B26</f>
        <v>1506.9955549681799</v>
      </c>
      <c r="E26" s="159"/>
      <c r="F26" s="282"/>
      <c r="G26" s="294">
        <f>IFERROR(-(I26-D26),"")</f>
        <v>-707.11822446008864</v>
      </c>
      <c r="H26" s="295"/>
      <c r="I26" s="161">
        <f>I25-I28</f>
        <v>2214.1137794282686</v>
      </c>
      <c r="J26" s="206"/>
      <c r="O26" s="95" t="s">
        <v>675</v>
      </c>
      <c r="P26" s="95" t="s">
        <v>685</v>
      </c>
      <c r="Q26" s="147" t="s">
        <v>715</v>
      </c>
      <c r="R26" s="96" t="str">
        <f t="shared" si="0"/>
        <v>Planned Maintenance Increase_Target_NJ</v>
      </c>
      <c r="S26" s="264">
        <f>C21</f>
        <v>-1</v>
      </c>
      <c r="T26" t="str">
        <f t="shared" si="1"/>
        <v>(HOT) V700 Alkox Reactor</v>
      </c>
      <c r="U26" t="s">
        <v>877</v>
      </c>
    </row>
    <row r="27" spans="1:21" ht="13.5" thickBot="1">
      <c r="A27" s="127" t="s">
        <v>704</v>
      </c>
      <c r="B27" s="230"/>
      <c r="C27" s="231"/>
      <c r="D27" s="232">
        <f>B5</f>
        <v>0</v>
      </c>
      <c r="E27" s="233"/>
      <c r="F27" s="382" t="str">
        <f>IFERROR(IF(F24="hours decrease",G27,""),"")</f>
        <v/>
      </c>
      <c r="G27" s="296">
        <f>IFERROR(-(I27-D27),"")</f>
        <v>0</v>
      </c>
      <c r="H27" s="283"/>
      <c r="I27" s="230">
        <v>0</v>
      </c>
      <c r="J27" s="234"/>
      <c r="O27" s="95" t="s">
        <v>676</v>
      </c>
      <c r="P27" s="95"/>
      <c r="Q27" s="149" t="s">
        <v>318</v>
      </c>
      <c r="R27" s="96" t="str">
        <f t="shared" si="0"/>
        <v>Justification/Remarks</v>
      </c>
      <c r="S27" s="266">
        <f>E12</f>
        <v>0</v>
      </c>
      <c r="T27" t="str">
        <f t="shared" si="1"/>
        <v>(HOT) V700 Alkox Reactor</v>
      </c>
      <c r="U27" t="s">
        <v>706</v>
      </c>
    </row>
    <row r="28" spans="1:21">
      <c r="A28" s="128" t="s">
        <v>14</v>
      </c>
      <c r="B28" s="162">
        <f>INDEX(TableOEE[Sum of AvailableInHours],MATCH($B$2,TableOEE[Unit],0))+B40</f>
        <v>7277.0044450318201</v>
      </c>
      <c r="C28" s="110">
        <f>IFERROR($B28/$B$28,)</f>
        <v>1</v>
      </c>
      <c r="D28" s="162">
        <f>D25-D26-D27</f>
        <v>7277.0044450318201</v>
      </c>
      <c r="E28" s="163">
        <v>1</v>
      </c>
      <c r="F28" s="284"/>
      <c r="G28" s="297">
        <f>D28-I28</f>
        <v>731.11822446008864</v>
      </c>
      <c r="H28" s="298"/>
      <c r="I28" s="162">
        <f>IFERROR(IF(B15="OEE",I45/F48,I30+I29),0)</f>
        <v>6545.8862205717314</v>
      </c>
      <c r="J28" s="207">
        <v>1</v>
      </c>
      <c r="O28" s="95" t="s">
        <v>674</v>
      </c>
      <c r="P28" s="95" t="s">
        <v>686</v>
      </c>
      <c r="Q28" s="150" t="s">
        <v>10</v>
      </c>
      <c r="R28" s="96" t="str">
        <f t="shared" si="0"/>
        <v>OEE_Actuals_LJ</v>
      </c>
      <c r="S28" s="264">
        <f>B48</f>
        <v>0.58499964215927391</v>
      </c>
      <c r="T28" t="str">
        <f t="shared" si="1"/>
        <v>(HOT) V700 Alkox Reactor</v>
      </c>
      <c r="U28" t="s">
        <v>141</v>
      </c>
    </row>
    <row r="29" spans="1:21" ht="13.5" thickBot="1">
      <c r="A29" s="129" t="s">
        <v>17</v>
      </c>
      <c r="B29" s="164">
        <f>INDEX(TableOEE[Sum of Planned Maintenance Hours],MATCH($B$2,TableOEE[Unit],0))</f>
        <v>44.046388833325203</v>
      </c>
      <c r="C29" s="16">
        <f>IFERROR($B29/$B$28,)</f>
        <v>6.0528187341422745E-3</v>
      </c>
      <c r="D29" s="164">
        <f>B29</f>
        <v>44.046388833325203</v>
      </c>
      <c r="E29" s="165">
        <f>D29/$D$28</f>
        <v>6.0528187341422745E-3</v>
      </c>
      <c r="F29" s="285"/>
      <c r="G29" s="299">
        <f>-(I29-D29)</f>
        <v>44.046388833325203</v>
      </c>
      <c r="H29" s="285">
        <f>IFERROR($C29-$J29,)</f>
        <v>6.0528187341422745E-3</v>
      </c>
      <c r="I29" s="164">
        <f>C20</f>
        <v>0</v>
      </c>
      <c r="J29" s="208">
        <f>IFERROR(I29/I28,)</f>
        <v>0</v>
      </c>
      <c r="O29" s="95" t="s">
        <v>674</v>
      </c>
      <c r="P29" s="95" t="s">
        <v>686</v>
      </c>
      <c r="Q29" s="150" t="s">
        <v>666</v>
      </c>
      <c r="R29" s="96" t="str">
        <f t="shared" si="0"/>
        <v>Running OEE_Actuals_LJ</v>
      </c>
      <c r="S29" s="264">
        <f t="shared" ref="S29:S31" si="4">B49</f>
        <v>0.58856210187571334</v>
      </c>
      <c r="T29" t="str">
        <f t="shared" si="1"/>
        <v>(HOT) V700 Alkox Reactor</v>
      </c>
      <c r="U29" t="s">
        <v>141</v>
      </c>
    </row>
    <row r="30" spans="1:21">
      <c r="A30" s="128" t="s">
        <v>665</v>
      </c>
      <c r="B30" s="162">
        <f>B28-B29</f>
        <v>7232.9580561984949</v>
      </c>
      <c r="C30" s="110">
        <f>B30/B28</f>
        <v>0.99394718126585768</v>
      </c>
      <c r="D30" s="162">
        <f>D28-D29</f>
        <v>7232.9580561984949</v>
      </c>
      <c r="E30" s="163">
        <f>D30/D28</f>
        <v>0.99394718126585768</v>
      </c>
      <c r="F30" s="284"/>
      <c r="G30" s="297">
        <f>D30-I30</f>
        <v>687.07183562676346</v>
      </c>
      <c r="H30" s="298"/>
      <c r="I30" s="162">
        <f>IF(B15="OEE",I28-I29,I45/F49)</f>
        <v>6545.8862205717314</v>
      </c>
      <c r="J30" s="209"/>
      <c r="O30" s="95" t="s">
        <v>674</v>
      </c>
      <c r="P30" s="95" t="s">
        <v>686</v>
      </c>
      <c r="Q30" s="150" t="s">
        <v>8</v>
      </c>
      <c r="R30" s="96" t="str">
        <f t="shared" si="0"/>
        <v>Utilization_Actuals_LJ</v>
      </c>
      <c r="S30" s="264">
        <f t="shared" si="4"/>
        <v>0.82843857525407782</v>
      </c>
      <c r="T30" t="str">
        <f t="shared" si="1"/>
        <v>(HOT) V700 Alkox Reactor</v>
      </c>
      <c r="U30" t="s">
        <v>141</v>
      </c>
    </row>
    <row r="31" spans="1:21">
      <c r="A31" s="130" t="s">
        <v>18</v>
      </c>
      <c r="B31" s="166">
        <f>INDEX(TableCategories[Equipment Reliability],MATCH($B$2,TableCategories[Row Labels],0))-B29</f>
        <v>577.48138829781487</v>
      </c>
      <c r="C31" s="71">
        <f t="shared" ref="C31:C39" si="5">IFERROR($B31/$B$28,)</f>
        <v>7.9357020139251777E-2</v>
      </c>
      <c r="D31" s="166">
        <f>IFERROR(IF($B$8="Exclude",B31,IF($B$9="No",B31,IF(B31&lt;0,B31+$C$7*(1-$D$7)*B31/$D$6,B31+(($C$7*$D$7)*B31/$C$6)))),0)</f>
        <v>577.48138829781487</v>
      </c>
      <c r="E31" s="167">
        <f>D31/$D$28</f>
        <v>7.9357020139251777E-2</v>
      </c>
      <c r="F31" s="325">
        <v>0</v>
      </c>
      <c r="G31" s="166">
        <f>IF($F$24="% decrease",D31-I31,F31)</f>
        <v>58.019363662653291</v>
      </c>
      <c r="H31" s="327">
        <f t="shared" ref="H31:H39" si="6">IF($F$24="% decrease",$F31,$E31-$J31)</f>
        <v>0</v>
      </c>
      <c r="I31" s="166">
        <f>IF($F$24="% decrease",J31*$I$28,$D31-$G31)</f>
        <v>519.46202463516158</v>
      </c>
      <c r="J31" s="210">
        <f t="shared" ref="J31:J39" si="7">IF($F$24="% decrease",$E31-$H31,I31/I$28)</f>
        <v>7.9357020139251777E-2</v>
      </c>
      <c r="O31" s="95" t="s">
        <v>674</v>
      </c>
      <c r="P31" s="95" t="s">
        <v>686</v>
      </c>
      <c r="Q31" s="150" t="s">
        <v>376</v>
      </c>
      <c r="R31" s="96" t="str">
        <f t="shared" si="0"/>
        <v>OAU_Actuals_LJ</v>
      </c>
      <c r="S31" s="264">
        <f t="shared" si="4"/>
        <v>0.48463627007457427</v>
      </c>
      <c r="T31" t="str">
        <f t="shared" si="1"/>
        <v>(HOT) V700 Alkox Reactor</v>
      </c>
      <c r="U31" t="s">
        <v>141</v>
      </c>
    </row>
    <row r="32" spans="1:21">
      <c r="A32" s="131" t="s">
        <v>1</v>
      </c>
      <c r="B32" s="168">
        <f>INDEX(TableCategories[Operational Reliability],MATCH($B$2,TableCategories[Row Labels],0))</f>
        <v>981.48082879990898</v>
      </c>
      <c r="C32" s="9">
        <f t="shared" si="5"/>
        <v>0.13487429287884917</v>
      </c>
      <c r="D32" s="168">
        <f t="shared" ref="D32:D39" si="8">IFERROR(IF($B$8="Exclude",B32,IF($B$9="No",B32,IF(B32&lt;0,B32+$C$7*(1-$D$7)*B32/$D$6,B32+(($C$7*$D$7)*B32/$C$6)))),0)</f>
        <v>981.48082879990898</v>
      </c>
      <c r="E32" s="169">
        <f t="shared" ref="E32:E41" si="9">D32/$D$28</f>
        <v>0.13487429287884917</v>
      </c>
      <c r="F32" s="325">
        <v>0</v>
      </c>
      <c r="G32" s="168">
        <f t="shared" ref="G32:G41" si="10">IF($F$24="% decrease",D32-I32,F32)</f>
        <v>98.609053534894201</v>
      </c>
      <c r="H32" s="327">
        <f t="shared" si="6"/>
        <v>0</v>
      </c>
      <c r="I32" s="168">
        <f t="shared" ref="I32:I41" si="11">IF($F$24="% decrease",J32*$I$28,$D32-$G32)</f>
        <v>882.87177526501478</v>
      </c>
      <c r="J32" s="211">
        <f t="shared" si="7"/>
        <v>0.13487429287884917</v>
      </c>
      <c r="O32" s="95" t="s">
        <v>675</v>
      </c>
      <c r="P32" s="95" t="s">
        <v>719</v>
      </c>
      <c r="Q32" s="13" t="s">
        <v>10</v>
      </c>
      <c r="R32" s="96" t="str">
        <f t="shared" si="0"/>
        <v>OEE_Actuals_LJ_corrected</v>
      </c>
      <c r="S32" s="264">
        <f>C48</f>
        <v>0.58499964215927391</v>
      </c>
      <c r="T32" t="str">
        <f t="shared" si="1"/>
        <v>(HOT) V700 Alkox Reactor</v>
      </c>
      <c r="U32" t="s">
        <v>141</v>
      </c>
    </row>
    <row r="33" spans="1:21">
      <c r="A33" s="130" t="s">
        <v>2</v>
      </c>
      <c r="B33" s="166">
        <f>INDEX(TableCategories[Technology Reliability],MATCH($B$2,TableCategories[Row Labels],0))</f>
        <v>822.25938814405197</v>
      </c>
      <c r="C33" s="71">
        <f t="shared" si="5"/>
        <v>0.11299421270869603</v>
      </c>
      <c r="D33" s="166">
        <f t="shared" si="8"/>
        <v>822.25938814405197</v>
      </c>
      <c r="E33" s="167">
        <f t="shared" si="9"/>
        <v>0.11299421270869603</v>
      </c>
      <c r="F33" s="355">
        <v>0</v>
      </c>
      <c r="G33" s="166">
        <f t="shared" si="10"/>
        <v>82.612128169847438</v>
      </c>
      <c r="H33" s="327">
        <f t="shared" si="6"/>
        <v>0</v>
      </c>
      <c r="I33" s="166">
        <f t="shared" si="11"/>
        <v>739.64725997420453</v>
      </c>
      <c r="J33" s="210">
        <f t="shared" si="7"/>
        <v>0.11299421270869603</v>
      </c>
      <c r="O33" s="95" t="s">
        <v>675</v>
      </c>
      <c r="P33" s="95" t="s">
        <v>719</v>
      </c>
      <c r="Q33" s="13" t="s">
        <v>666</v>
      </c>
      <c r="R33" s="96" t="str">
        <f t="shared" si="0"/>
        <v>Running OEE_Actuals_LJ_corrected</v>
      </c>
      <c r="S33" s="264">
        <f>C49</f>
        <v>0.58856210187571334</v>
      </c>
      <c r="T33" t="str">
        <f t="shared" si="1"/>
        <v>(HOT) V700 Alkox Reactor</v>
      </c>
      <c r="U33" t="s">
        <v>141</v>
      </c>
    </row>
    <row r="34" spans="1:21">
      <c r="A34" s="131" t="s">
        <v>3</v>
      </c>
      <c r="B34" s="168">
        <f>INDEX(TableCategories[Material Reliability],MATCH($B$2,TableCategories[Row Labels],0))</f>
        <v>74.321110633333305</v>
      </c>
      <c r="C34" s="9">
        <f t="shared" si="5"/>
        <v>1.0213146246471521E-2</v>
      </c>
      <c r="D34" s="168">
        <f t="shared" si="8"/>
        <v>74.321110633333305</v>
      </c>
      <c r="E34" s="169">
        <f t="shared" si="9"/>
        <v>1.0213146246471521E-2</v>
      </c>
      <c r="F34" s="273">
        <v>0</v>
      </c>
      <c r="G34" s="168">
        <f t="shared" si="10"/>
        <v>7.4670173498714689</v>
      </c>
      <c r="H34" s="327">
        <f t="shared" si="6"/>
        <v>0</v>
      </c>
      <c r="I34" s="168">
        <f t="shared" si="11"/>
        <v>66.854093283461836</v>
      </c>
      <c r="J34" s="211">
        <f t="shared" si="7"/>
        <v>1.0213146246471521E-2</v>
      </c>
      <c r="O34" s="95" t="s">
        <v>675</v>
      </c>
      <c r="P34" s="95" t="s">
        <v>719</v>
      </c>
      <c r="Q34" s="13" t="s">
        <v>8</v>
      </c>
      <c r="R34" s="96" t="str">
        <f t="shared" si="0"/>
        <v>Utilization_Actuals_LJ_corrected</v>
      </c>
      <c r="S34" s="264">
        <f>C50</f>
        <v>0.82843857525407782</v>
      </c>
      <c r="T34" t="str">
        <f t="shared" si="1"/>
        <v>(HOT) V700 Alkox Reactor</v>
      </c>
      <c r="U34" t="s">
        <v>141</v>
      </c>
    </row>
    <row r="35" spans="1:21">
      <c r="A35" s="130" t="s">
        <v>4</v>
      </c>
      <c r="B35" s="166">
        <f>INDEX(TableCategories[Logistics/Supply Reliability],MATCH($B$2,TableCategories[Row Labels],0))</f>
        <v>192.251666299921</v>
      </c>
      <c r="C35" s="71">
        <f t="shared" si="5"/>
        <v>2.6419066767394334E-2</v>
      </c>
      <c r="D35" s="166">
        <f t="shared" si="8"/>
        <v>192.251666299921</v>
      </c>
      <c r="E35" s="167">
        <f t="shared" si="9"/>
        <v>2.6419066767394334E-2</v>
      </c>
      <c r="F35" s="325">
        <v>0</v>
      </c>
      <c r="G35" s="166">
        <f t="shared" si="10"/>
        <v>19.315461186869868</v>
      </c>
      <c r="H35" s="327">
        <f t="shared" si="6"/>
        <v>0</v>
      </c>
      <c r="I35" s="166">
        <f t="shared" si="11"/>
        <v>172.93620511305113</v>
      </c>
      <c r="J35" s="210">
        <f t="shared" si="7"/>
        <v>2.6419066767394334E-2</v>
      </c>
      <c r="O35" s="95" t="s">
        <v>675</v>
      </c>
      <c r="P35" s="95" t="s">
        <v>719</v>
      </c>
      <c r="Q35" s="13" t="s">
        <v>376</v>
      </c>
      <c r="R35" s="96" t="str">
        <f t="shared" si="0"/>
        <v>OAU_Actuals_LJ_corrected</v>
      </c>
      <c r="S35" s="264">
        <f>C51</f>
        <v>0.48463627007457427</v>
      </c>
      <c r="T35" t="str">
        <f t="shared" si="1"/>
        <v>(HOT) V700 Alkox Reactor</v>
      </c>
      <c r="U35" t="s">
        <v>141</v>
      </c>
    </row>
    <row r="36" spans="1:21">
      <c r="A36" s="131" t="s">
        <v>5</v>
      </c>
      <c r="B36" s="168">
        <f>INDEX(TableCategories[External Reliability],MATCH($B$2,TableCategories[Row Labels],0))</f>
        <v>213.904444249352</v>
      </c>
      <c r="C36" s="9">
        <f t="shared" si="5"/>
        <v>2.9394573806449924E-2</v>
      </c>
      <c r="D36" s="168">
        <f t="shared" si="8"/>
        <v>213.904444249352</v>
      </c>
      <c r="E36" s="169">
        <f t="shared" si="9"/>
        <v>2.9394573806449924E-2</v>
      </c>
      <c r="F36" s="355">
        <v>0</v>
      </c>
      <c r="G36" s="168">
        <f t="shared" si="10"/>
        <v>21.490908610132692</v>
      </c>
      <c r="H36" s="327">
        <f t="shared" si="6"/>
        <v>0</v>
      </c>
      <c r="I36" s="168">
        <f t="shared" si="11"/>
        <v>192.4135356392193</v>
      </c>
      <c r="J36" s="211">
        <f t="shared" si="7"/>
        <v>2.9394573806449924E-2</v>
      </c>
      <c r="O36" s="95" t="s">
        <v>676</v>
      </c>
      <c r="P36" s="95" t="s">
        <v>684</v>
      </c>
      <c r="Q36" s="150" t="s">
        <v>10</v>
      </c>
      <c r="R36" s="96" t="str">
        <f t="shared" si="0"/>
        <v>OEE_Normalized_LJ</v>
      </c>
      <c r="S36" s="264">
        <f>D48</f>
        <v>0.586539472270724</v>
      </c>
      <c r="T36" t="str">
        <f t="shared" si="1"/>
        <v>(HOT) V700 Alkox Reactor</v>
      </c>
      <c r="U36" t="s">
        <v>141</v>
      </c>
    </row>
    <row r="37" spans="1:21">
      <c r="A37" s="130" t="s">
        <v>11</v>
      </c>
      <c r="B37" s="166">
        <f>INDEX(TableCategories[Other Reliability],MATCH($B$2,TableCategories[Row Labels],0))</f>
        <v>67.690558252579905</v>
      </c>
      <c r="C37" s="71">
        <f t="shared" si="5"/>
        <v>9.3019811605026329E-3</v>
      </c>
      <c r="D37" s="166">
        <f t="shared" si="8"/>
        <v>67.690558252579905</v>
      </c>
      <c r="E37" s="167">
        <f t="shared" si="9"/>
        <v>9.3019811605026329E-3</v>
      </c>
      <c r="F37" s="325">
        <v>0</v>
      </c>
      <c r="G37" s="166">
        <f t="shared" si="10"/>
        <v>6.8008479500278796</v>
      </c>
      <c r="H37" s="327">
        <f t="shared" si="6"/>
        <v>0</v>
      </c>
      <c r="I37" s="166">
        <f t="shared" si="11"/>
        <v>60.889710302552025</v>
      </c>
      <c r="J37" s="210">
        <f t="shared" si="7"/>
        <v>9.3019811605026329E-3</v>
      </c>
      <c r="O37" s="95" t="s">
        <v>676</v>
      </c>
      <c r="P37" s="95" t="s">
        <v>684</v>
      </c>
      <c r="Q37" s="150" t="s">
        <v>666</v>
      </c>
      <c r="R37" s="96" t="str">
        <f t="shared" si="0"/>
        <v>Running OEE_Normalized_LJ</v>
      </c>
      <c r="S37" s="264">
        <f>D49</f>
        <v>0.59011130905741604</v>
      </c>
      <c r="T37" t="str">
        <f t="shared" si="1"/>
        <v>(HOT) V700 Alkox Reactor</v>
      </c>
      <c r="U37" t="s">
        <v>141</v>
      </c>
    </row>
    <row r="38" spans="1:21">
      <c r="A38" s="131" t="s">
        <v>15</v>
      </c>
      <c r="B38" s="168">
        <f>INDEX(TableCategories[Unspecified],MATCH($B$2,TableCategories[Row Labels],0))</f>
        <v>0</v>
      </c>
      <c r="C38" s="9">
        <f t="shared" si="5"/>
        <v>0</v>
      </c>
      <c r="D38" s="168">
        <f t="shared" si="8"/>
        <v>0</v>
      </c>
      <c r="E38" s="169">
        <f t="shared" si="9"/>
        <v>0</v>
      </c>
      <c r="F38" s="273">
        <v>0</v>
      </c>
      <c r="G38" s="168">
        <f t="shared" si="10"/>
        <v>0</v>
      </c>
      <c r="H38" s="327">
        <f t="shared" si="6"/>
        <v>0</v>
      </c>
      <c r="I38" s="168">
        <f t="shared" si="11"/>
        <v>0</v>
      </c>
      <c r="J38" s="211">
        <f t="shared" si="7"/>
        <v>0</v>
      </c>
      <c r="O38" s="95" t="s">
        <v>676</v>
      </c>
      <c r="P38" s="95" t="s">
        <v>684</v>
      </c>
      <c r="Q38" s="150" t="s">
        <v>8</v>
      </c>
      <c r="R38" s="96" t="str">
        <f t="shared" si="0"/>
        <v>Utilization_Normalized_LJ</v>
      </c>
      <c r="S38" s="264">
        <f>D50</f>
        <v>0.82843857525366105</v>
      </c>
      <c r="T38" t="str">
        <f t="shared" si="1"/>
        <v>(HOT) V700 Alkox Reactor</v>
      </c>
      <c r="U38" t="s">
        <v>141</v>
      </c>
    </row>
    <row r="39" spans="1:21">
      <c r="A39" s="131" t="s">
        <v>16</v>
      </c>
      <c r="B39" s="166">
        <f>INDEX(TableOEE[Sum of UndetectedInHours],MATCH($B$2,TableOEE[Unit],0))</f>
        <v>46.523675186469397</v>
      </c>
      <c r="C39" s="71">
        <f t="shared" si="5"/>
        <v>6.3932453989680041E-3</v>
      </c>
      <c r="D39" s="166">
        <f t="shared" si="8"/>
        <v>46.523675186469397</v>
      </c>
      <c r="E39" s="167">
        <f t="shared" si="9"/>
        <v>6.3932453989680041E-3</v>
      </c>
      <c r="F39" s="355">
        <v>0</v>
      </c>
      <c r="G39" s="166">
        <f t="shared" si="10"/>
        <v>4.6742182246311188</v>
      </c>
      <c r="H39" s="327">
        <f t="shared" si="6"/>
        <v>0</v>
      </c>
      <c r="I39" s="166">
        <f t="shared" si="11"/>
        <v>41.849456961838278</v>
      </c>
      <c r="J39" s="210">
        <f t="shared" si="7"/>
        <v>6.3932453989680041E-3</v>
      </c>
      <c r="O39" s="95" t="s">
        <v>676</v>
      </c>
      <c r="P39" s="95" t="s">
        <v>684</v>
      </c>
      <c r="Q39" s="150" t="s">
        <v>376</v>
      </c>
      <c r="R39" s="96" t="str">
        <f t="shared" si="0"/>
        <v>OAU_Normalized_LJ</v>
      </c>
      <c r="S39" s="264">
        <f>D51</f>
        <v>0.485911924737993</v>
      </c>
      <c r="T39" t="str">
        <f t="shared" si="1"/>
        <v>(HOT) V700 Alkox Reactor</v>
      </c>
      <c r="U39" t="s">
        <v>141</v>
      </c>
    </row>
    <row r="40" spans="1:21">
      <c r="A40" s="132" t="s">
        <v>664</v>
      </c>
      <c r="B40" s="168"/>
      <c r="C40" s="9"/>
      <c r="D40" s="170">
        <f>-B5</f>
        <v>0</v>
      </c>
      <c r="E40" s="169">
        <f t="shared" si="9"/>
        <v>0</v>
      </c>
      <c r="F40" s="168">
        <f>IF(F24="% decrease",H40,G40)</f>
        <v>0</v>
      </c>
      <c r="G40" s="168">
        <f>D40</f>
        <v>0</v>
      </c>
      <c r="H40" s="328">
        <f>E40</f>
        <v>0</v>
      </c>
      <c r="I40" s="168">
        <f t="shared" si="11"/>
        <v>0</v>
      </c>
      <c r="J40" s="211">
        <f>$E40-$H40</f>
        <v>0</v>
      </c>
      <c r="O40" s="95" t="s">
        <v>677</v>
      </c>
      <c r="P40" s="95" t="s">
        <v>720</v>
      </c>
      <c r="Q40" s="13" t="s">
        <v>10</v>
      </c>
      <c r="R40" s="96" t="str">
        <f t="shared" si="0"/>
        <v>OEE_Baseline target setting</v>
      </c>
      <c r="S40" s="264">
        <f>E48</f>
        <v>0.58499964215927391</v>
      </c>
      <c r="T40" t="str">
        <f t="shared" si="1"/>
        <v>(HOT) V700 Alkox Reactor</v>
      </c>
      <c r="U40" t="s">
        <v>141</v>
      </c>
    </row>
    <row r="41" spans="1:21">
      <c r="A41" s="133" t="s">
        <v>703</v>
      </c>
      <c r="B41" s="166"/>
      <c r="C41" s="221"/>
      <c r="D41" s="220">
        <f>IF(AND(B9="No",B8="Include"),B45*B7/(1+B7),0)</f>
        <v>0</v>
      </c>
      <c r="E41" s="167">
        <f t="shared" si="9"/>
        <v>0</v>
      </c>
      <c r="F41" s="286"/>
      <c r="G41" s="171">
        <f t="shared" si="10"/>
        <v>0</v>
      </c>
      <c r="H41" s="305">
        <f>E41</f>
        <v>0</v>
      </c>
      <c r="I41" s="166">
        <f t="shared" si="11"/>
        <v>0</v>
      </c>
      <c r="J41" s="210">
        <f>$E41-$H41</f>
        <v>0</v>
      </c>
      <c r="O41" s="95" t="s">
        <v>677</v>
      </c>
      <c r="P41" s="95" t="s">
        <v>720</v>
      </c>
      <c r="Q41" s="13" t="s">
        <v>666</v>
      </c>
      <c r="R41" s="96" t="str">
        <f t="shared" si="0"/>
        <v>Running OEE_Baseline target setting</v>
      </c>
      <c r="S41" s="264">
        <f>E49</f>
        <v>0.58856210187571334</v>
      </c>
      <c r="T41" t="str">
        <f t="shared" si="1"/>
        <v>(HOT) V700 Alkox Reactor</v>
      </c>
      <c r="U41" t="s">
        <v>141</v>
      </c>
    </row>
    <row r="42" spans="1:21" ht="13.5" thickBot="1">
      <c r="A42" s="134" t="s">
        <v>705</v>
      </c>
      <c r="B42" s="172"/>
      <c r="C42" s="72"/>
      <c r="D42" s="172">
        <f>D30-D31-D32-D33-D34-D35-D36-D37-D38-D39-D40-D41-D45</f>
        <v>0</v>
      </c>
      <c r="E42" s="173"/>
      <c r="F42" s="287"/>
      <c r="G42" s="306"/>
      <c r="H42" s="307">
        <f>IFERROR(I42/I28,0)</f>
        <v>5.7509640982296634E-2</v>
      </c>
      <c r="I42" s="184">
        <f>-(I43-I31-I32-I33-I34-I35-I36-I37-I38-I39-I41-I40)</f>
        <v>376.45156645604288</v>
      </c>
      <c r="J42" s="212">
        <f>-H42</f>
        <v>-5.7509640982296634E-2</v>
      </c>
      <c r="O42" s="95" t="s">
        <v>677</v>
      </c>
      <c r="P42" s="95" t="s">
        <v>720</v>
      </c>
      <c r="Q42" s="13" t="s">
        <v>8</v>
      </c>
      <c r="R42" s="96" t="str">
        <f t="shared" si="0"/>
        <v>Utilization_Baseline target setting</v>
      </c>
      <c r="S42" s="264">
        <f>E50</f>
        <v>0.82843857525407782</v>
      </c>
      <c r="T42" t="str">
        <f t="shared" si="1"/>
        <v>(HOT) V700 Alkox Reactor</v>
      </c>
      <c r="U42" t="s">
        <v>141</v>
      </c>
    </row>
    <row r="43" spans="1:21" ht="13.5" hidden="1" thickBot="1">
      <c r="A43" s="135" t="s">
        <v>397</v>
      </c>
      <c r="B43" s="174">
        <f>SUBTOTAL(109,B31:B40)</f>
        <v>2975.9130598634315</v>
      </c>
      <c r="C43" s="106">
        <f>IFERROR($B43/$B$28,)</f>
        <v>0.40894753910658338</v>
      </c>
      <c r="D43" s="174">
        <f>SUBTOTAL(109,D31:D41)</f>
        <v>2975.9130598634315</v>
      </c>
      <c r="E43" s="175">
        <f>D43/D28</f>
        <v>0.40894753910658338</v>
      </c>
      <c r="F43" s="288"/>
      <c r="G43" s="308">
        <f>I43-D43</f>
        <v>-675.44056514497106</v>
      </c>
      <c r="H43" s="309">
        <f>E43-J43</f>
        <v>5.750964098229655E-2</v>
      </c>
      <c r="I43" s="174">
        <f>I30-I45</f>
        <v>2300.4724947184604</v>
      </c>
      <c r="J43" s="213">
        <f>SUM(J31:J42)</f>
        <v>0.35143789812428683</v>
      </c>
      <c r="O43" s="95" t="s">
        <v>677</v>
      </c>
      <c r="P43" s="95"/>
      <c r="Q43" s="13" t="s">
        <v>722</v>
      </c>
      <c r="R43" s="96" t="str">
        <f t="shared" si="0"/>
        <v>BLANK1</v>
      </c>
      <c r="S43" s="264"/>
      <c r="T43" t="str">
        <f t="shared" si="1"/>
        <v>(HOT) V700 Alkox Reactor</v>
      </c>
      <c r="U43" t="s">
        <v>141</v>
      </c>
    </row>
    <row r="44" spans="1:21" ht="13.5" hidden="1" thickBot="1">
      <c r="A44" s="136" t="s">
        <v>398</v>
      </c>
      <c r="B44" s="176">
        <f>B43+B29</f>
        <v>3019.9594486967567</v>
      </c>
      <c r="C44" s="31">
        <f>IFERROR($B44/$B$28,)</f>
        <v>0.4150003578407257</v>
      </c>
      <c r="D44" s="176">
        <f>D43+D29</f>
        <v>3019.9594486967567</v>
      </c>
      <c r="E44" s="177">
        <f>D44/D28</f>
        <v>0.4150003578407257</v>
      </c>
      <c r="F44" s="289"/>
      <c r="G44" s="310">
        <f>I44-D44</f>
        <v>-719.48695397829624</v>
      </c>
      <c r="H44" s="311">
        <f>IFERROR(E44-J44,)</f>
        <v>6.3562459716438979E-2</v>
      </c>
      <c r="I44" s="176">
        <f>I28-I45</f>
        <v>2300.4724947184604</v>
      </c>
      <c r="J44" s="214">
        <f>IFERROR(1-J45,)</f>
        <v>0.35143789812428672</v>
      </c>
      <c r="O44" s="95" t="s">
        <v>677</v>
      </c>
      <c r="P44" s="95"/>
      <c r="Q44" s="151" t="s">
        <v>721</v>
      </c>
      <c r="R44" s="96" t="str">
        <f t="shared" si="0"/>
        <v>BLANK2</v>
      </c>
      <c r="S44" s="264"/>
      <c r="T44" t="str">
        <f t="shared" si="1"/>
        <v>(HOT) V700 Alkox Reactor</v>
      </c>
      <c r="U44" t="s">
        <v>141</v>
      </c>
    </row>
    <row r="45" spans="1:21" ht="13.5" thickBot="1">
      <c r="A45" s="137" t="s">
        <v>712</v>
      </c>
      <c r="B45" s="178">
        <f>INDEX(TableOEE[Sum of ActualInHours],MATCH($B$2,TableOEE[Unit],0))</f>
        <v>4257.0449963350602</v>
      </c>
      <c r="C45" s="139">
        <f>IFERROR($B45/$B$28,)</f>
        <v>0.58499964215927391</v>
      </c>
      <c r="D45" s="178">
        <f>IF(B8="Include",B45/(1+B7),B45)</f>
        <v>4257.0449963350602</v>
      </c>
      <c r="E45" s="179">
        <f>D45/D28</f>
        <v>0.58499964215927391</v>
      </c>
      <c r="F45" s="290"/>
      <c r="G45" s="312">
        <f>I45-D45</f>
        <v>-11.631270481789215</v>
      </c>
      <c r="H45" s="290">
        <f>H43+H29+H42+H41</f>
        <v>0.12107210069873546</v>
      </c>
      <c r="I45" s="178">
        <f>D45*(1+B6)*I25/B25</f>
        <v>4245.413725853271</v>
      </c>
      <c r="J45" s="215">
        <f>F48</f>
        <v>0.64856210187571328</v>
      </c>
      <c r="O45" s="95" t="s">
        <v>677</v>
      </c>
      <c r="P45" s="95" t="s">
        <v>720</v>
      </c>
      <c r="Q45" s="13" t="s">
        <v>376</v>
      </c>
      <c r="R45" s="96" t="str">
        <f t="shared" si="0"/>
        <v>OAU_Baseline target setting</v>
      </c>
      <c r="S45" s="264">
        <f>E51</f>
        <v>0.48463627007457427</v>
      </c>
      <c r="T45" t="str">
        <f t="shared" si="1"/>
        <v>(HOT) V700 Alkox Reactor</v>
      </c>
      <c r="U45" t="s">
        <v>141</v>
      </c>
    </row>
    <row r="46" spans="1:21">
      <c r="F46" t="s">
        <v>713</v>
      </c>
      <c r="O46" s="95" t="s">
        <v>678</v>
      </c>
      <c r="P46" s="95" t="s">
        <v>880</v>
      </c>
      <c r="Q46" s="150" t="s">
        <v>10</v>
      </c>
      <c r="R46" s="96" t="str">
        <f t="shared" si="0"/>
        <v>OEE_Targets_NJ</v>
      </c>
      <c r="S46" s="264">
        <f>F48</f>
        <v>0.64856210187571328</v>
      </c>
      <c r="T46" t="str">
        <f t="shared" si="1"/>
        <v>(HOT) V700 Alkox Reactor</v>
      </c>
      <c r="U46" t="s">
        <v>141</v>
      </c>
    </row>
    <row r="47" spans="1:21" ht="13.5" thickBot="1">
      <c r="A47" s="87" t="s">
        <v>668</v>
      </c>
      <c r="B47" s="114" t="s">
        <v>1023</v>
      </c>
      <c r="C47" s="113" t="s">
        <v>1024</v>
      </c>
      <c r="D47" s="113" t="s">
        <v>1025</v>
      </c>
      <c r="E47" s="113" t="s">
        <v>711</v>
      </c>
      <c r="F47" s="113" t="s">
        <v>1015</v>
      </c>
      <c r="G47" s="113" t="s">
        <v>706</v>
      </c>
      <c r="O47" s="95" t="s">
        <v>678</v>
      </c>
      <c r="P47" s="95" t="s">
        <v>880</v>
      </c>
      <c r="Q47" s="150" t="s">
        <v>666</v>
      </c>
      <c r="R47" s="96" t="str">
        <f t="shared" si="0"/>
        <v>Running OEE_Targets_NJ</v>
      </c>
      <c r="S47" s="264">
        <f>F49</f>
        <v>0.64856210187571328</v>
      </c>
      <c r="T47" t="str">
        <f t="shared" si="1"/>
        <v>(HOT) V700 Alkox Reactor</v>
      </c>
      <c r="U47" t="s">
        <v>141</v>
      </c>
    </row>
    <row r="48" spans="1:21">
      <c r="A48" s="88" t="s">
        <v>10</v>
      </c>
      <c r="B48" s="89">
        <f>IFERROR(B45/(B28-B40),)</f>
        <v>0.58499964215927391</v>
      </c>
      <c r="C48" s="69">
        <f>IFERROR(B45/(B28-B5),)</f>
        <v>0.58499964215927391</v>
      </c>
      <c r="D48" s="89">
        <f>IFERROR(IF(INDEX(TableOEEnormalized[LastYear Normalized OEE],MATCH($B$2,TableOEEnormalized[Unit],0))&gt;0,
        INDEX(TableOEEnormalized[LastYear Normalized OEE],MATCH($B$2,TableOEEnormalized[Unit],0)),""),Table101291219[[#This Row],[Actual 2024]])</f>
        <v>0.586539472270724</v>
      </c>
      <c r="E48" s="69">
        <f>IF(B8="Include",C48/(1+B7),C48)</f>
        <v>0.58499964215927391</v>
      </c>
      <c r="F48" s="275">
        <f>IFERROR(IF(B15="OEE", E48+B14,I45/I28),)</f>
        <v>0.64856210187571328</v>
      </c>
      <c r="G48" s="276" t="s">
        <v>707</v>
      </c>
      <c r="O48" s="95" t="s">
        <v>678</v>
      </c>
      <c r="P48" s="95" t="s">
        <v>880</v>
      </c>
      <c r="Q48" s="150" t="s">
        <v>8</v>
      </c>
      <c r="R48" s="96" t="str">
        <f t="shared" si="0"/>
        <v>Utilization_Targets_NJ</v>
      </c>
      <c r="S48" s="264">
        <f>F50</f>
        <v>0.74724728545339403</v>
      </c>
      <c r="T48" t="str">
        <f t="shared" si="1"/>
        <v>(HOT) V700 Alkox Reactor</v>
      </c>
      <c r="U48" t="s">
        <v>141</v>
      </c>
    </row>
    <row r="49" spans="1:35">
      <c r="A49" s="90" t="s">
        <v>666</v>
      </c>
      <c r="B49" s="69">
        <f>IFERROR(B45/(B30-B40),)</f>
        <v>0.58856210187571334</v>
      </c>
      <c r="C49" s="69">
        <f>IFERROR(B45/(B30-B5),)</f>
        <v>0.58856210187571334</v>
      </c>
      <c r="D49" s="123">
        <f>IFERROR(B45/(1+B7)/(B28-B29),)</f>
        <v>0.59011130905741604</v>
      </c>
      <c r="E49" s="69">
        <f>IFERROR(D45/(D30),)</f>
        <v>0.58856210187571334</v>
      </c>
      <c r="F49" s="123">
        <f>IFERROR(IF(B15="OEE",(I45/I30),E49+B14),)</f>
        <v>0.64856210187571328</v>
      </c>
      <c r="G49" s="274" t="s">
        <v>669</v>
      </c>
      <c r="O49" s="95" t="s">
        <v>678</v>
      </c>
      <c r="P49" s="95" t="s">
        <v>880</v>
      </c>
      <c r="Q49" s="150" t="s">
        <v>376</v>
      </c>
      <c r="R49" s="96" t="str">
        <f t="shared" si="0"/>
        <v>OAU_Targets_NJ</v>
      </c>
      <c r="S49" s="264">
        <f>F51</f>
        <v>0.48463627007457433</v>
      </c>
      <c r="T49" t="str">
        <f t="shared" si="1"/>
        <v>(HOT) V700 Alkox Reactor</v>
      </c>
      <c r="U49" t="s">
        <v>141</v>
      </c>
    </row>
    <row r="50" spans="1:35">
      <c r="A50" s="90" t="s">
        <v>8</v>
      </c>
      <c r="B50" s="5">
        <f>IFERROR((B28+B27)/(B25),)</f>
        <v>0.82843857525407782</v>
      </c>
      <c r="C50" s="69">
        <f>IFERROR((B28-B5)/B25,)</f>
        <v>0.82843857525407782</v>
      </c>
      <c r="D50" s="123">
        <f>IFERROR(IF(INDEX(TableOEEnormalized[LastYear Normalized Utilization],MATCH($B$2,TableOEEnormalized[Unit],0))&gt;0,
      INDEX(TableOEEnormalized[LastYear Normalized Utilization],MATCH($B$2,TableOEEnormalized[Unit],0)),""),Table101291219[[#This Row],[Actual 2024]])</f>
        <v>0.82843857525366105</v>
      </c>
      <c r="E50" s="69">
        <f>IFERROR(D28/D25,)</f>
        <v>0.82843857525407782</v>
      </c>
      <c r="F50" s="69">
        <f>IFERROR(I28/I25,)</f>
        <v>0.74724728545339403</v>
      </c>
      <c r="G50" s="91" t="s">
        <v>1188</v>
      </c>
      <c r="O50" s="95" t="s">
        <v>679</v>
      </c>
      <c r="P50" s="95" t="s">
        <v>706</v>
      </c>
      <c r="Q50" s="13" t="s">
        <v>10</v>
      </c>
      <c r="R50" s="96" t="str">
        <f t="shared" si="0"/>
        <v>OEE_Remarks</v>
      </c>
      <c r="S50" s="264" t="str">
        <f>G48</f>
        <v>OEE target</v>
      </c>
      <c r="T50" t="str">
        <f t="shared" si="1"/>
        <v>(HOT) V700 Alkox Reactor</v>
      </c>
      <c r="U50" t="s">
        <v>878</v>
      </c>
    </row>
    <row r="51" spans="1:35">
      <c r="A51" s="90" t="s">
        <v>376</v>
      </c>
      <c r="B51" s="69">
        <f>IFERROR(B45/B25,)</f>
        <v>0.48463627007457427</v>
      </c>
      <c r="C51" s="6">
        <f>Table101291219[[#This Row],[Actual 2024]]</f>
        <v>0.48463627007457427</v>
      </c>
      <c r="D51" s="123">
        <f>IFERROR(IF(INDEX(TableOEEnormalized[LastYear Normalized OAU],MATCH($B$2,TableOEEnormalized[Unit],0))&gt;0,
   INDEX(TableOEEnormalized[LastYear Normalized OAU],MATCH($B$2,TableOEEnormalized[Unit],0)),""),Table101291219[[#This Row],[Actual 2024]])</f>
        <v>0.485911924737993</v>
      </c>
      <c r="E51" s="5">
        <f>D45/D25</f>
        <v>0.48463627007457427</v>
      </c>
      <c r="F51" s="69">
        <f>I45/I25</f>
        <v>0.48463627007457433</v>
      </c>
      <c r="G51" s="91"/>
      <c r="O51" s="95" t="s">
        <v>679</v>
      </c>
      <c r="P51" s="95" t="s">
        <v>706</v>
      </c>
      <c r="Q51" s="13" t="s">
        <v>666</v>
      </c>
      <c r="R51" s="96" t="str">
        <f t="shared" si="0"/>
        <v>Running OEE_Remarks</v>
      </c>
      <c r="S51" s="264" t="str">
        <f>G49</f>
        <v>Running OEE target</v>
      </c>
      <c r="T51" t="str">
        <f t="shared" si="1"/>
        <v>(HOT) V700 Alkox Reactor</v>
      </c>
      <c r="U51" t="s">
        <v>878</v>
      </c>
    </row>
    <row r="52" spans="1:35">
      <c r="B52" s="6"/>
      <c r="N52" s="95"/>
      <c r="O52" s="95" t="s">
        <v>679</v>
      </c>
      <c r="P52" s="95" t="s">
        <v>706</v>
      </c>
      <c r="Q52" s="13" t="s">
        <v>8</v>
      </c>
      <c r="R52" s="96" t="str">
        <f t="shared" si="0"/>
        <v>Utilization_Remarks</v>
      </c>
      <c r="S52" s="264" t="str">
        <f>G50</f>
        <v>Utilization&gt;100%; Volume does not fit capacity; Increase OEE improvement or reduce Growth expectation</v>
      </c>
      <c r="T52" t="str">
        <f t="shared" si="1"/>
        <v>(HOT) V700 Alkox Reactor</v>
      </c>
      <c r="U52" t="s">
        <v>878</v>
      </c>
    </row>
    <row r="53" spans="1:35">
      <c r="A53" s="74" t="s">
        <v>9</v>
      </c>
      <c r="B53" s="99" t="s">
        <v>692</v>
      </c>
      <c r="C53" s="99" t="s">
        <v>693</v>
      </c>
      <c r="D53" s="99" t="s">
        <v>764</v>
      </c>
      <c r="E53" s="99" t="s">
        <v>707</v>
      </c>
      <c r="F53" s="100" t="s">
        <v>694</v>
      </c>
      <c r="G53" s="100" t="s">
        <v>695</v>
      </c>
      <c r="H53" s="98" t="s">
        <v>696</v>
      </c>
      <c r="I53" s="101" t="s">
        <v>140</v>
      </c>
      <c r="J53" s="101" t="s">
        <v>667</v>
      </c>
      <c r="K53" s="101" t="s">
        <v>697</v>
      </c>
      <c r="L53" s="101" t="s">
        <v>698</v>
      </c>
      <c r="M53" s="103" t="s">
        <v>669</v>
      </c>
      <c r="O53" s="95" t="s">
        <v>679</v>
      </c>
      <c r="P53" s="95" t="s">
        <v>706</v>
      </c>
      <c r="Q53" s="13" t="s">
        <v>376</v>
      </c>
      <c r="R53" s="96" t="s">
        <v>763</v>
      </c>
      <c r="S53" s="264">
        <f>G51</f>
        <v>0</v>
      </c>
      <c r="T53" t="str">
        <f t="shared" si="1"/>
        <v>(HOT) V700 Alkox Reactor</v>
      </c>
      <c r="U53" t="s">
        <v>878</v>
      </c>
    </row>
    <row r="54" spans="1:35">
      <c r="A54" s="65" t="str">
        <f>B2</f>
        <v>(HOT) V700 Alkox Reactor</v>
      </c>
      <c r="B54" s="75">
        <f>B48</f>
        <v>0.58499964215927391</v>
      </c>
      <c r="C54" s="75">
        <f>D48</f>
        <v>0.586539472270724</v>
      </c>
      <c r="D54" s="75">
        <f>E48</f>
        <v>0.58499964215927391</v>
      </c>
      <c r="E54" s="75">
        <f>F48</f>
        <v>0.64856210187571328</v>
      </c>
      <c r="F54" s="76">
        <f>B6</f>
        <v>0</v>
      </c>
      <c r="G54" s="97">
        <f>B5</f>
        <v>0</v>
      </c>
      <c r="H54" s="76">
        <f>B14</f>
        <v>0.06</v>
      </c>
      <c r="I54" s="76" t="str">
        <f>B11</f>
        <v>Playbook Matrix Value</v>
      </c>
      <c r="J54" s="76" t="str">
        <f>B15</f>
        <v>Running OEE</v>
      </c>
      <c r="K54" s="102">
        <f>C18</f>
        <v>0</v>
      </c>
      <c r="L54" s="102">
        <f>C19</f>
        <v>0</v>
      </c>
      <c r="M54" s="104">
        <f>F49</f>
        <v>0.64856210187571328</v>
      </c>
      <c r="O54" s="95" t="s">
        <v>674</v>
      </c>
      <c r="P54" s="95" t="s">
        <v>683</v>
      </c>
      <c r="Q54" s="142" t="s">
        <v>13</v>
      </c>
      <c r="R54" s="96" t="str">
        <f t="shared" si="0"/>
        <v>MAC - Calender hours_Loss_Hours_LJ</v>
      </c>
      <c r="S54" s="267">
        <f>B25</f>
        <v>8784</v>
      </c>
      <c r="T54" t="str">
        <f t="shared" si="1"/>
        <v>(HOT) V700 Alkox Reactor</v>
      </c>
      <c r="U54" t="s">
        <v>876</v>
      </c>
    </row>
    <row r="55" spans="1:35">
      <c r="O55" s="95" t="s">
        <v>674</v>
      </c>
      <c r="P55" s="95" t="s">
        <v>683</v>
      </c>
      <c r="Q55" s="152" t="s">
        <v>7</v>
      </c>
      <c r="R55" s="96" t="str">
        <f t="shared" si="0"/>
        <v>Commercial Reliability_Loss_Hours_LJ</v>
      </c>
      <c r="S55" s="267">
        <f t="shared" ref="S55:S74" si="12">B26</f>
        <v>1506.9955549681799</v>
      </c>
      <c r="T55" t="str">
        <f t="shared" si="1"/>
        <v>(HOT) V700 Alkox Reactor</v>
      </c>
      <c r="U55" t="s">
        <v>876</v>
      </c>
    </row>
    <row r="56" spans="1:35">
      <c r="D56" s="5"/>
      <c r="O56" s="95" t="s">
        <v>674</v>
      </c>
      <c r="P56" s="95" t="s">
        <v>683</v>
      </c>
      <c r="Q56" s="152" t="s">
        <v>704</v>
      </c>
      <c r="R56" s="96" t="str">
        <f t="shared" si="0"/>
        <v>Exception hours (loss excluded from OEE)_Loss_Hours_LJ</v>
      </c>
      <c r="S56" s="267">
        <f t="shared" si="12"/>
        <v>0</v>
      </c>
      <c r="T56" t="str">
        <f t="shared" si="1"/>
        <v>(HOT) V700 Alkox Reactor</v>
      </c>
      <c r="U56" t="s">
        <v>876</v>
      </c>
    </row>
    <row r="57" spans="1:35">
      <c r="D57" s="5"/>
      <c r="F57" s="54"/>
      <c r="O57" s="95" t="s">
        <v>674</v>
      </c>
      <c r="P57" s="95" t="s">
        <v>683</v>
      </c>
      <c r="Q57" s="152" t="s">
        <v>14</v>
      </c>
      <c r="R57" s="96" t="str">
        <f t="shared" si="0"/>
        <v>Available OEE - Scheduled hours_Loss_Hours_LJ</v>
      </c>
      <c r="S57" s="267">
        <f t="shared" si="12"/>
        <v>7277.0044450318201</v>
      </c>
      <c r="T57" t="str">
        <f t="shared" si="1"/>
        <v>(HOT) V700 Alkox Reactor</v>
      </c>
      <c r="U57" t="s">
        <v>876</v>
      </c>
    </row>
    <row r="58" spans="1:35">
      <c r="B58" s="83"/>
      <c r="C58" s="51"/>
      <c r="O58" s="95" t="s">
        <v>674</v>
      </c>
      <c r="P58" s="95" t="s">
        <v>683</v>
      </c>
      <c r="Q58" s="152" t="s">
        <v>17</v>
      </c>
      <c r="R58" s="96" t="str">
        <f t="shared" si="0"/>
        <v>Equipment Reliability - Planned TA &amp; Planned SD_Loss_Hours_LJ</v>
      </c>
      <c r="S58" s="267">
        <f t="shared" si="12"/>
        <v>44.046388833325203</v>
      </c>
      <c r="T58" t="str">
        <f t="shared" si="1"/>
        <v>(HOT) V700 Alkox Reactor</v>
      </c>
      <c r="U58" t="s">
        <v>876</v>
      </c>
      <c r="AH58" s="6"/>
      <c r="AI58" s="6"/>
    </row>
    <row r="59" spans="1:35">
      <c r="B59" s="84"/>
      <c r="C59" s="53"/>
      <c r="D59" s="5"/>
      <c r="F59" s="7"/>
      <c r="O59" s="95" t="s">
        <v>674</v>
      </c>
      <c r="P59" s="95" t="s">
        <v>683</v>
      </c>
      <c r="Q59" s="152" t="s">
        <v>665</v>
      </c>
      <c r="R59" s="96" t="str">
        <f t="shared" si="0"/>
        <v>Available running OEE - Running hours_Loss_Hours_LJ</v>
      </c>
      <c r="S59" s="267">
        <f t="shared" si="12"/>
        <v>7232.9580561984949</v>
      </c>
      <c r="T59" t="str">
        <f t="shared" si="1"/>
        <v>(HOT) V700 Alkox Reactor</v>
      </c>
      <c r="U59" t="s">
        <v>876</v>
      </c>
    </row>
    <row r="60" spans="1:35" hidden="1">
      <c r="A60" s="359" t="s">
        <v>1167</v>
      </c>
      <c r="B60" s="354" t="s">
        <v>1168</v>
      </c>
      <c r="C60" s="271" t="s">
        <v>1170</v>
      </c>
      <c r="D60" s="5"/>
      <c r="O60" s="95" t="s">
        <v>674</v>
      </c>
      <c r="P60" s="95" t="s">
        <v>683</v>
      </c>
      <c r="Q60" s="152" t="s">
        <v>18</v>
      </c>
      <c r="R60" s="96" t="str">
        <f t="shared" si="0"/>
        <v>Equipment Reliability - Equipment Failure_Loss_Hours_LJ</v>
      </c>
      <c r="S60" s="267">
        <f t="shared" si="12"/>
        <v>577.48138829781487</v>
      </c>
      <c r="T60" t="str">
        <f t="shared" si="1"/>
        <v>(HOT) V700 Alkox Reactor</v>
      </c>
      <c r="U60" t="s">
        <v>876</v>
      </c>
    </row>
    <row r="61" spans="1:35">
      <c r="B61" s="53"/>
      <c r="C61" s="53"/>
      <c r="O61" s="95" t="s">
        <v>674</v>
      </c>
      <c r="P61" s="95" t="s">
        <v>683</v>
      </c>
      <c r="Q61" s="152" t="s">
        <v>1</v>
      </c>
      <c r="R61" s="96" t="str">
        <f t="shared" si="0"/>
        <v>Operational Reliability_Loss_Hours_LJ</v>
      </c>
      <c r="S61" s="267">
        <f t="shared" si="12"/>
        <v>981.48082879990898</v>
      </c>
      <c r="T61" t="str">
        <f t="shared" si="1"/>
        <v>(HOT) V700 Alkox Reactor</v>
      </c>
      <c r="U61" t="s">
        <v>876</v>
      </c>
    </row>
    <row r="62" spans="1:35">
      <c r="B62" s="53"/>
      <c r="C62" s="53"/>
      <c r="I62" s="6"/>
      <c r="J62" s="6"/>
      <c r="K62" s="6"/>
      <c r="L62" s="6"/>
      <c r="M62" s="6"/>
      <c r="O62" s="95" t="s">
        <v>674</v>
      </c>
      <c r="P62" s="95" t="s">
        <v>683</v>
      </c>
      <c r="Q62" s="152" t="s">
        <v>2</v>
      </c>
      <c r="R62" s="96" t="str">
        <f t="shared" si="0"/>
        <v>Technology Reliability_Loss_Hours_LJ</v>
      </c>
      <c r="S62" s="267">
        <f t="shared" si="12"/>
        <v>822.25938814405197</v>
      </c>
      <c r="T62" t="str">
        <f t="shared" si="1"/>
        <v>(HOT) V700 Alkox Reactor</v>
      </c>
      <c r="U62" t="s">
        <v>876</v>
      </c>
    </row>
    <row r="63" spans="1:35">
      <c r="B63" s="82"/>
      <c r="C63" s="2"/>
      <c r="O63" s="95" t="s">
        <v>674</v>
      </c>
      <c r="P63" s="95" t="s">
        <v>683</v>
      </c>
      <c r="Q63" s="152" t="s">
        <v>3</v>
      </c>
      <c r="R63" s="96" t="str">
        <f t="shared" si="0"/>
        <v>Material Reliability_Loss_Hours_LJ</v>
      </c>
      <c r="S63" s="267">
        <f t="shared" si="12"/>
        <v>74.321110633333305</v>
      </c>
      <c r="T63" t="str">
        <f t="shared" si="1"/>
        <v>(HOT) V700 Alkox Reactor</v>
      </c>
      <c r="U63" t="s">
        <v>876</v>
      </c>
    </row>
    <row r="64" spans="1:35">
      <c r="B64" s="5"/>
      <c r="O64" s="95" t="s">
        <v>674</v>
      </c>
      <c r="P64" s="95" t="s">
        <v>683</v>
      </c>
      <c r="Q64" s="152" t="s">
        <v>4</v>
      </c>
      <c r="R64" s="96" t="str">
        <f t="shared" si="0"/>
        <v>Logistics/Supply Reliability_Loss_Hours_LJ</v>
      </c>
      <c r="S64" s="267">
        <f t="shared" si="12"/>
        <v>192.251666299921</v>
      </c>
      <c r="T64" t="str">
        <f t="shared" si="1"/>
        <v>(HOT) V700 Alkox Reactor</v>
      </c>
      <c r="U64" t="s">
        <v>876</v>
      </c>
    </row>
    <row r="65" spans="15:35">
      <c r="O65" s="95" t="s">
        <v>674</v>
      </c>
      <c r="P65" s="95" t="s">
        <v>683</v>
      </c>
      <c r="Q65" s="152" t="s">
        <v>5</v>
      </c>
      <c r="R65" s="96" t="str">
        <f t="shared" si="0"/>
        <v>External Reliability_Loss_Hours_LJ</v>
      </c>
      <c r="S65" s="267">
        <f t="shared" si="12"/>
        <v>213.904444249352</v>
      </c>
      <c r="T65" t="str">
        <f t="shared" si="1"/>
        <v>(HOT) V700 Alkox Reactor</v>
      </c>
      <c r="U65" t="s">
        <v>876</v>
      </c>
    </row>
    <row r="66" spans="15:35">
      <c r="O66" s="95" t="s">
        <v>674</v>
      </c>
      <c r="P66" s="95" t="s">
        <v>683</v>
      </c>
      <c r="Q66" s="152" t="s">
        <v>11</v>
      </c>
      <c r="R66" s="96" t="str">
        <f t="shared" ref="R66:R129" si="13">IF(ISBLANK(P66),Q66,_xlfn.CONCAT(Q66,"_",P66))</f>
        <v>Other Reliability_Loss_Hours_LJ</v>
      </c>
      <c r="S66" s="267">
        <f t="shared" si="12"/>
        <v>67.690558252579905</v>
      </c>
      <c r="T66" t="str">
        <f t="shared" si="1"/>
        <v>(HOT) V700 Alkox Reactor</v>
      </c>
      <c r="U66" t="s">
        <v>876</v>
      </c>
    </row>
    <row r="67" spans="15:35">
      <c r="O67" s="95" t="s">
        <v>674</v>
      </c>
      <c r="P67" s="95" t="s">
        <v>683</v>
      </c>
      <c r="Q67" s="152" t="s">
        <v>15</v>
      </c>
      <c r="R67" s="96" t="str">
        <f t="shared" si="13"/>
        <v>Unspecified_Loss_Hours_LJ</v>
      </c>
      <c r="S67" s="267">
        <f t="shared" si="12"/>
        <v>0</v>
      </c>
      <c r="T67" t="str">
        <f t="shared" ref="T67:T130" si="14">$B$2</f>
        <v>(HOT) V700 Alkox Reactor</v>
      </c>
      <c r="U67" t="s">
        <v>876</v>
      </c>
    </row>
    <row r="68" spans="15:35">
      <c r="O68" s="95" t="s">
        <v>674</v>
      </c>
      <c r="P68" s="95" t="s">
        <v>683</v>
      </c>
      <c r="Q68" s="152" t="s">
        <v>16</v>
      </c>
      <c r="R68" s="96" t="str">
        <f t="shared" si="13"/>
        <v>Undetected_Loss_Hours_LJ</v>
      </c>
      <c r="S68" s="267">
        <f t="shared" si="12"/>
        <v>46.523675186469397</v>
      </c>
      <c r="T68" t="str">
        <f t="shared" si="14"/>
        <v>(HOT) V700 Alkox Reactor</v>
      </c>
      <c r="U68" t="s">
        <v>876</v>
      </c>
      <c r="AH68" s="6"/>
      <c r="AI68" s="6"/>
    </row>
    <row r="69" spans="15:35">
      <c r="O69" s="95" t="s">
        <v>674</v>
      </c>
      <c r="P69" s="95" t="s">
        <v>683</v>
      </c>
      <c r="Q69" s="152" t="s">
        <v>664</v>
      </c>
      <c r="R69" s="96" t="str">
        <f t="shared" si="13"/>
        <v>Exception hours_Loss_Hours_LJ</v>
      </c>
      <c r="S69" s="267">
        <f t="shared" si="12"/>
        <v>0</v>
      </c>
      <c r="T69" t="str">
        <f t="shared" si="14"/>
        <v>(HOT) V700 Alkox Reactor</v>
      </c>
      <c r="U69" t="s">
        <v>876</v>
      </c>
      <c r="AH69" s="6"/>
      <c r="AI69" s="6"/>
    </row>
    <row r="70" spans="15:35">
      <c r="O70" s="95" t="s">
        <v>674</v>
      </c>
      <c r="P70" s="95" t="s">
        <v>683</v>
      </c>
      <c r="Q70" s="152" t="s">
        <v>703</v>
      </c>
      <c r="R70" s="96" t="str">
        <f t="shared" si="13"/>
        <v>Extra loss hours in baseline due to MAC change_Loss_Hours_LJ</v>
      </c>
      <c r="S70" s="267">
        <f t="shared" si="12"/>
        <v>0</v>
      </c>
      <c r="T70" t="str">
        <f t="shared" si="14"/>
        <v>(HOT) V700 Alkox Reactor</v>
      </c>
      <c r="U70" t="s">
        <v>876</v>
      </c>
      <c r="AH70" s="6"/>
      <c r="AI70" s="6"/>
    </row>
    <row r="71" spans="15:35">
      <c r="O71" s="95" t="s">
        <v>674</v>
      </c>
      <c r="P71" s="95" t="s">
        <v>683</v>
      </c>
      <c r="Q71" s="152" t="s">
        <v>705</v>
      </c>
      <c r="R71" s="96" t="str">
        <f t="shared" si="13"/>
        <v>Improvement target not assigned_Loss_Hours_LJ</v>
      </c>
      <c r="S71" s="267">
        <f t="shared" si="12"/>
        <v>0</v>
      </c>
      <c r="T71" t="str">
        <f t="shared" si="14"/>
        <v>(HOT) V700 Alkox Reactor</v>
      </c>
      <c r="U71" t="s">
        <v>876</v>
      </c>
    </row>
    <row r="72" spans="15:35">
      <c r="O72" s="95" t="s">
        <v>674</v>
      </c>
      <c r="P72" s="95" t="s">
        <v>683</v>
      </c>
      <c r="Q72" s="152" t="s">
        <v>397</v>
      </c>
      <c r="R72" s="96" t="str">
        <f t="shared" si="13"/>
        <v>Sum OEE losses (exluding Planned Maintenance)_Loss_Hours_LJ</v>
      </c>
      <c r="S72" s="267">
        <f t="shared" si="12"/>
        <v>2975.9130598634315</v>
      </c>
      <c r="T72" t="str">
        <f t="shared" si="14"/>
        <v>(HOT) V700 Alkox Reactor</v>
      </c>
      <c r="U72" t="s">
        <v>876</v>
      </c>
    </row>
    <row r="73" spans="15:35">
      <c r="O73" s="95" t="s">
        <v>675</v>
      </c>
      <c r="P73" s="95" t="s">
        <v>683</v>
      </c>
      <c r="Q73" s="152" t="s">
        <v>398</v>
      </c>
      <c r="R73" s="96" t="str">
        <f t="shared" si="13"/>
        <v>Sum OEE losses (Including Planned Maintenance)_Loss_Hours_LJ</v>
      </c>
      <c r="S73" s="267">
        <f t="shared" si="12"/>
        <v>3019.9594486967567</v>
      </c>
      <c r="T73" t="str">
        <f t="shared" si="14"/>
        <v>(HOT) V700 Alkox Reactor</v>
      </c>
      <c r="U73" t="s">
        <v>876</v>
      </c>
    </row>
    <row r="74" spans="15:35">
      <c r="O74" s="95" t="s">
        <v>675</v>
      </c>
      <c r="P74" s="95" t="s">
        <v>683</v>
      </c>
      <c r="Q74" s="152" t="s">
        <v>712</v>
      </c>
      <c r="R74" s="96" t="str">
        <f t="shared" si="13"/>
        <v>Production hours on MAC (h) / OEE (%)_Loss_Hours_LJ</v>
      </c>
      <c r="S74" s="267">
        <f t="shared" si="12"/>
        <v>4257.0449963350602</v>
      </c>
      <c r="T74" t="str">
        <f t="shared" si="14"/>
        <v>(HOT) V700 Alkox Reactor</v>
      </c>
      <c r="U74" t="s">
        <v>876</v>
      </c>
    </row>
    <row r="75" spans="15:35">
      <c r="O75" s="95" t="s">
        <v>675</v>
      </c>
      <c r="P75" s="95" t="s">
        <v>682</v>
      </c>
      <c r="Q75" s="143" t="s">
        <v>13</v>
      </c>
      <c r="R75" s="96" t="str">
        <f t="shared" si="13"/>
        <v>MAC - Calender hours_Loss_Percentage_LJ</v>
      </c>
      <c r="S75" s="268">
        <f>C25</f>
        <v>0</v>
      </c>
      <c r="T75" t="str">
        <f t="shared" si="14"/>
        <v>(HOT) V700 Alkox Reactor</v>
      </c>
      <c r="U75" t="s">
        <v>876</v>
      </c>
    </row>
    <row r="76" spans="15:35">
      <c r="O76" s="95" t="s">
        <v>675</v>
      </c>
      <c r="P76" s="95" t="s">
        <v>682</v>
      </c>
      <c r="Q76" s="153" t="s">
        <v>7</v>
      </c>
      <c r="R76" s="96" t="str">
        <f t="shared" si="13"/>
        <v>Commercial Reliability_Loss_Percentage_LJ</v>
      </c>
      <c r="S76" s="268">
        <f t="shared" ref="S76:S95" si="15">C26</f>
        <v>0</v>
      </c>
      <c r="T76" t="str">
        <f t="shared" si="14"/>
        <v>(HOT) V700 Alkox Reactor</v>
      </c>
      <c r="U76" t="s">
        <v>876</v>
      </c>
    </row>
    <row r="77" spans="15:35">
      <c r="O77" s="95" t="s">
        <v>675</v>
      </c>
      <c r="P77" s="95" t="s">
        <v>682</v>
      </c>
      <c r="Q77" s="153" t="s">
        <v>704</v>
      </c>
      <c r="R77" s="96" t="str">
        <f t="shared" si="13"/>
        <v>Exception hours (loss excluded from OEE)_Loss_Percentage_LJ</v>
      </c>
      <c r="S77" s="268">
        <f t="shared" si="15"/>
        <v>0</v>
      </c>
      <c r="T77" t="str">
        <f t="shared" si="14"/>
        <v>(HOT) V700 Alkox Reactor</v>
      </c>
      <c r="U77" t="s">
        <v>876</v>
      </c>
    </row>
    <row r="78" spans="15:35">
      <c r="O78" s="95" t="s">
        <v>675</v>
      </c>
      <c r="P78" s="95" t="s">
        <v>682</v>
      </c>
      <c r="Q78" s="153" t="s">
        <v>14</v>
      </c>
      <c r="R78" s="96" t="str">
        <f t="shared" si="13"/>
        <v>Available OEE - Scheduled hours_Loss_Percentage_LJ</v>
      </c>
      <c r="S78" s="268">
        <f t="shared" si="15"/>
        <v>1</v>
      </c>
      <c r="T78" t="str">
        <f t="shared" si="14"/>
        <v>(HOT) V700 Alkox Reactor</v>
      </c>
      <c r="U78" t="s">
        <v>876</v>
      </c>
    </row>
    <row r="79" spans="15:35">
      <c r="O79" s="95" t="s">
        <v>675</v>
      </c>
      <c r="P79" s="95" t="s">
        <v>682</v>
      </c>
      <c r="Q79" s="153" t="s">
        <v>17</v>
      </c>
      <c r="R79" s="96" t="str">
        <f t="shared" si="13"/>
        <v>Equipment Reliability - Planned TA &amp; Planned SD_Loss_Percentage_LJ</v>
      </c>
      <c r="S79" s="268">
        <f t="shared" si="15"/>
        <v>6.0528187341422745E-3</v>
      </c>
      <c r="T79" t="str">
        <f t="shared" si="14"/>
        <v>(HOT) V700 Alkox Reactor</v>
      </c>
      <c r="U79" t="s">
        <v>876</v>
      </c>
    </row>
    <row r="80" spans="15:35">
      <c r="O80" s="95" t="s">
        <v>675</v>
      </c>
      <c r="P80" s="95" t="s">
        <v>682</v>
      </c>
      <c r="Q80" s="153" t="s">
        <v>665</v>
      </c>
      <c r="R80" s="96" t="str">
        <f t="shared" si="13"/>
        <v>Available running OEE - Running hours_Loss_Percentage_LJ</v>
      </c>
      <c r="S80" s="268">
        <f t="shared" si="15"/>
        <v>0.99394718126585768</v>
      </c>
      <c r="T80" t="str">
        <f t="shared" si="14"/>
        <v>(HOT) V700 Alkox Reactor</v>
      </c>
      <c r="U80" t="s">
        <v>876</v>
      </c>
    </row>
    <row r="81" spans="15:21">
      <c r="O81" s="95" t="s">
        <v>675</v>
      </c>
      <c r="P81" s="95" t="s">
        <v>682</v>
      </c>
      <c r="Q81" s="153" t="s">
        <v>18</v>
      </c>
      <c r="R81" s="96" t="str">
        <f t="shared" si="13"/>
        <v>Equipment Reliability - Equipment Failure_Loss_Percentage_LJ</v>
      </c>
      <c r="S81" s="268">
        <f t="shared" si="15"/>
        <v>7.9357020139251777E-2</v>
      </c>
      <c r="T81" t="str">
        <f t="shared" si="14"/>
        <v>(HOT) V700 Alkox Reactor</v>
      </c>
      <c r="U81" t="s">
        <v>876</v>
      </c>
    </row>
    <row r="82" spans="15:21">
      <c r="O82" s="95" t="s">
        <v>675</v>
      </c>
      <c r="P82" s="95" t="s">
        <v>682</v>
      </c>
      <c r="Q82" s="153" t="s">
        <v>1</v>
      </c>
      <c r="R82" s="96" t="str">
        <f t="shared" si="13"/>
        <v>Operational Reliability_Loss_Percentage_LJ</v>
      </c>
      <c r="S82" s="268">
        <f t="shared" si="15"/>
        <v>0.13487429287884917</v>
      </c>
      <c r="T82" t="str">
        <f t="shared" si="14"/>
        <v>(HOT) V700 Alkox Reactor</v>
      </c>
      <c r="U82" t="s">
        <v>876</v>
      </c>
    </row>
    <row r="83" spans="15:21">
      <c r="O83" s="95" t="s">
        <v>675</v>
      </c>
      <c r="P83" s="95" t="s">
        <v>682</v>
      </c>
      <c r="Q83" s="153" t="s">
        <v>2</v>
      </c>
      <c r="R83" s="96" t="str">
        <f t="shared" si="13"/>
        <v>Technology Reliability_Loss_Percentage_LJ</v>
      </c>
      <c r="S83" s="268">
        <f t="shared" si="15"/>
        <v>0.11299421270869603</v>
      </c>
      <c r="T83" t="str">
        <f t="shared" si="14"/>
        <v>(HOT) V700 Alkox Reactor</v>
      </c>
      <c r="U83" t="s">
        <v>876</v>
      </c>
    </row>
    <row r="84" spans="15:21">
      <c r="O84" s="95" t="s">
        <v>675</v>
      </c>
      <c r="P84" s="95" t="s">
        <v>682</v>
      </c>
      <c r="Q84" s="153" t="s">
        <v>3</v>
      </c>
      <c r="R84" s="96" t="str">
        <f t="shared" si="13"/>
        <v>Material Reliability_Loss_Percentage_LJ</v>
      </c>
      <c r="S84" s="268">
        <f t="shared" si="15"/>
        <v>1.0213146246471521E-2</v>
      </c>
      <c r="T84" t="str">
        <f t="shared" si="14"/>
        <v>(HOT) V700 Alkox Reactor</v>
      </c>
      <c r="U84" t="s">
        <v>876</v>
      </c>
    </row>
    <row r="85" spans="15:21">
      <c r="O85" s="95" t="s">
        <v>675</v>
      </c>
      <c r="P85" s="95" t="s">
        <v>682</v>
      </c>
      <c r="Q85" s="153" t="s">
        <v>4</v>
      </c>
      <c r="R85" s="96" t="str">
        <f t="shared" si="13"/>
        <v>Logistics/Supply Reliability_Loss_Percentage_LJ</v>
      </c>
      <c r="S85" s="268">
        <f t="shared" si="15"/>
        <v>2.6419066767394334E-2</v>
      </c>
      <c r="T85" t="str">
        <f t="shared" si="14"/>
        <v>(HOT) V700 Alkox Reactor</v>
      </c>
      <c r="U85" t="s">
        <v>876</v>
      </c>
    </row>
    <row r="86" spans="15:21">
      <c r="O86" s="95" t="s">
        <v>675</v>
      </c>
      <c r="P86" s="95" t="s">
        <v>682</v>
      </c>
      <c r="Q86" s="153" t="s">
        <v>5</v>
      </c>
      <c r="R86" s="96" t="str">
        <f t="shared" si="13"/>
        <v>External Reliability_Loss_Percentage_LJ</v>
      </c>
      <c r="S86" s="268">
        <f t="shared" si="15"/>
        <v>2.9394573806449924E-2</v>
      </c>
      <c r="T86" t="str">
        <f t="shared" si="14"/>
        <v>(HOT) V700 Alkox Reactor</v>
      </c>
      <c r="U86" t="s">
        <v>876</v>
      </c>
    </row>
    <row r="87" spans="15:21">
      <c r="O87" s="95" t="s">
        <v>675</v>
      </c>
      <c r="P87" s="95" t="s">
        <v>682</v>
      </c>
      <c r="Q87" s="153" t="s">
        <v>11</v>
      </c>
      <c r="R87" s="96" t="str">
        <f t="shared" si="13"/>
        <v>Other Reliability_Loss_Percentage_LJ</v>
      </c>
      <c r="S87" s="268">
        <f t="shared" si="15"/>
        <v>9.3019811605026329E-3</v>
      </c>
      <c r="T87" t="str">
        <f t="shared" si="14"/>
        <v>(HOT) V700 Alkox Reactor</v>
      </c>
      <c r="U87" t="s">
        <v>876</v>
      </c>
    </row>
    <row r="88" spans="15:21">
      <c r="O88" s="95" t="s">
        <v>675</v>
      </c>
      <c r="P88" s="95" t="s">
        <v>682</v>
      </c>
      <c r="Q88" s="153" t="s">
        <v>15</v>
      </c>
      <c r="R88" s="96" t="str">
        <f t="shared" si="13"/>
        <v>Unspecified_Loss_Percentage_LJ</v>
      </c>
      <c r="S88" s="268">
        <f t="shared" si="15"/>
        <v>0</v>
      </c>
      <c r="T88" t="str">
        <f t="shared" si="14"/>
        <v>(HOT) V700 Alkox Reactor</v>
      </c>
      <c r="U88" t="s">
        <v>876</v>
      </c>
    </row>
    <row r="89" spans="15:21">
      <c r="O89" s="95" t="s">
        <v>675</v>
      </c>
      <c r="P89" s="95" t="s">
        <v>682</v>
      </c>
      <c r="Q89" s="153" t="s">
        <v>16</v>
      </c>
      <c r="R89" s="96" t="str">
        <f t="shared" si="13"/>
        <v>Undetected_Loss_Percentage_LJ</v>
      </c>
      <c r="S89" s="268">
        <f t="shared" si="15"/>
        <v>6.3932453989680041E-3</v>
      </c>
      <c r="T89" t="str">
        <f t="shared" si="14"/>
        <v>(HOT) V700 Alkox Reactor</v>
      </c>
      <c r="U89" t="s">
        <v>876</v>
      </c>
    </row>
    <row r="90" spans="15:21">
      <c r="O90" s="95" t="s">
        <v>675</v>
      </c>
      <c r="P90" s="95" t="s">
        <v>682</v>
      </c>
      <c r="Q90" s="153" t="s">
        <v>664</v>
      </c>
      <c r="R90" s="96" t="str">
        <f t="shared" si="13"/>
        <v>Exception hours_Loss_Percentage_LJ</v>
      </c>
      <c r="S90" s="268">
        <f t="shared" si="15"/>
        <v>0</v>
      </c>
      <c r="T90" t="str">
        <f t="shared" si="14"/>
        <v>(HOT) V700 Alkox Reactor</v>
      </c>
      <c r="U90" t="s">
        <v>876</v>
      </c>
    </row>
    <row r="91" spans="15:21">
      <c r="O91" s="95" t="s">
        <v>675</v>
      </c>
      <c r="P91" s="95" t="s">
        <v>682</v>
      </c>
      <c r="Q91" s="153" t="s">
        <v>703</v>
      </c>
      <c r="R91" s="96" t="str">
        <f t="shared" si="13"/>
        <v>Extra loss hours in baseline due to MAC change_Loss_Percentage_LJ</v>
      </c>
      <c r="S91" s="268">
        <f t="shared" si="15"/>
        <v>0</v>
      </c>
      <c r="T91" t="str">
        <f t="shared" si="14"/>
        <v>(HOT) V700 Alkox Reactor</v>
      </c>
      <c r="U91" t="s">
        <v>876</v>
      </c>
    </row>
    <row r="92" spans="15:21">
      <c r="O92" s="95" t="s">
        <v>675</v>
      </c>
      <c r="P92" s="95" t="s">
        <v>682</v>
      </c>
      <c r="Q92" s="153" t="s">
        <v>705</v>
      </c>
      <c r="R92" s="96" t="str">
        <f t="shared" si="13"/>
        <v>Improvement target not assigned_Loss_Percentage_LJ</v>
      </c>
      <c r="S92" s="268">
        <f t="shared" si="15"/>
        <v>0</v>
      </c>
      <c r="T92" t="str">
        <f t="shared" si="14"/>
        <v>(HOT) V700 Alkox Reactor</v>
      </c>
      <c r="U92" t="s">
        <v>876</v>
      </c>
    </row>
    <row r="93" spans="15:21">
      <c r="O93" s="95" t="s">
        <v>675</v>
      </c>
      <c r="P93" s="95" t="s">
        <v>682</v>
      </c>
      <c r="Q93" s="153" t="s">
        <v>397</v>
      </c>
      <c r="R93" s="96" t="str">
        <f t="shared" si="13"/>
        <v>Sum OEE losses (exluding Planned Maintenance)_Loss_Percentage_LJ</v>
      </c>
      <c r="S93" s="268">
        <f t="shared" si="15"/>
        <v>0.40894753910658338</v>
      </c>
      <c r="T93" t="str">
        <f t="shared" si="14"/>
        <v>(HOT) V700 Alkox Reactor</v>
      </c>
      <c r="U93" t="s">
        <v>876</v>
      </c>
    </row>
    <row r="94" spans="15:21">
      <c r="O94" s="95" t="s">
        <v>675</v>
      </c>
      <c r="P94" s="95" t="s">
        <v>682</v>
      </c>
      <c r="Q94" s="153" t="s">
        <v>398</v>
      </c>
      <c r="R94" s="96" t="str">
        <f t="shared" si="13"/>
        <v>Sum OEE losses (Including Planned Maintenance)_Loss_Percentage_LJ</v>
      </c>
      <c r="S94" s="268">
        <f t="shared" si="15"/>
        <v>0.4150003578407257</v>
      </c>
      <c r="T94" t="str">
        <f t="shared" si="14"/>
        <v>(HOT) V700 Alkox Reactor</v>
      </c>
      <c r="U94" t="s">
        <v>876</v>
      </c>
    </row>
    <row r="95" spans="15:21">
      <c r="O95" s="95" t="s">
        <v>675</v>
      </c>
      <c r="P95" s="95" t="s">
        <v>682</v>
      </c>
      <c r="Q95" s="153" t="s">
        <v>712</v>
      </c>
      <c r="R95" s="96" t="str">
        <f t="shared" si="13"/>
        <v>Production hours on MAC (h) / OEE (%)_Loss_Percentage_LJ</v>
      </c>
      <c r="S95" s="268">
        <f t="shared" si="15"/>
        <v>0.58499964215927391</v>
      </c>
      <c r="T95" t="str">
        <f t="shared" si="14"/>
        <v>(HOT) V700 Alkox Reactor</v>
      </c>
      <c r="U95" t="s">
        <v>876</v>
      </c>
    </row>
    <row r="96" spans="15:21">
      <c r="O96" s="95" t="s">
        <v>676</v>
      </c>
      <c r="P96" s="95" t="s">
        <v>725</v>
      </c>
      <c r="Q96" s="142" t="s">
        <v>13</v>
      </c>
      <c r="R96" s="96" t="str">
        <f t="shared" si="13"/>
        <v>MAC - Calender hours_Corrected_loss_hours_LY</v>
      </c>
      <c r="S96" s="265">
        <f>D25</f>
        <v>8784</v>
      </c>
      <c r="T96" t="str">
        <f t="shared" si="14"/>
        <v>(HOT) V700 Alkox Reactor</v>
      </c>
      <c r="U96" t="s">
        <v>876</v>
      </c>
    </row>
    <row r="97" spans="15:21">
      <c r="O97" s="95" t="s">
        <v>676</v>
      </c>
      <c r="P97" s="95" t="s">
        <v>725</v>
      </c>
      <c r="Q97" s="152" t="s">
        <v>7</v>
      </c>
      <c r="R97" s="96" t="str">
        <f t="shared" si="13"/>
        <v>Commercial Reliability_Corrected_loss_hours_LY</v>
      </c>
      <c r="S97" s="265">
        <f t="shared" ref="S97:S116" si="16">D26</f>
        <v>1506.9955549681799</v>
      </c>
      <c r="T97" t="str">
        <f t="shared" si="14"/>
        <v>(HOT) V700 Alkox Reactor</v>
      </c>
      <c r="U97" t="s">
        <v>876</v>
      </c>
    </row>
    <row r="98" spans="15:21">
      <c r="O98" s="95" t="s">
        <v>676</v>
      </c>
      <c r="P98" s="95" t="s">
        <v>725</v>
      </c>
      <c r="Q98" s="152" t="s">
        <v>704</v>
      </c>
      <c r="R98" s="96" t="str">
        <f t="shared" si="13"/>
        <v>Exception hours (loss excluded from OEE)_Corrected_loss_hours_LY</v>
      </c>
      <c r="S98" s="265">
        <f t="shared" si="16"/>
        <v>0</v>
      </c>
      <c r="T98" t="str">
        <f t="shared" si="14"/>
        <v>(HOT) V700 Alkox Reactor</v>
      </c>
      <c r="U98" t="s">
        <v>876</v>
      </c>
    </row>
    <row r="99" spans="15:21">
      <c r="O99" s="95" t="s">
        <v>676</v>
      </c>
      <c r="P99" s="95" t="s">
        <v>725</v>
      </c>
      <c r="Q99" s="152" t="s">
        <v>14</v>
      </c>
      <c r="R99" s="96" t="str">
        <f t="shared" si="13"/>
        <v>Available OEE - Scheduled hours_Corrected_loss_hours_LY</v>
      </c>
      <c r="S99" s="265">
        <f t="shared" si="16"/>
        <v>7277.0044450318201</v>
      </c>
      <c r="T99" t="str">
        <f t="shared" si="14"/>
        <v>(HOT) V700 Alkox Reactor</v>
      </c>
      <c r="U99" t="s">
        <v>876</v>
      </c>
    </row>
    <row r="100" spans="15:21">
      <c r="O100" s="95" t="s">
        <v>676</v>
      </c>
      <c r="P100" s="95" t="s">
        <v>725</v>
      </c>
      <c r="Q100" s="152" t="s">
        <v>17</v>
      </c>
      <c r="R100" s="96" t="str">
        <f t="shared" si="13"/>
        <v>Equipment Reliability - Planned TA &amp; Planned SD_Corrected_loss_hours_LY</v>
      </c>
      <c r="S100" s="265">
        <f t="shared" si="16"/>
        <v>44.046388833325203</v>
      </c>
      <c r="T100" t="str">
        <f t="shared" si="14"/>
        <v>(HOT) V700 Alkox Reactor</v>
      </c>
      <c r="U100" t="s">
        <v>876</v>
      </c>
    </row>
    <row r="101" spans="15:21">
      <c r="O101" s="95" t="s">
        <v>676</v>
      </c>
      <c r="P101" s="95" t="s">
        <v>725</v>
      </c>
      <c r="Q101" s="152" t="s">
        <v>665</v>
      </c>
      <c r="R101" s="96" t="str">
        <f t="shared" si="13"/>
        <v>Available running OEE - Running hours_Corrected_loss_hours_LY</v>
      </c>
      <c r="S101" s="265">
        <f t="shared" si="16"/>
        <v>7232.9580561984949</v>
      </c>
      <c r="T101" t="str">
        <f t="shared" si="14"/>
        <v>(HOT) V700 Alkox Reactor</v>
      </c>
      <c r="U101" t="s">
        <v>876</v>
      </c>
    </row>
    <row r="102" spans="15:21">
      <c r="O102" s="95" t="s">
        <v>676</v>
      </c>
      <c r="P102" s="95" t="s">
        <v>725</v>
      </c>
      <c r="Q102" s="152" t="s">
        <v>18</v>
      </c>
      <c r="R102" s="96" t="str">
        <f t="shared" si="13"/>
        <v>Equipment Reliability - Equipment Failure_Corrected_loss_hours_LY</v>
      </c>
      <c r="S102" s="265">
        <f t="shared" si="16"/>
        <v>577.48138829781487</v>
      </c>
      <c r="T102" t="str">
        <f t="shared" si="14"/>
        <v>(HOT) V700 Alkox Reactor</v>
      </c>
      <c r="U102" t="s">
        <v>876</v>
      </c>
    </row>
    <row r="103" spans="15:21">
      <c r="O103" s="95" t="s">
        <v>676</v>
      </c>
      <c r="P103" s="95" t="s">
        <v>725</v>
      </c>
      <c r="Q103" s="152" t="s">
        <v>1</v>
      </c>
      <c r="R103" s="96" t="str">
        <f t="shared" si="13"/>
        <v>Operational Reliability_Corrected_loss_hours_LY</v>
      </c>
      <c r="S103" s="265">
        <f t="shared" si="16"/>
        <v>981.48082879990898</v>
      </c>
      <c r="T103" t="str">
        <f t="shared" si="14"/>
        <v>(HOT) V700 Alkox Reactor</v>
      </c>
      <c r="U103" t="s">
        <v>876</v>
      </c>
    </row>
    <row r="104" spans="15:21">
      <c r="O104" s="95" t="s">
        <v>676</v>
      </c>
      <c r="P104" s="95" t="s">
        <v>725</v>
      </c>
      <c r="Q104" s="152" t="s">
        <v>2</v>
      </c>
      <c r="R104" s="96" t="str">
        <f t="shared" si="13"/>
        <v>Technology Reliability_Corrected_loss_hours_LY</v>
      </c>
      <c r="S104" s="265">
        <f t="shared" si="16"/>
        <v>822.25938814405197</v>
      </c>
      <c r="T104" t="str">
        <f t="shared" si="14"/>
        <v>(HOT) V700 Alkox Reactor</v>
      </c>
      <c r="U104" t="s">
        <v>876</v>
      </c>
    </row>
    <row r="105" spans="15:21">
      <c r="O105" s="95" t="s">
        <v>676</v>
      </c>
      <c r="P105" s="95" t="s">
        <v>725</v>
      </c>
      <c r="Q105" s="152" t="s">
        <v>3</v>
      </c>
      <c r="R105" s="96" t="str">
        <f t="shared" si="13"/>
        <v>Material Reliability_Corrected_loss_hours_LY</v>
      </c>
      <c r="S105" s="265">
        <f t="shared" si="16"/>
        <v>74.321110633333305</v>
      </c>
      <c r="T105" t="str">
        <f t="shared" si="14"/>
        <v>(HOT) V700 Alkox Reactor</v>
      </c>
      <c r="U105" t="s">
        <v>876</v>
      </c>
    </row>
    <row r="106" spans="15:21">
      <c r="O106" s="95" t="s">
        <v>676</v>
      </c>
      <c r="P106" s="95" t="s">
        <v>725</v>
      </c>
      <c r="Q106" s="152" t="s">
        <v>4</v>
      </c>
      <c r="R106" s="96" t="str">
        <f t="shared" si="13"/>
        <v>Logistics/Supply Reliability_Corrected_loss_hours_LY</v>
      </c>
      <c r="S106" s="265">
        <f t="shared" si="16"/>
        <v>192.251666299921</v>
      </c>
      <c r="T106" t="str">
        <f t="shared" si="14"/>
        <v>(HOT) V700 Alkox Reactor</v>
      </c>
      <c r="U106" t="s">
        <v>876</v>
      </c>
    </row>
    <row r="107" spans="15:21">
      <c r="O107" s="95" t="s">
        <v>676</v>
      </c>
      <c r="P107" s="95" t="s">
        <v>725</v>
      </c>
      <c r="Q107" s="152" t="s">
        <v>5</v>
      </c>
      <c r="R107" s="96" t="str">
        <f t="shared" si="13"/>
        <v>External Reliability_Corrected_loss_hours_LY</v>
      </c>
      <c r="S107" s="265">
        <f t="shared" si="16"/>
        <v>213.904444249352</v>
      </c>
      <c r="T107" t="str">
        <f t="shared" si="14"/>
        <v>(HOT) V700 Alkox Reactor</v>
      </c>
      <c r="U107" t="s">
        <v>876</v>
      </c>
    </row>
    <row r="108" spans="15:21">
      <c r="O108" s="95" t="s">
        <v>676</v>
      </c>
      <c r="P108" s="95" t="s">
        <v>725</v>
      </c>
      <c r="Q108" s="152" t="s">
        <v>11</v>
      </c>
      <c r="R108" s="96" t="str">
        <f t="shared" si="13"/>
        <v>Other Reliability_Corrected_loss_hours_LY</v>
      </c>
      <c r="S108" s="265">
        <f t="shared" si="16"/>
        <v>67.690558252579905</v>
      </c>
      <c r="T108" t="str">
        <f t="shared" si="14"/>
        <v>(HOT) V700 Alkox Reactor</v>
      </c>
      <c r="U108" t="s">
        <v>876</v>
      </c>
    </row>
    <row r="109" spans="15:21">
      <c r="O109" s="95" t="s">
        <v>676</v>
      </c>
      <c r="P109" s="95" t="s">
        <v>725</v>
      </c>
      <c r="Q109" s="152" t="s">
        <v>15</v>
      </c>
      <c r="R109" s="96" t="str">
        <f t="shared" si="13"/>
        <v>Unspecified_Corrected_loss_hours_LY</v>
      </c>
      <c r="S109" s="265">
        <f t="shared" si="16"/>
        <v>0</v>
      </c>
      <c r="T109" t="str">
        <f t="shared" si="14"/>
        <v>(HOT) V700 Alkox Reactor</v>
      </c>
      <c r="U109" t="s">
        <v>876</v>
      </c>
    </row>
    <row r="110" spans="15:21">
      <c r="O110" s="95" t="s">
        <v>676</v>
      </c>
      <c r="P110" s="95" t="s">
        <v>725</v>
      </c>
      <c r="Q110" s="152" t="s">
        <v>16</v>
      </c>
      <c r="R110" s="96" t="str">
        <f t="shared" si="13"/>
        <v>Undetected_Corrected_loss_hours_LY</v>
      </c>
      <c r="S110" s="265">
        <f t="shared" si="16"/>
        <v>46.523675186469397</v>
      </c>
      <c r="T110" t="str">
        <f t="shared" si="14"/>
        <v>(HOT) V700 Alkox Reactor</v>
      </c>
      <c r="U110" t="s">
        <v>876</v>
      </c>
    </row>
    <row r="111" spans="15:21">
      <c r="O111" s="95" t="s">
        <v>676</v>
      </c>
      <c r="P111" s="95" t="s">
        <v>725</v>
      </c>
      <c r="Q111" s="152" t="s">
        <v>664</v>
      </c>
      <c r="R111" s="96" t="str">
        <f t="shared" si="13"/>
        <v>Exception hours_Corrected_loss_hours_LY</v>
      </c>
      <c r="S111" s="265">
        <f t="shared" si="16"/>
        <v>0</v>
      </c>
      <c r="T111" t="str">
        <f t="shared" si="14"/>
        <v>(HOT) V700 Alkox Reactor</v>
      </c>
      <c r="U111" t="s">
        <v>876</v>
      </c>
    </row>
    <row r="112" spans="15:21">
      <c r="O112" s="95" t="s">
        <v>676</v>
      </c>
      <c r="P112" s="95" t="s">
        <v>725</v>
      </c>
      <c r="Q112" s="152" t="s">
        <v>703</v>
      </c>
      <c r="R112" s="96" t="str">
        <f t="shared" si="13"/>
        <v>Extra loss hours in baseline due to MAC change_Corrected_loss_hours_LY</v>
      </c>
      <c r="S112" s="265">
        <f t="shared" si="16"/>
        <v>0</v>
      </c>
      <c r="T112" t="str">
        <f t="shared" si="14"/>
        <v>(HOT) V700 Alkox Reactor</v>
      </c>
      <c r="U112" t="s">
        <v>876</v>
      </c>
    </row>
    <row r="113" spans="15:21">
      <c r="O113" s="95" t="s">
        <v>676</v>
      </c>
      <c r="P113" s="95" t="s">
        <v>725</v>
      </c>
      <c r="Q113" s="152" t="s">
        <v>705</v>
      </c>
      <c r="R113" s="96" t="str">
        <f t="shared" si="13"/>
        <v>Improvement target not assigned_Corrected_loss_hours_LY</v>
      </c>
      <c r="S113" s="265">
        <f t="shared" si="16"/>
        <v>0</v>
      </c>
      <c r="T113" t="str">
        <f t="shared" si="14"/>
        <v>(HOT) V700 Alkox Reactor</v>
      </c>
      <c r="U113" t="s">
        <v>876</v>
      </c>
    </row>
    <row r="114" spans="15:21">
      <c r="O114" s="95" t="s">
        <v>676</v>
      </c>
      <c r="P114" s="95" t="s">
        <v>725</v>
      </c>
      <c r="Q114" s="152" t="s">
        <v>397</v>
      </c>
      <c r="R114" s="96" t="str">
        <f t="shared" si="13"/>
        <v>Sum OEE losses (exluding Planned Maintenance)_Corrected_loss_hours_LY</v>
      </c>
      <c r="S114" s="265">
        <f t="shared" si="16"/>
        <v>2975.9130598634315</v>
      </c>
      <c r="T114" t="str">
        <f t="shared" si="14"/>
        <v>(HOT) V700 Alkox Reactor</v>
      </c>
      <c r="U114" t="s">
        <v>876</v>
      </c>
    </row>
    <row r="115" spans="15:21">
      <c r="O115" s="95" t="s">
        <v>676</v>
      </c>
      <c r="P115" s="95" t="s">
        <v>725</v>
      </c>
      <c r="Q115" s="152" t="s">
        <v>398</v>
      </c>
      <c r="R115" s="96" t="str">
        <f t="shared" si="13"/>
        <v>Sum OEE losses (Including Planned Maintenance)_Corrected_loss_hours_LY</v>
      </c>
      <c r="S115" s="265">
        <f t="shared" si="16"/>
        <v>3019.9594486967567</v>
      </c>
      <c r="T115" t="str">
        <f t="shared" si="14"/>
        <v>(HOT) V700 Alkox Reactor</v>
      </c>
      <c r="U115" t="s">
        <v>876</v>
      </c>
    </row>
    <row r="116" spans="15:21">
      <c r="O116" s="95" t="s">
        <v>676</v>
      </c>
      <c r="P116" s="95" t="s">
        <v>725</v>
      </c>
      <c r="Q116" s="152" t="s">
        <v>712</v>
      </c>
      <c r="R116" s="96" t="str">
        <f t="shared" si="13"/>
        <v>Production hours on MAC (h) / OEE (%)_Corrected_loss_hours_LY</v>
      </c>
      <c r="S116" s="265">
        <f t="shared" si="16"/>
        <v>4257.0449963350602</v>
      </c>
      <c r="T116" t="str">
        <f t="shared" si="14"/>
        <v>(HOT) V700 Alkox Reactor</v>
      </c>
      <c r="U116" t="s">
        <v>876</v>
      </c>
    </row>
    <row r="117" spans="15:21">
      <c r="O117" s="95" t="s">
        <v>677</v>
      </c>
      <c r="P117" s="95" t="s">
        <v>726</v>
      </c>
      <c r="Q117" s="143" t="s">
        <v>13</v>
      </c>
      <c r="R117" s="96" t="str">
        <f t="shared" si="13"/>
        <v>MAC - Calender hours_Corrected_loss_percentage_LY</v>
      </c>
      <c r="S117" s="264">
        <f>E25</f>
        <v>0</v>
      </c>
      <c r="T117" t="str">
        <f t="shared" si="14"/>
        <v>(HOT) V700 Alkox Reactor</v>
      </c>
      <c r="U117" t="s">
        <v>876</v>
      </c>
    </row>
    <row r="118" spans="15:21">
      <c r="O118" s="95" t="s">
        <v>677</v>
      </c>
      <c r="P118" s="95" t="s">
        <v>726</v>
      </c>
      <c r="Q118" s="153" t="s">
        <v>7</v>
      </c>
      <c r="R118" s="96" t="str">
        <f t="shared" si="13"/>
        <v>Commercial Reliability_Corrected_loss_percentage_LY</v>
      </c>
      <c r="S118" s="264">
        <f t="shared" ref="S118:S137" si="17">E26</f>
        <v>0</v>
      </c>
      <c r="T118" t="str">
        <f t="shared" si="14"/>
        <v>(HOT) V700 Alkox Reactor</v>
      </c>
      <c r="U118" t="s">
        <v>876</v>
      </c>
    </row>
    <row r="119" spans="15:21">
      <c r="O119" s="95" t="s">
        <v>677</v>
      </c>
      <c r="P119" s="95" t="s">
        <v>726</v>
      </c>
      <c r="Q119" s="153" t="s">
        <v>704</v>
      </c>
      <c r="R119" s="96" t="str">
        <f t="shared" si="13"/>
        <v>Exception hours (loss excluded from OEE)_Corrected_loss_percentage_LY</v>
      </c>
      <c r="S119" s="264">
        <f t="shared" si="17"/>
        <v>0</v>
      </c>
      <c r="T119" t="str">
        <f t="shared" si="14"/>
        <v>(HOT) V700 Alkox Reactor</v>
      </c>
      <c r="U119" t="s">
        <v>876</v>
      </c>
    </row>
    <row r="120" spans="15:21">
      <c r="O120" s="95" t="s">
        <v>677</v>
      </c>
      <c r="P120" s="95" t="s">
        <v>726</v>
      </c>
      <c r="Q120" s="153" t="s">
        <v>14</v>
      </c>
      <c r="R120" s="96" t="str">
        <f t="shared" si="13"/>
        <v>Available OEE - Scheduled hours_Corrected_loss_percentage_LY</v>
      </c>
      <c r="S120" s="264">
        <f t="shared" si="17"/>
        <v>1</v>
      </c>
      <c r="T120" t="str">
        <f t="shared" si="14"/>
        <v>(HOT) V700 Alkox Reactor</v>
      </c>
      <c r="U120" t="s">
        <v>876</v>
      </c>
    </row>
    <row r="121" spans="15:21">
      <c r="O121" s="95" t="s">
        <v>677</v>
      </c>
      <c r="P121" s="95" t="s">
        <v>726</v>
      </c>
      <c r="Q121" s="153" t="s">
        <v>17</v>
      </c>
      <c r="R121" s="96" t="str">
        <f t="shared" si="13"/>
        <v>Equipment Reliability - Planned TA &amp; Planned SD_Corrected_loss_percentage_LY</v>
      </c>
      <c r="S121" s="264">
        <f t="shared" si="17"/>
        <v>6.0528187341422745E-3</v>
      </c>
      <c r="T121" t="str">
        <f t="shared" si="14"/>
        <v>(HOT) V700 Alkox Reactor</v>
      </c>
      <c r="U121" t="s">
        <v>876</v>
      </c>
    </row>
    <row r="122" spans="15:21">
      <c r="O122" s="95" t="s">
        <v>677</v>
      </c>
      <c r="P122" s="95" t="s">
        <v>726</v>
      </c>
      <c r="Q122" s="153" t="s">
        <v>665</v>
      </c>
      <c r="R122" s="96" t="str">
        <f t="shared" si="13"/>
        <v>Available running OEE - Running hours_Corrected_loss_percentage_LY</v>
      </c>
      <c r="S122" s="264">
        <f t="shared" si="17"/>
        <v>0.99394718126585768</v>
      </c>
      <c r="T122" t="str">
        <f t="shared" si="14"/>
        <v>(HOT) V700 Alkox Reactor</v>
      </c>
      <c r="U122" t="s">
        <v>876</v>
      </c>
    </row>
    <row r="123" spans="15:21">
      <c r="O123" s="95" t="s">
        <v>677</v>
      </c>
      <c r="P123" s="95" t="s">
        <v>726</v>
      </c>
      <c r="Q123" s="153" t="s">
        <v>18</v>
      </c>
      <c r="R123" s="96" t="str">
        <f t="shared" si="13"/>
        <v>Equipment Reliability - Equipment Failure_Corrected_loss_percentage_LY</v>
      </c>
      <c r="S123" s="264">
        <f t="shared" si="17"/>
        <v>7.9357020139251777E-2</v>
      </c>
      <c r="T123" t="str">
        <f t="shared" si="14"/>
        <v>(HOT) V700 Alkox Reactor</v>
      </c>
      <c r="U123" t="s">
        <v>876</v>
      </c>
    </row>
    <row r="124" spans="15:21">
      <c r="O124" s="95" t="s">
        <v>677</v>
      </c>
      <c r="P124" s="95" t="s">
        <v>726</v>
      </c>
      <c r="Q124" s="153" t="s">
        <v>1</v>
      </c>
      <c r="R124" s="96" t="str">
        <f t="shared" si="13"/>
        <v>Operational Reliability_Corrected_loss_percentage_LY</v>
      </c>
      <c r="S124" s="264">
        <f t="shared" si="17"/>
        <v>0.13487429287884917</v>
      </c>
      <c r="T124" t="str">
        <f t="shared" si="14"/>
        <v>(HOT) V700 Alkox Reactor</v>
      </c>
      <c r="U124" t="s">
        <v>876</v>
      </c>
    </row>
    <row r="125" spans="15:21">
      <c r="O125" s="95" t="s">
        <v>677</v>
      </c>
      <c r="P125" s="95" t="s">
        <v>726</v>
      </c>
      <c r="Q125" s="153" t="s">
        <v>2</v>
      </c>
      <c r="R125" s="96" t="str">
        <f t="shared" si="13"/>
        <v>Technology Reliability_Corrected_loss_percentage_LY</v>
      </c>
      <c r="S125" s="264">
        <f t="shared" si="17"/>
        <v>0.11299421270869603</v>
      </c>
      <c r="T125" t="str">
        <f t="shared" si="14"/>
        <v>(HOT) V700 Alkox Reactor</v>
      </c>
      <c r="U125" t="s">
        <v>876</v>
      </c>
    </row>
    <row r="126" spans="15:21">
      <c r="O126" s="95" t="s">
        <v>677</v>
      </c>
      <c r="P126" s="95" t="s">
        <v>726</v>
      </c>
      <c r="Q126" s="153" t="s">
        <v>3</v>
      </c>
      <c r="R126" s="96" t="str">
        <f t="shared" si="13"/>
        <v>Material Reliability_Corrected_loss_percentage_LY</v>
      </c>
      <c r="S126" s="264">
        <f t="shared" si="17"/>
        <v>1.0213146246471521E-2</v>
      </c>
      <c r="T126" t="str">
        <f t="shared" si="14"/>
        <v>(HOT) V700 Alkox Reactor</v>
      </c>
      <c r="U126" t="s">
        <v>876</v>
      </c>
    </row>
    <row r="127" spans="15:21">
      <c r="O127" s="95" t="s">
        <v>677</v>
      </c>
      <c r="P127" s="95" t="s">
        <v>726</v>
      </c>
      <c r="Q127" s="153" t="s">
        <v>4</v>
      </c>
      <c r="R127" s="96" t="str">
        <f t="shared" si="13"/>
        <v>Logistics/Supply Reliability_Corrected_loss_percentage_LY</v>
      </c>
      <c r="S127" s="264">
        <f t="shared" si="17"/>
        <v>2.6419066767394334E-2</v>
      </c>
      <c r="T127" t="str">
        <f t="shared" si="14"/>
        <v>(HOT) V700 Alkox Reactor</v>
      </c>
      <c r="U127" t="s">
        <v>876</v>
      </c>
    </row>
    <row r="128" spans="15:21">
      <c r="O128" s="95" t="s">
        <v>677</v>
      </c>
      <c r="P128" s="95" t="s">
        <v>726</v>
      </c>
      <c r="Q128" s="153" t="s">
        <v>5</v>
      </c>
      <c r="R128" s="96" t="str">
        <f t="shared" si="13"/>
        <v>External Reliability_Corrected_loss_percentage_LY</v>
      </c>
      <c r="S128" s="264">
        <f t="shared" si="17"/>
        <v>2.9394573806449924E-2</v>
      </c>
      <c r="T128" t="str">
        <f t="shared" si="14"/>
        <v>(HOT) V700 Alkox Reactor</v>
      </c>
      <c r="U128" t="s">
        <v>876</v>
      </c>
    </row>
    <row r="129" spans="15:21">
      <c r="O129" s="95" t="s">
        <v>677</v>
      </c>
      <c r="P129" s="95" t="s">
        <v>726</v>
      </c>
      <c r="Q129" s="153" t="s">
        <v>11</v>
      </c>
      <c r="R129" s="96" t="str">
        <f t="shared" si="13"/>
        <v>Other Reliability_Corrected_loss_percentage_LY</v>
      </c>
      <c r="S129" s="264">
        <f t="shared" si="17"/>
        <v>9.3019811605026329E-3</v>
      </c>
      <c r="T129" t="str">
        <f t="shared" si="14"/>
        <v>(HOT) V700 Alkox Reactor</v>
      </c>
      <c r="U129" t="s">
        <v>876</v>
      </c>
    </row>
    <row r="130" spans="15:21">
      <c r="O130" s="95" t="s">
        <v>677</v>
      </c>
      <c r="P130" s="95" t="s">
        <v>726</v>
      </c>
      <c r="Q130" s="153" t="s">
        <v>15</v>
      </c>
      <c r="R130" s="96" t="str">
        <f t="shared" ref="R130:R193" si="18">IF(ISBLANK(P130),Q130,_xlfn.CONCAT(Q130,"_",P130))</f>
        <v>Unspecified_Corrected_loss_percentage_LY</v>
      </c>
      <c r="S130" s="264">
        <f t="shared" si="17"/>
        <v>0</v>
      </c>
      <c r="T130" t="str">
        <f t="shared" si="14"/>
        <v>(HOT) V700 Alkox Reactor</v>
      </c>
      <c r="U130" t="s">
        <v>876</v>
      </c>
    </row>
    <row r="131" spans="15:21">
      <c r="O131" s="95" t="s">
        <v>677</v>
      </c>
      <c r="P131" s="95" t="s">
        <v>726</v>
      </c>
      <c r="Q131" s="153" t="s">
        <v>16</v>
      </c>
      <c r="R131" s="96" t="str">
        <f t="shared" si="18"/>
        <v>Undetected_Corrected_loss_percentage_LY</v>
      </c>
      <c r="S131" s="264">
        <f t="shared" si="17"/>
        <v>6.3932453989680041E-3</v>
      </c>
      <c r="T131" t="str">
        <f t="shared" ref="T131:T194" si="19">$B$2</f>
        <v>(HOT) V700 Alkox Reactor</v>
      </c>
      <c r="U131" t="s">
        <v>876</v>
      </c>
    </row>
    <row r="132" spans="15:21">
      <c r="O132" s="95" t="s">
        <v>677</v>
      </c>
      <c r="P132" s="95" t="s">
        <v>726</v>
      </c>
      <c r="Q132" s="153" t="s">
        <v>664</v>
      </c>
      <c r="R132" s="96" t="str">
        <f t="shared" si="18"/>
        <v>Exception hours_Corrected_loss_percentage_LY</v>
      </c>
      <c r="S132" s="264">
        <f t="shared" si="17"/>
        <v>0</v>
      </c>
      <c r="T132" t="str">
        <f t="shared" si="19"/>
        <v>(HOT) V700 Alkox Reactor</v>
      </c>
      <c r="U132" t="s">
        <v>876</v>
      </c>
    </row>
    <row r="133" spans="15:21">
      <c r="O133" s="95" t="s">
        <v>677</v>
      </c>
      <c r="P133" s="95" t="s">
        <v>726</v>
      </c>
      <c r="Q133" s="153" t="s">
        <v>703</v>
      </c>
      <c r="R133" s="96" t="str">
        <f t="shared" si="18"/>
        <v>Extra loss hours in baseline due to MAC change_Corrected_loss_percentage_LY</v>
      </c>
      <c r="S133" s="264">
        <f t="shared" si="17"/>
        <v>0</v>
      </c>
      <c r="T133" t="str">
        <f t="shared" si="19"/>
        <v>(HOT) V700 Alkox Reactor</v>
      </c>
      <c r="U133" t="s">
        <v>876</v>
      </c>
    </row>
    <row r="134" spans="15:21">
      <c r="O134" s="95" t="s">
        <v>677</v>
      </c>
      <c r="P134" s="95" t="s">
        <v>726</v>
      </c>
      <c r="Q134" s="153" t="s">
        <v>705</v>
      </c>
      <c r="R134" s="96" t="str">
        <f t="shared" si="18"/>
        <v>Improvement target not assigned_Corrected_loss_percentage_LY</v>
      </c>
      <c r="S134" s="264">
        <f t="shared" si="17"/>
        <v>0</v>
      </c>
      <c r="T134" t="str">
        <f t="shared" si="19"/>
        <v>(HOT) V700 Alkox Reactor</v>
      </c>
      <c r="U134" t="s">
        <v>876</v>
      </c>
    </row>
    <row r="135" spans="15:21">
      <c r="O135" s="95" t="s">
        <v>677</v>
      </c>
      <c r="P135" s="95" t="s">
        <v>726</v>
      </c>
      <c r="Q135" s="153" t="s">
        <v>397</v>
      </c>
      <c r="R135" s="96" t="str">
        <f t="shared" si="18"/>
        <v>Sum OEE losses (exluding Planned Maintenance)_Corrected_loss_percentage_LY</v>
      </c>
      <c r="S135" s="264">
        <f t="shared" si="17"/>
        <v>0.40894753910658338</v>
      </c>
      <c r="T135" t="str">
        <f t="shared" si="19"/>
        <v>(HOT) V700 Alkox Reactor</v>
      </c>
      <c r="U135" t="s">
        <v>876</v>
      </c>
    </row>
    <row r="136" spans="15:21">
      <c r="O136" s="95" t="s">
        <v>677</v>
      </c>
      <c r="P136" s="95" t="s">
        <v>726</v>
      </c>
      <c r="Q136" s="153" t="s">
        <v>398</v>
      </c>
      <c r="R136" s="96" t="str">
        <f t="shared" si="18"/>
        <v>Sum OEE losses (Including Planned Maintenance)_Corrected_loss_percentage_LY</v>
      </c>
      <c r="S136" s="264">
        <f t="shared" si="17"/>
        <v>0.4150003578407257</v>
      </c>
      <c r="T136" t="str">
        <f t="shared" si="19"/>
        <v>(HOT) V700 Alkox Reactor</v>
      </c>
      <c r="U136" t="s">
        <v>876</v>
      </c>
    </row>
    <row r="137" spans="15:21">
      <c r="O137" s="95" t="s">
        <v>677</v>
      </c>
      <c r="P137" s="95" t="s">
        <v>726</v>
      </c>
      <c r="Q137" s="153" t="s">
        <v>712</v>
      </c>
      <c r="R137" s="96" t="str">
        <f t="shared" si="18"/>
        <v>Production hours on MAC (h) / OEE (%)_Corrected_loss_percentage_LY</v>
      </c>
      <c r="S137" s="264">
        <f t="shared" si="17"/>
        <v>0.58499964215927391</v>
      </c>
      <c r="T137" t="str">
        <f t="shared" si="19"/>
        <v>(HOT) V700 Alkox Reactor</v>
      </c>
      <c r="U137" t="s">
        <v>876</v>
      </c>
    </row>
    <row r="138" spans="15:21">
      <c r="O138" s="95" t="s">
        <v>679</v>
      </c>
      <c r="P138" s="95" t="s">
        <v>688</v>
      </c>
      <c r="Q138" s="142" t="s">
        <v>13</v>
      </c>
      <c r="R138" s="96" t="str">
        <f t="shared" si="18"/>
        <v>MAC - Calender hours_OEE Improvement_Hours</v>
      </c>
      <c r="S138" s="265">
        <f t="shared" ref="S138:S158" si="20">G25</f>
        <v>0</v>
      </c>
      <c r="T138" t="str">
        <f t="shared" si="19"/>
        <v>(HOT) V700 Alkox Reactor</v>
      </c>
      <c r="U138" t="s">
        <v>876</v>
      </c>
    </row>
    <row r="139" spans="15:21">
      <c r="O139" s="95" t="s">
        <v>679</v>
      </c>
      <c r="P139" s="95" t="s">
        <v>688</v>
      </c>
      <c r="Q139" s="152" t="s">
        <v>7</v>
      </c>
      <c r="R139" s="96" t="str">
        <f t="shared" si="18"/>
        <v>Commercial Reliability_OEE Improvement_Hours</v>
      </c>
      <c r="S139" s="265">
        <f t="shared" si="20"/>
        <v>-707.11822446008864</v>
      </c>
      <c r="T139" t="str">
        <f t="shared" si="19"/>
        <v>(HOT) V700 Alkox Reactor</v>
      </c>
      <c r="U139" t="s">
        <v>876</v>
      </c>
    </row>
    <row r="140" spans="15:21">
      <c r="O140" s="95" t="s">
        <v>679</v>
      </c>
      <c r="P140" s="95" t="s">
        <v>688</v>
      </c>
      <c r="Q140" s="152" t="s">
        <v>704</v>
      </c>
      <c r="R140" s="96" t="str">
        <f t="shared" si="18"/>
        <v>Exception hours (loss excluded from OEE)_OEE Improvement_Hours</v>
      </c>
      <c r="S140" s="265">
        <f t="shared" si="20"/>
        <v>0</v>
      </c>
      <c r="T140" t="str">
        <f t="shared" si="19"/>
        <v>(HOT) V700 Alkox Reactor</v>
      </c>
      <c r="U140" t="s">
        <v>876</v>
      </c>
    </row>
    <row r="141" spans="15:21">
      <c r="O141" s="95" t="s">
        <v>679</v>
      </c>
      <c r="P141" s="95" t="s">
        <v>688</v>
      </c>
      <c r="Q141" s="152" t="s">
        <v>14</v>
      </c>
      <c r="R141" s="96" t="str">
        <f t="shared" si="18"/>
        <v>Available OEE - Scheduled hours_OEE Improvement_Hours</v>
      </c>
      <c r="S141" s="265">
        <f t="shared" si="20"/>
        <v>731.11822446008864</v>
      </c>
      <c r="T141" t="str">
        <f t="shared" si="19"/>
        <v>(HOT) V700 Alkox Reactor</v>
      </c>
      <c r="U141" t="s">
        <v>876</v>
      </c>
    </row>
    <row r="142" spans="15:21">
      <c r="O142" s="95" t="s">
        <v>679</v>
      </c>
      <c r="P142" s="95" t="s">
        <v>688</v>
      </c>
      <c r="Q142" s="152" t="s">
        <v>17</v>
      </c>
      <c r="R142" s="96" t="str">
        <f t="shared" si="18"/>
        <v>Equipment Reliability - Planned TA &amp; Planned SD_OEE Improvement_Hours</v>
      </c>
      <c r="S142" s="265">
        <f t="shared" si="20"/>
        <v>44.046388833325203</v>
      </c>
      <c r="T142" t="str">
        <f t="shared" si="19"/>
        <v>(HOT) V700 Alkox Reactor</v>
      </c>
      <c r="U142" t="s">
        <v>876</v>
      </c>
    </row>
    <row r="143" spans="15:21">
      <c r="O143" s="95" t="s">
        <v>679</v>
      </c>
      <c r="P143" s="95" t="s">
        <v>688</v>
      </c>
      <c r="Q143" s="152" t="s">
        <v>665</v>
      </c>
      <c r="R143" s="96" t="str">
        <f t="shared" si="18"/>
        <v>Available running OEE - Running hours_OEE Improvement_Hours</v>
      </c>
      <c r="S143" s="265">
        <f t="shared" si="20"/>
        <v>687.07183562676346</v>
      </c>
      <c r="T143" t="str">
        <f t="shared" si="19"/>
        <v>(HOT) V700 Alkox Reactor</v>
      </c>
      <c r="U143" t="s">
        <v>876</v>
      </c>
    </row>
    <row r="144" spans="15:21">
      <c r="O144" s="95" t="s">
        <v>679</v>
      </c>
      <c r="P144" s="95" t="s">
        <v>688</v>
      </c>
      <c r="Q144" s="152" t="s">
        <v>18</v>
      </c>
      <c r="R144" s="96" t="str">
        <f t="shared" si="18"/>
        <v>Equipment Reliability - Equipment Failure_OEE Improvement_Hours</v>
      </c>
      <c r="S144" s="265">
        <f t="shared" si="20"/>
        <v>58.019363662653291</v>
      </c>
      <c r="T144" t="str">
        <f t="shared" si="19"/>
        <v>(HOT) V700 Alkox Reactor</v>
      </c>
      <c r="U144" t="s">
        <v>876</v>
      </c>
    </row>
    <row r="145" spans="15:21">
      <c r="O145" s="95" t="s">
        <v>679</v>
      </c>
      <c r="P145" s="95" t="s">
        <v>688</v>
      </c>
      <c r="Q145" s="152" t="s">
        <v>1</v>
      </c>
      <c r="R145" s="96" t="str">
        <f t="shared" si="18"/>
        <v>Operational Reliability_OEE Improvement_Hours</v>
      </c>
      <c r="S145" s="265">
        <f t="shared" si="20"/>
        <v>98.609053534894201</v>
      </c>
      <c r="T145" t="str">
        <f t="shared" si="19"/>
        <v>(HOT) V700 Alkox Reactor</v>
      </c>
      <c r="U145" t="s">
        <v>876</v>
      </c>
    </row>
    <row r="146" spans="15:21">
      <c r="O146" s="95" t="s">
        <v>679</v>
      </c>
      <c r="P146" s="95" t="s">
        <v>688</v>
      </c>
      <c r="Q146" s="152" t="s">
        <v>2</v>
      </c>
      <c r="R146" s="96" t="str">
        <f t="shared" si="18"/>
        <v>Technology Reliability_OEE Improvement_Hours</v>
      </c>
      <c r="S146" s="265">
        <f t="shared" si="20"/>
        <v>82.612128169847438</v>
      </c>
      <c r="T146" t="str">
        <f t="shared" si="19"/>
        <v>(HOT) V700 Alkox Reactor</v>
      </c>
      <c r="U146" t="s">
        <v>876</v>
      </c>
    </row>
    <row r="147" spans="15:21">
      <c r="O147" s="95" t="s">
        <v>679</v>
      </c>
      <c r="P147" s="95" t="s">
        <v>688</v>
      </c>
      <c r="Q147" s="152" t="s">
        <v>3</v>
      </c>
      <c r="R147" s="96" t="str">
        <f t="shared" si="18"/>
        <v>Material Reliability_OEE Improvement_Hours</v>
      </c>
      <c r="S147" s="265">
        <f t="shared" si="20"/>
        <v>7.4670173498714689</v>
      </c>
      <c r="T147" t="str">
        <f t="shared" si="19"/>
        <v>(HOT) V700 Alkox Reactor</v>
      </c>
      <c r="U147" t="s">
        <v>876</v>
      </c>
    </row>
    <row r="148" spans="15:21">
      <c r="O148" s="95" t="s">
        <v>679</v>
      </c>
      <c r="P148" s="95" t="s">
        <v>688</v>
      </c>
      <c r="Q148" s="152" t="s">
        <v>4</v>
      </c>
      <c r="R148" s="96" t="str">
        <f t="shared" si="18"/>
        <v>Logistics/Supply Reliability_OEE Improvement_Hours</v>
      </c>
      <c r="S148" s="265">
        <f t="shared" si="20"/>
        <v>19.315461186869868</v>
      </c>
      <c r="T148" t="str">
        <f t="shared" si="19"/>
        <v>(HOT) V700 Alkox Reactor</v>
      </c>
      <c r="U148" t="s">
        <v>876</v>
      </c>
    </row>
    <row r="149" spans="15:21">
      <c r="O149" s="95" t="s">
        <v>679</v>
      </c>
      <c r="P149" s="95" t="s">
        <v>688</v>
      </c>
      <c r="Q149" s="152" t="s">
        <v>5</v>
      </c>
      <c r="R149" s="96" t="str">
        <f t="shared" si="18"/>
        <v>External Reliability_OEE Improvement_Hours</v>
      </c>
      <c r="S149" s="265">
        <f t="shared" si="20"/>
        <v>21.490908610132692</v>
      </c>
      <c r="T149" t="str">
        <f t="shared" si="19"/>
        <v>(HOT) V700 Alkox Reactor</v>
      </c>
      <c r="U149" t="s">
        <v>876</v>
      </c>
    </row>
    <row r="150" spans="15:21">
      <c r="O150" s="95" t="s">
        <v>679</v>
      </c>
      <c r="P150" s="95" t="s">
        <v>688</v>
      </c>
      <c r="Q150" s="152" t="s">
        <v>11</v>
      </c>
      <c r="R150" s="96" t="str">
        <f t="shared" si="18"/>
        <v>Other Reliability_OEE Improvement_Hours</v>
      </c>
      <c r="S150" s="265">
        <f t="shared" si="20"/>
        <v>6.8008479500278796</v>
      </c>
      <c r="T150" t="str">
        <f t="shared" si="19"/>
        <v>(HOT) V700 Alkox Reactor</v>
      </c>
      <c r="U150" t="s">
        <v>876</v>
      </c>
    </row>
    <row r="151" spans="15:21">
      <c r="O151" s="95" t="s">
        <v>679</v>
      </c>
      <c r="P151" s="95" t="s">
        <v>688</v>
      </c>
      <c r="Q151" s="152" t="s">
        <v>15</v>
      </c>
      <c r="R151" s="96" t="str">
        <f t="shared" si="18"/>
        <v>Unspecified_OEE Improvement_Hours</v>
      </c>
      <c r="S151" s="265">
        <f t="shared" si="20"/>
        <v>0</v>
      </c>
      <c r="T151" t="str">
        <f t="shared" si="19"/>
        <v>(HOT) V700 Alkox Reactor</v>
      </c>
      <c r="U151" t="s">
        <v>876</v>
      </c>
    </row>
    <row r="152" spans="15:21">
      <c r="O152" s="95" t="s">
        <v>679</v>
      </c>
      <c r="P152" s="95" t="s">
        <v>688</v>
      </c>
      <c r="Q152" s="152" t="s">
        <v>16</v>
      </c>
      <c r="R152" s="96" t="str">
        <f t="shared" si="18"/>
        <v>Undetected_OEE Improvement_Hours</v>
      </c>
      <c r="S152" s="265">
        <f t="shared" si="20"/>
        <v>4.6742182246311188</v>
      </c>
      <c r="T152" t="str">
        <f t="shared" si="19"/>
        <v>(HOT) V700 Alkox Reactor</v>
      </c>
      <c r="U152" t="s">
        <v>876</v>
      </c>
    </row>
    <row r="153" spans="15:21">
      <c r="O153" s="95" t="s">
        <v>679</v>
      </c>
      <c r="P153" s="95" t="s">
        <v>688</v>
      </c>
      <c r="Q153" s="152" t="s">
        <v>664</v>
      </c>
      <c r="R153" s="96" t="str">
        <f t="shared" si="18"/>
        <v>Exception hours_OEE Improvement_Hours</v>
      </c>
      <c r="S153" s="265">
        <f t="shared" si="20"/>
        <v>0</v>
      </c>
      <c r="T153" t="str">
        <f t="shared" si="19"/>
        <v>(HOT) V700 Alkox Reactor</v>
      </c>
      <c r="U153" t="s">
        <v>876</v>
      </c>
    </row>
    <row r="154" spans="15:21">
      <c r="O154" s="95" t="s">
        <v>679</v>
      </c>
      <c r="P154" s="95" t="s">
        <v>688</v>
      </c>
      <c r="Q154" s="152" t="s">
        <v>703</v>
      </c>
      <c r="R154" s="96" t="str">
        <f t="shared" si="18"/>
        <v>Extra loss hours in baseline due to MAC change_OEE Improvement_Hours</v>
      </c>
      <c r="S154" s="265">
        <f t="shared" si="20"/>
        <v>0</v>
      </c>
      <c r="T154" t="str">
        <f t="shared" si="19"/>
        <v>(HOT) V700 Alkox Reactor</v>
      </c>
      <c r="U154" t="s">
        <v>876</v>
      </c>
    </row>
    <row r="155" spans="15:21">
      <c r="O155" s="95" t="s">
        <v>679</v>
      </c>
      <c r="P155" s="95" t="s">
        <v>688</v>
      </c>
      <c r="Q155" s="152" t="s">
        <v>705</v>
      </c>
      <c r="R155" s="96" t="str">
        <f t="shared" si="18"/>
        <v>Improvement target not assigned_OEE Improvement_Hours</v>
      </c>
      <c r="S155" s="265">
        <f t="shared" si="20"/>
        <v>0</v>
      </c>
      <c r="T155" t="str">
        <f t="shared" si="19"/>
        <v>(HOT) V700 Alkox Reactor</v>
      </c>
      <c r="U155" t="s">
        <v>876</v>
      </c>
    </row>
    <row r="156" spans="15:21">
      <c r="O156" s="95" t="s">
        <v>679</v>
      </c>
      <c r="P156" s="95" t="s">
        <v>688</v>
      </c>
      <c r="Q156" s="152" t="s">
        <v>397</v>
      </c>
      <c r="R156" s="96" t="str">
        <f t="shared" si="18"/>
        <v>Sum OEE losses (exluding Planned Maintenance)_OEE Improvement_Hours</v>
      </c>
      <c r="S156" s="265">
        <f t="shared" si="20"/>
        <v>-675.44056514497106</v>
      </c>
      <c r="T156" t="str">
        <f t="shared" si="19"/>
        <v>(HOT) V700 Alkox Reactor</v>
      </c>
      <c r="U156" t="s">
        <v>876</v>
      </c>
    </row>
    <row r="157" spans="15:21">
      <c r="O157" s="95" t="s">
        <v>679</v>
      </c>
      <c r="P157" s="95" t="s">
        <v>688</v>
      </c>
      <c r="Q157" s="152" t="s">
        <v>398</v>
      </c>
      <c r="R157" s="96" t="str">
        <f t="shared" si="18"/>
        <v>Sum OEE losses (Including Planned Maintenance)_OEE Improvement_Hours</v>
      </c>
      <c r="S157" s="265">
        <f t="shared" si="20"/>
        <v>-719.48695397829624</v>
      </c>
      <c r="T157" t="str">
        <f t="shared" si="19"/>
        <v>(HOT) V700 Alkox Reactor</v>
      </c>
      <c r="U157" t="s">
        <v>876</v>
      </c>
    </row>
    <row r="158" spans="15:21">
      <c r="O158" s="95" t="s">
        <v>679</v>
      </c>
      <c r="P158" s="95" t="s">
        <v>688</v>
      </c>
      <c r="Q158" s="152" t="s">
        <v>712</v>
      </c>
      <c r="R158" s="96" t="str">
        <f t="shared" si="18"/>
        <v>Production hours on MAC (h) / OEE (%)_OEE Improvement_Hours</v>
      </c>
      <c r="S158" s="265">
        <f t="shared" si="20"/>
        <v>-11.631270481789215</v>
      </c>
      <c r="T158" t="str">
        <f t="shared" si="19"/>
        <v>(HOT) V700 Alkox Reactor</v>
      </c>
      <c r="U158" t="s">
        <v>876</v>
      </c>
    </row>
    <row r="159" spans="15:21">
      <c r="O159" s="95" t="s">
        <v>723</v>
      </c>
      <c r="P159" s="95" t="s">
        <v>689</v>
      </c>
      <c r="Q159" s="143" t="s">
        <v>13</v>
      </c>
      <c r="R159" s="96" t="str">
        <f t="shared" si="18"/>
        <v>MAC - Calender hours_OEE_Improvement_Percentage</v>
      </c>
      <c r="S159" s="264">
        <f t="shared" ref="S159:S179" si="21">H25</f>
        <v>0</v>
      </c>
      <c r="T159" t="str">
        <f t="shared" si="19"/>
        <v>(HOT) V700 Alkox Reactor</v>
      </c>
      <c r="U159" t="s">
        <v>876</v>
      </c>
    </row>
    <row r="160" spans="15:21">
      <c r="O160" s="95" t="s">
        <v>723</v>
      </c>
      <c r="P160" s="95" t="s">
        <v>689</v>
      </c>
      <c r="Q160" s="153" t="s">
        <v>7</v>
      </c>
      <c r="R160" s="96" t="str">
        <f t="shared" si="18"/>
        <v>Commercial Reliability_OEE_Improvement_Percentage</v>
      </c>
      <c r="S160" s="264">
        <f t="shared" si="21"/>
        <v>0</v>
      </c>
      <c r="T160" t="str">
        <f t="shared" si="19"/>
        <v>(HOT) V700 Alkox Reactor</v>
      </c>
      <c r="U160" t="s">
        <v>876</v>
      </c>
    </row>
    <row r="161" spans="15:21">
      <c r="O161" s="95" t="s">
        <v>723</v>
      </c>
      <c r="P161" s="95" t="s">
        <v>689</v>
      </c>
      <c r="Q161" s="153" t="s">
        <v>704</v>
      </c>
      <c r="R161" s="96" t="str">
        <f t="shared" si="18"/>
        <v>Exception hours (loss excluded from OEE)_OEE_Improvement_Percentage</v>
      </c>
      <c r="S161" s="264">
        <f t="shared" si="21"/>
        <v>0</v>
      </c>
      <c r="T161" t="str">
        <f t="shared" si="19"/>
        <v>(HOT) V700 Alkox Reactor</v>
      </c>
      <c r="U161" t="s">
        <v>876</v>
      </c>
    </row>
    <row r="162" spans="15:21">
      <c r="O162" s="95" t="s">
        <v>723</v>
      </c>
      <c r="P162" s="95" t="s">
        <v>689</v>
      </c>
      <c r="Q162" s="153" t="s">
        <v>14</v>
      </c>
      <c r="R162" s="96" t="str">
        <f t="shared" si="18"/>
        <v>Available OEE - Scheduled hours_OEE_Improvement_Percentage</v>
      </c>
      <c r="S162" s="264">
        <f t="shared" si="21"/>
        <v>0</v>
      </c>
      <c r="T162" t="str">
        <f t="shared" si="19"/>
        <v>(HOT) V700 Alkox Reactor</v>
      </c>
      <c r="U162" t="s">
        <v>876</v>
      </c>
    </row>
    <row r="163" spans="15:21">
      <c r="O163" s="95" t="s">
        <v>723</v>
      </c>
      <c r="P163" s="95" t="s">
        <v>689</v>
      </c>
      <c r="Q163" s="153" t="s">
        <v>17</v>
      </c>
      <c r="R163" s="96" t="str">
        <f t="shared" si="18"/>
        <v>Equipment Reliability - Planned TA &amp; Planned SD_OEE_Improvement_Percentage</v>
      </c>
      <c r="S163" s="264">
        <f t="shared" si="21"/>
        <v>6.0528187341422745E-3</v>
      </c>
      <c r="T163" t="str">
        <f t="shared" si="19"/>
        <v>(HOT) V700 Alkox Reactor</v>
      </c>
      <c r="U163" t="s">
        <v>876</v>
      </c>
    </row>
    <row r="164" spans="15:21">
      <c r="O164" s="95" t="s">
        <v>723</v>
      </c>
      <c r="P164" s="95" t="s">
        <v>689</v>
      </c>
      <c r="Q164" s="153" t="s">
        <v>665</v>
      </c>
      <c r="R164" s="96" t="str">
        <f t="shared" si="18"/>
        <v>Available running OEE - Running hours_OEE_Improvement_Percentage</v>
      </c>
      <c r="S164" s="264">
        <f t="shared" si="21"/>
        <v>0</v>
      </c>
      <c r="T164" t="str">
        <f t="shared" si="19"/>
        <v>(HOT) V700 Alkox Reactor</v>
      </c>
      <c r="U164" t="s">
        <v>876</v>
      </c>
    </row>
    <row r="165" spans="15:21">
      <c r="O165" s="95" t="s">
        <v>723</v>
      </c>
      <c r="P165" s="95" t="s">
        <v>689</v>
      </c>
      <c r="Q165" s="153" t="s">
        <v>18</v>
      </c>
      <c r="R165" s="96" t="str">
        <f t="shared" si="18"/>
        <v>Equipment Reliability - Equipment Failure_OEE_Improvement_Percentage</v>
      </c>
      <c r="S165" s="264">
        <f t="shared" si="21"/>
        <v>0</v>
      </c>
      <c r="T165" t="str">
        <f t="shared" si="19"/>
        <v>(HOT) V700 Alkox Reactor</v>
      </c>
      <c r="U165" t="s">
        <v>876</v>
      </c>
    </row>
    <row r="166" spans="15:21">
      <c r="O166" s="95" t="s">
        <v>723</v>
      </c>
      <c r="P166" s="95" t="s">
        <v>689</v>
      </c>
      <c r="Q166" s="153" t="s">
        <v>1</v>
      </c>
      <c r="R166" s="96" t="str">
        <f t="shared" si="18"/>
        <v>Operational Reliability_OEE_Improvement_Percentage</v>
      </c>
      <c r="S166" s="264">
        <f t="shared" si="21"/>
        <v>0</v>
      </c>
      <c r="T166" t="str">
        <f t="shared" si="19"/>
        <v>(HOT) V700 Alkox Reactor</v>
      </c>
      <c r="U166" t="s">
        <v>876</v>
      </c>
    </row>
    <row r="167" spans="15:21">
      <c r="O167" s="95" t="s">
        <v>723</v>
      </c>
      <c r="P167" s="95" t="s">
        <v>689</v>
      </c>
      <c r="Q167" s="153" t="s">
        <v>2</v>
      </c>
      <c r="R167" s="96" t="str">
        <f t="shared" si="18"/>
        <v>Technology Reliability_OEE_Improvement_Percentage</v>
      </c>
      <c r="S167" s="264">
        <f t="shared" si="21"/>
        <v>0</v>
      </c>
      <c r="T167" t="str">
        <f t="shared" si="19"/>
        <v>(HOT) V700 Alkox Reactor</v>
      </c>
      <c r="U167" t="s">
        <v>876</v>
      </c>
    </row>
    <row r="168" spans="15:21">
      <c r="O168" s="95" t="s">
        <v>723</v>
      </c>
      <c r="P168" s="95" t="s">
        <v>689</v>
      </c>
      <c r="Q168" s="153" t="s">
        <v>3</v>
      </c>
      <c r="R168" s="96" t="str">
        <f t="shared" si="18"/>
        <v>Material Reliability_OEE_Improvement_Percentage</v>
      </c>
      <c r="S168" s="264">
        <f t="shared" si="21"/>
        <v>0</v>
      </c>
      <c r="T168" t="str">
        <f t="shared" si="19"/>
        <v>(HOT) V700 Alkox Reactor</v>
      </c>
      <c r="U168" t="s">
        <v>876</v>
      </c>
    </row>
    <row r="169" spans="15:21">
      <c r="O169" s="95" t="s">
        <v>723</v>
      </c>
      <c r="P169" s="95" t="s">
        <v>689</v>
      </c>
      <c r="Q169" s="153" t="s">
        <v>4</v>
      </c>
      <c r="R169" s="96" t="str">
        <f t="shared" si="18"/>
        <v>Logistics/Supply Reliability_OEE_Improvement_Percentage</v>
      </c>
      <c r="S169" s="264">
        <f t="shared" si="21"/>
        <v>0</v>
      </c>
      <c r="T169" t="str">
        <f t="shared" si="19"/>
        <v>(HOT) V700 Alkox Reactor</v>
      </c>
      <c r="U169" t="s">
        <v>876</v>
      </c>
    </row>
    <row r="170" spans="15:21">
      <c r="O170" s="95" t="s">
        <v>723</v>
      </c>
      <c r="P170" s="95" t="s">
        <v>689</v>
      </c>
      <c r="Q170" s="153" t="s">
        <v>5</v>
      </c>
      <c r="R170" s="96" t="str">
        <f t="shared" si="18"/>
        <v>External Reliability_OEE_Improvement_Percentage</v>
      </c>
      <c r="S170" s="264">
        <f t="shared" si="21"/>
        <v>0</v>
      </c>
      <c r="T170" t="str">
        <f t="shared" si="19"/>
        <v>(HOT) V700 Alkox Reactor</v>
      </c>
      <c r="U170" t="s">
        <v>876</v>
      </c>
    </row>
    <row r="171" spans="15:21">
      <c r="O171" s="95" t="s">
        <v>723</v>
      </c>
      <c r="P171" s="95" t="s">
        <v>689</v>
      </c>
      <c r="Q171" s="153" t="s">
        <v>11</v>
      </c>
      <c r="R171" s="96" t="str">
        <f t="shared" si="18"/>
        <v>Other Reliability_OEE_Improvement_Percentage</v>
      </c>
      <c r="S171" s="264">
        <f t="shared" si="21"/>
        <v>0</v>
      </c>
      <c r="T171" t="str">
        <f t="shared" si="19"/>
        <v>(HOT) V700 Alkox Reactor</v>
      </c>
      <c r="U171" t="s">
        <v>876</v>
      </c>
    </row>
    <row r="172" spans="15:21">
      <c r="O172" s="95" t="s">
        <v>723</v>
      </c>
      <c r="P172" s="95" t="s">
        <v>689</v>
      </c>
      <c r="Q172" s="153" t="s">
        <v>15</v>
      </c>
      <c r="R172" s="96" t="str">
        <f t="shared" si="18"/>
        <v>Unspecified_OEE_Improvement_Percentage</v>
      </c>
      <c r="S172" s="264">
        <f t="shared" si="21"/>
        <v>0</v>
      </c>
      <c r="T172" t="str">
        <f t="shared" si="19"/>
        <v>(HOT) V700 Alkox Reactor</v>
      </c>
      <c r="U172" t="s">
        <v>876</v>
      </c>
    </row>
    <row r="173" spans="15:21">
      <c r="O173" s="95" t="s">
        <v>723</v>
      </c>
      <c r="P173" s="95" t="s">
        <v>689</v>
      </c>
      <c r="Q173" s="153" t="s">
        <v>16</v>
      </c>
      <c r="R173" s="96" t="str">
        <f t="shared" si="18"/>
        <v>Undetected_OEE_Improvement_Percentage</v>
      </c>
      <c r="S173" s="264">
        <f t="shared" si="21"/>
        <v>0</v>
      </c>
      <c r="T173" t="str">
        <f t="shared" si="19"/>
        <v>(HOT) V700 Alkox Reactor</v>
      </c>
      <c r="U173" t="s">
        <v>876</v>
      </c>
    </row>
    <row r="174" spans="15:21">
      <c r="O174" s="95" t="s">
        <v>723</v>
      </c>
      <c r="P174" s="95" t="s">
        <v>689</v>
      </c>
      <c r="Q174" s="153" t="s">
        <v>664</v>
      </c>
      <c r="R174" s="96" t="str">
        <f t="shared" si="18"/>
        <v>Exception hours_OEE_Improvement_Percentage</v>
      </c>
      <c r="S174" s="264">
        <f t="shared" si="21"/>
        <v>0</v>
      </c>
      <c r="T174" t="str">
        <f t="shared" si="19"/>
        <v>(HOT) V700 Alkox Reactor</v>
      </c>
      <c r="U174" t="s">
        <v>876</v>
      </c>
    </row>
    <row r="175" spans="15:21">
      <c r="O175" s="95" t="s">
        <v>723</v>
      </c>
      <c r="P175" s="95" t="s">
        <v>689</v>
      </c>
      <c r="Q175" s="153" t="s">
        <v>703</v>
      </c>
      <c r="R175" s="96" t="str">
        <f t="shared" si="18"/>
        <v>Extra loss hours in baseline due to MAC change_OEE_Improvement_Percentage</v>
      </c>
      <c r="S175" s="264">
        <f t="shared" si="21"/>
        <v>0</v>
      </c>
      <c r="T175" t="str">
        <f t="shared" si="19"/>
        <v>(HOT) V700 Alkox Reactor</v>
      </c>
      <c r="U175" t="s">
        <v>876</v>
      </c>
    </row>
    <row r="176" spans="15:21">
      <c r="O176" s="95" t="s">
        <v>723</v>
      </c>
      <c r="P176" s="95" t="s">
        <v>689</v>
      </c>
      <c r="Q176" s="153" t="s">
        <v>705</v>
      </c>
      <c r="R176" s="96" t="str">
        <f t="shared" si="18"/>
        <v>Improvement target not assigned_OEE_Improvement_Percentage</v>
      </c>
      <c r="S176" s="264">
        <f t="shared" si="21"/>
        <v>5.7509640982296634E-2</v>
      </c>
      <c r="T176" t="str">
        <f t="shared" si="19"/>
        <v>(HOT) V700 Alkox Reactor</v>
      </c>
      <c r="U176" t="s">
        <v>876</v>
      </c>
    </row>
    <row r="177" spans="15:21">
      <c r="O177" s="95" t="s">
        <v>723</v>
      </c>
      <c r="P177" s="95" t="s">
        <v>689</v>
      </c>
      <c r="Q177" s="153" t="s">
        <v>397</v>
      </c>
      <c r="R177" s="96" t="str">
        <f t="shared" si="18"/>
        <v>Sum OEE losses (exluding Planned Maintenance)_OEE_Improvement_Percentage</v>
      </c>
      <c r="S177" s="264">
        <f t="shared" si="21"/>
        <v>5.750964098229655E-2</v>
      </c>
      <c r="T177" t="str">
        <f t="shared" si="19"/>
        <v>(HOT) V700 Alkox Reactor</v>
      </c>
      <c r="U177" t="s">
        <v>876</v>
      </c>
    </row>
    <row r="178" spans="15:21">
      <c r="O178" s="95" t="s">
        <v>723</v>
      </c>
      <c r="P178" s="95" t="s">
        <v>689</v>
      </c>
      <c r="Q178" s="153" t="s">
        <v>398</v>
      </c>
      <c r="R178" s="96" t="str">
        <f t="shared" si="18"/>
        <v>Sum OEE losses (Including Planned Maintenance)_OEE_Improvement_Percentage</v>
      </c>
      <c r="S178" s="264">
        <f t="shared" si="21"/>
        <v>6.3562459716438979E-2</v>
      </c>
      <c r="T178" t="str">
        <f t="shared" si="19"/>
        <v>(HOT) V700 Alkox Reactor</v>
      </c>
      <c r="U178" t="s">
        <v>876</v>
      </c>
    </row>
    <row r="179" spans="15:21">
      <c r="O179" s="95" t="s">
        <v>723</v>
      </c>
      <c r="P179" s="95" t="s">
        <v>689</v>
      </c>
      <c r="Q179" s="153" t="s">
        <v>712</v>
      </c>
      <c r="R179" s="96" t="str">
        <f t="shared" si="18"/>
        <v>Production hours on MAC (h) / OEE (%)_OEE_Improvement_Percentage</v>
      </c>
      <c r="S179" s="264">
        <f t="shared" si="21"/>
        <v>0.12107210069873546</v>
      </c>
      <c r="T179" t="str">
        <f t="shared" si="19"/>
        <v>(HOT) V700 Alkox Reactor</v>
      </c>
      <c r="U179" t="s">
        <v>876</v>
      </c>
    </row>
    <row r="180" spans="15:21">
      <c r="O180" s="95" t="s">
        <v>724</v>
      </c>
      <c r="P180" s="95" t="s">
        <v>687</v>
      </c>
      <c r="Q180" s="142" t="s">
        <v>13</v>
      </c>
      <c r="R180" s="96" t="str">
        <f t="shared" si="18"/>
        <v>MAC - Calender hours_Loss_Hours_NJ</v>
      </c>
      <c r="S180" s="265">
        <f t="shared" ref="S180:S200" si="22">I25</f>
        <v>8760</v>
      </c>
      <c r="T180" t="str">
        <f t="shared" si="19"/>
        <v>(HOT) V700 Alkox Reactor</v>
      </c>
      <c r="U180" t="s">
        <v>876</v>
      </c>
    </row>
    <row r="181" spans="15:21">
      <c r="O181" s="95" t="s">
        <v>724</v>
      </c>
      <c r="P181" s="95" t="s">
        <v>687</v>
      </c>
      <c r="Q181" s="152" t="s">
        <v>7</v>
      </c>
      <c r="R181" s="96" t="str">
        <f t="shared" si="18"/>
        <v>Commercial Reliability_Loss_Hours_NJ</v>
      </c>
      <c r="S181" s="265">
        <f t="shared" si="22"/>
        <v>2214.1137794282686</v>
      </c>
      <c r="T181" t="str">
        <f t="shared" si="19"/>
        <v>(HOT) V700 Alkox Reactor</v>
      </c>
      <c r="U181" t="s">
        <v>876</v>
      </c>
    </row>
    <row r="182" spans="15:21">
      <c r="O182" s="95" t="s">
        <v>724</v>
      </c>
      <c r="P182" s="95" t="s">
        <v>687</v>
      </c>
      <c r="Q182" s="152" t="s">
        <v>704</v>
      </c>
      <c r="R182" s="96" t="str">
        <f t="shared" si="18"/>
        <v>Exception hours (loss excluded from OEE)_Loss_Hours_NJ</v>
      </c>
      <c r="S182" s="265">
        <f t="shared" si="22"/>
        <v>0</v>
      </c>
      <c r="T182" t="str">
        <f t="shared" si="19"/>
        <v>(HOT) V700 Alkox Reactor</v>
      </c>
      <c r="U182" t="s">
        <v>876</v>
      </c>
    </row>
    <row r="183" spans="15:21">
      <c r="O183" s="95" t="s">
        <v>724</v>
      </c>
      <c r="P183" s="95" t="s">
        <v>687</v>
      </c>
      <c r="Q183" s="152" t="s">
        <v>14</v>
      </c>
      <c r="R183" s="96" t="str">
        <f t="shared" si="18"/>
        <v>Available OEE - Scheduled hours_Loss_Hours_NJ</v>
      </c>
      <c r="S183" s="265">
        <f t="shared" si="22"/>
        <v>6545.8862205717314</v>
      </c>
      <c r="T183" t="str">
        <f t="shared" si="19"/>
        <v>(HOT) V700 Alkox Reactor</v>
      </c>
      <c r="U183" t="s">
        <v>876</v>
      </c>
    </row>
    <row r="184" spans="15:21">
      <c r="O184" s="95" t="s">
        <v>724</v>
      </c>
      <c r="P184" s="95" t="s">
        <v>687</v>
      </c>
      <c r="Q184" s="152" t="s">
        <v>17</v>
      </c>
      <c r="R184" s="96" t="str">
        <f t="shared" si="18"/>
        <v>Equipment Reliability - Planned TA &amp; Planned SD_Loss_Hours_NJ</v>
      </c>
      <c r="S184" s="265">
        <f t="shared" si="22"/>
        <v>0</v>
      </c>
      <c r="T184" t="str">
        <f t="shared" si="19"/>
        <v>(HOT) V700 Alkox Reactor</v>
      </c>
      <c r="U184" t="s">
        <v>876</v>
      </c>
    </row>
    <row r="185" spans="15:21">
      <c r="O185" s="95" t="s">
        <v>724</v>
      </c>
      <c r="P185" s="95" t="s">
        <v>687</v>
      </c>
      <c r="Q185" s="152" t="s">
        <v>665</v>
      </c>
      <c r="R185" s="96" t="str">
        <f t="shared" si="18"/>
        <v>Available running OEE - Running hours_Loss_Hours_NJ</v>
      </c>
      <c r="S185" s="265">
        <f t="shared" si="22"/>
        <v>6545.8862205717314</v>
      </c>
      <c r="T185" t="str">
        <f t="shared" si="19"/>
        <v>(HOT) V700 Alkox Reactor</v>
      </c>
      <c r="U185" t="s">
        <v>876</v>
      </c>
    </row>
    <row r="186" spans="15:21">
      <c r="O186" s="95" t="s">
        <v>724</v>
      </c>
      <c r="P186" s="95" t="s">
        <v>687</v>
      </c>
      <c r="Q186" s="152" t="s">
        <v>18</v>
      </c>
      <c r="R186" s="96" t="str">
        <f t="shared" si="18"/>
        <v>Equipment Reliability - Equipment Failure_Loss_Hours_NJ</v>
      </c>
      <c r="S186" s="265">
        <f t="shared" si="22"/>
        <v>519.46202463516158</v>
      </c>
      <c r="T186" t="str">
        <f t="shared" si="19"/>
        <v>(HOT) V700 Alkox Reactor</v>
      </c>
      <c r="U186" t="s">
        <v>876</v>
      </c>
    </row>
    <row r="187" spans="15:21">
      <c r="O187" s="95" t="s">
        <v>724</v>
      </c>
      <c r="P187" s="95" t="s">
        <v>687</v>
      </c>
      <c r="Q187" s="152" t="s">
        <v>1</v>
      </c>
      <c r="R187" s="96" t="str">
        <f t="shared" si="18"/>
        <v>Operational Reliability_Loss_Hours_NJ</v>
      </c>
      <c r="S187" s="265">
        <f t="shared" si="22"/>
        <v>882.87177526501478</v>
      </c>
      <c r="T187" t="str">
        <f t="shared" si="19"/>
        <v>(HOT) V700 Alkox Reactor</v>
      </c>
      <c r="U187" t="s">
        <v>876</v>
      </c>
    </row>
    <row r="188" spans="15:21">
      <c r="O188" s="95" t="s">
        <v>724</v>
      </c>
      <c r="P188" s="95" t="s">
        <v>687</v>
      </c>
      <c r="Q188" s="152" t="s">
        <v>2</v>
      </c>
      <c r="R188" s="96" t="str">
        <f t="shared" si="18"/>
        <v>Technology Reliability_Loss_Hours_NJ</v>
      </c>
      <c r="S188" s="265">
        <f t="shared" si="22"/>
        <v>739.64725997420453</v>
      </c>
      <c r="T188" t="str">
        <f t="shared" si="19"/>
        <v>(HOT) V700 Alkox Reactor</v>
      </c>
      <c r="U188" t="s">
        <v>876</v>
      </c>
    </row>
    <row r="189" spans="15:21">
      <c r="O189" s="95" t="s">
        <v>724</v>
      </c>
      <c r="P189" s="95" t="s">
        <v>687</v>
      </c>
      <c r="Q189" s="152" t="s">
        <v>3</v>
      </c>
      <c r="R189" s="96" t="str">
        <f t="shared" si="18"/>
        <v>Material Reliability_Loss_Hours_NJ</v>
      </c>
      <c r="S189" s="265">
        <f t="shared" si="22"/>
        <v>66.854093283461836</v>
      </c>
      <c r="T189" t="str">
        <f t="shared" si="19"/>
        <v>(HOT) V700 Alkox Reactor</v>
      </c>
      <c r="U189" t="s">
        <v>876</v>
      </c>
    </row>
    <row r="190" spans="15:21">
      <c r="O190" s="95" t="s">
        <v>724</v>
      </c>
      <c r="P190" s="95" t="s">
        <v>687</v>
      </c>
      <c r="Q190" s="152" t="s">
        <v>4</v>
      </c>
      <c r="R190" s="96" t="str">
        <f t="shared" si="18"/>
        <v>Logistics/Supply Reliability_Loss_Hours_NJ</v>
      </c>
      <c r="S190" s="265">
        <f t="shared" si="22"/>
        <v>172.93620511305113</v>
      </c>
      <c r="T190" t="str">
        <f t="shared" si="19"/>
        <v>(HOT) V700 Alkox Reactor</v>
      </c>
      <c r="U190" t="s">
        <v>876</v>
      </c>
    </row>
    <row r="191" spans="15:21">
      <c r="O191" s="95" t="s">
        <v>724</v>
      </c>
      <c r="P191" s="95" t="s">
        <v>687</v>
      </c>
      <c r="Q191" s="152" t="s">
        <v>5</v>
      </c>
      <c r="R191" s="96" t="str">
        <f t="shared" si="18"/>
        <v>External Reliability_Loss_Hours_NJ</v>
      </c>
      <c r="S191" s="265">
        <f t="shared" si="22"/>
        <v>192.4135356392193</v>
      </c>
      <c r="T191" t="str">
        <f t="shared" si="19"/>
        <v>(HOT) V700 Alkox Reactor</v>
      </c>
      <c r="U191" t="s">
        <v>876</v>
      </c>
    </row>
    <row r="192" spans="15:21">
      <c r="O192" s="95" t="s">
        <v>724</v>
      </c>
      <c r="P192" s="95" t="s">
        <v>687</v>
      </c>
      <c r="Q192" s="152" t="s">
        <v>11</v>
      </c>
      <c r="R192" s="96" t="str">
        <f t="shared" si="18"/>
        <v>Other Reliability_Loss_Hours_NJ</v>
      </c>
      <c r="S192" s="265">
        <f t="shared" si="22"/>
        <v>60.889710302552025</v>
      </c>
      <c r="T192" t="str">
        <f t="shared" si="19"/>
        <v>(HOT) V700 Alkox Reactor</v>
      </c>
      <c r="U192" t="s">
        <v>876</v>
      </c>
    </row>
    <row r="193" spans="15:21">
      <c r="O193" s="95" t="s">
        <v>724</v>
      </c>
      <c r="P193" s="95" t="s">
        <v>687</v>
      </c>
      <c r="Q193" s="152" t="s">
        <v>15</v>
      </c>
      <c r="R193" s="96" t="str">
        <f t="shared" si="18"/>
        <v>Unspecified_Loss_Hours_NJ</v>
      </c>
      <c r="S193" s="265">
        <f t="shared" si="22"/>
        <v>0</v>
      </c>
      <c r="T193" t="str">
        <f t="shared" si="19"/>
        <v>(HOT) V700 Alkox Reactor</v>
      </c>
      <c r="U193" t="s">
        <v>876</v>
      </c>
    </row>
    <row r="194" spans="15:21">
      <c r="O194" s="95" t="s">
        <v>724</v>
      </c>
      <c r="P194" s="95" t="s">
        <v>687</v>
      </c>
      <c r="Q194" s="152" t="s">
        <v>16</v>
      </c>
      <c r="R194" s="96" t="str">
        <f t="shared" ref="R194:R248" si="23">IF(ISBLANK(P194),Q194,_xlfn.CONCAT(Q194,"_",P194))</f>
        <v>Undetected_Loss_Hours_NJ</v>
      </c>
      <c r="S194" s="265">
        <f t="shared" si="22"/>
        <v>41.849456961838278</v>
      </c>
      <c r="T194" t="str">
        <f t="shared" si="19"/>
        <v>(HOT) V700 Alkox Reactor</v>
      </c>
      <c r="U194" t="s">
        <v>876</v>
      </c>
    </row>
    <row r="195" spans="15:21">
      <c r="O195" s="95" t="s">
        <v>724</v>
      </c>
      <c r="P195" s="95" t="s">
        <v>687</v>
      </c>
      <c r="Q195" s="152" t="s">
        <v>664</v>
      </c>
      <c r="R195" s="96" t="str">
        <f t="shared" si="23"/>
        <v>Exception hours_Loss_Hours_NJ</v>
      </c>
      <c r="S195" s="265">
        <f t="shared" si="22"/>
        <v>0</v>
      </c>
      <c r="T195" t="str">
        <f t="shared" ref="T195:T248" si="24">$B$2</f>
        <v>(HOT) V700 Alkox Reactor</v>
      </c>
      <c r="U195" t="s">
        <v>876</v>
      </c>
    </row>
    <row r="196" spans="15:21">
      <c r="O196" s="95" t="s">
        <v>724</v>
      </c>
      <c r="P196" s="95" t="s">
        <v>687</v>
      </c>
      <c r="Q196" s="152" t="s">
        <v>703</v>
      </c>
      <c r="R196" s="96" t="str">
        <f t="shared" si="23"/>
        <v>Extra loss hours in baseline due to MAC change_Loss_Hours_NJ</v>
      </c>
      <c r="S196" s="265">
        <f t="shared" si="22"/>
        <v>0</v>
      </c>
      <c r="T196" t="str">
        <f t="shared" si="24"/>
        <v>(HOT) V700 Alkox Reactor</v>
      </c>
      <c r="U196" t="s">
        <v>876</v>
      </c>
    </row>
    <row r="197" spans="15:21">
      <c r="O197" s="95" t="s">
        <v>724</v>
      </c>
      <c r="P197" s="95" t="s">
        <v>687</v>
      </c>
      <c r="Q197" s="152" t="s">
        <v>705</v>
      </c>
      <c r="R197" s="96" t="str">
        <f t="shared" si="23"/>
        <v>Improvement target not assigned_Loss_Hours_NJ</v>
      </c>
      <c r="S197" s="265">
        <f t="shared" si="22"/>
        <v>376.45156645604288</v>
      </c>
      <c r="T197" t="str">
        <f t="shared" si="24"/>
        <v>(HOT) V700 Alkox Reactor</v>
      </c>
      <c r="U197" t="s">
        <v>876</v>
      </c>
    </row>
    <row r="198" spans="15:21">
      <c r="O198" s="95" t="s">
        <v>724</v>
      </c>
      <c r="P198" s="95" t="s">
        <v>687</v>
      </c>
      <c r="Q198" s="152" t="s">
        <v>397</v>
      </c>
      <c r="R198" s="96" t="str">
        <f t="shared" si="23"/>
        <v>Sum OEE losses (exluding Planned Maintenance)_Loss_Hours_NJ</v>
      </c>
      <c r="S198" s="265">
        <f t="shared" si="22"/>
        <v>2300.4724947184604</v>
      </c>
      <c r="T198" t="str">
        <f t="shared" si="24"/>
        <v>(HOT) V700 Alkox Reactor</v>
      </c>
      <c r="U198" t="s">
        <v>876</v>
      </c>
    </row>
    <row r="199" spans="15:21">
      <c r="O199" s="95" t="s">
        <v>724</v>
      </c>
      <c r="P199" s="95" t="s">
        <v>687</v>
      </c>
      <c r="Q199" s="152" t="s">
        <v>398</v>
      </c>
      <c r="R199" s="96" t="str">
        <f t="shared" si="23"/>
        <v>Sum OEE losses (Including Planned Maintenance)_Loss_Hours_NJ</v>
      </c>
      <c r="S199" s="265">
        <f t="shared" si="22"/>
        <v>2300.4724947184604</v>
      </c>
      <c r="T199" t="str">
        <f t="shared" si="24"/>
        <v>(HOT) V700 Alkox Reactor</v>
      </c>
      <c r="U199" t="s">
        <v>876</v>
      </c>
    </row>
    <row r="200" spans="15:21">
      <c r="O200" s="95" t="s">
        <v>724</v>
      </c>
      <c r="P200" s="95" t="s">
        <v>687</v>
      </c>
      <c r="Q200" s="152" t="s">
        <v>712</v>
      </c>
      <c r="R200" s="96" t="str">
        <f t="shared" si="23"/>
        <v>Production hours on MAC (h) / OEE (%)_Loss_Hours_NJ</v>
      </c>
      <c r="S200" s="265">
        <f t="shared" si="22"/>
        <v>4245.413725853271</v>
      </c>
      <c r="T200" t="str">
        <f t="shared" si="24"/>
        <v>(HOT) V700 Alkox Reactor</v>
      </c>
      <c r="U200" t="s">
        <v>876</v>
      </c>
    </row>
    <row r="201" spans="15:21">
      <c r="O201" s="95" t="s">
        <v>1183</v>
      </c>
      <c r="P201" s="95" t="s">
        <v>681</v>
      </c>
      <c r="Q201" s="143" t="s">
        <v>13</v>
      </c>
      <c r="R201" s="96" t="str">
        <f t="shared" si="23"/>
        <v>MAC - Calender hours_Loss Percentage_NJ</v>
      </c>
      <c r="S201" s="268">
        <f>J25</f>
        <v>0</v>
      </c>
      <c r="T201" t="str">
        <f t="shared" si="24"/>
        <v>(HOT) V700 Alkox Reactor</v>
      </c>
      <c r="U201" t="s">
        <v>876</v>
      </c>
    </row>
    <row r="202" spans="15:21">
      <c r="O202" s="95" t="s">
        <v>1183</v>
      </c>
      <c r="P202" s="95" t="s">
        <v>681</v>
      </c>
      <c r="Q202" s="153" t="s">
        <v>7</v>
      </c>
      <c r="R202" s="96" t="str">
        <f t="shared" si="23"/>
        <v>Commercial Reliability_Loss Percentage_NJ</v>
      </c>
      <c r="S202" s="268">
        <f t="shared" ref="S202:S221" si="25">J26</f>
        <v>0</v>
      </c>
      <c r="T202" t="str">
        <f t="shared" si="24"/>
        <v>(HOT) V700 Alkox Reactor</v>
      </c>
      <c r="U202" t="s">
        <v>876</v>
      </c>
    </row>
    <row r="203" spans="15:21">
      <c r="O203" s="95" t="s">
        <v>1183</v>
      </c>
      <c r="P203" s="95" t="s">
        <v>681</v>
      </c>
      <c r="Q203" s="153" t="s">
        <v>704</v>
      </c>
      <c r="R203" s="96" t="str">
        <f t="shared" si="23"/>
        <v>Exception hours (loss excluded from OEE)_Loss Percentage_NJ</v>
      </c>
      <c r="S203" s="268">
        <f t="shared" si="25"/>
        <v>0</v>
      </c>
      <c r="T203" t="str">
        <f t="shared" si="24"/>
        <v>(HOT) V700 Alkox Reactor</v>
      </c>
      <c r="U203" t="s">
        <v>876</v>
      </c>
    </row>
    <row r="204" spans="15:21">
      <c r="O204" s="95" t="s">
        <v>1183</v>
      </c>
      <c r="P204" s="95" t="s">
        <v>681</v>
      </c>
      <c r="Q204" s="153" t="s">
        <v>14</v>
      </c>
      <c r="R204" s="96" t="str">
        <f t="shared" si="23"/>
        <v>Available OEE - Scheduled hours_Loss Percentage_NJ</v>
      </c>
      <c r="S204" s="268">
        <f t="shared" si="25"/>
        <v>1</v>
      </c>
      <c r="T204" t="str">
        <f t="shared" si="24"/>
        <v>(HOT) V700 Alkox Reactor</v>
      </c>
      <c r="U204" t="s">
        <v>876</v>
      </c>
    </row>
    <row r="205" spans="15:21">
      <c r="O205" s="95" t="s">
        <v>1183</v>
      </c>
      <c r="P205" s="95" t="s">
        <v>681</v>
      </c>
      <c r="Q205" s="153" t="s">
        <v>17</v>
      </c>
      <c r="R205" s="96" t="str">
        <f t="shared" si="23"/>
        <v>Equipment Reliability - Planned TA &amp; Planned SD_Loss Percentage_NJ</v>
      </c>
      <c r="S205" s="268">
        <f t="shared" si="25"/>
        <v>0</v>
      </c>
      <c r="T205" t="str">
        <f t="shared" si="24"/>
        <v>(HOT) V700 Alkox Reactor</v>
      </c>
      <c r="U205" t="s">
        <v>876</v>
      </c>
    </row>
    <row r="206" spans="15:21">
      <c r="O206" s="95" t="s">
        <v>1183</v>
      </c>
      <c r="P206" s="95" t="s">
        <v>681</v>
      </c>
      <c r="Q206" s="153" t="s">
        <v>665</v>
      </c>
      <c r="R206" s="96" t="str">
        <f t="shared" si="23"/>
        <v>Available running OEE - Running hours_Loss Percentage_NJ</v>
      </c>
      <c r="S206" s="268">
        <f t="shared" si="25"/>
        <v>0</v>
      </c>
      <c r="T206" t="str">
        <f t="shared" si="24"/>
        <v>(HOT) V700 Alkox Reactor</v>
      </c>
      <c r="U206" t="s">
        <v>876</v>
      </c>
    </row>
    <row r="207" spans="15:21">
      <c r="O207" s="95" t="s">
        <v>1183</v>
      </c>
      <c r="P207" s="95" t="s">
        <v>681</v>
      </c>
      <c r="Q207" s="153" t="s">
        <v>18</v>
      </c>
      <c r="R207" s="96" t="str">
        <f t="shared" si="23"/>
        <v>Equipment Reliability - Equipment Failure_Loss Percentage_NJ</v>
      </c>
      <c r="S207" s="268">
        <f t="shared" si="25"/>
        <v>7.9357020139251777E-2</v>
      </c>
      <c r="T207" t="str">
        <f t="shared" si="24"/>
        <v>(HOT) V700 Alkox Reactor</v>
      </c>
      <c r="U207" t="s">
        <v>876</v>
      </c>
    </row>
    <row r="208" spans="15:21">
      <c r="O208" s="95" t="s">
        <v>1183</v>
      </c>
      <c r="P208" s="95" t="s">
        <v>681</v>
      </c>
      <c r="Q208" s="153" t="s">
        <v>1</v>
      </c>
      <c r="R208" s="96" t="str">
        <f t="shared" si="23"/>
        <v>Operational Reliability_Loss Percentage_NJ</v>
      </c>
      <c r="S208" s="268">
        <f t="shared" si="25"/>
        <v>0.13487429287884917</v>
      </c>
      <c r="T208" t="str">
        <f t="shared" si="24"/>
        <v>(HOT) V700 Alkox Reactor</v>
      </c>
      <c r="U208" t="s">
        <v>876</v>
      </c>
    </row>
    <row r="209" spans="15:21">
      <c r="O209" s="95" t="s">
        <v>1183</v>
      </c>
      <c r="P209" s="95" t="s">
        <v>681</v>
      </c>
      <c r="Q209" s="153" t="s">
        <v>2</v>
      </c>
      <c r="R209" s="96" t="str">
        <f t="shared" si="23"/>
        <v>Technology Reliability_Loss Percentage_NJ</v>
      </c>
      <c r="S209" s="268">
        <f t="shared" si="25"/>
        <v>0.11299421270869603</v>
      </c>
      <c r="T209" t="str">
        <f t="shared" si="24"/>
        <v>(HOT) V700 Alkox Reactor</v>
      </c>
      <c r="U209" t="s">
        <v>876</v>
      </c>
    </row>
    <row r="210" spans="15:21">
      <c r="O210" s="95" t="s">
        <v>1183</v>
      </c>
      <c r="P210" s="95" t="s">
        <v>681</v>
      </c>
      <c r="Q210" s="153" t="s">
        <v>3</v>
      </c>
      <c r="R210" s="96" t="str">
        <f t="shared" si="23"/>
        <v>Material Reliability_Loss Percentage_NJ</v>
      </c>
      <c r="S210" s="268">
        <f t="shared" si="25"/>
        <v>1.0213146246471521E-2</v>
      </c>
      <c r="T210" t="str">
        <f t="shared" si="24"/>
        <v>(HOT) V700 Alkox Reactor</v>
      </c>
      <c r="U210" t="s">
        <v>876</v>
      </c>
    </row>
    <row r="211" spans="15:21">
      <c r="O211" s="95" t="s">
        <v>1183</v>
      </c>
      <c r="P211" s="95" t="s">
        <v>681</v>
      </c>
      <c r="Q211" s="153" t="s">
        <v>4</v>
      </c>
      <c r="R211" s="96" t="str">
        <f t="shared" si="23"/>
        <v>Logistics/Supply Reliability_Loss Percentage_NJ</v>
      </c>
      <c r="S211" s="268">
        <f t="shared" si="25"/>
        <v>2.6419066767394334E-2</v>
      </c>
      <c r="T211" t="str">
        <f t="shared" si="24"/>
        <v>(HOT) V700 Alkox Reactor</v>
      </c>
      <c r="U211" t="s">
        <v>876</v>
      </c>
    </row>
    <row r="212" spans="15:21">
      <c r="O212" s="95" t="s">
        <v>1183</v>
      </c>
      <c r="P212" s="95" t="s">
        <v>681</v>
      </c>
      <c r="Q212" s="153" t="s">
        <v>5</v>
      </c>
      <c r="R212" s="96" t="str">
        <f t="shared" si="23"/>
        <v>External Reliability_Loss Percentage_NJ</v>
      </c>
      <c r="S212" s="268">
        <f t="shared" si="25"/>
        <v>2.9394573806449924E-2</v>
      </c>
      <c r="T212" t="str">
        <f t="shared" si="24"/>
        <v>(HOT) V700 Alkox Reactor</v>
      </c>
      <c r="U212" t="s">
        <v>876</v>
      </c>
    </row>
    <row r="213" spans="15:21">
      <c r="O213" s="95" t="s">
        <v>1183</v>
      </c>
      <c r="P213" s="95" t="s">
        <v>681</v>
      </c>
      <c r="Q213" s="153" t="s">
        <v>11</v>
      </c>
      <c r="R213" s="96" t="str">
        <f t="shared" si="23"/>
        <v>Other Reliability_Loss Percentage_NJ</v>
      </c>
      <c r="S213" s="268">
        <f t="shared" si="25"/>
        <v>9.3019811605026329E-3</v>
      </c>
      <c r="T213" t="str">
        <f t="shared" si="24"/>
        <v>(HOT) V700 Alkox Reactor</v>
      </c>
      <c r="U213" t="s">
        <v>876</v>
      </c>
    </row>
    <row r="214" spans="15:21">
      <c r="O214" s="95" t="s">
        <v>1183</v>
      </c>
      <c r="P214" s="95" t="s">
        <v>681</v>
      </c>
      <c r="Q214" s="153" t="s">
        <v>15</v>
      </c>
      <c r="R214" s="96" t="str">
        <f t="shared" si="23"/>
        <v>Unspecified_Loss Percentage_NJ</v>
      </c>
      <c r="S214" s="268">
        <f t="shared" si="25"/>
        <v>0</v>
      </c>
      <c r="T214" t="str">
        <f t="shared" si="24"/>
        <v>(HOT) V700 Alkox Reactor</v>
      </c>
      <c r="U214" t="s">
        <v>876</v>
      </c>
    </row>
    <row r="215" spans="15:21">
      <c r="O215" s="95" t="s">
        <v>1183</v>
      </c>
      <c r="P215" s="95" t="s">
        <v>681</v>
      </c>
      <c r="Q215" s="153" t="s">
        <v>16</v>
      </c>
      <c r="R215" s="96" t="str">
        <f t="shared" si="23"/>
        <v>Undetected_Loss Percentage_NJ</v>
      </c>
      <c r="S215" s="268">
        <f t="shared" si="25"/>
        <v>6.3932453989680041E-3</v>
      </c>
      <c r="T215" t="str">
        <f t="shared" si="24"/>
        <v>(HOT) V700 Alkox Reactor</v>
      </c>
      <c r="U215" t="s">
        <v>876</v>
      </c>
    </row>
    <row r="216" spans="15:21">
      <c r="O216" s="95" t="s">
        <v>1183</v>
      </c>
      <c r="P216" s="95" t="s">
        <v>681</v>
      </c>
      <c r="Q216" s="153" t="s">
        <v>664</v>
      </c>
      <c r="R216" s="96" t="str">
        <f t="shared" si="23"/>
        <v>Exception hours_Loss Percentage_NJ</v>
      </c>
      <c r="S216" s="268">
        <f t="shared" si="25"/>
        <v>0</v>
      </c>
      <c r="T216" t="str">
        <f t="shared" si="24"/>
        <v>(HOT) V700 Alkox Reactor</v>
      </c>
      <c r="U216" t="s">
        <v>876</v>
      </c>
    </row>
    <row r="217" spans="15:21">
      <c r="O217" s="95" t="s">
        <v>1183</v>
      </c>
      <c r="P217" s="95" t="s">
        <v>681</v>
      </c>
      <c r="Q217" s="153" t="s">
        <v>703</v>
      </c>
      <c r="R217" s="96" t="str">
        <f t="shared" si="23"/>
        <v>Extra loss hours in baseline due to MAC change_Loss Percentage_NJ</v>
      </c>
      <c r="S217" s="268">
        <f t="shared" si="25"/>
        <v>0</v>
      </c>
      <c r="T217" t="str">
        <f t="shared" si="24"/>
        <v>(HOT) V700 Alkox Reactor</v>
      </c>
      <c r="U217" t="s">
        <v>876</v>
      </c>
    </row>
    <row r="218" spans="15:21">
      <c r="O218" s="95" t="s">
        <v>1183</v>
      </c>
      <c r="P218" s="95" t="s">
        <v>681</v>
      </c>
      <c r="Q218" s="153" t="s">
        <v>705</v>
      </c>
      <c r="R218" s="96" t="str">
        <f t="shared" si="23"/>
        <v>Improvement target not assigned_Loss Percentage_NJ</v>
      </c>
      <c r="S218" s="268">
        <f t="shared" si="25"/>
        <v>-5.7509640982296634E-2</v>
      </c>
      <c r="T218" t="str">
        <f t="shared" si="24"/>
        <v>(HOT) V700 Alkox Reactor</v>
      </c>
      <c r="U218" t="s">
        <v>876</v>
      </c>
    </row>
    <row r="219" spans="15:21">
      <c r="O219" s="95" t="s">
        <v>1183</v>
      </c>
      <c r="P219" s="95" t="s">
        <v>681</v>
      </c>
      <c r="Q219" s="153" t="s">
        <v>397</v>
      </c>
      <c r="R219" s="96" t="str">
        <f t="shared" si="23"/>
        <v>Sum OEE losses (exluding Planned Maintenance)_Loss Percentage_NJ</v>
      </c>
      <c r="S219" s="268">
        <f t="shared" si="25"/>
        <v>0.35143789812428683</v>
      </c>
      <c r="T219" t="str">
        <f t="shared" si="24"/>
        <v>(HOT) V700 Alkox Reactor</v>
      </c>
      <c r="U219" t="s">
        <v>876</v>
      </c>
    </row>
    <row r="220" spans="15:21">
      <c r="O220" s="95" t="s">
        <v>1183</v>
      </c>
      <c r="P220" s="95" t="s">
        <v>681</v>
      </c>
      <c r="Q220" s="153" t="s">
        <v>398</v>
      </c>
      <c r="R220" s="96" t="str">
        <f t="shared" si="23"/>
        <v>Sum OEE losses (Including Planned Maintenance)_Loss Percentage_NJ</v>
      </c>
      <c r="S220" s="268">
        <f t="shared" si="25"/>
        <v>0.35143789812428672</v>
      </c>
      <c r="T220" t="str">
        <f t="shared" si="24"/>
        <v>(HOT) V700 Alkox Reactor</v>
      </c>
      <c r="U220" t="s">
        <v>876</v>
      </c>
    </row>
    <row r="221" spans="15:21">
      <c r="O221" s="95" t="s">
        <v>1183</v>
      </c>
      <c r="P221" s="95" t="s">
        <v>681</v>
      </c>
      <c r="Q221" s="153" t="s">
        <v>712</v>
      </c>
      <c r="R221" s="96" t="str">
        <f t="shared" si="23"/>
        <v>Production hours on MAC (h) / OEE (%)_Loss Percentage_NJ</v>
      </c>
      <c r="S221" s="268">
        <f t="shared" si="25"/>
        <v>0.64856210187571328</v>
      </c>
      <c r="T221" t="str">
        <f t="shared" si="24"/>
        <v>(HOT) V700 Alkox Reactor</v>
      </c>
      <c r="U221" t="s">
        <v>876</v>
      </c>
    </row>
    <row r="222" spans="15:21">
      <c r="O222" s="95" t="s">
        <v>676</v>
      </c>
      <c r="P222" s="95" t="s">
        <v>994</v>
      </c>
      <c r="Q222" s="144" t="s">
        <v>374</v>
      </c>
      <c r="R222" s="96" t="str">
        <f t="shared" si="23"/>
        <v>Planned Turnaround (h)_NJ_Maintenance_plan</v>
      </c>
      <c r="S222" s="1" t="str">
        <f>D18</f>
        <v/>
      </c>
      <c r="T222" t="str">
        <f t="shared" si="24"/>
        <v>(HOT) V700 Alkox Reactor</v>
      </c>
      <c r="U222" t="s">
        <v>877</v>
      </c>
    </row>
    <row r="223" spans="15:21">
      <c r="O223" s="95" t="s">
        <v>676</v>
      </c>
      <c r="P223" s="95" t="s">
        <v>994</v>
      </c>
      <c r="Q223" s="144" t="s">
        <v>375</v>
      </c>
      <c r="R223" s="96" t="str">
        <f t="shared" si="23"/>
        <v>Planned Shutdown (h)_NJ_Maintenance_plan</v>
      </c>
      <c r="S223" s="1" t="str">
        <f t="shared" ref="S223:S224" si="26">D19</f>
        <v/>
      </c>
      <c r="T223" t="str">
        <f t="shared" si="24"/>
        <v>(HOT) V700 Alkox Reactor</v>
      </c>
      <c r="U223" t="s">
        <v>877</v>
      </c>
    </row>
    <row r="224" spans="15:21">
      <c r="O224" s="95" t="s">
        <v>676</v>
      </c>
      <c r="P224" s="95" t="s">
        <v>994</v>
      </c>
      <c r="Q224" s="144" t="s">
        <v>716</v>
      </c>
      <c r="R224" s="96" t="str">
        <f t="shared" si="23"/>
        <v>Total Planned Maintenance (h)_NJ_Maintenance_plan</v>
      </c>
      <c r="S224" s="1" t="str">
        <f t="shared" si="26"/>
        <v/>
      </c>
      <c r="T224" t="str">
        <f t="shared" si="24"/>
        <v>(HOT) V700 Alkox Reactor</v>
      </c>
      <c r="U224" t="s">
        <v>877</v>
      </c>
    </row>
    <row r="225" spans="15:21">
      <c r="O225" s="95" t="s">
        <v>674</v>
      </c>
      <c r="Q225" s="144" t="s">
        <v>1184</v>
      </c>
      <c r="R225" s="96" t="str">
        <f t="shared" si="23"/>
        <v>OEE_Running OEE Override</v>
      </c>
      <c r="S225" s="1" t="str">
        <f>B60</f>
        <v>Automatic</v>
      </c>
      <c r="T225" t="str">
        <f t="shared" si="24"/>
        <v>(HOT) V700 Alkox Reactor</v>
      </c>
      <c r="U225" t="s">
        <v>875</v>
      </c>
    </row>
    <row r="226" spans="15:21">
      <c r="O226" s="95" t="s">
        <v>678</v>
      </c>
      <c r="Q226" s="144" t="s">
        <v>1182</v>
      </c>
      <c r="R226" s="96" t="str">
        <f t="shared" si="23"/>
        <v>Unit of Loss Decrease entry</v>
      </c>
      <c r="S226" s="370" t="str">
        <f>F24</f>
        <v>% decrease</v>
      </c>
      <c r="T226" t="str">
        <f t="shared" si="24"/>
        <v>(HOT) V700 Alkox Reactor</v>
      </c>
      <c r="U226" t="s">
        <v>875</v>
      </c>
    </row>
    <row r="227" spans="15:21">
      <c r="O227" s="95" t="s">
        <v>678</v>
      </c>
      <c r="P227" s="95" t="s">
        <v>1185</v>
      </c>
      <c r="Q227" s="142" t="s">
        <v>13</v>
      </c>
      <c r="R227" s="96" t="str">
        <f t="shared" si="23"/>
        <v>MAC - Calender hours_OEE_Improvement_Entry</v>
      </c>
      <c r="S227" s="371">
        <f>F25</f>
        <v>0</v>
      </c>
      <c r="T227" t="str">
        <f t="shared" si="24"/>
        <v>(HOT) V700 Alkox Reactor</v>
      </c>
      <c r="U227" t="s">
        <v>876</v>
      </c>
    </row>
    <row r="228" spans="15:21">
      <c r="O228" s="95" t="s">
        <v>678</v>
      </c>
      <c r="P228" s="95" t="s">
        <v>1185</v>
      </c>
      <c r="Q228" s="152" t="s">
        <v>7</v>
      </c>
      <c r="R228" s="96" t="str">
        <f t="shared" si="23"/>
        <v>Commercial Reliability_OEE_Improvement_Entry</v>
      </c>
      <c r="S228" s="371">
        <f t="shared" ref="S228:S247" si="27">F26</f>
        <v>0</v>
      </c>
      <c r="T228" t="str">
        <f t="shared" si="24"/>
        <v>(HOT) V700 Alkox Reactor</v>
      </c>
      <c r="U228" t="s">
        <v>876</v>
      </c>
    </row>
    <row r="229" spans="15:21">
      <c r="O229" s="95" t="s">
        <v>678</v>
      </c>
      <c r="P229" s="95" t="s">
        <v>1185</v>
      </c>
      <c r="Q229" s="152" t="s">
        <v>704</v>
      </c>
      <c r="R229" s="96" t="str">
        <f t="shared" si="23"/>
        <v>Exception hours (loss excluded from OEE)_OEE_Improvement_Entry</v>
      </c>
      <c r="S229" s="371" t="str">
        <f t="shared" si="27"/>
        <v/>
      </c>
      <c r="T229" t="str">
        <f t="shared" si="24"/>
        <v>(HOT) V700 Alkox Reactor</v>
      </c>
      <c r="U229" t="s">
        <v>876</v>
      </c>
    </row>
    <row r="230" spans="15:21">
      <c r="O230" s="95" t="s">
        <v>678</v>
      </c>
      <c r="P230" s="95" t="s">
        <v>1185</v>
      </c>
      <c r="Q230" s="152" t="s">
        <v>14</v>
      </c>
      <c r="R230" s="96" t="str">
        <f t="shared" si="23"/>
        <v>Available OEE - Scheduled hours_OEE_Improvement_Entry</v>
      </c>
      <c r="S230" s="371">
        <f t="shared" si="27"/>
        <v>0</v>
      </c>
      <c r="T230" t="str">
        <f t="shared" si="24"/>
        <v>(HOT) V700 Alkox Reactor</v>
      </c>
      <c r="U230" t="s">
        <v>876</v>
      </c>
    </row>
    <row r="231" spans="15:21">
      <c r="O231" s="95" t="s">
        <v>678</v>
      </c>
      <c r="P231" s="95" t="s">
        <v>1185</v>
      </c>
      <c r="Q231" s="152" t="s">
        <v>17</v>
      </c>
      <c r="R231" s="96" t="str">
        <f t="shared" si="23"/>
        <v>Equipment Reliability - Planned TA &amp; Planned SD_OEE_Improvement_Entry</v>
      </c>
      <c r="S231" s="371">
        <f t="shared" si="27"/>
        <v>0</v>
      </c>
      <c r="T231" t="str">
        <f t="shared" si="24"/>
        <v>(HOT) V700 Alkox Reactor</v>
      </c>
      <c r="U231" t="s">
        <v>876</v>
      </c>
    </row>
    <row r="232" spans="15:21">
      <c r="O232" s="95" t="s">
        <v>678</v>
      </c>
      <c r="P232" s="95" t="s">
        <v>1185</v>
      </c>
      <c r="Q232" s="152" t="s">
        <v>665</v>
      </c>
      <c r="R232" s="96" t="str">
        <f t="shared" si="23"/>
        <v>Available running OEE - Running hours_OEE_Improvement_Entry</v>
      </c>
      <c r="S232" s="371">
        <f t="shared" si="27"/>
        <v>0</v>
      </c>
      <c r="T232" t="str">
        <f t="shared" si="24"/>
        <v>(HOT) V700 Alkox Reactor</v>
      </c>
      <c r="U232" t="s">
        <v>876</v>
      </c>
    </row>
    <row r="233" spans="15:21">
      <c r="O233" s="95" t="s">
        <v>678</v>
      </c>
      <c r="P233" s="95" t="s">
        <v>1185</v>
      </c>
      <c r="Q233" s="152" t="s">
        <v>18</v>
      </c>
      <c r="R233" s="96" t="str">
        <f t="shared" si="23"/>
        <v>Equipment Reliability - Equipment Failure_OEE_Improvement_Entry</v>
      </c>
      <c r="S233" s="371">
        <f t="shared" si="27"/>
        <v>0</v>
      </c>
      <c r="T233" t="str">
        <f t="shared" si="24"/>
        <v>(HOT) V700 Alkox Reactor</v>
      </c>
      <c r="U233" t="s">
        <v>876</v>
      </c>
    </row>
    <row r="234" spans="15:21">
      <c r="O234" s="95" t="s">
        <v>678</v>
      </c>
      <c r="P234" s="95" t="s">
        <v>1185</v>
      </c>
      <c r="Q234" s="152" t="s">
        <v>1</v>
      </c>
      <c r="R234" s="96" t="str">
        <f t="shared" si="23"/>
        <v>Operational Reliability_OEE_Improvement_Entry</v>
      </c>
      <c r="S234" s="371">
        <f t="shared" si="27"/>
        <v>0</v>
      </c>
      <c r="T234" t="str">
        <f t="shared" si="24"/>
        <v>(HOT) V700 Alkox Reactor</v>
      </c>
      <c r="U234" t="s">
        <v>876</v>
      </c>
    </row>
    <row r="235" spans="15:21">
      <c r="O235" s="95" t="s">
        <v>678</v>
      </c>
      <c r="P235" s="95" t="s">
        <v>1185</v>
      </c>
      <c r="Q235" s="152" t="s">
        <v>2</v>
      </c>
      <c r="R235" s="96" t="str">
        <f t="shared" si="23"/>
        <v>Technology Reliability_OEE_Improvement_Entry</v>
      </c>
      <c r="S235" s="371">
        <f t="shared" si="27"/>
        <v>0</v>
      </c>
      <c r="T235" t="str">
        <f t="shared" si="24"/>
        <v>(HOT) V700 Alkox Reactor</v>
      </c>
      <c r="U235" t="s">
        <v>876</v>
      </c>
    </row>
    <row r="236" spans="15:21">
      <c r="O236" s="95" t="s">
        <v>678</v>
      </c>
      <c r="P236" s="95" t="s">
        <v>1185</v>
      </c>
      <c r="Q236" s="152" t="s">
        <v>3</v>
      </c>
      <c r="R236" s="96" t="str">
        <f t="shared" si="23"/>
        <v>Material Reliability_OEE_Improvement_Entry</v>
      </c>
      <c r="S236" s="371">
        <f t="shared" si="27"/>
        <v>0</v>
      </c>
      <c r="T236" t="str">
        <f t="shared" si="24"/>
        <v>(HOT) V700 Alkox Reactor</v>
      </c>
      <c r="U236" t="s">
        <v>876</v>
      </c>
    </row>
    <row r="237" spans="15:21">
      <c r="O237" s="95" t="s">
        <v>678</v>
      </c>
      <c r="P237" s="95" t="s">
        <v>1185</v>
      </c>
      <c r="Q237" s="152" t="s">
        <v>4</v>
      </c>
      <c r="R237" s="96" t="str">
        <f t="shared" si="23"/>
        <v>Logistics/Supply Reliability_OEE_Improvement_Entry</v>
      </c>
      <c r="S237" s="371">
        <f t="shared" si="27"/>
        <v>0</v>
      </c>
      <c r="T237" t="str">
        <f t="shared" si="24"/>
        <v>(HOT) V700 Alkox Reactor</v>
      </c>
      <c r="U237" t="s">
        <v>876</v>
      </c>
    </row>
    <row r="238" spans="15:21">
      <c r="O238" s="95" t="s">
        <v>678</v>
      </c>
      <c r="P238" s="95" t="s">
        <v>1185</v>
      </c>
      <c r="Q238" s="152" t="s">
        <v>5</v>
      </c>
      <c r="R238" s="96" t="str">
        <f t="shared" si="23"/>
        <v>External Reliability_OEE_Improvement_Entry</v>
      </c>
      <c r="S238" s="371">
        <f t="shared" si="27"/>
        <v>0</v>
      </c>
      <c r="T238" t="str">
        <f t="shared" si="24"/>
        <v>(HOT) V700 Alkox Reactor</v>
      </c>
      <c r="U238" t="s">
        <v>876</v>
      </c>
    </row>
    <row r="239" spans="15:21">
      <c r="O239" s="95" t="s">
        <v>678</v>
      </c>
      <c r="P239" s="95" t="s">
        <v>1185</v>
      </c>
      <c r="Q239" s="152" t="s">
        <v>11</v>
      </c>
      <c r="R239" s="96" t="str">
        <f t="shared" si="23"/>
        <v>Other Reliability_OEE_Improvement_Entry</v>
      </c>
      <c r="S239" s="371">
        <f t="shared" si="27"/>
        <v>0</v>
      </c>
      <c r="T239" t="str">
        <f t="shared" si="24"/>
        <v>(HOT) V700 Alkox Reactor</v>
      </c>
      <c r="U239" t="s">
        <v>876</v>
      </c>
    </row>
    <row r="240" spans="15:21">
      <c r="O240" s="95" t="s">
        <v>678</v>
      </c>
      <c r="P240" s="95" t="s">
        <v>1185</v>
      </c>
      <c r="Q240" s="152" t="s">
        <v>15</v>
      </c>
      <c r="R240" s="96" t="str">
        <f t="shared" si="23"/>
        <v>Unspecified_OEE_Improvement_Entry</v>
      </c>
      <c r="S240" s="371">
        <f t="shared" si="27"/>
        <v>0</v>
      </c>
      <c r="T240" t="str">
        <f t="shared" si="24"/>
        <v>(HOT) V700 Alkox Reactor</v>
      </c>
      <c r="U240" t="s">
        <v>876</v>
      </c>
    </row>
    <row r="241" spans="15:21">
      <c r="O241" s="95" t="s">
        <v>678</v>
      </c>
      <c r="P241" s="95" t="s">
        <v>1185</v>
      </c>
      <c r="Q241" s="152" t="s">
        <v>16</v>
      </c>
      <c r="R241" s="96" t="str">
        <f t="shared" si="23"/>
        <v>Undetected_OEE_Improvement_Entry</v>
      </c>
      <c r="S241" s="371">
        <f t="shared" si="27"/>
        <v>0</v>
      </c>
      <c r="T241" t="str">
        <f t="shared" si="24"/>
        <v>(HOT) V700 Alkox Reactor</v>
      </c>
      <c r="U241" t="s">
        <v>876</v>
      </c>
    </row>
    <row r="242" spans="15:21">
      <c r="O242" s="95" t="s">
        <v>678</v>
      </c>
      <c r="P242" s="95" t="s">
        <v>1185</v>
      </c>
      <c r="Q242" s="152" t="s">
        <v>664</v>
      </c>
      <c r="R242" s="96" t="str">
        <f t="shared" si="23"/>
        <v>Exception hours_OEE_Improvement_Entry</v>
      </c>
      <c r="S242" s="371">
        <f t="shared" si="27"/>
        <v>0</v>
      </c>
      <c r="T242" t="str">
        <f t="shared" si="24"/>
        <v>(HOT) V700 Alkox Reactor</v>
      </c>
      <c r="U242" t="s">
        <v>876</v>
      </c>
    </row>
    <row r="243" spans="15:21">
      <c r="O243" s="95" t="s">
        <v>678</v>
      </c>
      <c r="P243" s="95" t="s">
        <v>1185</v>
      </c>
      <c r="Q243" s="152" t="s">
        <v>703</v>
      </c>
      <c r="R243" s="96" t="str">
        <f t="shared" si="23"/>
        <v>Extra loss hours in baseline due to MAC change_OEE_Improvement_Entry</v>
      </c>
      <c r="S243" s="371">
        <f t="shared" si="27"/>
        <v>0</v>
      </c>
      <c r="T243" t="str">
        <f t="shared" si="24"/>
        <v>(HOT) V700 Alkox Reactor</v>
      </c>
      <c r="U243" t="s">
        <v>876</v>
      </c>
    </row>
    <row r="244" spans="15:21">
      <c r="O244" s="95" t="s">
        <v>678</v>
      </c>
      <c r="P244" s="95" t="s">
        <v>1185</v>
      </c>
      <c r="Q244" s="152" t="s">
        <v>705</v>
      </c>
      <c r="R244" s="96" t="str">
        <f t="shared" si="23"/>
        <v>Improvement target not assigned_OEE_Improvement_Entry</v>
      </c>
      <c r="S244" s="371">
        <f t="shared" si="27"/>
        <v>0</v>
      </c>
      <c r="T244" t="str">
        <f t="shared" si="24"/>
        <v>(HOT) V700 Alkox Reactor</v>
      </c>
      <c r="U244" t="s">
        <v>876</v>
      </c>
    </row>
    <row r="245" spans="15:21">
      <c r="O245" s="95" t="s">
        <v>678</v>
      </c>
      <c r="P245" s="95" t="s">
        <v>1185</v>
      </c>
      <c r="Q245" s="152" t="s">
        <v>397</v>
      </c>
      <c r="R245" s="96" t="str">
        <f t="shared" si="23"/>
        <v>Sum OEE losses (exluding Planned Maintenance)_OEE_Improvement_Entry</v>
      </c>
      <c r="S245" s="371">
        <f t="shared" si="27"/>
        <v>0</v>
      </c>
      <c r="T245" t="str">
        <f t="shared" si="24"/>
        <v>(HOT) V700 Alkox Reactor</v>
      </c>
      <c r="U245" t="s">
        <v>876</v>
      </c>
    </row>
    <row r="246" spans="15:21">
      <c r="O246" s="95" t="s">
        <v>678</v>
      </c>
      <c r="P246" s="95" t="s">
        <v>1185</v>
      </c>
      <c r="Q246" s="152" t="s">
        <v>398</v>
      </c>
      <c r="R246" s="96" t="str">
        <f t="shared" si="23"/>
        <v>Sum OEE losses (Including Planned Maintenance)_OEE_Improvement_Entry</v>
      </c>
      <c r="S246" s="371">
        <f t="shared" si="27"/>
        <v>0</v>
      </c>
      <c r="T246" t="str">
        <f t="shared" si="24"/>
        <v>(HOT) V700 Alkox Reactor</v>
      </c>
      <c r="U246" t="s">
        <v>876</v>
      </c>
    </row>
    <row r="247" spans="15:21">
      <c r="O247" s="95" t="s">
        <v>678</v>
      </c>
      <c r="P247" s="95" t="s">
        <v>1185</v>
      </c>
      <c r="Q247" s="152" t="s">
        <v>712</v>
      </c>
      <c r="R247" s="96" t="str">
        <f t="shared" si="23"/>
        <v>Production hours on MAC (h) / OEE (%)_OEE_Improvement_Entry</v>
      </c>
      <c r="S247" s="371">
        <f t="shared" si="27"/>
        <v>0</v>
      </c>
      <c r="T247" t="str">
        <f t="shared" si="24"/>
        <v>(HOT) V700 Alkox Reactor</v>
      </c>
      <c r="U247" t="s">
        <v>876</v>
      </c>
    </row>
    <row r="248" spans="15:21">
      <c r="O248" s="95" t="s">
        <v>1192</v>
      </c>
      <c r="Q248" s="144" t="s">
        <v>1191</v>
      </c>
      <c r="R248" s="96" t="str">
        <f t="shared" si="23"/>
        <v>Sheet used for target setting</v>
      </c>
      <c r="S248" s="1" t="s">
        <v>1190</v>
      </c>
      <c r="T248" t="str">
        <f t="shared" si="24"/>
        <v>(HOT) V700 Alkox Reactor</v>
      </c>
      <c r="U248" t="s">
        <v>875</v>
      </c>
    </row>
  </sheetData>
  <scenarios current="0">
    <scenario name="Same production volume" locked="1" count="10" user="Philipse, H.J.F. (Erik)" comment="Created by Philipse, H.J.F. (Erik) on 18-11-2020">
      <inputCells r="K23" val="0,875" numFmtId="165"/>
      <inputCells r="H31" val="0,012" numFmtId="165"/>
      <inputCells r="H33" val=""/>
      <inputCells r="H34" val="0,01" numFmtId="165"/>
      <inputCells r="H35" val="0,013" numFmtId="165"/>
      <inputCells r="H36" val=""/>
      <inputCells r="H37" val="-0,035" numFmtId="165"/>
      <inputCells r="H38" val=""/>
      <inputCells r="H39" val="0,035" numFmtId="165"/>
      <inputCells r="F32" undone="1" val="0,01" numFmtId="165"/>
    </scenario>
  </scenarios>
  <mergeCells count="5">
    <mergeCell ref="E12:I21"/>
    <mergeCell ref="B23:C23"/>
    <mergeCell ref="D23:E23"/>
    <mergeCell ref="G23:H23"/>
    <mergeCell ref="I23:J23"/>
  </mergeCells>
  <conditionalFormatting sqref="A22">
    <cfRule type="expression" priority="24">
      <formula>$B$22&gt;1%</formula>
    </cfRule>
    <cfRule type="expression" dxfId="110" priority="25">
      <formula>$B$22=""</formula>
    </cfRule>
  </conditionalFormatting>
  <conditionalFormatting sqref="B6">
    <cfRule type="cellIs" dxfId="109" priority="21" operator="lessThan">
      <formula>-0.1</formula>
    </cfRule>
    <cfRule type="cellIs" dxfId="108" priority="22" operator="greaterThan">
      <formula>0.1</formula>
    </cfRule>
    <cfRule type="cellIs" dxfId="107" priority="23" operator="between">
      <formula>-0.1</formula>
      <formula>0.1</formula>
    </cfRule>
  </conditionalFormatting>
  <conditionalFormatting sqref="C21">
    <cfRule type="cellIs" dxfId="106" priority="18" operator="lessThan">
      <formula>-0.1</formula>
    </cfRule>
    <cfRule type="cellIs" dxfId="105" priority="19" operator="greaterThan">
      <formula>0.1</formula>
    </cfRule>
    <cfRule type="cellIs" dxfId="104" priority="20" operator="between">
      <formula>-0.1</formula>
      <formula>0.1</formula>
    </cfRule>
  </conditionalFormatting>
  <conditionalFormatting sqref="A9:B9">
    <cfRule type="expression" dxfId="103" priority="16">
      <formula>$B$8="Exclude"</formula>
    </cfRule>
    <cfRule type="expression" dxfId="102" priority="17">
      <formula>$B$8="Include"</formula>
    </cfRule>
  </conditionalFormatting>
  <conditionalFormatting sqref="C9">
    <cfRule type="expression" dxfId="101" priority="26">
      <formula>$B$8="Exclude"</formula>
    </cfRule>
    <cfRule type="expression" dxfId="100" priority="27">
      <formula>$B$9="No"</formula>
    </cfRule>
    <cfRule type="expression" dxfId="99" priority="28">
      <formula xml:space="preserve"> $B$9="Yes"</formula>
    </cfRule>
  </conditionalFormatting>
  <conditionalFormatting sqref="C15">
    <cfRule type="expression" dxfId="98" priority="29">
      <formula>$B$15=$D$15</formula>
    </cfRule>
    <cfRule type="expression" dxfId="97" priority="30">
      <formula>$B$1&lt;&gt;$D$15</formula>
    </cfRule>
  </conditionalFormatting>
  <conditionalFormatting sqref="F50:F51">
    <cfRule type="cellIs" dxfId="96" priority="14" operator="greaterThan">
      <formula>1</formula>
    </cfRule>
    <cfRule type="cellIs" dxfId="95" priority="15" operator="lessThanOrEqual">
      <formula>1</formula>
    </cfRule>
  </conditionalFormatting>
  <conditionalFormatting sqref="D17">
    <cfRule type="expression" dxfId="94" priority="12">
      <formula>$D$20=""</formula>
    </cfRule>
    <cfRule type="expression" dxfId="93" priority="13">
      <formula>$D$20&gt;0</formula>
    </cfRule>
  </conditionalFormatting>
  <conditionalFormatting sqref="D19">
    <cfRule type="expression" dxfId="92" priority="10">
      <formula>$D$20=""</formula>
    </cfRule>
    <cfRule type="expression" dxfId="91" priority="11">
      <formula>$D$20&gt;0</formula>
    </cfRule>
  </conditionalFormatting>
  <conditionalFormatting sqref="C10">
    <cfRule type="expression" dxfId="90" priority="5">
      <formula>$B$8="Exclude"</formula>
    </cfRule>
    <cfRule type="expression" dxfId="89" priority="6">
      <formula>$B$9="No"</formula>
    </cfRule>
    <cfRule type="expression" dxfId="88" priority="7">
      <formula>$B$10="No Gain"</formula>
    </cfRule>
    <cfRule type="expression" dxfId="87" priority="8">
      <formula xml:space="preserve"> $B$9="Yes"</formula>
    </cfRule>
    <cfRule type="expression" dxfId="86" priority="9">
      <formula>$B$10="Gain"</formula>
    </cfRule>
  </conditionalFormatting>
  <conditionalFormatting sqref="H31:H39">
    <cfRule type="expression" dxfId="85" priority="33">
      <formula>$F$24="% decrease"</formula>
    </cfRule>
  </conditionalFormatting>
  <conditionalFormatting sqref="H32 H34 H36 H38">
    <cfRule type="expression" dxfId="84" priority="34">
      <formula>$F$24="hours decrease"</formula>
    </cfRule>
  </conditionalFormatting>
  <conditionalFormatting sqref="G31:G39">
    <cfRule type="expression" dxfId="83" priority="35">
      <formula>$F$24="hours decrease"</formula>
    </cfRule>
  </conditionalFormatting>
  <conditionalFormatting sqref="G32 G34 G36 G38">
    <cfRule type="expression" dxfId="82" priority="36">
      <formula>$F$24="% decrease"</formula>
    </cfRule>
  </conditionalFormatting>
  <conditionalFormatting sqref="G40">
    <cfRule type="expression" dxfId="81" priority="4">
      <formula>$F$24="% decrease"</formula>
    </cfRule>
  </conditionalFormatting>
  <conditionalFormatting sqref="F31:F40">
    <cfRule type="expression" dxfId="80" priority="31">
      <formula>$F$24="% decrease"</formula>
    </cfRule>
    <cfRule type="expression" dxfId="79" priority="32">
      <formula>$F$24="hours decrease"</formula>
    </cfRule>
  </conditionalFormatting>
  <conditionalFormatting sqref="C4:C5">
    <cfRule type="expression" dxfId="78" priority="1">
      <formula>$C$5=0</formula>
    </cfRule>
    <cfRule type="expression" dxfId="77" priority="2">
      <formula>$C$5=""</formula>
    </cfRule>
    <cfRule type="expression" dxfId="76" priority="3">
      <formula>$C$5&gt;0</formula>
    </cfRule>
  </conditionalFormatting>
  <dataValidations count="6">
    <dataValidation type="list" allowBlank="1" showInputMessage="1" showErrorMessage="1" sqref="B60" xr:uid="{06003F09-6AF2-4BEC-8AC5-0C8077109D80}">
      <formula1>"Automatic, Force OEE, Force Running OEE"</formula1>
    </dataValidation>
    <dataValidation type="list" allowBlank="1" showInputMessage="1" showErrorMessage="1" sqref="F24" xr:uid="{4179CF86-8667-4C46-B6D1-7CB7F93275D2}">
      <formula1>"% decrease,hours decrease"</formula1>
    </dataValidation>
    <dataValidation type="list" allowBlank="1" showInputMessage="1" showErrorMessage="1" sqref="B8" xr:uid="{A92847BD-BF8A-4BFB-BB44-0403792EF9C2}">
      <formula1>"Include,Exclude"</formula1>
    </dataValidation>
    <dataValidation type="list" allowBlank="1" showInputMessage="1" showErrorMessage="1" sqref="B9" xr:uid="{6C44FDAA-78A1-45D7-B72E-A7BA13C390FC}">
      <formula1>"Yes,No"</formula1>
    </dataValidation>
    <dataValidation type="list" allowBlank="1" showInputMessage="1" showErrorMessage="1" sqref="B11" xr:uid="{B35E8D00-7920-4D3F-B8D2-3108B793580B}">
      <formula1>"Playbook Matrix value, Manual OEE target"</formula1>
    </dataValidation>
    <dataValidation type="list" allowBlank="1" showInputMessage="1" showErrorMessage="1" sqref="B2" xr:uid="{641B4437-2C58-4228-BED5-BF08F2D241C1}">
      <formula1>UnitList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Copy_last_year_data_to_Manual_target_setting_sheet" altText="Copy Last Year loss data to manual target setting sheet. ONLY USE WHEN LAST YEARS BASELIE NEEDS MANUAL CORRECTION (BASELINE CORRECTION NEEDS OPEX INVOLVEMENT)">
                <anchor moveWithCells="1" sizeWithCells="1">
                  <from>
                    <xdr:col>9</xdr:col>
                    <xdr:colOff>142875</xdr:colOff>
                    <xdr:row>0</xdr:row>
                    <xdr:rowOff>28575</xdr:rowOff>
                  </from>
                  <to>
                    <xdr:col>9</xdr:col>
                    <xdr:colOff>1476375</xdr:colOff>
                    <xdr:row>3</xdr:row>
                    <xdr:rowOff>76200</xdr:rowOff>
                  </to>
                </anchor>
              </controlPr>
            </control>
          </mc:Choice>
        </mc:AlternateContent>
        <mc:AlternateContent xmlns:mc="http://schemas.openxmlformats.org/markup-compatibility/2006">
          <mc:Choice Requires="x14">
            <control shapeId="123906" r:id="rId5" name="Button 2">
              <controlPr defaultSize="0" print="0" autoFill="0" autoPict="0" macro="[0]!Sheet_Model_copy_and_clear">
                <anchor moveWithCells="1" sizeWithCells="1">
                  <from>
                    <xdr:col>8</xdr:col>
                    <xdr:colOff>238125</xdr:colOff>
                    <xdr:row>0</xdr:row>
                    <xdr:rowOff>57150</xdr:rowOff>
                  </from>
                  <to>
                    <xdr:col>9</xdr:col>
                    <xdr:colOff>0</xdr:colOff>
                    <xdr:row>3</xdr:row>
                    <xdr:rowOff>95250</xdr:rowOff>
                  </to>
                </anchor>
              </controlPr>
            </control>
          </mc:Choice>
        </mc:AlternateContent>
        <mc:AlternateContent xmlns:mc="http://schemas.openxmlformats.org/markup-compatibility/2006">
          <mc:Choice Requires="x14">
            <control shapeId="123907" r:id="rId6" name="Button 3">
              <controlPr defaultSize="0" print="0" autoFill="0" autoPict="0" macro="[0]!Copy_current_page_to_results">
                <anchor moveWithCells="1" sizeWithCells="1">
                  <from>
                    <xdr:col>8</xdr:col>
                    <xdr:colOff>266700</xdr:colOff>
                    <xdr:row>4</xdr:row>
                    <xdr:rowOff>0</xdr:rowOff>
                  </from>
                  <to>
                    <xdr:col>8</xdr:col>
                    <xdr:colOff>1571625</xdr:colOff>
                    <xdr:row>7</xdr:row>
                    <xdr:rowOff>57150</xdr:rowOff>
                  </to>
                </anchor>
              </controlPr>
            </control>
          </mc:Choice>
        </mc:AlternateContent>
        <mc:AlternateContent xmlns:mc="http://schemas.openxmlformats.org/markup-compatibility/2006">
          <mc:Choice Requires="x14">
            <control shapeId="123908" r:id="rId7" name="Button 4">
              <controlPr defaultSize="0" print="0" autoFill="0" autoPict="0" macro="[0]!Sheet_Model_clear">
                <anchor moveWithCells="1" sizeWithCells="1">
                  <from>
                    <xdr:col>9</xdr:col>
                    <xdr:colOff>114300</xdr:colOff>
                    <xdr:row>3</xdr:row>
                    <xdr:rowOff>152400</xdr:rowOff>
                  </from>
                  <to>
                    <xdr:col>9</xdr:col>
                    <xdr:colOff>1476375</xdr:colOff>
                    <xdr:row>7</xdr:row>
                    <xdr:rowOff>47625</xdr:rowOff>
                  </to>
                </anchor>
              </controlPr>
            </control>
          </mc:Choice>
        </mc:AlternateContent>
      </controls>
    </mc:Choice>
  </mc:AlternateContent>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C6422-BFB2-429D-B4EE-57680365809E}">
  <sheetPr>
    <tabColor rgb="FFFFC000"/>
  </sheetPr>
  <dimension ref="A1:S216"/>
  <sheetViews>
    <sheetView workbookViewId="0">
      <selection activeCell="K17" sqref="K17"/>
    </sheetView>
  </sheetViews>
  <sheetFormatPr defaultColWidth="9.140625" defaultRowHeight="15"/>
  <cols>
    <col min="1" max="1" width="9.140625" style="372"/>
    <col min="2" max="2" width="36.140625" style="372" bestFit="1" customWidth="1"/>
    <col min="3" max="17" width="9.140625" style="372"/>
    <col min="18" max="18" width="28.42578125" style="372" bestFit="1" customWidth="1"/>
    <col min="19" max="19" width="26.5703125" style="372" bestFit="1" customWidth="1"/>
    <col min="20" max="16384" width="9.140625" style="372"/>
  </cols>
  <sheetData>
    <row r="1" spans="1:19">
      <c r="A1" s="372" t="s">
        <v>1194</v>
      </c>
    </row>
    <row r="3" spans="1:19">
      <c r="A3" s="372" t="s">
        <v>1195</v>
      </c>
      <c r="B3" s="372" t="s">
        <v>9</v>
      </c>
      <c r="C3" s="372" t="s">
        <v>1196</v>
      </c>
      <c r="D3" s="372" t="s">
        <v>1197</v>
      </c>
      <c r="E3" s="372" t="s">
        <v>1198</v>
      </c>
      <c r="F3" s="372" t="s">
        <v>1199</v>
      </c>
      <c r="G3" s="372" t="s">
        <v>1200</v>
      </c>
      <c r="H3" s="372" t="s">
        <v>1201</v>
      </c>
      <c r="I3" s="372" t="s">
        <v>1202</v>
      </c>
      <c r="J3" s="372" t="s">
        <v>1203</v>
      </c>
      <c r="K3" s="372" t="s">
        <v>1204</v>
      </c>
      <c r="L3" s="372" t="s">
        <v>1205</v>
      </c>
      <c r="M3" s="372" t="s">
        <v>1206</v>
      </c>
      <c r="N3" s="372" t="s">
        <v>1207</v>
      </c>
      <c r="O3" s="372" t="s">
        <v>1208</v>
      </c>
      <c r="P3" s="372" t="s">
        <v>1209</v>
      </c>
      <c r="Q3" s="372" t="s">
        <v>1210</v>
      </c>
      <c r="R3" s="373" t="s">
        <v>1211</v>
      </c>
      <c r="S3" s="373" t="s">
        <v>1212</v>
      </c>
    </row>
    <row r="4" spans="1:19">
      <c r="A4" s="372" t="s">
        <v>955</v>
      </c>
      <c r="B4" s="372" t="s">
        <v>1037</v>
      </c>
      <c r="C4" s="374">
        <v>0.78152570549903699</v>
      </c>
      <c r="D4" s="374">
        <v>0.78400000000000003</v>
      </c>
      <c r="E4" s="374">
        <v>0.78900000000000003</v>
      </c>
      <c r="F4" s="374">
        <v>0.80900000000000005</v>
      </c>
      <c r="G4" s="372">
        <v>0.79871643285727001</v>
      </c>
      <c r="H4" s="375"/>
      <c r="J4" s="376"/>
      <c r="K4" s="376"/>
      <c r="L4" s="376"/>
      <c r="M4" s="376"/>
      <c r="N4" s="374"/>
      <c r="P4" s="376"/>
      <c r="Q4" s="376"/>
      <c r="R4" s="372" t="str">
        <f>IF(RIGHT(Table1[[#This Row],[Unit]],1)="*",LEFT(Table1[[#This Row],[Unit]],LEN(Table1[[#This Row],[Unit]])-1),Table1[[#This Row],[Unit]])</f>
        <v>(AAN) L3-42T601 Continuous☆</v>
      </c>
      <c r="S4" s="372" t="str">
        <f>IF(RIGHT(Table1[[#This Row],[Unit2]],1)="☆",LEFT(Table1[[#This Row],[Unit2]],LEN(Table1[[#This Row],[Unit2]])-1),Table1[[#This Row],[Unit2]])</f>
        <v>(AAN) L3-42T601 Continuous</v>
      </c>
    </row>
    <row r="5" spans="1:19">
      <c r="A5" s="372" t="s">
        <v>955</v>
      </c>
      <c r="B5" s="372" t="s">
        <v>1038</v>
      </c>
      <c r="C5" s="374">
        <v>0.764997356615567</v>
      </c>
      <c r="D5" s="374">
        <v>0.77199867830778302</v>
      </c>
      <c r="E5" s="374">
        <v>0.77900000000000003</v>
      </c>
      <c r="F5" s="374">
        <v>0.79900000000000004</v>
      </c>
      <c r="G5" s="372">
        <v>0.77400295148448095</v>
      </c>
      <c r="H5" s="375"/>
      <c r="J5" s="376"/>
      <c r="K5" s="376"/>
      <c r="L5" s="376"/>
      <c r="M5" s="376"/>
      <c r="N5" s="374"/>
      <c r="P5" s="376"/>
      <c r="Q5" s="376"/>
      <c r="R5" s="372" t="str">
        <f>IF(RIGHT(Table1[[#This Row],[Unit]],1)="*",LEFT(Table1[[#This Row],[Unit]],LEN(Table1[[#This Row],[Unit]])-1),Table1[[#This Row],[Unit]])</f>
        <v>(AAN) L6-46T003 Continuous☆</v>
      </c>
      <c r="S5" s="372" t="str">
        <f>IF(RIGHT(Table1[[#This Row],[Unit2]],1)="☆",LEFT(Table1[[#This Row],[Unit2]],LEN(Table1[[#This Row],[Unit2]])-1),Table1[[#This Row],[Unit2]])</f>
        <v>(AAN) L6-46T003 Continuous</v>
      </c>
    </row>
    <row r="6" spans="1:19">
      <c r="A6" s="372" t="s">
        <v>964</v>
      </c>
      <c r="B6" s="372" t="s">
        <v>426</v>
      </c>
      <c r="C6" s="374">
        <v>0.93984333128429498</v>
      </c>
      <c r="D6" s="374">
        <v>0.92</v>
      </c>
      <c r="E6" s="374">
        <v>0.93</v>
      </c>
      <c r="F6" s="374">
        <v>0.95</v>
      </c>
      <c r="G6" s="372">
        <v>0.93594385367967703</v>
      </c>
      <c r="H6" s="375"/>
      <c r="J6" s="376"/>
      <c r="K6" s="376"/>
      <c r="L6" s="376"/>
      <c r="M6" s="376"/>
      <c r="N6" s="374"/>
      <c r="P6" s="376"/>
      <c r="Q6" s="376"/>
      <c r="R6" s="372" t="str">
        <f>IF(RIGHT(Table1[[#This Row],[Unit]],1)="*",LEFT(Table1[[#This Row],[Unit]],LEN(Table1[[#This Row],[Unit]])-1),Table1[[#This Row],[Unit]])</f>
        <v>(ABY) Batt 7☆</v>
      </c>
      <c r="S6" s="372" t="str">
        <f>IF(RIGHT(Table1[[#This Row],[Unit2]],1)="☆",LEFT(Table1[[#This Row],[Unit2]],LEN(Table1[[#This Row],[Unit2]])-1),Table1[[#This Row],[Unit2]])</f>
        <v>(ABY) Batt 7</v>
      </c>
    </row>
    <row r="7" spans="1:19">
      <c r="A7" s="372" t="s">
        <v>964</v>
      </c>
      <c r="B7" s="372" t="s">
        <v>427</v>
      </c>
      <c r="C7" s="374">
        <v>0.94845617415376904</v>
      </c>
      <c r="D7" s="374">
        <v>0.91800000000000004</v>
      </c>
      <c r="E7" s="374">
        <v>0.92800000000000005</v>
      </c>
      <c r="F7" s="374">
        <v>0.94799999999999995</v>
      </c>
      <c r="G7" s="372">
        <v>0.94710287389720804</v>
      </c>
      <c r="H7" s="375"/>
      <c r="J7" s="376"/>
      <c r="K7" s="376"/>
      <c r="L7" s="376"/>
      <c r="M7" s="376"/>
      <c r="N7" s="374"/>
      <c r="P7" s="376"/>
      <c r="Q7" s="376"/>
      <c r="R7" s="372" t="str">
        <f>IF(RIGHT(Table1[[#This Row],[Unit]],1)="*",LEFT(Table1[[#This Row],[Unit]],LEN(Table1[[#This Row],[Unit]])-1),Table1[[#This Row],[Unit]])</f>
        <v>(ABY) Batt 8☆</v>
      </c>
      <c r="S7" s="372" t="str">
        <f>IF(RIGHT(Table1[[#This Row],[Unit2]],1)="☆",LEFT(Table1[[#This Row],[Unit2]],LEN(Table1[[#This Row],[Unit2]])-1),Table1[[#This Row],[Unit2]])</f>
        <v>(ABY) Batt 8</v>
      </c>
    </row>
    <row r="8" spans="1:19">
      <c r="A8" s="372" t="s">
        <v>964</v>
      </c>
      <c r="B8" s="372" t="s">
        <v>428</v>
      </c>
      <c r="C8" s="374">
        <v>0.94831185334397206</v>
      </c>
      <c r="D8" s="374">
        <v>0.93300000000000005</v>
      </c>
      <c r="E8" s="374">
        <v>0.94299999999999995</v>
      </c>
      <c r="F8" s="374">
        <v>0.96299999999999997</v>
      </c>
      <c r="G8" s="372">
        <v>0.93833558338824496</v>
      </c>
      <c r="H8" s="375"/>
      <c r="J8" s="376"/>
      <c r="K8" s="376"/>
      <c r="L8" s="376"/>
      <c r="M8" s="376"/>
      <c r="N8" s="374"/>
      <c r="P8" s="376"/>
      <c r="Q8" s="376"/>
      <c r="R8" s="372" t="str">
        <f>IF(RIGHT(Table1[[#This Row],[Unit]],1)="*",LEFT(Table1[[#This Row],[Unit]],LEN(Table1[[#This Row],[Unit]])-1),Table1[[#This Row],[Unit]])</f>
        <v>(ABY) Batt 9☆</v>
      </c>
      <c r="S8" s="372" t="str">
        <f>IF(RIGHT(Table1[[#This Row],[Unit2]],1)="☆",LEFT(Table1[[#This Row],[Unit2]],LEN(Table1[[#This Row],[Unit2]])-1),Table1[[#This Row],[Unit2]])</f>
        <v>(ABY) Batt 9</v>
      </c>
    </row>
    <row r="9" spans="1:19">
      <c r="A9" s="372" t="s">
        <v>964</v>
      </c>
      <c r="B9" s="372" t="s">
        <v>429</v>
      </c>
      <c r="C9" s="374">
        <v>0.81662389397110302</v>
      </c>
      <c r="D9" s="374">
        <v>0.82181194698555204</v>
      </c>
      <c r="E9" s="374">
        <v>0.82699999999999996</v>
      </c>
      <c r="F9" s="374">
        <v>0.85699999999999998</v>
      </c>
      <c r="G9" s="372">
        <v>0.82836139519586405</v>
      </c>
      <c r="H9" s="375"/>
      <c r="J9" s="376"/>
      <c r="K9" s="376"/>
      <c r="L9" s="376"/>
      <c r="M9" s="376"/>
      <c r="N9" s="374"/>
      <c r="P9" s="376"/>
      <c r="Q9" s="376"/>
      <c r="R9" s="372" t="str">
        <f>IF(RIGHT(Table1[[#This Row],[Unit]],1)="*",LEFT(Table1[[#This Row],[Unit]],LEN(Table1[[#This Row],[Unit]])-1),Table1[[#This Row],[Unit]])</f>
        <v>(ABY) Crude HP VPN☆</v>
      </c>
      <c r="S9" s="372" t="str">
        <f>IF(RIGHT(Table1[[#This Row],[Unit2]],1)="☆",LEFT(Table1[[#This Row],[Unit2]],LEN(Table1[[#This Row],[Unit2]])-1),Table1[[#This Row],[Unit2]])</f>
        <v>(ABY) Crude HP VPN</v>
      </c>
    </row>
    <row r="10" spans="1:19">
      <c r="A10" s="372" t="s">
        <v>964</v>
      </c>
      <c r="B10" s="372" t="s">
        <v>430</v>
      </c>
      <c r="C10" s="374">
        <v>0.92191814032279795</v>
      </c>
      <c r="D10" s="374">
        <v>0.926959070161399</v>
      </c>
      <c r="E10" s="374">
        <v>0.93200000000000005</v>
      </c>
      <c r="F10" s="374">
        <v>0.95199999999999996</v>
      </c>
      <c r="G10" s="372">
        <v>0.92238557613389904</v>
      </c>
      <c r="H10" s="375"/>
      <c r="J10" s="376"/>
      <c r="K10" s="376"/>
      <c r="L10" s="376"/>
      <c r="M10" s="376"/>
      <c r="N10" s="374"/>
      <c r="P10" s="376"/>
      <c r="Q10" s="376"/>
      <c r="R10" s="372" t="str">
        <f>IF(RIGHT(Table1[[#This Row],[Unit]],1)="*",LEFT(Table1[[#This Row],[Unit]],LEN(Table1[[#This Row],[Unit]])-1),Table1[[#This Row],[Unit]])</f>
        <v>(ABY) Crude HP VPS☆</v>
      </c>
      <c r="S10" s="372" t="str">
        <f>IF(RIGHT(Table1[[#This Row],[Unit2]],1)="☆",LEFT(Table1[[#This Row],[Unit2]],LEN(Table1[[#This Row],[Unit2]])-1),Table1[[#This Row],[Unit2]])</f>
        <v>(ABY) Crude HP VPS</v>
      </c>
    </row>
    <row r="11" spans="1:19">
      <c r="A11" s="372" t="s">
        <v>965</v>
      </c>
      <c r="B11" s="372" t="s">
        <v>768</v>
      </c>
      <c r="C11" s="374">
        <v>0.84867823431102496</v>
      </c>
      <c r="D11" s="374">
        <v>0.83199999999999996</v>
      </c>
      <c r="E11" s="374">
        <v>0.84699999999999998</v>
      </c>
      <c r="F11" s="374">
        <v>0.877</v>
      </c>
      <c r="G11" s="372">
        <v>0.71111190748423603</v>
      </c>
      <c r="H11" s="375"/>
      <c r="J11" s="376"/>
      <c r="K11" s="376"/>
      <c r="L11" s="376"/>
      <c r="M11" s="376"/>
      <c r="N11" s="374"/>
      <c r="P11" s="376"/>
      <c r="Q11" s="376"/>
      <c r="R11" s="372" t="str">
        <f>IF(RIGHT(Table1[[#This Row],[Unit]],1)="*",LEFT(Table1[[#This Row],[Unit]],LEN(Table1[[#This Row],[Unit]])-1),Table1[[#This Row],[Unit]])</f>
        <v>(ABS) Cell Line A</v>
      </c>
      <c r="S11" s="372" t="str">
        <f>IF(RIGHT(Table1[[#This Row],[Unit2]],1)="☆",LEFT(Table1[[#This Row],[Unit2]],LEN(Table1[[#This Row],[Unit2]])-1),Table1[[#This Row],[Unit2]])</f>
        <v>(ABS) Cell Line A</v>
      </c>
    </row>
    <row r="12" spans="1:19">
      <c r="A12" s="372" t="s">
        <v>965</v>
      </c>
      <c r="B12" s="372" t="s">
        <v>769</v>
      </c>
      <c r="C12" s="374">
        <v>0.87356439045409895</v>
      </c>
      <c r="D12" s="374">
        <v>0.871</v>
      </c>
      <c r="E12" s="374">
        <v>0.876</v>
      </c>
      <c r="F12" s="374">
        <v>0.90600000000000003</v>
      </c>
      <c r="G12" s="372">
        <v>0.84942412853202398</v>
      </c>
      <c r="H12" s="375"/>
      <c r="J12" s="376"/>
      <c r="K12" s="376"/>
      <c r="L12" s="376"/>
      <c r="M12" s="376"/>
      <c r="N12" s="374"/>
      <c r="P12" s="376"/>
      <c r="Q12" s="376"/>
      <c r="R12" s="372" t="str">
        <f>IF(RIGHT(Table1[[#This Row],[Unit]],1)="*",LEFT(Table1[[#This Row],[Unit]],LEN(Table1[[#This Row],[Unit]])-1),Table1[[#This Row],[Unit]])</f>
        <v>(ABS) Cell Line B</v>
      </c>
      <c r="S12" s="372" t="str">
        <f>IF(RIGHT(Table1[[#This Row],[Unit2]],1)="☆",LEFT(Table1[[#This Row],[Unit2]],LEN(Table1[[#This Row],[Unit2]])-1),Table1[[#This Row],[Unit2]])</f>
        <v>(ABS) Cell Line B</v>
      </c>
    </row>
    <row r="13" spans="1:19">
      <c r="A13" s="372" t="s">
        <v>966</v>
      </c>
      <c r="B13" s="372" t="s">
        <v>1075</v>
      </c>
      <c r="C13" s="374">
        <v>0.49076550101785799</v>
      </c>
      <c r="D13" s="374">
        <v>0.508382750508929</v>
      </c>
      <c r="E13" s="374">
        <v>0.52600000000000002</v>
      </c>
      <c r="F13" s="374">
        <v>0.58599999999999997</v>
      </c>
      <c r="G13" s="372">
        <v>0.48249466067913099</v>
      </c>
      <c r="H13" s="375"/>
      <c r="J13" s="376"/>
      <c r="K13" s="376"/>
      <c r="L13" s="376"/>
      <c r="M13" s="376"/>
      <c r="N13" s="374"/>
      <c r="P13" s="376"/>
      <c r="Q13" s="376"/>
      <c r="R13" s="372" t="str">
        <f>IF(RIGHT(Table1[[#This Row],[Unit]],1)="*",LEFT(Table1[[#This Row],[Unit]],LEN(Table1[[#This Row],[Unit]])-1),Table1[[#This Row],[Unit]])</f>
        <v>(KWC) AR11</v>
      </c>
      <c r="S13" s="372" t="str">
        <f>IF(RIGHT(Table1[[#This Row],[Unit2]],1)="☆",LEFT(Table1[[#This Row],[Unit2]],LEN(Table1[[#This Row],[Unit2]])-1),Table1[[#This Row],[Unit2]])</f>
        <v>(KWC) AR11</v>
      </c>
    </row>
    <row r="14" spans="1:19">
      <c r="A14" s="372" t="s">
        <v>966</v>
      </c>
      <c r="B14" s="372" t="s">
        <v>497</v>
      </c>
      <c r="C14" s="374">
        <v>0.51915294171486503</v>
      </c>
      <c r="D14" s="374">
        <v>0.551576470857432</v>
      </c>
      <c r="E14" s="374">
        <v>0.58399999999999996</v>
      </c>
      <c r="F14" s="374">
        <v>0.64400000000000002</v>
      </c>
      <c r="G14" s="372">
        <v>0.53604878659408595</v>
      </c>
      <c r="H14" s="375"/>
      <c r="J14" s="376"/>
      <c r="K14" s="376"/>
      <c r="L14" s="376"/>
      <c r="M14" s="376"/>
      <c r="N14" s="374"/>
      <c r="P14" s="376"/>
      <c r="Q14" s="376"/>
      <c r="R14" s="372" t="str">
        <f>IF(RIGHT(Table1[[#This Row],[Unit]],1)="*",LEFT(Table1[[#This Row],[Unit]],LEN(Table1[[#This Row],[Unit]])-1),Table1[[#This Row],[Unit]])</f>
        <v>(KWC) AR21☆</v>
      </c>
      <c r="S14" s="372" t="str">
        <f>IF(RIGHT(Table1[[#This Row],[Unit2]],1)="☆",LEFT(Table1[[#This Row],[Unit2]],LEN(Table1[[#This Row],[Unit2]])-1),Table1[[#This Row],[Unit2]])</f>
        <v>(KWC) AR21</v>
      </c>
    </row>
    <row r="15" spans="1:19">
      <c r="A15" s="372" t="s">
        <v>966</v>
      </c>
      <c r="B15" s="372" t="s">
        <v>811</v>
      </c>
      <c r="C15" s="374">
        <v>0.60280467087909895</v>
      </c>
      <c r="D15" s="374">
        <v>0.60990233543954897</v>
      </c>
      <c r="E15" s="374">
        <v>0.61699999999999999</v>
      </c>
      <c r="F15" s="374">
        <v>0.65700000000000003</v>
      </c>
      <c r="G15" s="372">
        <v>0.60144767824937795</v>
      </c>
      <c r="H15" s="375"/>
      <c r="J15" s="376"/>
      <c r="K15" s="376"/>
      <c r="L15" s="376"/>
      <c r="M15" s="376"/>
      <c r="N15" s="374"/>
      <c r="P15" s="376"/>
      <c r="Q15" s="376"/>
      <c r="R15" s="372" t="str">
        <f>IF(RIGHT(Table1[[#This Row],[Unit]],1)="*",LEFT(Table1[[#This Row],[Unit]],LEN(Table1[[#This Row],[Unit]])-1),Table1[[#This Row],[Unit]])</f>
        <v>(KWC) MM OAM</v>
      </c>
      <c r="S15" s="372" t="str">
        <f>IF(RIGHT(Table1[[#This Row],[Unit2]],1)="☆",LEFT(Table1[[#This Row],[Unit2]],LEN(Table1[[#This Row],[Unit2]])-1),Table1[[#This Row],[Unit2]])</f>
        <v>(KWC) MM OAM</v>
      </c>
    </row>
    <row r="16" spans="1:19">
      <c r="A16" s="372" t="s">
        <v>1213</v>
      </c>
      <c r="B16" s="372" t="s">
        <v>773</v>
      </c>
      <c r="C16" s="374">
        <v>0.69077090059788604</v>
      </c>
      <c r="D16" s="374">
        <v>0.69638545029894305</v>
      </c>
      <c r="E16" s="374">
        <v>0.70199999999999996</v>
      </c>
      <c r="F16" s="374">
        <v>0.73199999999999998</v>
      </c>
      <c r="G16" s="372">
        <v>0.67701323381891798</v>
      </c>
      <c r="H16" s="375"/>
      <c r="J16" s="376"/>
      <c r="K16" s="376"/>
      <c r="L16" s="376"/>
      <c r="M16" s="376"/>
      <c r="N16" s="374"/>
      <c r="P16" s="376"/>
      <c r="Q16" s="376"/>
      <c r="R16" s="372" t="str">
        <f>IF(RIGHT(Table1[[#This Row],[Unit]],1)="*",LEFT(Table1[[#This Row],[Unit]],LEN(Table1[[#This Row],[Unit]])-1),Table1[[#This Row],[Unit]])</f>
        <v>(AUG) Bindzil Reactor (T90) Combined</v>
      </c>
      <c r="S16" s="372" t="str">
        <f>IF(RIGHT(Table1[[#This Row],[Unit2]],1)="☆",LEFT(Table1[[#This Row],[Unit2]],LEN(Table1[[#This Row],[Unit2]])-1),Table1[[#This Row],[Unit2]])</f>
        <v>(AUG) Bindzil Reactor (T90) Combined</v>
      </c>
    </row>
    <row r="17" spans="1:19">
      <c r="A17" s="372" t="s">
        <v>1213</v>
      </c>
      <c r="B17" s="372" t="s">
        <v>566</v>
      </c>
      <c r="C17" s="374">
        <v>0.66574934362894</v>
      </c>
      <c r="D17" s="374">
        <v>0.67537467181446997</v>
      </c>
      <c r="E17" s="374">
        <v>0.68500000000000005</v>
      </c>
      <c r="F17" s="374">
        <v>0.72499999999999998</v>
      </c>
      <c r="G17" s="372">
        <v>0.593405137150262</v>
      </c>
      <c r="H17" s="375"/>
      <c r="J17" s="376"/>
      <c r="K17" s="376"/>
      <c r="L17" s="376"/>
      <c r="M17" s="376"/>
      <c r="N17" s="374"/>
      <c r="P17" s="376"/>
      <c r="Q17" s="376"/>
      <c r="R17" s="372" t="str">
        <f>IF(RIGHT(Table1[[#This Row],[Unit]],1)="*",LEFT(Table1[[#This Row],[Unit]],LEN(Table1[[#This Row],[Unit]])-1),Table1[[#This Row],[Unit]])</f>
        <v>(AUG) GP Reactor 10 AUM☆</v>
      </c>
      <c r="S17" s="372" t="str">
        <f>IF(RIGHT(Table1[[#This Row],[Unit2]],1)="☆",LEFT(Table1[[#This Row],[Unit2]],LEN(Table1[[#This Row],[Unit2]])-1),Table1[[#This Row],[Unit2]])</f>
        <v>(AUG) GP Reactor 10 AUM</v>
      </c>
    </row>
    <row r="18" spans="1:19">
      <c r="A18" s="372" t="s">
        <v>1213</v>
      </c>
      <c r="B18" s="372" t="s">
        <v>567</v>
      </c>
      <c r="C18" s="374">
        <v>0.62893485440783203</v>
      </c>
      <c r="D18" s="374">
        <v>0.63946742720391603</v>
      </c>
      <c r="E18" s="374">
        <v>0.65</v>
      </c>
      <c r="F18" s="374">
        <v>0.69</v>
      </c>
      <c r="G18" s="372">
        <v>0.58832145973838501</v>
      </c>
      <c r="H18" s="375"/>
      <c r="J18" s="376"/>
      <c r="K18" s="376"/>
      <c r="L18" s="376"/>
      <c r="M18" s="376"/>
      <c r="N18" s="374"/>
      <c r="P18" s="376"/>
      <c r="Q18" s="376"/>
      <c r="R18" s="372" t="str">
        <f>IF(RIGHT(Table1[[#This Row],[Unit]],1)="*",LEFT(Table1[[#This Row],[Unit]],LEN(Table1[[#This Row],[Unit]])-1),Table1[[#This Row],[Unit]])</f>
        <v>(AUG) GP Reactor 11 AUM☆</v>
      </c>
      <c r="S18" s="372" t="str">
        <f>IF(RIGHT(Table1[[#This Row],[Unit2]],1)="☆",LEFT(Table1[[#This Row],[Unit2]],LEN(Table1[[#This Row],[Unit2]])-1),Table1[[#This Row],[Unit2]])</f>
        <v>(AUG) GP Reactor 11 AUM</v>
      </c>
    </row>
    <row r="19" spans="1:19">
      <c r="A19" s="372" t="s">
        <v>1213</v>
      </c>
      <c r="B19" s="372" t="s">
        <v>568</v>
      </c>
      <c r="C19" s="374">
        <v>0.67089111772255605</v>
      </c>
      <c r="D19" s="374">
        <v>0.680445558861278</v>
      </c>
      <c r="E19" s="374">
        <v>0.69</v>
      </c>
      <c r="F19" s="374">
        <v>0.73</v>
      </c>
      <c r="G19" s="372">
        <v>0.595361973611921</v>
      </c>
      <c r="H19" s="375"/>
      <c r="J19" s="376"/>
      <c r="K19" s="376"/>
      <c r="L19" s="376"/>
      <c r="M19" s="376"/>
      <c r="N19" s="374"/>
      <c r="P19" s="376"/>
      <c r="Q19" s="376"/>
      <c r="R19" s="372" t="str">
        <f>IF(RIGHT(Table1[[#This Row],[Unit]],1)="*",LEFT(Table1[[#This Row],[Unit]],LEN(Table1[[#This Row],[Unit]])-1),Table1[[#This Row],[Unit]])</f>
        <v>(AUG) GP Reactor 9 AUM☆</v>
      </c>
      <c r="S19" s="372" t="str">
        <f>IF(RIGHT(Table1[[#This Row],[Unit2]],1)="☆",LEFT(Table1[[#This Row],[Unit2]],LEN(Table1[[#This Row],[Unit2]])-1),Table1[[#This Row],[Unit2]])</f>
        <v>(AUG) GP Reactor 9 AUM</v>
      </c>
    </row>
    <row r="20" spans="1:19">
      <c r="A20" s="372" t="s">
        <v>1214</v>
      </c>
      <c r="B20" s="372" t="s">
        <v>472</v>
      </c>
      <c r="C20" s="374">
        <v>0.97041124101769605</v>
      </c>
      <c r="D20" s="374">
        <v>0.95299999999999996</v>
      </c>
      <c r="E20" s="374">
        <v>0.95799999999999996</v>
      </c>
      <c r="F20" s="374">
        <v>0.96799999999999997</v>
      </c>
      <c r="G20" s="372">
        <v>0.96827672684373201</v>
      </c>
      <c r="H20" s="375"/>
      <c r="J20" s="376"/>
      <c r="K20" s="376"/>
      <c r="L20" s="376"/>
      <c r="M20" s="376"/>
      <c r="N20" s="374"/>
      <c r="P20" s="376"/>
      <c r="Q20" s="376"/>
      <c r="R20" s="372" t="str">
        <f>IF(RIGHT(Table1[[#This Row],[Unit]],1)="*",LEFT(Table1[[#This Row],[Unit]],LEN(Table1[[#This Row],[Unit]])-1),Table1[[#This Row],[Unit]])</f>
        <v>(ELS) Cell Line 1☆</v>
      </c>
      <c r="S20" s="372" t="str">
        <f>IF(RIGHT(Table1[[#This Row],[Unit2]],1)="☆",LEFT(Table1[[#This Row],[Unit2]],LEN(Table1[[#This Row],[Unit2]])-1),Table1[[#This Row],[Unit2]])</f>
        <v>(ELS) Cell Line 1</v>
      </c>
    </row>
    <row r="21" spans="1:19">
      <c r="A21" s="372" t="s">
        <v>1214</v>
      </c>
      <c r="B21" s="372" t="s">
        <v>473</v>
      </c>
      <c r="C21" s="374">
        <v>0.96010209219602405</v>
      </c>
      <c r="D21" s="374">
        <v>0.95199999999999996</v>
      </c>
      <c r="E21" s="374">
        <v>0.95699999999999996</v>
      </c>
      <c r="F21" s="374">
        <v>0.96699999999999997</v>
      </c>
      <c r="G21" s="372">
        <v>0.96741201259951104</v>
      </c>
      <c r="H21" s="375"/>
      <c r="J21" s="376"/>
      <c r="K21" s="376"/>
      <c r="L21" s="376"/>
      <c r="M21" s="376"/>
      <c r="N21" s="374"/>
      <c r="P21" s="376"/>
      <c r="Q21" s="376"/>
      <c r="R21" s="372" t="str">
        <f>IF(RIGHT(Table1[[#This Row],[Unit]],1)="*",LEFT(Table1[[#This Row],[Unit]],LEN(Table1[[#This Row],[Unit]])-1),Table1[[#This Row],[Unit]])</f>
        <v>(ELS) ClO2 Production</v>
      </c>
      <c r="S21" s="372" t="str">
        <f>IF(RIGHT(Table1[[#This Row],[Unit2]],1)="☆",LEFT(Table1[[#This Row],[Unit2]],LEN(Table1[[#This Row],[Unit2]])-1),Table1[[#This Row],[Unit2]])</f>
        <v>(ELS) ClO2 Production</v>
      </c>
    </row>
    <row r="22" spans="1:19">
      <c r="A22" s="372" t="s">
        <v>1215</v>
      </c>
      <c r="B22" s="372" t="s">
        <v>462</v>
      </c>
      <c r="C22" s="374">
        <v>0.821025558122913</v>
      </c>
      <c r="D22" s="374">
        <v>0.82599999999999996</v>
      </c>
      <c r="E22" s="374">
        <v>0.83099999999999996</v>
      </c>
      <c r="F22" s="374">
        <v>0.84099999999999997</v>
      </c>
      <c r="G22" s="372">
        <v>0.70925386024537196</v>
      </c>
      <c r="H22" s="375"/>
      <c r="J22" s="376"/>
      <c r="K22" s="376"/>
      <c r="L22" s="376"/>
      <c r="M22" s="376"/>
      <c r="N22" s="374"/>
      <c r="P22" s="376"/>
      <c r="Q22" s="376"/>
      <c r="R22" s="372" t="str">
        <f>IF(RIGHT(Table1[[#This Row],[Unit]],1)="*",LEFT(Table1[[#This Row],[Unit]],LEN(Table1[[#This Row],[Unit]])-1),Table1[[#This Row],[Unit]])</f>
        <v>(DPK) HPMO C-910☆</v>
      </c>
      <c r="S22" s="372" t="str">
        <f>IF(RIGHT(Table1[[#This Row],[Unit2]],1)="☆",LEFT(Table1[[#This Row],[Unit2]],LEN(Table1[[#This Row],[Unit2]])-1),Table1[[#This Row],[Unit2]])</f>
        <v>(DPK) HPMO C-910</v>
      </c>
    </row>
    <row r="23" spans="1:19">
      <c r="A23" s="372" t="s">
        <v>1215</v>
      </c>
      <c r="B23" s="372" t="s">
        <v>463</v>
      </c>
      <c r="C23" s="374">
        <v>0.67382809988873604</v>
      </c>
      <c r="D23" s="374">
        <v>0.69391404994436801</v>
      </c>
      <c r="E23" s="374">
        <v>0.71399999999999997</v>
      </c>
      <c r="F23" s="374">
        <v>0.74399999999999999</v>
      </c>
      <c r="G23" s="372">
        <v>0.724798719730123</v>
      </c>
      <c r="H23" s="375"/>
      <c r="J23" s="376"/>
      <c r="K23" s="376"/>
      <c r="L23" s="376"/>
      <c r="M23" s="376"/>
      <c r="N23" s="374"/>
      <c r="P23" s="376"/>
      <c r="Q23" s="376"/>
      <c r="R23" s="372" t="str">
        <f>IF(RIGHT(Table1[[#This Row],[Unit]],1)="*",LEFT(Table1[[#This Row],[Unit]],LEN(Table1[[#This Row],[Unit]])-1),Table1[[#This Row],[Unit]])</f>
        <v>(DPK) NTEAL R-11</v>
      </c>
      <c r="S23" s="372" t="str">
        <f>IF(RIGHT(Table1[[#This Row],[Unit2]],1)="☆",LEFT(Table1[[#This Row],[Unit2]],LEN(Table1[[#This Row],[Unit2]])-1),Table1[[#This Row],[Unit2]])</f>
        <v>(DPK) NTEAL R-11</v>
      </c>
    </row>
    <row r="24" spans="1:19">
      <c r="A24" s="372" t="s">
        <v>1215</v>
      </c>
      <c r="B24" s="372" t="s">
        <v>1051</v>
      </c>
      <c r="C24" s="374">
        <v>0.66557512687448395</v>
      </c>
      <c r="D24" s="374">
        <v>0.68578756343724201</v>
      </c>
      <c r="E24" s="374">
        <v>0.70599999999999996</v>
      </c>
      <c r="F24" s="374">
        <v>0.73599999999999999</v>
      </c>
      <c r="G24" s="372">
        <v>0.97326093769737299</v>
      </c>
      <c r="H24" s="375"/>
      <c r="J24" s="376"/>
      <c r="K24" s="376"/>
      <c r="L24" s="376"/>
      <c r="M24" s="376"/>
      <c r="N24" s="374"/>
      <c r="P24" s="376"/>
      <c r="Q24" s="376"/>
      <c r="R24" s="372" t="str">
        <f>IF(RIGHT(Table1[[#This Row],[Unit]],1)="*",LEFT(Table1[[#This Row],[Unit]],LEN(Table1[[#This Row],[Unit]])-1),Table1[[#This Row],[Unit]])</f>
        <v>(DPK) NTEAL R-41☆</v>
      </c>
      <c r="S24" s="372" t="str">
        <f>IF(RIGHT(Table1[[#This Row],[Unit2]],1)="☆",LEFT(Table1[[#This Row],[Unit2]],LEN(Table1[[#This Row],[Unit2]])-1),Table1[[#This Row],[Unit2]])</f>
        <v>(DPK) NTEAL R-41</v>
      </c>
    </row>
    <row r="25" spans="1:19">
      <c r="A25" s="372" t="s">
        <v>1215</v>
      </c>
      <c r="B25" s="372" t="s">
        <v>468</v>
      </c>
      <c r="C25" s="374">
        <v>0.66302463216225704</v>
      </c>
      <c r="D25" s="374">
        <v>0.69801231608112801</v>
      </c>
      <c r="E25" s="374">
        <v>0.73299999999999998</v>
      </c>
      <c r="F25" s="374">
        <v>0.76300000000000001</v>
      </c>
      <c r="G25" s="372">
        <v>0.53595615375047501</v>
      </c>
      <c r="H25" s="375"/>
      <c r="J25" s="376"/>
      <c r="K25" s="376"/>
      <c r="L25" s="376"/>
      <c r="M25" s="376"/>
      <c r="N25" s="374"/>
      <c r="P25" s="376"/>
      <c r="Q25" s="376"/>
      <c r="R25" s="372" t="str">
        <f>IF(RIGHT(Table1[[#This Row],[Unit]],1)="*",LEFT(Table1[[#This Row],[Unit]],LEN(Table1[[#This Row],[Unit]])-1),Table1[[#This Row],[Unit]])</f>
        <v>(DPK) TMAL R-1203☆</v>
      </c>
      <c r="S25" s="372" t="str">
        <f>IF(RIGHT(Table1[[#This Row],[Unit2]],1)="☆",LEFT(Table1[[#This Row],[Unit2]],LEN(Table1[[#This Row],[Unit2]])-1),Table1[[#This Row],[Unit2]])</f>
        <v>(DPK) TMAL R-1203</v>
      </c>
    </row>
    <row r="26" spans="1:19">
      <c r="A26" s="372" t="s">
        <v>1215</v>
      </c>
      <c r="B26" s="372" t="s">
        <v>471</v>
      </c>
      <c r="C26" s="374">
        <v>0.75430740912095795</v>
      </c>
      <c r="D26" s="374">
        <v>0.76415370456047904</v>
      </c>
      <c r="E26" s="374">
        <v>0.77400000000000002</v>
      </c>
      <c r="F26" s="374">
        <v>0.79400000000000004</v>
      </c>
      <c r="G26" s="372">
        <v>0.60896394830048295</v>
      </c>
      <c r="H26" s="375"/>
      <c r="J26" s="376"/>
      <c r="K26" s="376"/>
      <c r="L26" s="376"/>
      <c r="M26" s="376"/>
      <c r="N26" s="374"/>
      <c r="P26" s="376"/>
      <c r="Q26" s="376"/>
      <c r="R26" s="372" t="str">
        <f>IF(RIGHT(Table1[[#This Row],[Unit]],1)="*",LEFT(Table1[[#This Row],[Unit]],LEN(Table1[[#This Row],[Unit]])-1),Table1[[#This Row],[Unit]])</f>
        <v>(DPK) TRIALKYLS R-51</v>
      </c>
      <c r="S26" s="372" t="str">
        <f>IF(RIGHT(Table1[[#This Row],[Unit2]],1)="☆",LEFT(Table1[[#This Row],[Unit2]],LEN(Table1[[#This Row],[Unit2]])-1),Table1[[#This Row],[Unit2]])</f>
        <v>(DPK) TRIALKYLS R-51</v>
      </c>
    </row>
    <row r="27" spans="1:19">
      <c r="A27" s="372" t="s">
        <v>1215</v>
      </c>
      <c r="B27" s="372" t="s">
        <v>1052</v>
      </c>
      <c r="C27" s="374">
        <v>0.69431057238485905</v>
      </c>
      <c r="D27" s="374">
        <v>0.71415528619242896</v>
      </c>
      <c r="E27" s="374">
        <v>0.73399999999999999</v>
      </c>
      <c r="F27" s="374">
        <v>0.76400000000000001</v>
      </c>
      <c r="G27" s="372">
        <v>0.71398142947813503</v>
      </c>
      <c r="H27" s="375"/>
      <c r="J27" s="376"/>
      <c r="K27" s="376"/>
      <c r="L27" s="376"/>
      <c r="M27" s="376"/>
      <c r="N27" s="374"/>
      <c r="P27" s="376"/>
      <c r="Q27" s="376"/>
      <c r="R27" s="372" t="str">
        <f>IF(RIGHT(Table1[[#This Row],[Unit]],1)="*",LEFT(Table1[[#This Row],[Unit]],LEN(Table1[[#This Row],[Unit]])-1),Table1[[#This Row],[Unit]])</f>
        <v>(DPK) TRIALKYLS R-700☆</v>
      </c>
      <c r="S27" s="372" t="str">
        <f>IF(RIGHT(Table1[[#This Row],[Unit2]],1)="☆",LEFT(Table1[[#This Row],[Unit2]],LEN(Table1[[#This Row],[Unit2]])-1),Table1[[#This Row],[Unit2]])</f>
        <v>(DPK) TRIALKYLS R-700</v>
      </c>
    </row>
    <row r="28" spans="1:19">
      <c r="A28" s="372" t="s">
        <v>967</v>
      </c>
      <c r="B28" s="372" t="s">
        <v>441</v>
      </c>
      <c r="C28" s="374">
        <v>0.71618897375923996</v>
      </c>
      <c r="D28" s="374">
        <v>0.72859448687962003</v>
      </c>
      <c r="E28" s="374">
        <v>0.74099999999999999</v>
      </c>
      <c r="F28" s="374">
        <v>0.77100000000000002</v>
      </c>
      <c r="G28" s="372">
        <v>0.71069791825901996</v>
      </c>
      <c r="H28" s="375"/>
      <c r="J28" s="376"/>
      <c r="K28" s="376"/>
      <c r="L28" s="376"/>
      <c r="M28" s="376"/>
      <c r="N28" s="374"/>
      <c r="P28" s="376"/>
      <c r="Q28" s="376"/>
      <c r="R28" s="372" t="str">
        <f>IF(RIGHT(Table1[[#This Row],[Unit]],1)="*",LEFT(Table1[[#This Row],[Unit]],LEN(Table1[[#This Row],[Unit]])-1),Table1[[#This Row],[Unit]])</f>
        <v>(BHS) 90 D5503☆</v>
      </c>
      <c r="S28" s="372" t="str">
        <f>IF(RIGHT(Table1[[#This Row],[Unit2]],1)="☆",LEFT(Table1[[#This Row],[Unit2]],LEN(Table1[[#This Row],[Unit2]])-1),Table1[[#This Row],[Unit2]])</f>
        <v>(BHS) 90 D5503</v>
      </c>
    </row>
    <row r="29" spans="1:19">
      <c r="A29" s="372" t="s">
        <v>967</v>
      </c>
      <c r="B29" s="372" t="s">
        <v>1041</v>
      </c>
      <c r="C29" s="374">
        <v>0.94479939786118505</v>
      </c>
      <c r="D29" s="374">
        <v>0.86199999999999999</v>
      </c>
      <c r="E29" s="374">
        <v>0.872</v>
      </c>
      <c r="F29" s="374">
        <v>0.90200000000000002</v>
      </c>
      <c r="G29" s="372">
        <v>0.87623788865999797</v>
      </c>
      <c r="H29" s="375"/>
      <c r="J29" s="376"/>
      <c r="K29" s="376"/>
      <c r="L29" s="376"/>
      <c r="M29" s="376"/>
      <c r="N29" s="374"/>
      <c r="P29" s="376"/>
      <c r="Q29" s="376"/>
      <c r="R29" s="372" t="str">
        <f>IF(RIGHT(Table1[[#This Row],[Unit]],1)="*",LEFT(Table1[[#This Row],[Unit]],LEN(Table1[[#This Row],[Unit]])-1),Table1[[#This Row],[Unit]])</f>
        <v>(BHS) Crude HP</v>
      </c>
      <c r="S29" s="372" t="str">
        <f>IF(RIGHT(Table1[[#This Row],[Unit2]],1)="☆",LEFT(Table1[[#This Row],[Unit2]],LEN(Table1[[#This Row],[Unit2]])-1),Table1[[#This Row],[Unit2]])</f>
        <v>(BHS) Crude HP</v>
      </c>
    </row>
    <row r="30" spans="1:19">
      <c r="A30" s="372" t="s">
        <v>967</v>
      </c>
      <c r="B30" s="372" t="s">
        <v>442</v>
      </c>
      <c r="C30" s="374">
        <v>0.74896522377740704</v>
      </c>
      <c r="D30" s="374">
        <v>0.745</v>
      </c>
      <c r="E30" s="374">
        <v>0.75</v>
      </c>
      <c r="F30" s="374">
        <v>0.77</v>
      </c>
      <c r="G30" s="372">
        <v>0.63635926294167</v>
      </c>
      <c r="H30" s="375"/>
      <c r="J30" s="376"/>
      <c r="K30" s="376"/>
      <c r="L30" s="376"/>
      <c r="M30" s="376"/>
      <c r="N30" s="374"/>
      <c r="P30" s="376"/>
      <c r="Q30" s="376"/>
      <c r="R30" s="372" t="str">
        <f>IF(RIGHT(Table1[[#This Row],[Unit]],1)="*",LEFT(Table1[[#This Row],[Unit]],LEN(Table1[[#This Row],[Unit]])-1),Table1[[#This Row],[Unit]])</f>
        <v>(BHS) R5505</v>
      </c>
      <c r="S30" s="372" t="str">
        <f>IF(RIGHT(Table1[[#This Row],[Unit2]],1)="☆",LEFT(Table1[[#This Row],[Unit2]],LEN(Table1[[#This Row],[Unit2]])-1),Table1[[#This Row],[Unit2]])</f>
        <v>(BHS) R5505</v>
      </c>
    </row>
    <row r="31" spans="1:19">
      <c r="A31" s="372" t="s">
        <v>1216</v>
      </c>
      <c r="B31" s="372" t="s">
        <v>444</v>
      </c>
      <c r="C31" s="374">
        <v>0.80646415017121398</v>
      </c>
      <c r="D31" s="374">
        <v>0.754</v>
      </c>
      <c r="E31" s="374">
        <v>0.75900000000000001</v>
      </c>
      <c r="F31" s="374">
        <v>0.77900000000000003</v>
      </c>
      <c r="G31" s="372">
        <v>0.85152961603284405</v>
      </c>
      <c r="H31" s="375"/>
      <c r="J31" s="376"/>
      <c r="K31" s="376"/>
      <c r="L31" s="376"/>
      <c r="M31" s="376"/>
      <c r="N31" s="374"/>
      <c r="P31" s="376"/>
      <c r="Q31" s="376"/>
      <c r="R31" s="372" t="str">
        <f>IF(RIGHT(Table1[[#This Row],[Unit]],1)="*",LEFT(Table1[[#This Row],[Unit]],LEN(Table1[[#This Row],[Unit]])-1),Table1[[#This Row],[Unit]])</f>
        <v>(BOX FAM1) A7841</v>
      </c>
      <c r="S31" s="372" t="str">
        <f>IF(RIGHT(Table1[[#This Row],[Unit2]],1)="☆",LEFT(Table1[[#This Row],[Unit2]],LEN(Table1[[#This Row],[Unit2]])-1),Table1[[#This Row],[Unit2]])</f>
        <v>(BOX FAM1) A7841</v>
      </c>
    </row>
    <row r="32" spans="1:19">
      <c r="A32" s="372" t="s">
        <v>1216</v>
      </c>
      <c r="B32" s="372" t="s">
        <v>445</v>
      </c>
      <c r="C32" s="374">
        <v>0.80282248454153904</v>
      </c>
      <c r="D32" s="374">
        <v>0.68700000000000006</v>
      </c>
      <c r="E32" s="374">
        <v>0.69199999999999995</v>
      </c>
      <c r="F32" s="374">
        <v>0.73199999999999998</v>
      </c>
      <c r="G32" s="372">
        <v>0.73049189269186698</v>
      </c>
      <c r="H32" s="375"/>
      <c r="J32" s="376"/>
      <c r="K32" s="376"/>
      <c r="L32" s="376"/>
      <c r="M32" s="376"/>
      <c r="N32" s="374"/>
      <c r="P32" s="376"/>
      <c r="Q32" s="376"/>
      <c r="R32" s="372" t="str">
        <f>IF(RIGHT(Table1[[#This Row],[Unit]],1)="*",LEFT(Table1[[#This Row],[Unit]],LEN(Table1[[#This Row],[Unit]])-1),Table1[[#This Row],[Unit]])</f>
        <v>(BOX FAM1) C6821</v>
      </c>
      <c r="S32" s="372" t="str">
        <f>IF(RIGHT(Table1[[#This Row],[Unit2]],1)="☆",LEFT(Table1[[#This Row],[Unit2]],LEN(Table1[[#This Row],[Unit2]])-1),Table1[[#This Row],[Unit2]])</f>
        <v>(BOX FAM1) C6821</v>
      </c>
    </row>
    <row r="33" spans="1:19">
      <c r="A33" s="372" t="s">
        <v>1216</v>
      </c>
      <c r="B33" s="372" t="s">
        <v>446</v>
      </c>
      <c r="C33" s="374">
        <v>0.78258332882541004</v>
      </c>
      <c r="D33" s="374">
        <v>0.68100000000000005</v>
      </c>
      <c r="E33" s="374">
        <v>0.69099999999999995</v>
      </c>
      <c r="F33" s="374">
        <v>0.73099999999999998</v>
      </c>
      <c r="G33" s="372">
        <v>0.70260075782939901</v>
      </c>
      <c r="H33" s="375"/>
      <c r="J33" s="376"/>
      <c r="K33" s="376"/>
      <c r="L33" s="376"/>
      <c r="M33" s="376"/>
      <c r="N33" s="374"/>
      <c r="P33" s="376"/>
      <c r="Q33" s="376"/>
      <c r="R33" s="372" t="str">
        <f>IF(RIGHT(Table1[[#This Row],[Unit]],1)="*",LEFT(Table1[[#This Row],[Unit]],LEN(Table1[[#This Row],[Unit]])-1),Table1[[#This Row],[Unit]])</f>
        <v>(BOX FAM1) C6851</v>
      </c>
      <c r="S33" s="372" t="str">
        <f>IF(RIGHT(Table1[[#This Row],[Unit2]],1)="☆",LEFT(Table1[[#This Row],[Unit2]],LEN(Table1[[#This Row],[Unit2]])-1),Table1[[#This Row],[Unit2]])</f>
        <v>(BOX FAM1) C6851</v>
      </c>
    </row>
    <row r="34" spans="1:19">
      <c r="A34" s="372" t="s">
        <v>1216</v>
      </c>
      <c r="B34" s="372" t="s">
        <v>447</v>
      </c>
      <c r="C34" s="374">
        <v>0.80182812310370799</v>
      </c>
      <c r="D34" s="374">
        <v>0.70799999999999996</v>
      </c>
      <c r="E34" s="374">
        <v>0.71299999999999997</v>
      </c>
      <c r="F34" s="374">
        <v>0.74299999999999999</v>
      </c>
      <c r="G34" s="372">
        <v>0.73402631288957199</v>
      </c>
      <c r="H34" s="375"/>
      <c r="J34" s="376"/>
      <c r="K34" s="376"/>
      <c r="L34" s="376"/>
      <c r="M34" s="376"/>
      <c r="N34" s="374"/>
      <c r="P34" s="376"/>
      <c r="Q34" s="376"/>
      <c r="R34" s="372" t="str">
        <f>IF(RIGHT(Table1[[#This Row],[Unit]],1)="*",LEFT(Table1[[#This Row],[Unit]],LEN(Table1[[#This Row],[Unit]])-1),Table1[[#This Row],[Unit]])</f>
        <v>(BOX FAM1) C7821</v>
      </c>
      <c r="S34" s="372" t="str">
        <f>IF(RIGHT(Table1[[#This Row],[Unit2]],1)="☆",LEFT(Table1[[#This Row],[Unit2]],LEN(Table1[[#This Row],[Unit2]])-1),Table1[[#This Row],[Unit2]])</f>
        <v>(BOX FAM1) C7821</v>
      </c>
    </row>
    <row r="35" spans="1:19">
      <c r="A35" s="372" t="s">
        <v>1216</v>
      </c>
      <c r="B35" s="372" t="s">
        <v>1043</v>
      </c>
      <c r="C35" s="374">
        <v>0.684971997510888</v>
      </c>
      <c r="D35" s="374">
        <v>0.69998599875544398</v>
      </c>
      <c r="E35" s="374">
        <v>0.71499999999999997</v>
      </c>
      <c r="F35" s="374">
        <v>0.745</v>
      </c>
      <c r="G35" s="372">
        <v>0.793278443573461</v>
      </c>
      <c r="H35" s="375"/>
      <c r="J35" s="376"/>
      <c r="K35" s="376"/>
      <c r="L35" s="376"/>
      <c r="M35" s="376"/>
      <c r="N35" s="374"/>
      <c r="P35" s="376"/>
      <c r="Q35" s="376"/>
      <c r="R35" s="372" t="str">
        <f>IF(RIGHT(Table1[[#This Row],[Unit]],1)="*",LEFT(Table1[[#This Row],[Unit]],LEN(Table1[[#This Row],[Unit]])-1),Table1[[#This Row],[Unit]])</f>
        <v>(BOX FAM1) R6871</v>
      </c>
      <c r="S35" s="372" t="str">
        <f>IF(RIGHT(Table1[[#This Row],[Unit2]],1)="☆",LEFT(Table1[[#This Row],[Unit2]],LEN(Table1[[#This Row],[Unit2]])-1),Table1[[#This Row],[Unit2]])</f>
        <v>(BOX FAM1) R6871</v>
      </c>
    </row>
    <row r="36" spans="1:19">
      <c r="A36" s="372" t="s">
        <v>1216</v>
      </c>
      <c r="B36" s="372" t="s">
        <v>448</v>
      </c>
      <c r="C36" s="374">
        <v>0.81228943331445003</v>
      </c>
      <c r="D36" s="374">
        <v>0.72799999999999998</v>
      </c>
      <c r="E36" s="374">
        <v>0.73299999999999998</v>
      </c>
      <c r="F36" s="374">
        <v>0.76300000000000001</v>
      </c>
      <c r="G36" s="372">
        <v>0.743610058042246</v>
      </c>
      <c r="H36" s="375"/>
      <c r="J36" s="376"/>
      <c r="K36" s="376"/>
      <c r="L36" s="376"/>
      <c r="M36" s="376"/>
      <c r="N36" s="374"/>
      <c r="P36" s="376"/>
      <c r="Q36" s="376"/>
      <c r="R36" s="372" t="str">
        <f>IF(RIGHT(Table1[[#This Row],[Unit]],1)="*",LEFT(Table1[[#This Row],[Unit]],LEN(Table1[[#This Row],[Unit]])-1),Table1[[#This Row],[Unit]])</f>
        <v>(BOX FAM2) R4301</v>
      </c>
      <c r="S36" s="372" t="str">
        <f>IF(RIGHT(Table1[[#This Row],[Unit2]],1)="☆",LEFT(Table1[[#This Row],[Unit2]],LEN(Table1[[#This Row],[Unit2]])-1),Table1[[#This Row],[Unit2]])</f>
        <v>(BOX FAM2) R4301</v>
      </c>
    </row>
    <row r="37" spans="1:19">
      <c r="A37" s="372" t="s">
        <v>1216</v>
      </c>
      <c r="B37" s="372" t="s">
        <v>449</v>
      </c>
      <c r="C37" s="374">
        <v>0.70013928381456303</v>
      </c>
      <c r="D37" s="374">
        <v>0.60199999999999998</v>
      </c>
      <c r="E37" s="374">
        <v>0.61699999999999999</v>
      </c>
      <c r="F37" s="374">
        <v>0.65700000000000003</v>
      </c>
      <c r="G37" s="372">
        <v>0.660654234690639</v>
      </c>
      <c r="H37" s="375"/>
      <c r="J37" s="376"/>
      <c r="K37" s="376"/>
      <c r="L37" s="376"/>
      <c r="M37" s="376"/>
      <c r="N37" s="374"/>
      <c r="P37" s="376"/>
      <c r="Q37" s="376"/>
      <c r="R37" s="372" t="str">
        <f>IF(RIGHT(Table1[[#This Row],[Unit]],1)="*",LEFT(Table1[[#This Row],[Unit]],LEN(Table1[[#This Row],[Unit]])-1),Table1[[#This Row],[Unit]])</f>
        <v>(BOX MPP) R211</v>
      </c>
      <c r="S37" s="372" t="str">
        <f>IF(RIGHT(Table1[[#This Row],[Unit2]],1)="☆",LEFT(Table1[[#This Row],[Unit2]],LEN(Table1[[#This Row],[Unit2]])-1),Table1[[#This Row],[Unit2]])</f>
        <v>(BOX MPP) R211</v>
      </c>
    </row>
    <row r="38" spans="1:19">
      <c r="A38" s="372" t="s">
        <v>1216</v>
      </c>
      <c r="B38" s="372" t="s">
        <v>450</v>
      </c>
      <c r="C38" s="374">
        <v>0.80726207278126505</v>
      </c>
      <c r="D38" s="374">
        <v>0.71899999999999997</v>
      </c>
      <c r="E38" s="374">
        <v>0.72399999999999998</v>
      </c>
      <c r="F38" s="374">
        <v>0.754</v>
      </c>
      <c r="G38" s="372">
        <v>0.78655731239630799</v>
      </c>
      <c r="H38" s="375"/>
      <c r="J38" s="376"/>
      <c r="K38" s="376"/>
      <c r="L38" s="376"/>
      <c r="M38" s="376"/>
      <c r="N38" s="374"/>
      <c r="P38" s="376"/>
      <c r="Q38" s="376"/>
      <c r="R38" s="372" t="str">
        <f>IF(RIGHT(Table1[[#This Row],[Unit]],1)="*",LEFT(Table1[[#This Row],[Unit]],LEN(Table1[[#This Row],[Unit]])-1),Table1[[#This Row],[Unit]])</f>
        <v>(BOX MPP) R221B</v>
      </c>
      <c r="S38" s="372" t="str">
        <f>IF(RIGHT(Table1[[#This Row],[Unit2]],1)="☆",LEFT(Table1[[#This Row],[Unit2]],LEN(Table1[[#This Row],[Unit2]])-1),Table1[[#This Row],[Unit2]])</f>
        <v>(BOX MPP) R221B</v>
      </c>
    </row>
    <row r="39" spans="1:19">
      <c r="A39" s="372" t="s">
        <v>1217</v>
      </c>
      <c r="B39" s="372" t="s">
        <v>453</v>
      </c>
      <c r="C39" s="374">
        <v>0.818929245482241</v>
      </c>
      <c r="D39" s="374">
        <v>0.8</v>
      </c>
      <c r="E39" s="374">
        <v>0.80500000000000005</v>
      </c>
      <c r="F39" s="374">
        <v>0.81499999999999995</v>
      </c>
      <c r="G39" s="372">
        <v>0.810866310840335</v>
      </c>
      <c r="H39" s="375"/>
      <c r="J39" s="376"/>
      <c r="K39" s="376"/>
      <c r="L39" s="376"/>
      <c r="M39" s="376"/>
      <c r="N39" s="374"/>
      <c r="P39" s="376"/>
      <c r="Q39" s="376"/>
      <c r="R39" s="372" t="str">
        <f>IF(RIGHT(Table1[[#This Row],[Unit]],1)="*",LEFT(Table1[[#This Row],[Unit]],LEN(Table1[[#This Row],[Unit]])-1),Table1[[#This Row],[Unit]])</f>
        <v>(CTT) B-126</v>
      </c>
      <c r="S39" s="372" t="str">
        <f>IF(RIGHT(Table1[[#This Row],[Unit2]],1)="☆",LEFT(Table1[[#This Row],[Unit2]],LEN(Table1[[#This Row],[Unit2]])-1),Table1[[#This Row],[Unit2]])</f>
        <v>(CTT) B-126</v>
      </c>
    </row>
    <row r="40" spans="1:19">
      <c r="A40" s="372" t="s">
        <v>1217</v>
      </c>
      <c r="B40" s="372" t="s">
        <v>456</v>
      </c>
      <c r="C40" s="374">
        <v>0.88389843001190405</v>
      </c>
      <c r="D40" s="374">
        <v>0.82599999999999996</v>
      </c>
      <c r="E40" s="374">
        <v>0.83099999999999996</v>
      </c>
      <c r="F40" s="374">
        <v>0.84099999999999997</v>
      </c>
      <c r="G40" s="372">
        <v>0.90674133142511404</v>
      </c>
      <c r="H40" s="375"/>
      <c r="J40" s="376"/>
      <c r="K40" s="376"/>
      <c r="L40" s="376"/>
      <c r="M40" s="376"/>
      <c r="N40" s="374"/>
      <c r="P40" s="376"/>
      <c r="Q40" s="376"/>
      <c r="R40" s="372" t="str">
        <f>IF(RIGHT(Table1[[#This Row],[Unit]],1)="*",LEFT(Table1[[#This Row],[Unit]],LEN(Table1[[#This Row],[Unit]])-1),Table1[[#This Row],[Unit]])</f>
        <v>(CTT) B-149</v>
      </c>
      <c r="S40" s="372" t="str">
        <f>IF(RIGHT(Table1[[#This Row],[Unit2]],1)="☆",LEFT(Table1[[#This Row],[Unit2]],LEN(Table1[[#This Row],[Unit2]])-1),Table1[[#This Row],[Unit2]])</f>
        <v>(CTT) B-149</v>
      </c>
    </row>
    <row r="41" spans="1:19">
      <c r="A41" s="372" t="s">
        <v>1217</v>
      </c>
      <c r="B41" s="372" t="s">
        <v>775</v>
      </c>
      <c r="C41" s="374">
        <v>0.778312497871679</v>
      </c>
      <c r="D41" s="374">
        <v>0.78415624893583902</v>
      </c>
      <c r="E41" s="374">
        <v>0.79</v>
      </c>
      <c r="F41" s="374">
        <v>0.81</v>
      </c>
      <c r="G41" s="372">
        <v>0.683362081840866</v>
      </c>
      <c r="H41" s="375"/>
      <c r="J41" s="376"/>
      <c r="K41" s="376"/>
      <c r="L41" s="376"/>
      <c r="M41" s="376"/>
      <c r="N41" s="374"/>
      <c r="P41" s="376"/>
      <c r="Q41" s="376"/>
      <c r="R41" s="372" t="str">
        <f>IF(RIGHT(Table1[[#This Row],[Unit]],1)="*",LEFT(Table1[[#This Row],[Unit]],LEN(Table1[[#This Row],[Unit]])-1),Table1[[#This Row],[Unit]])</f>
        <v>(CTT) Dryer</v>
      </c>
      <c r="S41" s="372" t="str">
        <f>IF(RIGHT(Table1[[#This Row],[Unit2]],1)="☆",LEFT(Table1[[#This Row],[Unit2]],LEN(Table1[[#This Row],[Unit2]])-1),Table1[[#This Row],[Unit2]])</f>
        <v>(CTT) Dryer</v>
      </c>
    </row>
    <row r="42" spans="1:19">
      <c r="A42" s="372" t="s">
        <v>1218</v>
      </c>
      <c r="B42" s="372" t="s">
        <v>1044</v>
      </c>
      <c r="C42" s="374">
        <v>0.90677209173987905</v>
      </c>
      <c r="D42" s="374">
        <v>0.89</v>
      </c>
      <c r="E42" s="374">
        <v>0.9</v>
      </c>
      <c r="F42" s="374">
        <v>0.92</v>
      </c>
      <c r="G42" s="372">
        <v>0.72130908338624999</v>
      </c>
      <c r="H42" s="375"/>
      <c r="J42" s="376"/>
      <c r="K42" s="376"/>
      <c r="L42" s="376"/>
      <c r="M42" s="376"/>
      <c r="N42" s="374"/>
      <c r="P42" s="376"/>
      <c r="Q42" s="376"/>
      <c r="R42" s="372" t="str">
        <f>IF(RIGHT(Table1[[#This Row],[Unit]],1)="*",LEFT(Table1[[#This Row],[Unit]],LEN(Table1[[#This Row],[Unit]])-1),Table1[[#This Row],[Unit]])</f>
        <v>(COL) Cell Line C85</v>
      </c>
      <c r="S42" s="372" t="str">
        <f>IF(RIGHT(Table1[[#This Row],[Unit2]],1)="☆",LEFT(Table1[[#This Row],[Unit2]],LEN(Table1[[#This Row],[Unit2]])-1),Table1[[#This Row],[Unit2]])</f>
        <v>(COL) Cell Line C85</v>
      </c>
    </row>
    <row r="43" spans="1:19">
      <c r="A43" s="372" t="s">
        <v>1218</v>
      </c>
      <c r="B43" s="372" t="s">
        <v>1045</v>
      </c>
      <c r="C43" s="374">
        <v>0.34938139603941198</v>
      </c>
      <c r="D43" s="374">
        <v>0.54169069801970604</v>
      </c>
      <c r="E43" s="374">
        <v>0.73399999999999999</v>
      </c>
      <c r="F43" s="374">
        <v>0.79400000000000004</v>
      </c>
      <c r="G43" s="372">
        <v>0.61847186294700096</v>
      </c>
      <c r="H43" s="375"/>
      <c r="J43" s="376"/>
      <c r="K43" s="376"/>
      <c r="L43" s="376"/>
      <c r="M43" s="376"/>
      <c r="N43" s="374"/>
      <c r="P43" s="376"/>
      <c r="Q43" s="376"/>
      <c r="R43" s="372" t="str">
        <f>IF(RIGHT(Table1[[#This Row],[Unit]],1)="*",LEFT(Table1[[#This Row],[Unit]],LEN(Table1[[#This Row],[Unit]])-1),Table1[[#This Row],[Unit]])</f>
        <v>(COL) Cell Line C89</v>
      </c>
      <c r="S43" s="372" t="str">
        <f>IF(RIGHT(Table1[[#This Row],[Unit2]],1)="☆",LEFT(Table1[[#This Row],[Unit2]],LEN(Table1[[#This Row],[Unit2]])-1),Table1[[#This Row],[Unit2]])</f>
        <v>(COL) Cell Line C89</v>
      </c>
    </row>
    <row r="44" spans="1:19">
      <c r="A44" s="372" t="s">
        <v>1218</v>
      </c>
      <c r="B44" s="372" t="s">
        <v>1046</v>
      </c>
      <c r="C44" s="374">
        <v>0.49092002961865999</v>
      </c>
      <c r="D44" s="374">
        <v>0.56346001480932995</v>
      </c>
      <c r="E44" s="374">
        <v>0.63600000000000001</v>
      </c>
      <c r="F44" s="374">
        <v>0.72599999999999998</v>
      </c>
      <c r="G44" s="372">
        <v>0.58192683024941705</v>
      </c>
      <c r="H44" s="375"/>
      <c r="J44" s="376"/>
      <c r="K44" s="376"/>
      <c r="L44" s="376"/>
      <c r="M44" s="376"/>
      <c r="N44" s="374"/>
      <c r="P44" s="376"/>
      <c r="Q44" s="376"/>
      <c r="R44" s="372" t="str">
        <f>IF(RIGHT(Table1[[#This Row],[Unit]],1)="*",LEFT(Table1[[#This Row],[Unit]],LEN(Table1[[#This Row],[Unit]])-1),Table1[[#This Row],[Unit]])</f>
        <v>(COL) Cell Line C91A1</v>
      </c>
      <c r="S44" s="372" t="str">
        <f>IF(RIGHT(Table1[[#This Row],[Unit2]],1)="☆",LEFT(Table1[[#This Row],[Unit2]],LEN(Table1[[#This Row],[Unit2]])-1),Table1[[#This Row],[Unit2]])</f>
        <v>(COL) Cell Line C91A1</v>
      </c>
    </row>
    <row r="45" spans="1:19">
      <c r="A45" s="372" t="s">
        <v>1218</v>
      </c>
      <c r="B45" s="372" t="s">
        <v>1048</v>
      </c>
      <c r="C45" s="374">
        <v>0.74819537002756198</v>
      </c>
      <c r="D45" s="374">
        <v>0.763597685013781</v>
      </c>
      <c r="E45" s="374">
        <v>0.77900000000000003</v>
      </c>
      <c r="F45" s="374">
        <v>0.83899999999999997</v>
      </c>
      <c r="G45" s="372">
        <v>0.66885713460631302</v>
      </c>
      <c r="H45" s="375"/>
      <c r="J45" s="376"/>
      <c r="K45" s="376"/>
      <c r="L45" s="376"/>
      <c r="M45" s="376"/>
      <c r="N45" s="374"/>
      <c r="P45" s="376"/>
      <c r="Q45" s="376"/>
      <c r="R45" s="372" t="str">
        <f>IF(RIGHT(Table1[[#This Row],[Unit]],1)="*",LEFT(Table1[[#This Row],[Unit]],LEN(Table1[[#This Row],[Unit]])-1),Table1[[#This Row],[Unit]])</f>
        <v>(COL) Cell Line C91B1</v>
      </c>
      <c r="S45" s="372" t="str">
        <f>IF(RIGHT(Table1[[#This Row],[Unit2]],1)="☆",LEFT(Table1[[#This Row],[Unit2]],LEN(Table1[[#This Row],[Unit2]])-1),Table1[[#This Row],[Unit2]])</f>
        <v>(COL) Cell Line C91B1</v>
      </c>
    </row>
    <row r="46" spans="1:19">
      <c r="A46" s="372" t="s">
        <v>1218</v>
      </c>
      <c r="B46" s="372" t="s">
        <v>1049</v>
      </c>
      <c r="C46" s="374">
        <v>0.75941832562837097</v>
      </c>
      <c r="D46" s="374">
        <v>0.72699999999999998</v>
      </c>
      <c r="E46" s="374">
        <v>0.75700000000000001</v>
      </c>
      <c r="F46" s="374">
        <v>0.81699999999999995</v>
      </c>
      <c r="G46" s="372">
        <v>0.64305697234683001</v>
      </c>
      <c r="H46" s="375"/>
      <c r="J46" s="376"/>
      <c r="K46" s="376"/>
      <c r="L46" s="376"/>
      <c r="M46" s="376"/>
      <c r="N46" s="374"/>
      <c r="P46" s="376"/>
      <c r="Q46" s="376"/>
      <c r="R46" s="372" t="str">
        <f>IF(RIGHT(Table1[[#This Row],[Unit]],1)="*",LEFT(Table1[[#This Row],[Unit]],LEN(Table1[[#This Row],[Unit]])-1),Table1[[#This Row],[Unit]])</f>
        <v>(COL) Cell Line C91B2</v>
      </c>
      <c r="S46" s="372" t="str">
        <f>IF(RIGHT(Table1[[#This Row],[Unit2]],1)="☆",LEFT(Table1[[#This Row],[Unit2]],LEN(Table1[[#This Row],[Unit2]])-1),Table1[[#This Row],[Unit2]])</f>
        <v>(COL) Cell Line C91B2</v>
      </c>
    </row>
    <row r="47" spans="1:19">
      <c r="A47" s="372" t="s">
        <v>1218</v>
      </c>
      <c r="B47" s="372" t="s">
        <v>1050</v>
      </c>
      <c r="C47" s="374">
        <v>0.87902725181581598</v>
      </c>
      <c r="D47" s="374">
        <v>0.90001362590790801</v>
      </c>
      <c r="E47" s="374">
        <v>0.92100000000000004</v>
      </c>
      <c r="F47" s="374">
        <v>0.94099999999999995</v>
      </c>
      <c r="G47" s="372">
        <v>0.86141734808384496</v>
      </c>
      <c r="H47" s="375"/>
      <c r="J47" s="376"/>
      <c r="K47" s="376"/>
      <c r="L47" s="376"/>
      <c r="M47" s="376"/>
      <c r="N47" s="374"/>
      <c r="P47" s="376"/>
      <c r="Q47" s="376"/>
      <c r="R47" s="372" t="str">
        <f>IF(RIGHT(Table1[[#This Row],[Unit]],1)="*",LEFT(Table1[[#This Row],[Unit]],LEN(Table1[[#This Row],[Unit]])-1),Table1[[#This Row],[Unit]])</f>
        <v>(COL) Crude HP</v>
      </c>
      <c r="S47" s="372" t="str">
        <f>IF(RIGHT(Table1[[#This Row],[Unit2]],1)="☆",LEFT(Table1[[#This Row],[Unit2]],LEN(Table1[[#This Row],[Unit2]])-1),Table1[[#This Row],[Unit2]])</f>
        <v>(COL) Crude HP</v>
      </c>
    </row>
    <row r="48" spans="1:19">
      <c r="A48" s="372" t="s">
        <v>968</v>
      </c>
      <c r="B48" s="372" t="s">
        <v>1053</v>
      </c>
      <c r="C48" s="374">
        <v>0.63652218472911803</v>
      </c>
      <c r="D48" s="374">
        <v>0.68376109236455895</v>
      </c>
      <c r="E48" s="374">
        <v>0.73099999999999998</v>
      </c>
      <c r="F48" s="374">
        <v>0.79100000000000004</v>
      </c>
      <c r="G48" s="372">
        <v>0.70640262488045802</v>
      </c>
      <c r="H48" s="375"/>
      <c r="J48" s="376"/>
      <c r="K48" s="376"/>
      <c r="L48" s="376"/>
      <c r="M48" s="376"/>
      <c r="N48" s="374"/>
      <c r="P48" s="376"/>
      <c r="Q48" s="376"/>
      <c r="R48" s="372" t="str">
        <f>IF(RIGHT(Table1[[#This Row],[Unit]],1)="*",LEFT(Table1[[#This Row],[Unit]],LEN(Table1[[#This Row],[Unit]])-1),Table1[[#This Row],[Unit]])</f>
        <v>(DZL) MCA AUM☆</v>
      </c>
      <c r="S48" s="372" t="str">
        <f>IF(RIGHT(Table1[[#This Row],[Unit2]],1)="☆",LEFT(Table1[[#This Row],[Unit2]],LEN(Table1[[#This Row],[Unit2]])-1),Table1[[#This Row],[Unit2]])</f>
        <v>(DZL) MCA AUM</v>
      </c>
    </row>
    <row r="49" spans="1:19">
      <c r="A49" s="372" t="s">
        <v>1219</v>
      </c>
      <c r="B49" s="372" t="s">
        <v>1054</v>
      </c>
      <c r="C49" s="374">
        <v>0.76912086323905704</v>
      </c>
      <c r="D49" s="374">
        <v>0.78206043161952798</v>
      </c>
      <c r="E49" s="374">
        <v>0.79500000000000004</v>
      </c>
      <c r="F49" s="374">
        <v>0.81499999999999995</v>
      </c>
      <c r="G49" s="372">
        <v>0.50543090429789195</v>
      </c>
      <c r="H49" s="375"/>
      <c r="J49" s="376"/>
      <c r="K49" s="376"/>
      <c r="L49" s="376"/>
      <c r="M49" s="376"/>
      <c r="N49" s="374"/>
      <c r="P49" s="376"/>
      <c r="Q49" s="376"/>
      <c r="R49" s="372" t="str">
        <f>IF(RIGHT(Table1[[#This Row],[Unit]],1)="*",LEFT(Table1[[#This Row],[Unit]],LEN(Table1[[#This Row],[Unit]])-1),Table1[[#This Row],[Unit]])</f>
        <v>(FOW) Spray Dryer</v>
      </c>
      <c r="S49" s="372" t="str">
        <f>IF(RIGHT(Table1[[#This Row],[Unit2]],1)="☆",LEFT(Table1[[#This Row],[Unit2]],LEN(Table1[[#This Row],[Unit2]])-1),Table1[[#This Row],[Unit2]])</f>
        <v>(FOW) Spray Dryer</v>
      </c>
    </row>
    <row r="50" spans="1:19">
      <c r="A50" s="372" t="s">
        <v>969</v>
      </c>
      <c r="B50" s="372" t="s">
        <v>778</v>
      </c>
      <c r="C50" s="374">
        <v>0.85148183329571103</v>
      </c>
      <c r="D50" s="374">
        <v>0.83899999999999997</v>
      </c>
      <c r="E50" s="374">
        <v>0.84399999999999997</v>
      </c>
      <c r="F50" s="374">
        <v>0.85399999999999998</v>
      </c>
      <c r="G50" s="372">
        <v>0.87151378180379802</v>
      </c>
      <c r="H50" s="375"/>
      <c r="J50" s="376"/>
      <c r="K50" s="376"/>
      <c r="L50" s="376"/>
      <c r="M50" s="376"/>
      <c r="N50" s="374"/>
      <c r="P50" s="376"/>
      <c r="Q50" s="376"/>
      <c r="R50" s="372" t="str">
        <f>IF(RIGHT(Table1[[#This Row],[Unit]],1)="*",LEFT(Table1[[#This Row],[Unit]],LEN(Table1[[#This Row],[Unit]])-1),Table1[[#This Row],[Unit]])</f>
        <v>(GIZ) CR01</v>
      </c>
      <c r="S50" s="372" t="str">
        <f>IF(RIGHT(Table1[[#This Row],[Unit2]],1)="☆",LEFT(Table1[[#This Row],[Unit2]],LEN(Table1[[#This Row],[Unit2]])-1),Table1[[#This Row],[Unit2]])</f>
        <v>(GIZ) CR01</v>
      </c>
    </row>
    <row r="51" spans="1:19">
      <c r="A51" s="372" t="s">
        <v>969</v>
      </c>
      <c r="B51" s="372" t="s">
        <v>779</v>
      </c>
      <c r="C51" s="374">
        <v>0.84335119813083503</v>
      </c>
      <c r="D51" s="374">
        <v>0.84799999999999998</v>
      </c>
      <c r="E51" s="374">
        <v>0.85299999999999998</v>
      </c>
      <c r="F51" s="374">
        <v>0.86299999999999999</v>
      </c>
      <c r="G51" s="372">
        <v>0.88032007867303796</v>
      </c>
      <c r="H51" s="375"/>
      <c r="J51" s="376"/>
      <c r="K51" s="376"/>
      <c r="L51" s="376"/>
      <c r="M51" s="376"/>
      <c r="N51" s="374"/>
      <c r="P51" s="376"/>
      <c r="Q51" s="376"/>
      <c r="R51" s="372" t="str">
        <f>IF(RIGHT(Table1[[#This Row],[Unit]],1)="*",LEFT(Table1[[#This Row],[Unit]],LEN(Table1[[#This Row],[Unit]])-1),Table1[[#This Row],[Unit]])</f>
        <v>(GIZ) CR02</v>
      </c>
      <c r="S51" s="372" t="str">
        <f>IF(RIGHT(Table1[[#This Row],[Unit2]],1)="☆",LEFT(Table1[[#This Row],[Unit2]],LEN(Table1[[#This Row],[Unit2]])-1),Table1[[#This Row],[Unit2]])</f>
        <v>(GIZ) CR02</v>
      </c>
    </row>
    <row r="52" spans="1:19">
      <c r="A52" s="372" t="s">
        <v>969</v>
      </c>
      <c r="B52" s="372" t="s">
        <v>780</v>
      </c>
      <c r="C52" s="374">
        <v>0.85597008795996299</v>
      </c>
      <c r="D52" s="374">
        <v>0.86098504397998099</v>
      </c>
      <c r="E52" s="374">
        <v>0.86599999999999999</v>
      </c>
      <c r="F52" s="374">
        <v>0.876</v>
      </c>
      <c r="G52" s="372">
        <v>0.88444238696118205</v>
      </c>
      <c r="H52" s="375"/>
      <c r="J52" s="376"/>
      <c r="K52" s="376"/>
      <c r="L52" s="376"/>
      <c r="M52" s="376"/>
      <c r="N52" s="374"/>
      <c r="P52" s="376"/>
      <c r="Q52" s="376"/>
      <c r="R52" s="372" t="str">
        <f>IF(RIGHT(Table1[[#This Row],[Unit]],1)="*",LEFT(Table1[[#This Row],[Unit]],LEN(Table1[[#This Row],[Unit]])-1),Table1[[#This Row],[Unit]])</f>
        <v>(GIZ) CR03</v>
      </c>
      <c r="S52" s="372" t="str">
        <f>IF(RIGHT(Table1[[#This Row],[Unit2]],1)="☆",LEFT(Table1[[#This Row],[Unit2]],LEN(Table1[[#This Row],[Unit2]])-1),Table1[[#This Row],[Unit2]])</f>
        <v>(GIZ) CR03</v>
      </c>
    </row>
    <row r="53" spans="1:19">
      <c r="A53" s="372" t="s">
        <v>969</v>
      </c>
      <c r="B53" s="372" t="s">
        <v>781</v>
      </c>
      <c r="C53" s="374">
        <v>0.840807306538639</v>
      </c>
      <c r="D53" s="374">
        <v>0.84590365326932004</v>
      </c>
      <c r="E53" s="374">
        <v>0.85099999999999998</v>
      </c>
      <c r="F53" s="374">
        <v>0.86099999999999999</v>
      </c>
      <c r="G53" s="372">
        <v>0.73843197520222204</v>
      </c>
      <c r="H53" s="375"/>
      <c r="J53" s="376"/>
      <c r="K53" s="376"/>
      <c r="L53" s="376"/>
      <c r="M53" s="376"/>
      <c r="N53" s="374"/>
      <c r="P53" s="376"/>
      <c r="Q53" s="376"/>
      <c r="R53" s="372" t="str">
        <f>IF(RIGHT(Table1[[#This Row],[Unit]],1)="*",LEFT(Table1[[#This Row],[Unit]],LEN(Table1[[#This Row],[Unit]])-1),Table1[[#This Row],[Unit]])</f>
        <v>(GIZ) CR04</v>
      </c>
      <c r="S53" s="372" t="str">
        <f>IF(RIGHT(Table1[[#This Row],[Unit2]],1)="☆",LEFT(Table1[[#This Row],[Unit2]],LEN(Table1[[#This Row],[Unit2]])-1),Table1[[#This Row],[Unit2]])</f>
        <v>(GIZ) CR04</v>
      </c>
    </row>
    <row r="54" spans="1:19">
      <c r="A54" s="372" t="s">
        <v>969</v>
      </c>
      <c r="B54" s="372" t="s">
        <v>782</v>
      </c>
      <c r="C54" s="374">
        <v>0.83603319514923902</v>
      </c>
      <c r="D54" s="374">
        <v>0.84099999999999997</v>
      </c>
      <c r="E54" s="374">
        <v>0.84599999999999997</v>
      </c>
      <c r="F54" s="374">
        <v>0.85599999999999998</v>
      </c>
      <c r="G54" s="372">
        <v>0.84514801833239905</v>
      </c>
      <c r="H54" s="375"/>
      <c r="J54" s="376"/>
      <c r="K54" s="376"/>
      <c r="L54" s="376"/>
      <c r="M54" s="376"/>
      <c r="N54" s="374"/>
      <c r="P54" s="376"/>
      <c r="Q54" s="376"/>
      <c r="R54" s="372" t="str">
        <f>IF(RIGHT(Table1[[#This Row],[Unit]],1)="*",LEFT(Table1[[#This Row],[Unit]],LEN(Table1[[#This Row],[Unit]])-1),Table1[[#This Row],[Unit]])</f>
        <v>(GIZ) CR05</v>
      </c>
      <c r="S54" s="372" t="str">
        <f>IF(RIGHT(Table1[[#This Row],[Unit2]],1)="☆",LEFT(Table1[[#This Row],[Unit2]],LEN(Table1[[#This Row],[Unit2]])-1),Table1[[#This Row],[Unit2]])</f>
        <v>(GIZ) CR05</v>
      </c>
    </row>
    <row r="55" spans="1:19">
      <c r="A55" s="372" t="s">
        <v>1220</v>
      </c>
      <c r="B55" s="372" t="s">
        <v>615</v>
      </c>
      <c r="C55" s="374">
        <v>0.86935093350916703</v>
      </c>
      <c r="D55" s="374">
        <v>0.85499999999999998</v>
      </c>
      <c r="E55" s="374">
        <v>0.86</v>
      </c>
      <c r="F55" s="374">
        <v>0.87</v>
      </c>
      <c r="G55" s="372">
        <v>0.87022172066418202</v>
      </c>
      <c r="H55" s="375"/>
      <c r="J55" s="376"/>
      <c r="K55" s="376"/>
      <c r="L55" s="376"/>
      <c r="M55" s="376"/>
      <c r="N55" s="374"/>
      <c r="P55" s="376"/>
      <c r="Q55" s="376"/>
      <c r="R55" s="372" t="str">
        <f>IF(RIGHT(Table1[[#This Row],[Unit]],1)="*",LEFT(Table1[[#This Row],[Unit]],LEN(Table1[[#This Row],[Unit]])-1),Table1[[#This Row],[Unit]])</f>
        <v>(GUO) R4001</v>
      </c>
      <c r="S55" s="372" t="str">
        <f>IF(RIGHT(Table1[[#This Row],[Unit2]],1)="☆",LEFT(Table1[[#This Row],[Unit2]],LEN(Table1[[#This Row],[Unit2]])-1),Table1[[#This Row],[Unit2]])</f>
        <v>(GUO) R4001</v>
      </c>
    </row>
    <row r="56" spans="1:19">
      <c r="A56" s="372" t="s">
        <v>1220</v>
      </c>
      <c r="B56" s="372" t="s">
        <v>617</v>
      </c>
      <c r="C56" s="374">
        <v>0.84117164458850002</v>
      </c>
      <c r="D56" s="374">
        <v>0.82799999999999996</v>
      </c>
      <c r="E56" s="374">
        <v>0.83299999999999996</v>
      </c>
      <c r="F56" s="374">
        <v>0.84299999999999997</v>
      </c>
      <c r="G56" s="372">
        <v>0.84225958398104905</v>
      </c>
      <c r="H56" s="375"/>
      <c r="J56" s="376"/>
      <c r="K56" s="376"/>
      <c r="L56" s="376"/>
      <c r="M56" s="376"/>
      <c r="N56" s="374"/>
      <c r="P56" s="376"/>
      <c r="Q56" s="376"/>
      <c r="R56" s="372" t="str">
        <f>IF(RIGHT(Table1[[#This Row],[Unit]],1)="*",LEFT(Table1[[#This Row],[Unit]],LEN(Table1[[#This Row],[Unit]])-1),Table1[[#This Row],[Unit]])</f>
        <v>(GUO) R4002</v>
      </c>
      <c r="S56" s="372" t="str">
        <f>IF(RIGHT(Table1[[#This Row],[Unit2]],1)="☆",LEFT(Table1[[#This Row],[Unit2]],LEN(Table1[[#This Row],[Unit2]])-1),Table1[[#This Row],[Unit2]])</f>
        <v>(GUO) R4002</v>
      </c>
    </row>
    <row r="57" spans="1:19">
      <c r="A57" s="372" t="s">
        <v>1220</v>
      </c>
      <c r="B57" s="372" t="s">
        <v>474</v>
      </c>
      <c r="C57" s="374">
        <v>0.90695014177576905</v>
      </c>
      <c r="D57" s="374">
        <v>0.88500000000000001</v>
      </c>
      <c r="E57" s="374">
        <v>0.89</v>
      </c>
      <c r="F57" s="374">
        <v>0.9</v>
      </c>
      <c r="G57" s="372">
        <v>0.89824448632771503</v>
      </c>
      <c r="H57" s="375"/>
      <c r="J57" s="376"/>
      <c r="K57" s="376"/>
      <c r="L57" s="376"/>
      <c r="M57" s="376"/>
      <c r="N57" s="374"/>
      <c r="P57" s="376"/>
      <c r="Q57" s="376"/>
      <c r="R57" s="372" t="str">
        <f>IF(RIGHT(Table1[[#This Row],[Unit]],1)="*",LEFT(Table1[[#This Row],[Unit]],LEN(Table1[[#This Row],[Unit]])-1),Table1[[#This Row],[Unit]])</f>
        <v>(GUO) R4003</v>
      </c>
      <c r="S57" s="372" t="str">
        <f>IF(RIGHT(Table1[[#This Row],[Unit2]],1)="☆",LEFT(Table1[[#This Row],[Unit2]],LEN(Table1[[#This Row],[Unit2]])-1),Table1[[#This Row],[Unit2]])</f>
        <v>(GUO) R4003</v>
      </c>
    </row>
    <row r="58" spans="1:19">
      <c r="A58" s="372" t="s">
        <v>970</v>
      </c>
      <c r="B58" s="372" t="s">
        <v>1064</v>
      </c>
      <c r="C58" s="374"/>
      <c r="D58" s="374">
        <v>0.40100000000000002</v>
      </c>
      <c r="E58" s="374">
        <v>0.40600000000000003</v>
      </c>
      <c r="F58" s="374">
        <v>0.496</v>
      </c>
      <c r="G58" s="372">
        <v>0.56359780144305005</v>
      </c>
      <c r="H58" s="375"/>
      <c r="J58" s="376"/>
      <c r="K58" s="376"/>
      <c r="L58" s="376"/>
      <c r="M58" s="376"/>
      <c r="N58" s="374"/>
      <c r="P58" s="376"/>
      <c r="Q58" s="376"/>
      <c r="R58" s="372" t="str">
        <f>IF(RIGHT(Table1[[#This Row],[Unit]],1)="*",LEFT(Table1[[#This Row],[Unit]],LEN(Table1[[#This Row],[Unit]])-1),Table1[[#This Row],[Unit]])</f>
        <v>(HKB) D2-8 R11</v>
      </c>
      <c r="S58" s="372" t="str">
        <f>IF(RIGHT(Table1[[#This Row],[Unit2]],1)="☆",LEFT(Table1[[#This Row],[Unit2]],LEN(Table1[[#This Row],[Unit2]])-1),Table1[[#This Row],[Unit2]])</f>
        <v>(HKB) D2-8 R11</v>
      </c>
    </row>
    <row r="59" spans="1:19">
      <c r="A59" s="372" t="s">
        <v>970</v>
      </c>
      <c r="B59" s="372" t="s">
        <v>1066</v>
      </c>
      <c r="C59" s="374">
        <v>0.52662759092800204</v>
      </c>
      <c r="D59" s="374">
        <v>0.52600000000000002</v>
      </c>
      <c r="E59" s="374">
        <v>0.53100000000000003</v>
      </c>
      <c r="F59" s="374">
        <v>0.59099999999999997</v>
      </c>
      <c r="G59" s="372">
        <v>0.60256627095039805</v>
      </c>
      <c r="H59" s="375"/>
      <c r="J59" s="376"/>
      <c r="K59" s="376"/>
      <c r="L59" s="376"/>
      <c r="M59" s="376"/>
      <c r="N59" s="374"/>
      <c r="P59" s="376"/>
      <c r="Q59" s="376"/>
      <c r="R59" s="372" t="str">
        <f>IF(RIGHT(Table1[[#This Row],[Unit]],1)="*",LEFT(Table1[[#This Row],[Unit]],LEN(Table1[[#This Row],[Unit]])-1),Table1[[#This Row],[Unit]])</f>
        <v>(HKB) D2-9 R11☆</v>
      </c>
      <c r="S59" s="372" t="str">
        <f>IF(RIGHT(Table1[[#This Row],[Unit2]],1)="☆",LEFT(Table1[[#This Row],[Unit2]],LEN(Table1[[#This Row],[Unit2]])-1),Table1[[#This Row],[Unit2]])</f>
        <v>(HKB) D2-9 R11</v>
      </c>
    </row>
    <row r="60" spans="1:19">
      <c r="A60" s="372" t="s">
        <v>970</v>
      </c>
      <c r="B60" s="372" t="s">
        <v>796</v>
      </c>
      <c r="C60" s="374">
        <v>0.70886977683820496</v>
      </c>
      <c r="D60" s="374">
        <v>0.64400000000000002</v>
      </c>
      <c r="E60" s="374">
        <v>0.65900000000000003</v>
      </c>
      <c r="F60" s="374">
        <v>0.69899999999999995</v>
      </c>
      <c r="G60" s="372">
        <v>0.70076593137955701</v>
      </c>
      <c r="H60" s="375"/>
      <c r="J60" s="376"/>
      <c r="K60" s="376"/>
      <c r="L60" s="376"/>
      <c r="M60" s="376"/>
      <c r="N60" s="374"/>
      <c r="P60" s="376"/>
      <c r="Q60" s="376"/>
      <c r="R60" s="372" t="str">
        <f>IF(RIGHT(Table1[[#This Row],[Unit]],1)="*",LEFT(Table1[[#This Row],[Unit]],LEN(Table1[[#This Row],[Unit]])-1),Table1[[#This Row],[Unit]])</f>
        <v>(HKB) D4-2 AUM</v>
      </c>
      <c r="S60" s="372" t="str">
        <f>IF(RIGHT(Table1[[#This Row],[Unit2]],1)="☆",LEFT(Table1[[#This Row],[Unit2]],LEN(Table1[[#This Row],[Unit2]])-1),Table1[[#This Row],[Unit2]])</f>
        <v>(HKB) D4-2 AUM</v>
      </c>
    </row>
    <row r="61" spans="1:19">
      <c r="A61" s="372" t="s">
        <v>970</v>
      </c>
      <c r="B61" s="372" t="s">
        <v>797</v>
      </c>
      <c r="C61" s="374">
        <v>0.83674827702941101</v>
      </c>
      <c r="D61" s="374">
        <v>0.82</v>
      </c>
      <c r="E61" s="374">
        <v>0.82499999999999996</v>
      </c>
      <c r="F61" s="374">
        <v>0.83499999999999996</v>
      </c>
      <c r="G61" s="372">
        <v>0.75175828407353695</v>
      </c>
      <c r="H61" s="375"/>
      <c r="J61" s="376"/>
      <c r="K61" s="376"/>
      <c r="L61" s="376"/>
      <c r="M61" s="376"/>
      <c r="N61" s="374"/>
      <c r="P61" s="376"/>
      <c r="Q61" s="376"/>
      <c r="R61" s="372" t="str">
        <f>IF(RIGHT(Table1[[#This Row],[Unit]],1)="*",LEFT(Table1[[#This Row],[Unit]],LEN(Table1[[#This Row],[Unit]])-1),Table1[[#This Row],[Unit]])</f>
        <v>(HKB) D4-3 AUM</v>
      </c>
      <c r="S61" s="372" t="str">
        <f>IF(RIGHT(Table1[[#This Row],[Unit2]],1)="☆",LEFT(Table1[[#This Row],[Unit2]],LEN(Table1[[#This Row],[Unit2]])-1),Table1[[#This Row],[Unit2]])</f>
        <v>(HKB) D4-3 AUM</v>
      </c>
    </row>
    <row r="62" spans="1:19">
      <c r="A62" s="372" t="s">
        <v>970</v>
      </c>
      <c r="B62" s="372" t="s">
        <v>1070</v>
      </c>
      <c r="C62" s="374"/>
      <c r="D62" s="374">
        <v>0.35</v>
      </c>
      <c r="E62" s="374">
        <v>0.35499999999999998</v>
      </c>
      <c r="F62" s="374">
        <v>0.44500000000000001</v>
      </c>
      <c r="G62" s="372">
        <v>0.32598800119391402</v>
      </c>
      <c r="H62" s="375"/>
      <c r="J62" s="376"/>
      <c r="K62" s="376"/>
      <c r="L62" s="376"/>
      <c r="M62" s="376"/>
      <c r="N62" s="374"/>
      <c r="P62" s="376"/>
      <c r="Q62" s="376"/>
      <c r="R62" s="372" t="str">
        <f>IF(RIGHT(Table1[[#This Row],[Unit]],1)="*",LEFT(Table1[[#This Row],[Unit]],LEN(Table1[[#This Row],[Unit]])-1),Table1[[#This Row],[Unit]])</f>
        <v>(HKB) M1-2 Granulation</v>
      </c>
      <c r="S62" s="372" t="str">
        <f>IF(RIGHT(Table1[[#This Row],[Unit2]],1)="☆",LEFT(Table1[[#This Row],[Unit2]],LEN(Table1[[#This Row],[Unit2]])-1),Table1[[#This Row],[Unit2]])</f>
        <v>(HKB) M1-2 Granulation</v>
      </c>
    </row>
    <row r="63" spans="1:19">
      <c r="A63" s="372" t="s">
        <v>1221</v>
      </c>
      <c r="B63" s="372" t="s">
        <v>477</v>
      </c>
      <c r="C63" s="374">
        <v>0.77450981961155296</v>
      </c>
      <c r="D63" s="374">
        <v>0.784754909805777</v>
      </c>
      <c r="E63" s="374">
        <v>0.79500000000000004</v>
      </c>
      <c r="F63" s="374">
        <v>0.81499999999999995</v>
      </c>
      <c r="G63" s="372">
        <v>0.91244144243119096</v>
      </c>
      <c r="H63" s="375"/>
      <c r="J63" s="376"/>
      <c r="K63" s="376"/>
      <c r="L63" s="376"/>
      <c r="M63" s="376"/>
      <c r="N63" s="374"/>
      <c r="P63" s="376"/>
      <c r="Q63" s="376"/>
      <c r="R63" s="372" t="str">
        <f>IF(RIGHT(Table1[[#This Row],[Unit]],1)="*",LEFT(Table1[[#This Row],[Unit]],LEN(Table1[[#This Row],[Unit]])-1),Table1[[#This Row],[Unit]])</f>
        <v>(HOT) K201 Kettle☆</v>
      </c>
      <c r="S63" s="372" t="str">
        <f>IF(RIGHT(Table1[[#This Row],[Unit2]],1)="☆",LEFT(Table1[[#This Row],[Unit2]],LEN(Table1[[#This Row],[Unit2]])-1),Table1[[#This Row],[Unit2]])</f>
        <v>(HOT) K201 Kettle</v>
      </c>
    </row>
    <row r="64" spans="1:19">
      <c r="A64" s="372" t="s">
        <v>1221</v>
      </c>
      <c r="B64" s="372" t="s">
        <v>799</v>
      </c>
      <c r="C64" s="374">
        <v>0.77038716388237005</v>
      </c>
      <c r="D64" s="374">
        <v>0.76800000000000002</v>
      </c>
      <c r="E64" s="374">
        <v>0.77300000000000002</v>
      </c>
      <c r="F64" s="374">
        <v>0.79300000000000004</v>
      </c>
      <c r="G64" s="372">
        <v>0.75532247833237998</v>
      </c>
      <c r="H64" s="375"/>
      <c r="J64" s="376"/>
      <c r="K64" s="376"/>
      <c r="L64" s="376"/>
      <c r="M64" s="376"/>
      <c r="N64" s="374"/>
      <c r="P64" s="376"/>
      <c r="Q64" s="376"/>
      <c r="R64" s="372" t="str">
        <f>IF(RIGHT(Table1[[#This Row],[Unit]],1)="*",LEFT(Table1[[#This Row],[Unit]],LEN(Table1[[#This Row],[Unit]])-1),Table1[[#This Row],[Unit]])</f>
        <v>(HOT) K600 Kettle☆</v>
      </c>
      <c r="S64" s="372" t="str">
        <f>IF(RIGHT(Table1[[#This Row],[Unit2]],1)="☆",LEFT(Table1[[#This Row],[Unit2]],LEN(Table1[[#This Row],[Unit2]])-1),Table1[[#This Row],[Unit2]])</f>
        <v>(HOT) K600 Kettle</v>
      </c>
    </row>
    <row r="65" spans="1:19">
      <c r="A65" s="372" t="s">
        <v>1221</v>
      </c>
      <c r="B65" s="372" t="s">
        <v>619</v>
      </c>
      <c r="C65" s="374">
        <v>0.73786772169094295</v>
      </c>
      <c r="D65" s="374">
        <v>0.74843386084547203</v>
      </c>
      <c r="E65" s="374">
        <v>0.75900000000000001</v>
      </c>
      <c r="F65" s="374">
        <v>0.77900000000000003</v>
      </c>
      <c r="G65" s="372">
        <v>0.73719430076186898</v>
      </c>
      <c r="H65" s="375"/>
      <c r="J65" s="376"/>
      <c r="K65" s="376"/>
      <c r="L65" s="376"/>
      <c r="M65" s="376"/>
      <c r="N65" s="374"/>
      <c r="P65" s="376"/>
      <c r="Q65" s="376"/>
      <c r="R65" s="372" t="str">
        <f>IF(RIGHT(Table1[[#This Row],[Unit]],1)="*",LEFT(Table1[[#This Row],[Unit]],LEN(Table1[[#This Row],[Unit]])-1),Table1[[#This Row],[Unit]])</f>
        <v>(HOT) R200 Alkox Reactor</v>
      </c>
      <c r="S65" s="372" t="str">
        <f>IF(RIGHT(Table1[[#This Row],[Unit2]],1)="☆",LEFT(Table1[[#This Row],[Unit2]],LEN(Table1[[#This Row],[Unit2]])-1),Table1[[#This Row],[Unit2]])</f>
        <v>(HOT) R200 Alkox Reactor</v>
      </c>
    </row>
    <row r="66" spans="1:19">
      <c r="A66" s="372" t="s">
        <v>1221</v>
      </c>
      <c r="B66" s="372" t="s">
        <v>800</v>
      </c>
      <c r="C66" s="374">
        <v>0.87293089150349701</v>
      </c>
      <c r="D66" s="374">
        <v>0.88146544575174901</v>
      </c>
      <c r="E66" s="374">
        <v>0.89</v>
      </c>
      <c r="F66" s="374">
        <v>0.9</v>
      </c>
      <c r="G66" s="372">
        <v>0.73208258463836995</v>
      </c>
      <c r="H66" s="375"/>
      <c r="J66" s="376"/>
      <c r="K66" s="376"/>
      <c r="L66" s="376"/>
      <c r="M66" s="376"/>
      <c r="N66" s="374"/>
      <c r="P66" s="376"/>
      <c r="Q66" s="376"/>
      <c r="R66" s="372" t="str">
        <f>IF(RIGHT(Table1[[#This Row],[Unit]],1)="*",LEFT(Table1[[#This Row],[Unit]],LEN(Table1[[#This Row],[Unit]])-1),Table1[[#This Row],[Unit]])</f>
        <v>(HOT) R300 Alkox Reactor</v>
      </c>
      <c r="S66" s="372" t="str">
        <f>IF(RIGHT(Table1[[#This Row],[Unit2]],1)="☆",LEFT(Table1[[#This Row],[Unit2]],LEN(Table1[[#This Row],[Unit2]])-1),Table1[[#This Row],[Unit2]])</f>
        <v>(HOT) R300 Alkox Reactor</v>
      </c>
    </row>
    <row r="67" spans="1:19">
      <c r="A67" s="372" t="s">
        <v>1222</v>
      </c>
      <c r="B67" s="372" t="s">
        <v>785</v>
      </c>
      <c r="C67" s="374">
        <v>0.95370216981361899</v>
      </c>
      <c r="D67" s="374">
        <v>0.96635108490680999</v>
      </c>
      <c r="E67" s="374">
        <v>0.97899999999999998</v>
      </c>
      <c r="F67" s="374">
        <v>0.98899999999999999</v>
      </c>
      <c r="G67" s="372">
        <v>0.86078029714408799</v>
      </c>
      <c r="H67" s="375"/>
      <c r="J67" s="376"/>
      <c r="K67" s="376"/>
      <c r="L67" s="376"/>
      <c r="M67" s="376"/>
      <c r="N67" s="374"/>
      <c r="P67" s="376"/>
      <c r="Q67" s="376"/>
      <c r="R67" s="372" t="str">
        <f>IF(RIGHT(Table1[[#This Row],[Unit]],1)="*",LEFT(Table1[[#This Row],[Unit]],LEN(Table1[[#This Row],[Unit]])-1),Table1[[#This Row],[Unit]])</f>
        <v>(GRY) Jumbo Reactor R4001</v>
      </c>
      <c r="S67" s="372" t="str">
        <f>IF(RIGHT(Table1[[#This Row],[Unit2]],1)="☆",LEFT(Table1[[#This Row],[Unit2]],LEN(Table1[[#This Row],[Unit2]])-1),Table1[[#This Row],[Unit2]])</f>
        <v>(GRY) Jumbo Reactor R4001</v>
      </c>
    </row>
    <row r="68" spans="1:19">
      <c r="A68" s="372" t="s">
        <v>1222</v>
      </c>
      <c r="B68" s="372" t="s">
        <v>786</v>
      </c>
      <c r="C68" s="374">
        <v>0.82300234331954103</v>
      </c>
      <c r="D68" s="374">
        <v>0.833501171659771</v>
      </c>
      <c r="E68" s="374">
        <v>0.84399999999999997</v>
      </c>
      <c r="F68" s="374">
        <v>0.85399999999999998</v>
      </c>
      <c r="G68" s="372">
        <v>0.70563298274604702</v>
      </c>
      <c r="H68" s="375"/>
      <c r="J68" s="376"/>
      <c r="K68" s="376"/>
      <c r="L68" s="376"/>
      <c r="M68" s="376"/>
      <c r="N68" s="374"/>
      <c r="P68" s="376"/>
      <c r="Q68" s="376"/>
      <c r="R68" s="372" t="str">
        <f>IF(RIGHT(Table1[[#This Row],[Unit]],1)="*",LEFT(Table1[[#This Row],[Unit]],LEN(Table1[[#This Row],[Unit]])-1),Table1[[#This Row],[Unit]])</f>
        <v>(GRY) Jumbo Reactor R4002</v>
      </c>
      <c r="S68" s="372" t="str">
        <f>IF(RIGHT(Table1[[#This Row],[Unit2]],1)="☆",LEFT(Table1[[#This Row],[Unit2]],LEN(Table1[[#This Row],[Unit2]])-1),Table1[[#This Row],[Unit2]])</f>
        <v>(GRY) Jumbo Reactor R4002</v>
      </c>
    </row>
    <row r="69" spans="1:19">
      <c r="A69" s="372" t="s">
        <v>1222</v>
      </c>
      <c r="B69" s="372" t="s">
        <v>787</v>
      </c>
      <c r="C69" s="374">
        <v>0.91439662513256403</v>
      </c>
      <c r="D69" s="374">
        <v>0.937698312566282</v>
      </c>
      <c r="E69" s="374">
        <v>0.96099999999999997</v>
      </c>
      <c r="F69" s="374">
        <v>0.97099999999999997</v>
      </c>
      <c r="G69" s="372">
        <v>0.85996962960726697</v>
      </c>
      <c r="H69" s="375"/>
      <c r="J69" s="376"/>
      <c r="K69" s="376"/>
      <c r="L69" s="376"/>
      <c r="M69" s="376"/>
      <c r="N69" s="374"/>
      <c r="P69" s="376"/>
      <c r="Q69" s="376"/>
      <c r="R69" s="372" t="str">
        <f>IF(RIGHT(Table1[[#This Row],[Unit]],1)="*",LEFT(Table1[[#This Row],[Unit]],LEN(Table1[[#This Row],[Unit]])-1),Table1[[#This Row],[Unit]])</f>
        <v>(GRY) Jumbo Reactor R4003</v>
      </c>
      <c r="S69" s="372" t="str">
        <f>IF(RIGHT(Table1[[#This Row],[Unit2]],1)="☆",LEFT(Table1[[#This Row],[Unit2]],LEN(Table1[[#This Row],[Unit2]])-1),Table1[[#This Row],[Unit2]])</f>
        <v>(GRY) Jumbo Reactor R4003</v>
      </c>
    </row>
    <row r="70" spans="1:19">
      <c r="A70" s="372" t="s">
        <v>1222</v>
      </c>
      <c r="B70" s="372" t="s">
        <v>788</v>
      </c>
      <c r="C70" s="374">
        <v>0.93635414719800203</v>
      </c>
      <c r="D70" s="374">
        <v>0.946677073599001</v>
      </c>
      <c r="E70" s="374">
        <v>0.95699999999999996</v>
      </c>
      <c r="F70" s="374">
        <v>0.96699999999999997</v>
      </c>
      <c r="G70" s="372">
        <v>0.82991819417659995</v>
      </c>
      <c r="H70" s="375"/>
      <c r="J70" s="376"/>
      <c r="K70" s="376"/>
      <c r="L70" s="376"/>
      <c r="M70" s="376"/>
      <c r="N70" s="374"/>
      <c r="P70" s="376"/>
      <c r="Q70" s="376"/>
      <c r="R70" s="372" t="str">
        <f>IF(RIGHT(Table1[[#This Row],[Unit]],1)="*",LEFT(Table1[[#This Row],[Unit]],LEN(Table1[[#This Row],[Unit]])-1),Table1[[#This Row],[Unit]])</f>
        <v>(GRY) Jumbo Reactor R4004</v>
      </c>
      <c r="S70" s="372" t="str">
        <f>IF(RIGHT(Table1[[#This Row],[Unit2]],1)="☆",LEFT(Table1[[#This Row],[Unit2]],LEN(Table1[[#This Row],[Unit2]])-1),Table1[[#This Row],[Unit2]])</f>
        <v>(GRY) Jumbo Reactor R4004</v>
      </c>
    </row>
    <row r="71" spans="1:19">
      <c r="A71" s="372" t="s">
        <v>1223</v>
      </c>
      <c r="B71" s="372" t="s">
        <v>481</v>
      </c>
      <c r="C71" s="374">
        <v>0.92902437288393602</v>
      </c>
      <c r="D71" s="374">
        <v>0.92700000000000005</v>
      </c>
      <c r="E71" s="374">
        <v>0.93200000000000005</v>
      </c>
      <c r="F71" s="374">
        <v>0.95199999999999996</v>
      </c>
      <c r="G71" s="372">
        <v>0.94123683858020701</v>
      </c>
      <c r="H71" s="375"/>
      <c r="J71" s="376"/>
      <c r="K71" s="376"/>
      <c r="L71" s="376"/>
      <c r="M71" s="376"/>
      <c r="N71" s="374"/>
      <c r="P71" s="376"/>
      <c r="Q71" s="376"/>
      <c r="R71" s="372" t="str">
        <f>IF(RIGHT(Table1[[#This Row],[Unit]],1)="*",LEFT(Table1[[#This Row],[Unit]],LEN(Table1[[#This Row],[Unit]])-1),Table1[[#This Row],[Unit]])</f>
        <v>(IMT) Cell Line 1☆</v>
      </c>
      <c r="S71" s="372" t="str">
        <f>IF(RIGHT(Table1[[#This Row],[Unit2]],1)="☆",LEFT(Table1[[#This Row],[Unit2]],LEN(Table1[[#This Row],[Unit2]])-1),Table1[[#This Row],[Unit2]])</f>
        <v>(IMT) Cell Line 1</v>
      </c>
    </row>
    <row r="72" spans="1:19">
      <c r="A72" s="372" t="s">
        <v>1223</v>
      </c>
      <c r="B72" s="372" t="s">
        <v>482</v>
      </c>
      <c r="C72" s="374">
        <v>0.93321468255429696</v>
      </c>
      <c r="D72" s="374">
        <v>0.89</v>
      </c>
      <c r="E72" s="374">
        <v>0.9</v>
      </c>
      <c r="F72" s="374">
        <v>0.92</v>
      </c>
      <c r="G72" s="372">
        <v>0.90784963639069205</v>
      </c>
      <c r="H72" s="375"/>
      <c r="J72" s="376"/>
      <c r="K72" s="376"/>
      <c r="L72" s="376"/>
      <c r="M72" s="376"/>
      <c r="N72" s="374"/>
      <c r="P72" s="376"/>
      <c r="Q72" s="376"/>
      <c r="R72" s="372" t="str">
        <f>IF(RIGHT(Table1[[#This Row],[Unit]],1)="*",LEFT(Table1[[#This Row],[Unit]],LEN(Table1[[#This Row],[Unit]])-1),Table1[[#This Row],[Unit]])</f>
        <v>(IMT) Cell Line 2☆</v>
      </c>
      <c r="S72" s="372" t="str">
        <f>IF(RIGHT(Table1[[#This Row],[Unit2]],1)="☆",LEFT(Table1[[#This Row],[Unit2]],LEN(Table1[[#This Row],[Unit2]])-1),Table1[[#This Row],[Unit2]])</f>
        <v>(IMT) Cell Line 2</v>
      </c>
    </row>
    <row r="73" spans="1:19">
      <c r="A73" s="372" t="s">
        <v>1223</v>
      </c>
      <c r="B73" s="372" t="s">
        <v>483</v>
      </c>
      <c r="C73" s="374">
        <v>0.98593095314219803</v>
      </c>
      <c r="D73" s="374">
        <v>0.97199999999999998</v>
      </c>
      <c r="E73" s="374">
        <v>0.97699999999999998</v>
      </c>
      <c r="F73" s="374">
        <v>0.98699999999999999</v>
      </c>
      <c r="G73" s="372">
        <v>0.96965668233913305</v>
      </c>
      <c r="H73" s="375"/>
      <c r="J73" s="376"/>
      <c r="K73" s="376"/>
      <c r="L73" s="376"/>
      <c r="M73" s="376"/>
      <c r="N73" s="374"/>
      <c r="P73" s="376"/>
      <c r="Q73" s="376"/>
      <c r="R73" s="372" t="str">
        <f>IF(RIGHT(Table1[[#This Row],[Unit]],1)="*",LEFT(Table1[[#This Row],[Unit]],LEN(Table1[[#This Row],[Unit]])-1),Table1[[#This Row],[Unit]])</f>
        <v>(IMT) ClO2 Production</v>
      </c>
      <c r="S73" s="372" t="str">
        <f>IF(RIGHT(Table1[[#This Row],[Unit2]],1)="☆",LEFT(Table1[[#This Row],[Unit2]],LEN(Table1[[#This Row],[Unit2]])-1),Table1[[#This Row],[Unit2]])</f>
        <v>(IMT) ClO2 Production</v>
      </c>
    </row>
    <row r="74" spans="1:19">
      <c r="A74" s="372" t="s">
        <v>1224</v>
      </c>
      <c r="B74" s="372" t="s">
        <v>491</v>
      </c>
      <c r="C74" s="374">
        <v>0.83009048315559497</v>
      </c>
      <c r="D74" s="374">
        <v>0.82899999999999996</v>
      </c>
      <c r="E74" s="374">
        <v>0.83399999999999996</v>
      </c>
      <c r="F74" s="374">
        <v>0.84399999999999997</v>
      </c>
      <c r="G74" s="372">
        <v>0.84205091275374999</v>
      </c>
      <c r="H74" s="375"/>
      <c r="J74" s="376"/>
      <c r="K74" s="376"/>
      <c r="L74" s="376"/>
      <c r="M74" s="376"/>
      <c r="N74" s="374"/>
      <c r="P74" s="376"/>
      <c r="Q74" s="376"/>
      <c r="R74" s="372" t="str">
        <f>IF(RIGHT(Table1[[#This Row],[Unit]],1)="*",LEFT(Table1[[#This Row],[Unit]],LEN(Table1[[#This Row],[Unit]])-1),Table1[[#This Row],[Unit]])</f>
        <v>(IVA) Quat-Reactor 73-304</v>
      </c>
      <c r="S74" s="372" t="str">
        <f>IF(RIGHT(Table1[[#This Row],[Unit2]],1)="☆",LEFT(Table1[[#This Row],[Unit2]],LEN(Table1[[#This Row],[Unit2]])-1),Table1[[#This Row],[Unit2]])</f>
        <v>(IVA) Quat-Reactor 73-304</v>
      </c>
    </row>
    <row r="75" spans="1:19">
      <c r="A75" s="372" t="s">
        <v>1224</v>
      </c>
      <c r="B75" s="372" t="s">
        <v>802</v>
      </c>
      <c r="C75" s="374">
        <v>0.74869431455941804</v>
      </c>
      <c r="D75" s="374">
        <v>0.72899999999999998</v>
      </c>
      <c r="E75" s="374">
        <v>0.74399999999999999</v>
      </c>
      <c r="F75" s="374">
        <v>0.77400000000000002</v>
      </c>
      <c r="G75" s="372">
        <v>0.74608783032138304</v>
      </c>
      <c r="H75" s="375"/>
      <c r="J75" s="376"/>
      <c r="K75" s="376"/>
      <c r="L75" s="376"/>
      <c r="M75" s="376"/>
      <c r="N75" s="374"/>
      <c r="P75" s="376"/>
      <c r="Q75" s="376"/>
      <c r="R75" s="372" t="str">
        <f>IF(RIGHT(Table1[[#This Row],[Unit]],1)="*",LEFT(Table1[[#This Row],[Unit]],LEN(Table1[[#This Row],[Unit]])-1),Table1[[#This Row],[Unit]])</f>
        <v>(IVA) Reactor R-301</v>
      </c>
      <c r="S75" s="372" t="str">
        <f>IF(RIGHT(Table1[[#This Row],[Unit2]],1)="☆",LEFT(Table1[[#This Row],[Unit2]],LEN(Table1[[#This Row],[Unit2]])-1),Table1[[#This Row],[Unit2]])</f>
        <v>(IVA) Reactor R-301</v>
      </c>
    </row>
    <row r="76" spans="1:19">
      <c r="A76" s="372" t="s">
        <v>1225</v>
      </c>
      <c r="B76" s="372" t="s">
        <v>622</v>
      </c>
      <c r="C76" s="374">
        <v>0.98240204115569296</v>
      </c>
      <c r="D76" s="374">
        <v>0.97299999999999998</v>
      </c>
      <c r="E76" s="374">
        <v>0.97799999999999998</v>
      </c>
      <c r="F76" s="374">
        <v>0.98799999999999999</v>
      </c>
      <c r="G76" s="372">
        <v>0.98836980918668704</v>
      </c>
      <c r="H76" s="375"/>
      <c r="J76" s="376"/>
      <c r="K76" s="376"/>
      <c r="L76" s="376"/>
      <c r="M76" s="376"/>
      <c r="N76" s="374"/>
      <c r="P76" s="376"/>
      <c r="Q76" s="376"/>
      <c r="R76" s="372" t="str">
        <f>IF(RIGHT(Table1[[#This Row],[Unit]],1)="*",LEFT(Table1[[#This Row],[Unit]],LEN(Table1[[#This Row],[Unit]])-1),Table1[[#This Row],[Unit]])</f>
        <v>(JRI) ClO2 Production</v>
      </c>
      <c r="S76" s="372" t="str">
        <f>IF(RIGHT(Table1[[#This Row],[Unit2]],1)="☆",LEFT(Table1[[#This Row],[Unit2]],LEN(Table1[[#This Row],[Unit2]])-1),Table1[[#This Row],[Unit2]])</f>
        <v>(JRI) ClO2 Production</v>
      </c>
    </row>
    <row r="77" spans="1:19">
      <c r="A77" s="372" t="s">
        <v>1226</v>
      </c>
      <c r="B77" s="372" t="s">
        <v>1227</v>
      </c>
      <c r="C77" s="374">
        <v>0.89034580460858703</v>
      </c>
      <c r="D77" s="374">
        <v>0.71199999999999997</v>
      </c>
      <c r="E77" s="374">
        <v>0.71699999999999997</v>
      </c>
      <c r="F77" s="374">
        <v>0.747</v>
      </c>
      <c r="G77" s="372">
        <v>0.75856631012097098</v>
      </c>
      <c r="H77" s="375"/>
      <c r="J77" s="376"/>
      <c r="K77" s="376"/>
      <c r="L77" s="376"/>
      <c r="M77" s="376"/>
      <c r="N77" s="374"/>
      <c r="P77" s="376"/>
      <c r="Q77" s="376"/>
      <c r="R77" s="372" t="str">
        <f>IF(RIGHT(Table1[[#This Row],[Unit]],1)="*",LEFT(Table1[[#This Row],[Unit]],LEN(Table1[[#This Row],[Unit]])-1),Table1[[#This Row],[Unit]])</f>
        <v>(JXG) R1021A Reactor</v>
      </c>
      <c r="S77" s="372" t="str">
        <f>IF(RIGHT(Table1[[#This Row],[Unit2]],1)="☆",LEFT(Table1[[#This Row],[Unit2]],LEN(Table1[[#This Row],[Unit2]])-1),Table1[[#This Row],[Unit2]])</f>
        <v>(JXG) R1021A Reactor</v>
      </c>
    </row>
    <row r="78" spans="1:19">
      <c r="A78" s="372" t="s">
        <v>1226</v>
      </c>
      <c r="B78" s="372" t="s">
        <v>1228</v>
      </c>
      <c r="C78" s="374">
        <v>0.83808564316497702</v>
      </c>
      <c r="D78" s="374">
        <v>0.64900000000000002</v>
      </c>
      <c r="E78" s="374">
        <v>0.65400000000000003</v>
      </c>
      <c r="F78" s="374">
        <v>0.69399999999999995</v>
      </c>
      <c r="G78" s="372">
        <v>0.70544762288913898</v>
      </c>
      <c r="H78" s="375"/>
      <c r="J78" s="376"/>
      <c r="K78" s="376"/>
      <c r="L78" s="376"/>
      <c r="M78" s="376"/>
      <c r="N78" s="374"/>
      <c r="P78" s="376"/>
      <c r="Q78" s="376"/>
      <c r="R78" s="372" t="str">
        <f>IF(RIGHT(Table1[[#This Row],[Unit]],1)="*",LEFT(Table1[[#This Row],[Unit]],LEN(Table1[[#This Row],[Unit]])-1),Table1[[#This Row],[Unit]])</f>
        <v>(JXG) R1021B Reactor</v>
      </c>
      <c r="S78" s="372" t="str">
        <f>IF(RIGHT(Table1[[#This Row],[Unit2]],1)="☆",LEFT(Table1[[#This Row],[Unit2]],LEN(Table1[[#This Row],[Unit2]])-1),Table1[[#This Row],[Unit2]])</f>
        <v>(JXG) R1021B Reactor</v>
      </c>
    </row>
    <row r="79" spans="1:19">
      <c r="A79" s="372" t="s">
        <v>1226</v>
      </c>
      <c r="B79" s="372" t="s">
        <v>1229</v>
      </c>
      <c r="C79" s="374">
        <v>0.818667238800597</v>
      </c>
      <c r="D79" s="374">
        <v>0.64100000000000001</v>
      </c>
      <c r="E79" s="374">
        <v>0.64600000000000002</v>
      </c>
      <c r="F79" s="374">
        <v>0.68600000000000005</v>
      </c>
      <c r="G79" s="372">
        <v>0.70951658451275201</v>
      </c>
      <c r="H79" s="375"/>
      <c r="J79" s="376"/>
      <c r="K79" s="376"/>
      <c r="L79" s="376"/>
      <c r="M79" s="376"/>
      <c r="N79" s="374"/>
      <c r="P79" s="376"/>
      <c r="Q79" s="376"/>
      <c r="R79" s="372" t="str">
        <f>IF(RIGHT(Table1[[#This Row],[Unit]],1)="*",LEFT(Table1[[#This Row],[Unit]],LEN(Table1[[#This Row],[Unit]])-1),Table1[[#This Row],[Unit]])</f>
        <v>(JXG) R1021C Reactor</v>
      </c>
      <c r="S79" s="372" t="str">
        <f>IF(RIGHT(Table1[[#This Row],[Unit2]],1)="☆",LEFT(Table1[[#This Row],[Unit2]],LEN(Table1[[#This Row],[Unit2]])-1),Table1[[#This Row],[Unit2]])</f>
        <v>(JXG) R1021C Reactor</v>
      </c>
    </row>
    <row r="80" spans="1:19">
      <c r="A80" s="372" t="s">
        <v>1226</v>
      </c>
      <c r="B80" s="372" t="s">
        <v>1230</v>
      </c>
      <c r="C80" s="374">
        <v>0.84312496585901597</v>
      </c>
      <c r="D80" s="374">
        <v>0.67100000000000004</v>
      </c>
      <c r="E80" s="374">
        <v>0.67600000000000005</v>
      </c>
      <c r="F80" s="374">
        <v>0.71599999999999997</v>
      </c>
      <c r="G80" s="372">
        <v>0.69323789890138598</v>
      </c>
      <c r="H80" s="375"/>
      <c r="J80" s="376"/>
      <c r="K80" s="376"/>
      <c r="L80" s="376"/>
      <c r="M80" s="376"/>
      <c r="N80" s="374"/>
      <c r="P80" s="376"/>
      <c r="Q80" s="376"/>
      <c r="R80" s="372" t="str">
        <f>IF(RIGHT(Table1[[#This Row],[Unit]],1)="*",LEFT(Table1[[#This Row],[Unit]],LEN(Table1[[#This Row],[Unit]])-1),Table1[[#This Row],[Unit]])</f>
        <v>(JXG) R1021D Reactor</v>
      </c>
      <c r="S80" s="372" t="str">
        <f>IF(RIGHT(Table1[[#This Row],[Unit2]],1)="☆",LEFT(Table1[[#This Row],[Unit2]],LEN(Table1[[#This Row],[Unit2]])-1),Table1[[#This Row],[Unit2]])</f>
        <v>(JXG) R1021D Reactor</v>
      </c>
    </row>
    <row r="81" spans="1:19">
      <c r="A81" s="372" t="s">
        <v>1231</v>
      </c>
      <c r="B81" s="372" t="s">
        <v>492</v>
      </c>
      <c r="C81" s="374">
        <v>0.93194494236102399</v>
      </c>
      <c r="D81" s="374">
        <v>0.93697247118051197</v>
      </c>
      <c r="E81" s="374">
        <v>0.94199999999999995</v>
      </c>
      <c r="F81" s="374">
        <v>0.96199999999999997</v>
      </c>
      <c r="G81" s="372">
        <v>0.96495078489566399</v>
      </c>
      <c r="H81" s="375"/>
      <c r="J81" s="376"/>
      <c r="K81" s="376"/>
      <c r="L81" s="376"/>
      <c r="M81" s="376"/>
      <c r="N81" s="374"/>
      <c r="P81" s="376"/>
      <c r="Q81" s="376"/>
      <c r="R81" s="372" t="str">
        <f>IF(RIGHT(Table1[[#This Row],[Unit]],1)="*",LEFT(Table1[[#This Row],[Unit]],LEN(Table1[[#This Row],[Unit]])-1),Table1[[#This Row],[Unit]])</f>
        <v>(JDI) Cell Line C09☆</v>
      </c>
      <c r="S81" s="372" t="str">
        <f>IF(RIGHT(Table1[[#This Row],[Unit2]],1)="☆",LEFT(Table1[[#This Row],[Unit2]],LEN(Table1[[#This Row],[Unit2]])-1),Table1[[#This Row],[Unit2]])</f>
        <v>(JDI) Cell Line C09</v>
      </c>
    </row>
    <row r="82" spans="1:19">
      <c r="A82" s="372" t="s">
        <v>1231</v>
      </c>
      <c r="B82" s="372" t="s">
        <v>493</v>
      </c>
      <c r="C82" s="374">
        <v>0.92218789750733898</v>
      </c>
      <c r="D82" s="374">
        <v>0.92809394875367002</v>
      </c>
      <c r="E82" s="374">
        <v>0.93400000000000005</v>
      </c>
      <c r="F82" s="374">
        <v>0.95399999999999996</v>
      </c>
      <c r="G82" s="372">
        <v>0.96044261801711195</v>
      </c>
      <c r="H82" s="375"/>
      <c r="J82" s="376"/>
      <c r="K82" s="376"/>
      <c r="L82" s="376"/>
      <c r="M82" s="376"/>
      <c r="N82" s="374"/>
      <c r="P82" s="376"/>
      <c r="Q82" s="376"/>
      <c r="R82" s="372" t="str">
        <f>IF(RIGHT(Table1[[#This Row],[Unit]],1)="*",LEFT(Table1[[#This Row],[Unit]],LEN(Table1[[#This Row],[Unit]])-1),Table1[[#This Row],[Unit]])</f>
        <v>(JDI) Cell Line C94☆</v>
      </c>
      <c r="S82" s="372" t="str">
        <f>IF(RIGHT(Table1[[#This Row],[Unit2]],1)="☆",LEFT(Table1[[#This Row],[Unit2]],LEN(Table1[[#This Row],[Unit2]])-1),Table1[[#This Row],[Unit2]])</f>
        <v>(JDI) Cell Line C94</v>
      </c>
    </row>
    <row r="83" spans="1:19">
      <c r="A83" s="372" t="s">
        <v>1232</v>
      </c>
      <c r="B83" s="372" t="s">
        <v>551</v>
      </c>
      <c r="C83" s="374">
        <v>0.92814766649178004</v>
      </c>
      <c r="D83" s="374">
        <v>0.92400000000000004</v>
      </c>
      <c r="E83" s="374">
        <v>0.92900000000000005</v>
      </c>
      <c r="F83" s="374">
        <v>0.94899999999999995</v>
      </c>
      <c r="G83" s="372">
        <v>0.96518821903371299</v>
      </c>
      <c r="H83" s="375"/>
      <c r="J83" s="376"/>
      <c r="K83" s="376"/>
      <c r="L83" s="376"/>
      <c r="M83" s="376"/>
      <c r="N83" s="374"/>
      <c r="P83" s="376"/>
      <c r="Q83" s="376"/>
      <c r="R83" s="372" t="str">
        <f>IF(RIGHT(Table1[[#This Row],[Unit]],1)="*",LEFT(Table1[[#This Row],[Unit]],LEN(Table1[[#This Row],[Unit]])-1),Table1[[#This Row],[Unit]])</f>
        <v>(TLA) Cell Line 1☆</v>
      </c>
      <c r="S83" s="372" t="str">
        <f>IF(RIGHT(Table1[[#This Row],[Unit2]],1)="☆",LEFT(Table1[[#This Row],[Unit2]],LEN(Table1[[#This Row],[Unit2]])-1),Table1[[#This Row],[Unit2]])</f>
        <v>(TLA) Cell Line 1</v>
      </c>
    </row>
    <row r="84" spans="1:19">
      <c r="A84" s="372" t="s">
        <v>1232</v>
      </c>
      <c r="B84" s="372" t="s">
        <v>552</v>
      </c>
      <c r="C84" s="374">
        <v>0.96246492757534396</v>
      </c>
      <c r="D84" s="374">
        <v>0.94499999999999995</v>
      </c>
      <c r="E84" s="374">
        <v>0.95</v>
      </c>
      <c r="F84" s="374">
        <v>0.96</v>
      </c>
      <c r="G84" s="372">
        <v>0.96544983136862506</v>
      </c>
      <c r="H84" s="375"/>
      <c r="J84" s="376"/>
      <c r="K84" s="376"/>
      <c r="L84" s="376"/>
      <c r="M84" s="376"/>
      <c r="N84" s="374"/>
      <c r="P84" s="376"/>
      <c r="Q84" s="376"/>
      <c r="R84" s="372" t="str">
        <f>IF(RIGHT(Table1[[#This Row],[Unit]],1)="*",LEFT(Table1[[#This Row],[Unit]],LEN(Table1[[#This Row],[Unit]])-1),Table1[[#This Row],[Unit]])</f>
        <v>(TLA) Cell Line 2☆</v>
      </c>
      <c r="S84" s="372" t="str">
        <f>IF(RIGHT(Table1[[#This Row],[Unit2]],1)="☆",LEFT(Table1[[#This Row],[Unit2]],LEN(Table1[[#This Row],[Unit2]])-1),Table1[[#This Row],[Unit2]])</f>
        <v>(TLA) Cell Line 2</v>
      </c>
    </row>
    <row r="85" spans="1:19">
      <c r="A85" s="372" t="s">
        <v>1232</v>
      </c>
      <c r="B85" s="372" t="s">
        <v>553</v>
      </c>
      <c r="C85" s="374">
        <v>0.97463312350858899</v>
      </c>
      <c r="D85" s="374">
        <v>0.96199999999999997</v>
      </c>
      <c r="E85" s="374">
        <v>0.96699999999999997</v>
      </c>
      <c r="F85" s="374">
        <v>0.97699999999999998</v>
      </c>
      <c r="G85" s="372">
        <v>0.98266282894502399</v>
      </c>
      <c r="H85" s="375"/>
      <c r="J85" s="376"/>
      <c r="K85" s="376"/>
      <c r="L85" s="376"/>
      <c r="M85" s="376"/>
      <c r="N85" s="374"/>
      <c r="P85" s="376"/>
      <c r="Q85" s="376"/>
      <c r="R85" s="372" t="str">
        <f>IF(RIGHT(Table1[[#This Row],[Unit]],1)="*",LEFT(Table1[[#This Row],[Unit]],LEN(Table1[[#This Row],[Unit]])-1),Table1[[#This Row],[Unit]])</f>
        <v>(TLA) ClO2 Production</v>
      </c>
      <c r="S85" s="372" t="str">
        <f>IF(RIGHT(Table1[[#This Row],[Unit2]],1)="☆",LEFT(Table1[[#This Row],[Unit2]],LEN(Table1[[#This Row],[Unit2]])-1),Table1[[#This Row],[Unit2]])</f>
        <v>(TLA) ClO2 Production</v>
      </c>
    </row>
    <row r="86" spans="1:19">
      <c r="A86" s="372" t="s">
        <v>1233</v>
      </c>
      <c r="B86" s="372" t="s">
        <v>495</v>
      </c>
      <c r="C86" s="374">
        <v>0.90573743220992597</v>
      </c>
      <c r="D86" s="374">
        <v>0.70899999999999996</v>
      </c>
      <c r="E86" s="374">
        <v>0.71899999999999997</v>
      </c>
      <c r="F86" s="374">
        <v>0.77900000000000003</v>
      </c>
      <c r="G86" s="372">
        <v>0.73099156580236802</v>
      </c>
      <c r="H86" s="375"/>
      <c r="J86" s="376"/>
      <c r="K86" s="376"/>
      <c r="L86" s="376"/>
      <c r="M86" s="376"/>
      <c r="N86" s="374"/>
      <c r="P86" s="376"/>
      <c r="Q86" s="376"/>
      <c r="R86" s="372" t="str">
        <f>IF(RIGHT(Table1[[#This Row],[Unit]],1)="*",LEFT(Table1[[#This Row],[Unit]],LEN(Table1[[#This Row],[Unit]])-1),Table1[[#This Row],[Unit]])</f>
        <v>(KLN) CS2</v>
      </c>
      <c r="S86" s="372" t="str">
        <f>IF(RIGHT(Table1[[#This Row],[Unit2]],1)="☆",LEFT(Table1[[#This Row],[Unit2]],LEN(Table1[[#This Row],[Unit2]])-1),Table1[[#This Row],[Unit2]])</f>
        <v>(KLN) CS2</v>
      </c>
    </row>
    <row r="87" spans="1:19">
      <c r="A87" s="372" t="s">
        <v>1233</v>
      </c>
      <c r="B87" s="372" t="s">
        <v>803</v>
      </c>
      <c r="C87" s="374">
        <v>0.88313870324177002</v>
      </c>
      <c r="D87" s="374">
        <v>0.745</v>
      </c>
      <c r="E87" s="374">
        <v>0.76</v>
      </c>
      <c r="F87" s="374">
        <v>0.82</v>
      </c>
      <c r="G87" s="372">
        <v>0.631555582681813</v>
      </c>
      <c r="H87" s="375"/>
      <c r="J87" s="376"/>
      <c r="K87" s="376"/>
      <c r="L87" s="376"/>
      <c r="M87" s="376"/>
      <c r="N87" s="374"/>
      <c r="P87" s="376"/>
      <c r="Q87" s="376"/>
      <c r="R87" s="372" t="str">
        <f>IF(RIGHT(Table1[[#This Row],[Unit]],1)="*",LEFT(Table1[[#This Row],[Unit]],LEN(Table1[[#This Row],[Unit]])-1),Table1[[#This Row],[Unit]])</f>
        <v>(KLN) NaSCN U103</v>
      </c>
      <c r="S87" s="372" t="str">
        <f>IF(RIGHT(Table1[[#This Row],[Unit2]],1)="☆",LEFT(Table1[[#This Row],[Unit2]],LEN(Table1[[#This Row],[Unit2]])-1),Table1[[#This Row],[Unit2]])</f>
        <v>(KLN) NaSCN U103</v>
      </c>
    </row>
    <row r="88" spans="1:19">
      <c r="A88" s="372" t="s">
        <v>1233</v>
      </c>
      <c r="B88" s="372" t="s">
        <v>496</v>
      </c>
      <c r="C88" s="374">
        <v>0.87505453950493095</v>
      </c>
      <c r="D88" s="374">
        <v>0.67200000000000004</v>
      </c>
      <c r="E88" s="374">
        <v>0.68700000000000006</v>
      </c>
      <c r="F88" s="374">
        <v>0.77700000000000002</v>
      </c>
      <c r="G88" s="372">
        <v>0.61421686533443498</v>
      </c>
      <c r="H88" s="375"/>
      <c r="J88" s="376"/>
      <c r="K88" s="376"/>
      <c r="L88" s="376"/>
      <c r="M88" s="376"/>
      <c r="N88" s="374"/>
      <c r="P88" s="376"/>
      <c r="Q88" s="376"/>
      <c r="R88" s="372" t="str">
        <f>IF(RIGHT(Table1[[#This Row],[Unit]],1)="*",LEFT(Table1[[#This Row],[Unit]],LEN(Table1[[#This Row],[Unit]])-1),Table1[[#This Row],[Unit]])</f>
        <v>(KLN) NaSH</v>
      </c>
      <c r="S88" s="372" t="str">
        <f>IF(RIGHT(Table1[[#This Row],[Unit2]],1)="☆",LEFT(Table1[[#This Row],[Unit2]],LEN(Table1[[#This Row],[Unit2]])-1),Table1[[#This Row],[Unit2]])</f>
        <v>(KLN) NaSH</v>
      </c>
    </row>
    <row r="89" spans="1:19">
      <c r="A89" s="372" t="s">
        <v>972</v>
      </c>
      <c r="B89" s="372" t="s">
        <v>1073</v>
      </c>
      <c r="C89" s="374">
        <v>0.41197614627856999</v>
      </c>
      <c r="D89" s="374">
        <v>0.46198807313928503</v>
      </c>
      <c r="E89" s="374">
        <v>0.51200000000000001</v>
      </c>
      <c r="F89" s="374">
        <v>0.57199999999999995</v>
      </c>
      <c r="G89" s="372">
        <v>0.30619728516559602</v>
      </c>
      <c r="H89" s="375"/>
      <c r="J89" s="376"/>
      <c r="K89" s="376"/>
      <c r="L89" s="376"/>
      <c r="M89" s="376"/>
      <c r="N89" s="374"/>
      <c r="P89" s="376"/>
      <c r="Q89" s="376"/>
      <c r="R89" s="372" t="str">
        <f>IF(RIGHT(Table1[[#This Row],[Unit]],1)="*",LEFT(Table1[[#This Row],[Unit]],LEN(Table1[[#This Row],[Unit]])-1),Table1[[#This Row],[Unit]])</f>
        <v>(KTP) E-231 - X☆</v>
      </c>
      <c r="S89" s="372" t="str">
        <f>IF(RIGHT(Table1[[#This Row],[Unit2]],1)="☆",LEFT(Table1[[#This Row],[Unit2]],LEN(Table1[[#This Row],[Unit2]])-1),Table1[[#This Row],[Unit2]])</f>
        <v>(KTP) E-231 - X</v>
      </c>
    </row>
    <row r="90" spans="1:19">
      <c r="A90" s="372" t="s">
        <v>972</v>
      </c>
      <c r="B90" s="372" t="s">
        <v>1074</v>
      </c>
      <c r="C90" s="374">
        <v>0.71161746005964499</v>
      </c>
      <c r="D90" s="374">
        <v>0.732308730029823</v>
      </c>
      <c r="E90" s="374">
        <v>0.753</v>
      </c>
      <c r="F90" s="374">
        <v>0.77300000000000002</v>
      </c>
      <c r="G90" s="372">
        <v>0.69572653562032005</v>
      </c>
      <c r="H90" s="375"/>
      <c r="J90" s="376"/>
      <c r="K90" s="376"/>
      <c r="L90" s="376"/>
      <c r="M90" s="376"/>
      <c r="N90" s="374"/>
      <c r="P90" s="376"/>
      <c r="Q90" s="376"/>
      <c r="R90" s="372" t="str">
        <f>IF(RIGHT(Table1[[#This Row],[Unit]],1)="*",LEFT(Table1[[#This Row],[Unit]],LEN(Table1[[#This Row],[Unit]])-1),Table1[[#This Row],[Unit]])</f>
        <v>(KTP) S-3580 - Q☆</v>
      </c>
      <c r="S90" s="372" t="str">
        <f>IF(RIGHT(Table1[[#This Row],[Unit2]],1)="☆",LEFT(Table1[[#This Row],[Unit2]],LEN(Table1[[#This Row],[Unit2]])-1),Table1[[#This Row],[Unit2]])</f>
        <v>(KTP) S-3580 - Q</v>
      </c>
    </row>
    <row r="91" spans="1:19">
      <c r="A91" s="372" t="s">
        <v>972</v>
      </c>
      <c r="B91" s="372" t="s">
        <v>809</v>
      </c>
      <c r="C91" s="374">
        <v>0.62007055741869399</v>
      </c>
      <c r="D91" s="374">
        <v>0.63653527870934701</v>
      </c>
      <c r="E91" s="374">
        <v>0.65300000000000002</v>
      </c>
      <c r="F91" s="374">
        <v>0.69299999999999995</v>
      </c>
      <c r="G91" s="372">
        <v>0.67533913261964595</v>
      </c>
      <c r="H91" s="375"/>
      <c r="J91" s="376"/>
      <c r="K91" s="376"/>
      <c r="L91" s="376"/>
      <c r="M91" s="376"/>
      <c r="N91" s="374"/>
      <c r="P91" s="376"/>
      <c r="Q91" s="376"/>
      <c r="R91" s="372" t="str">
        <f>IF(RIGHT(Table1[[#This Row],[Unit]],1)="*",LEFT(Table1[[#This Row],[Unit]],LEN(Table1[[#This Row],[Unit]])-1),Table1[[#This Row],[Unit]])</f>
        <v>(KTP) V-24</v>
      </c>
      <c r="S91" s="372" t="str">
        <f>IF(RIGHT(Table1[[#This Row],[Unit2]],1)="☆",LEFT(Table1[[#This Row],[Unit2]],LEN(Table1[[#This Row],[Unit2]])-1),Table1[[#This Row],[Unit2]])</f>
        <v>(KTP) V-24</v>
      </c>
    </row>
    <row r="92" spans="1:19">
      <c r="A92" s="372" t="s">
        <v>972</v>
      </c>
      <c r="B92" s="372" t="s">
        <v>810</v>
      </c>
      <c r="C92" s="374">
        <v>0.64856858111341897</v>
      </c>
      <c r="D92" s="374">
        <v>0.66978429055670896</v>
      </c>
      <c r="E92" s="374">
        <v>0.69099999999999995</v>
      </c>
      <c r="F92" s="374">
        <v>0.73099999999999998</v>
      </c>
      <c r="G92" s="372">
        <v>0.70445572044112403</v>
      </c>
      <c r="H92" s="375"/>
      <c r="J92" s="376"/>
      <c r="K92" s="376"/>
      <c r="L92" s="376"/>
      <c r="M92" s="376"/>
      <c r="N92" s="374"/>
      <c r="P92" s="376"/>
      <c r="Q92" s="376"/>
      <c r="R92" s="372" t="str">
        <f>IF(RIGHT(Table1[[#This Row],[Unit]],1)="*",LEFT(Table1[[#This Row],[Unit]],LEN(Table1[[#This Row],[Unit]])-1),Table1[[#This Row],[Unit]])</f>
        <v>(KTP) V-25</v>
      </c>
      <c r="S92" s="372" t="str">
        <f>IF(RIGHT(Table1[[#This Row],[Unit2]],1)="☆",LEFT(Table1[[#This Row],[Unit2]],LEN(Table1[[#This Row],[Unit2]])-1),Table1[[#This Row],[Unit2]])</f>
        <v>(KTP) V-25</v>
      </c>
    </row>
    <row r="93" spans="1:19">
      <c r="A93" s="372" t="s">
        <v>1234</v>
      </c>
      <c r="B93" s="372" t="s">
        <v>501</v>
      </c>
      <c r="C93" s="374">
        <v>0.95466208650976203</v>
      </c>
      <c r="D93" s="374">
        <v>0.94799999999999995</v>
      </c>
      <c r="E93" s="374">
        <v>0.95299999999999996</v>
      </c>
      <c r="F93" s="374">
        <v>0.96299999999999997</v>
      </c>
      <c r="G93" s="372">
        <v>0.91647501441639101</v>
      </c>
      <c r="H93" s="375"/>
      <c r="J93" s="376"/>
      <c r="K93" s="376"/>
      <c r="L93" s="376"/>
      <c r="M93" s="376"/>
      <c r="N93" s="374"/>
      <c r="P93" s="376"/>
      <c r="Q93" s="376"/>
      <c r="R93" s="372" t="str">
        <f>IF(RIGHT(Table1[[#This Row],[Unit]],1)="*",LEFT(Table1[[#This Row],[Unit]],LEN(Table1[[#This Row],[Unit]])-1),Table1[[#This Row],[Unit]])</f>
        <v>(LNE) Acid</v>
      </c>
      <c r="S93" s="372" t="str">
        <f>IF(RIGHT(Table1[[#This Row],[Unit2]],1)="☆",LEFT(Table1[[#This Row],[Unit2]],LEN(Table1[[#This Row],[Unit2]])-1),Table1[[#This Row],[Unit2]])</f>
        <v>(LNE) Acid</v>
      </c>
    </row>
    <row r="94" spans="1:19">
      <c r="A94" s="372" t="s">
        <v>1234</v>
      </c>
      <c r="B94" s="372" t="s">
        <v>502</v>
      </c>
      <c r="C94" s="374">
        <v>0.836712999669732</v>
      </c>
      <c r="D94" s="374">
        <v>0.83599999999999997</v>
      </c>
      <c r="E94" s="374">
        <v>0.84099999999999997</v>
      </c>
      <c r="F94" s="374">
        <v>0.871</v>
      </c>
      <c r="G94" s="372">
        <v>0.90530605012216603</v>
      </c>
      <c r="H94" s="375"/>
      <c r="J94" s="376"/>
      <c r="K94" s="376"/>
      <c r="L94" s="376"/>
      <c r="M94" s="376"/>
      <c r="N94" s="374"/>
      <c r="P94" s="376"/>
      <c r="Q94" s="376"/>
      <c r="R94" s="372" t="str">
        <f>IF(RIGHT(Table1[[#This Row],[Unit]],1)="*",LEFT(Table1[[#This Row],[Unit]],LEN(Table1[[#This Row],[Unit]])-1),Table1[[#This Row],[Unit]])</f>
        <v>(LNE) CS2</v>
      </c>
      <c r="S94" s="372" t="str">
        <f>IF(RIGHT(Table1[[#This Row],[Unit2]],1)="☆",LEFT(Table1[[#This Row],[Unit2]],LEN(Table1[[#This Row],[Unit2]])-1),Table1[[#This Row],[Unit2]])</f>
        <v>(LNE) CS2</v>
      </c>
    </row>
    <row r="95" spans="1:19">
      <c r="A95" s="372" t="s">
        <v>1234</v>
      </c>
      <c r="B95" s="372" t="s">
        <v>822</v>
      </c>
      <c r="C95" s="374">
        <v>0.744731321039521</v>
      </c>
      <c r="D95" s="374">
        <v>0.79536566051976099</v>
      </c>
      <c r="E95" s="374">
        <v>0.84599999999999997</v>
      </c>
      <c r="F95" s="374">
        <v>0.876</v>
      </c>
      <c r="G95" s="372">
        <v>0.90315359708749898</v>
      </c>
      <c r="H95" s="375"/>
      <c r="J95" s="376"/>
      <c r="K95" s="376"/>
      <c r="L95" s="376"/>
      <c r="M95" s="376"/>
      <c r="N95" s="374"/>
      <c r="P95" s="376"/>
      <c r="Q95" s="376"/>
      <c r="R95" s="372" t="str">
        <f>IF(RIGHT(Table1[[#This Row],[Unit]],1)="*",LEFT(Table1[[#This Row],[Unit]],LEN(Table1[[#This Row],[Unit]])-1),Table1[[#This Row],[Unit]])</f>
        <v>(LNE) NaSH</v>
      </c>
      <c r="S95" s="372" t="str">
        <f>IF(RIGHT(Table1[[#This Row],[Unit2]],1)="☆",LEFT(Table1[[#This Row],[Unit2]],LEN(Table1[[#This Row],[Unit2]])-1),Table1[[#This Row],[Unit2]])</f>
        <v>(LNE) NaSH</v>
      </c>
    </row>
    <row r="96" spans="1:19">
      <c r="A96" s="372" t="s">
        <v>973</v>
      </c>
      <c r="B96" s="372" t="s">
        <v>812</v>
      </c>
      <c r="C96" s="374">
        <v>0.65706471768776198</v>
      </c>
      <c r="D96" s="374">
        <v>0.626</v>
      </c>
      <c r="E96" s="374">
        <v>0.64600000000000002</v>
      </c>
      <c r="F96" s="374">
        <v>0.68600000000000005</v>
      </c>
      <c r="G96" s="372">
        <v>0.587887872015883</v>
      </c>
      <c r="H96" s="375"/>
      <c r="J96" s="376"/>
      <c r="K96" s="376"/>
      <c r="L96" s="376"/>
      <c r="M96" s="376"/>
      <c r="N96" s="374"/>
      <c r="P96" s="376"/>
      <c r="Q96" s="376"/>
      <c r="R96" s="372" t="str">
        <f>IF(RIGHT(Table1[[#This Row],[Unit]],1)="*",LEFT(Table1[[#This Row],[Unit]],LEN(Table1[[#This Row],[Unit]])-1),Table1[[#This Row],[Unit]])</f>
        <v>(LEV) CA20-RA221</v>
      </c>
      <c r="S96" s="372" t="str">
        <f>IF(RIGHT(Table1[[#This Row],[Unit2]],1)="☆",LEFT(Table1[[#This Row],[Unit2]],LEN(Table1[[#This Row],[Unit2]])-1),Table1[[#This Row],[Unit2]])</f>
        <v>(LEV) CA20-RA221</v>
      </c>
    </row>
    <row r="97" spans="1:19">
      <c r="A97" s="372" t="s">
        <v>973</v>
      </c>
      <c r="B97" s="372" t="s">
        <v>813</v>
      </c>
      <c r="C97" s="374">
        <v>0.65020767071437102</v>
      </c>
      <c r="D97" s="374">
        <v>0.621</v>
      </c>
      <c r="E97" s="374">
        <v>0.64100000000000001</v>
      </c>
      <c r="F97" s="374">
        <v>0.68100000000000005</v>
      </c>
      <c r="G97" s="372">
        <v>0.57213598490719297</v>
      </c>
      <c r="H97" s="375"/>
      <c r="J97" s="376"/>
      <c r="K97" s="376"/>
      <c r="L97" s="376"/>
      <c r="M97" s="376"/>
      <c r="N97" s="374"/>
      <c r="P97" s="376"/>
      <c r="Q97" s="376"/>
      <c r="R97" s="372" t="str">
        <f>IF(RIGHT(Table1[[#This Row],[Unit]],1)="*",LEFT(Table1[[#This Row],[Unit]],LEN(Table1[[#This Row],[Unit]])-1),Table1[[#This Row],[Unit]])</f>
        <v>(LEV) CA20-RA222</v>
      </c>
      <c r="S97" s="372" t="str">
        <f>IF(RIGHT(Table1[[#This Row],[Unit2]],1)="☆",LEFT(Table1[[#This Row],[Unit2]],LEN(Table1[[#This Row],[Unit2]])-1),Table1[[#This Row],[Unit2]])</f>
        <v>(LEV) CA20-RA222</v>
      </c>
    </row>
    <row r="98" spans="1:19">
      <c r="A98" s="372" t="s">
        <v>973</v>
      </c>
      <c r="B98" s="372" t="s">
        <v>814</v>
      </c>
      <c r="C98" s="374">
        <v>0.39825486268704202</v>
      </c>
      <c r="D98" s="374">
        <v>0.35</v>
      </c>
      <c r="E98" s="374">
        <v>0.39500000000000002</v>
      </c>
      <c r="F98" s="374">
        <v>0.48499999999999999</v>
      </c>
      <c r="G98" s="372">
        <v>0.37766790696542701</v>
      </c>
      <c r="H98" s="375"/>
      <c r="J98" s="376"/>
      <c r="K98" s="376"/>
      <c r="L98" s="376"/>
      <c r="M98" s="376"/>
      <c r="N98" s="374"/>
      <c r="P98" s="376"/>
      <c r="Q98" s="376"/>
      <c r="R98" s="372" t="str">
        <f>IF(RIGHT(Table1[[#This Row],[Unit]],1)="*",LEFT(Table1[[#This Row],[Unit]],LEN(Table1[[#This Row],[Unit]])-1),Table1[[#This Row],[Unit]])</f>
        <v>(LEV) CA20-RA223</v>
      </c>
      <c r="S98" s="372" t="str">
        <f>IF(RIGHT(Table1[[#This Row],[Unit2]],1)="☆",LEFT(Table1[[#This Row],[Unit2]],LEN(Table1[[#This Row],[Unit2]])-1),Table1[[#This Row],[Unit2]])</f>
        <v>(LEV) CA20-RA223</v>
      </c>
    </row>
    <row r="99" spans="1:19">
      <c r="A99" s="372" t="s">
        <v>973</v>
      </c>
      <c r="B99" s="372" t="s">
        <v>815</v>
      </c>
      <c r="C99" s="374">
        <v>0.85839641233866104</v>
      </c>
      <c r="D99" s="374">
        <v>0.83899999999999997</v>
      </c>
      <c r="E99" s="374">
        <v>0.84399999999999997</v>
      </c>
      <c r="F99" s="374">
        <v>0.85399999999999998</v>
      </c>
      <c r="G99" s="372">
        <v>0.85520196035221496</v>
      </c>
      <c r="H99" s="375"/>
      <c r="J99" s="376"/>
      <c r="K99" s="376"/>
      <c r="L99" s="376"/>
      <c r="M99" s="376"/>
      <c r="N99" s="374"/>
      <c r="P99" s="376"/>
      <c r="Q99" s="376"/>
      <c r="R99" s="372" t="str">
        <f>IF(RIGHT(Table1[[#This Row],[Unit]],1)="*",LEFT(Table1[[#This Row],[Unit]],LEN(Table1[[#This Row],[Unit]])-1),Table1[[#This Row],[Unit]])</f>
        <v>(LEV) CA24-RA241</v>
      </c>
      <c r="S99" s="372" t="str">
        <f>IF(RIGHT(Table1[[#This Row],[Unit2]],1)="☆",LEFT(Table1[[#This Row],[Unit2]],LEN(Table1[[#This Row],[Unit2]])-1),Table1[[#This Row],[Unit2]])</f>
        <v>(LEV) CA24-RA241</v>
      </c>
    </row>
    <row r="100" spans="1:19">
      <c r="A100" s="372" t="s">
        <v>973</v>
      </c>
      <c r="B100" s="372" t="s">
        <v>816</v>
      </c>
      <c r="C100" s="374">
        <v>0.88027827435722705</v>
      </c>
      <c r="D100" s="374">
        <v>0.875</v>
      </c>
      <c r="E100" s="374">
        <v>0.88</v>
      </c>
      <c r="F100" s="374">
        <v>0.89</v>
      </c>
      <c r="G100" s="372">
        <v>0.88719215001025498</v>
      </c>
      <c r="H100" s="375"/>
      <c r="J100" s="376"/>
      <c r="K100" s="376"/>
      <c r="L100" s="376"/>
      <c r="M100" s="376"/>
      <c r="N100" s="374"/>
      <c r="P100" s="376"/>
      <c r="Q100" s="376"/>
      <c r="R100" s="372" t="str">
        <f>IF(RIGHT(Table1[[#This Row],[Unit]],1)="*",LEFT(Table1[[#This Row],[Unit]],LEN(Table1[[#This Row],[Unit]])-1),Table1[[#This Row],[Unit]])</f>
        <v>(LEV) CA24-RA242</v>
      </c>
      <c r="S100" s="372" t="str">
        <f>IF(RIGHT(Table1[[#This Row],[Unit2]],1)="☆",LEFT(Table1[[#This Row],[Unit2]],LEN(Table1[[#This Row],[Unit2]])-1),Table1[[#This Row],[Unit2]])</f>
        <v>(LEV) CA24-RA242</v>
      </c>
    </row>
    <row r="101" spans="1:19">
      <c r="A101" s="372" t="s">
        <v>973</v>
      </c>
      <c r="B101" s="372" t="s">
        <v>817</v>
      </c>
      <c r="C101" s="374">
        <v>0.80454860356782099</v>
      </c>
      <c r="D101" s="374">
        <v>0.80977430178391097</v>
      </c>
      <c r="E101" s="374">
        <v>0.81499999999999995</v>
      </c>
      <c r="F101" s="374">
        <v>0.82499999999999996</v>
      </c>
      <c r="G101" s="372">
        <v>0.77546620036968095</v>
      </c>
      <c r="H101" s="375"/>
      <c r="J101" s="376"/>
      <c r="K101" s="376"/>
      <c r="L101" s="376"/>
      <c r="M101" s="376"/>
      <c r="N101" s="374"/>
      <c r="P101" s="376"/>
      <c r="Q101" s="376"/>
      <c r="R101" s="372" t="str">
        <f>IF(RIGHT(Table1[[#This Row],[Unit]],1)="*",LEFT(Table1[[#This Row],[Unit]],LEN(Table1[[#This Row],[Unit]])-1),Table1[[#This Row],[Unit]])</f>
        <v>(LEV) CA24-RA243</v>
      </c>
      <c r="S101" s="372" t="str">
        <f>IF(RIGHT(Table1[[#This Row],[Unit2]],1)="☆",LEFT(Table1[[#This Row],[Unit2]],LEN(Table1[[#This Row],[Unit2]])-1),Table1[[#This Row],[Unit2]])</f>
        <v>(LEV) CA24-RA243</v>
      </c>
    </row>
    <row r="102" spans="1:19">
      <c r="A102" s="372" t="s">
        <v>973</v>
      </c>
      <c r="B102" s="372" t="s">
        <v>818</v>
      </c>
      <c r="C102" s="374">
        <v>0.56972172394713005</v>
      </c>
      <c r="D102" s="374">
        <v>0.53800000000000003</v>
      </c>
      <c r="E102" s="374">
        <v>0.56799999999999995</v>
      </c>
      <c r="F102" s="374">
        <v>0.628</v>
      </c>
      <c r="G102" s="372">
        <v>0.54986260613924198</v>
      </c>
      <c r="H102" s="375"/>
      <c r="J102" s="376"/>
      <c r="K102" s="376"/>
      <c r="L102" s="376"/>
      <c r="M102" s="376"/>
      <c r="N102" s="374"/>
      <c r="P102" s="376"/>
      <c r="Q102" s="376"/>
      <c r="R102" s="372" t="str">
        <f>IF(RIGHT(Table1[[#This Row],[Unit]],1)="*",LEFT(Table1[[#This Row],[Unit]],LEN(Table1[[#This Row],[Unit]])-1),Table1[[#This Row],[Unit]])</f>
        <v>(LEV) CA30-RA321</v>
      </c>
      <c r="S102" s="372" t="str">
        <f>IF(RIGHT(Table1[[#This Row],[Unit2]],1)="☆",LEFT(Table1[[#This Row],[Unit2]],LEN(Table1[[#This Row],[Unit2]])-1),Table1[[#This Row],[Unit2]])</f>
        <v>(LEV) CA30-RA321</v>
      </c>
    </row>
    <row r="103" spans="1:19">
      <c r="A103" s="372" t="s">
        <v>973</v>
      </c>
      <c r="B103" s="372" t="s">
        <v>819</v>
      </c>
      <c r="C103" s="374">
        <v>0.58258701070187002</v>
      </c>
      <c r="D103" s="374">
        <v>0.55200000000000005</v>
      </c>
      <c r="E103" s="374">
        <v>0.58199999999999996</v>
      </c>
      <c r="F103" s="374">
        <v>0.64200000000000002</v>
      </c>
      <c r="G103" s="372">
        <v>0.51099686385355803</v>
      </c>
      <c r="H103" s="375"/>
      <c r="J103" s="376"/>
      <c r="K103" s="376"/>
      <c r="L103" s="376"/>
      <c r="M103" s="376"/>
      <c r="N103" s="374"/>
      <c r="P103" s="376"/>
      <c r="Q103" s="376"/>
      <c r="R103" s="372" t="str">
        <f>IF(RIGHT(Table1[[#This Row],[Unit]],1)="*",LEFT(Table1[[#This Row],[Unit]],LEN(Table1[[#This Row],[Unit]])-1),Table1[[#This Row],[Unit]])</f>
        <v>(LEV) CA30-RA322</v>
      </c>
      <c r="S103" s="372" t="str">
        <f>IF(RIGHT(Table1[[#This Row],[Unit2]],1)="☆",LEFT(Table1[[#This Row],[Unit2]],LEN(Table1[[#This Row],[Unit2]])-1),Table1[[#This Row],[Unit2]])</f>
        <v>(LEV) CA30-RA322</v>
      </c>
    </row>
    <row r="104" spans="1:19">
      <c r="A104" s="372" t="s">
        <v>973</v>
      </c>
      <c r="B104" s="372" t="s">
        <v>820</v>
      </c>
      <c r="C104" s="374">
        <v>0.74167718449318498</v>
      </c>
      <c r="D104" s="374">
        <v>0.74</v>
      </c>
      <c r="E104" s="374">
        <v>0.745</v>
      </c>
      <c r="F104" s="374">
        <v>0.77500000000000002</v>
      </c>
      <c r="G104" s="372">
        <v>0.75846658036919801</v>
      </c>
      <c r="H104" s="375"/>
      <c r="J104" s="376"/>
      <c r="K104" s="376"/>
      <c r="L104" s="376"/>
      <c r="M104" s="376"/>
      <c r="N104" s="374"/>
      <c r="P104" s="376"/>
      <c r="Q104" s="376"/>
      <c r="R104" s="372" t="str">
        <f>IF(RIGHT(Table1[[#This Row],[Unit]],1)="*",LEFT(Table1[[#This Row],[Unit]],LEN(Table1[[#This Row],[Unit]])-1),Table1[[#This Row],[Unit]])</f>
        <v>(LEV) CA30-RA323</v>
      </c>
      <c r="S104" s="372" t="str">
        <f>IF(RIGHT(Table1[[#This Row],[Unit2]],1)="☆",LEFT(Table1[[#This Row],[Unit2]],LEN(Table1[[#This Row],[Unit2]])-1),Table1[[#This Row],[Unit2]])</f>
        <v>(LEV) CA30-RA323</v>
      </c>
    </row>
    <row r="105" spans="1:19">
      <c r="A105" s="372" t="s">
        <v>973</v>
      </c>
      <c r="B105" s="372" t="s">
        <v>821</v>
      </c>
      <c r="C105" s="374">
        <v>0.69381291663712696</v>
      </c>
      <c r="D105" s="374">
        <v>0.70490645831856302</v>
      </c>
      <c r="E105" s="374">
        <v>0.71599999999999997</v>
      </c>
      <c r="F105" s="374">
        <v>0.746</v>
      </c>
      <c r="G105" s="372">
        <v>0.59819271779860195</v>
      </c>
      <c r="H105" s="375"/>
      <c r="J105" s="376"/>
      <c r="K105" s="376"/>
      <c r="L105" s="376"/>
      <c r="M105" s="376"/>
      <c r="N105" s="374"/>
      <c r="P105" s="376"/>
      <c r="Q105" s="376"/>
      <c r="R105" s="372" t="str">
        <f>IF(RIGHT(Table1[[#This Row],[Unit]],1)="*",LEFT(Table1[[#This Row],[Unit]],LEN(Table1[[#This Row],[Unit]])-1),Table1[[#This Row],[Unit]])</f>
        <v>(LEV) CA40-RA401</v>
      </c>
      <c r="S105" s="372" t="str">
        <f>IF(RIGHT(Table1[[#This Row],[Unit2]],1)="☆",LEFT(Table1[[#This Row],[Unit2]],LEN(Table1[[#This Row],[Unit2]])-1),Table1[[#This Row],[Unit2]])</f>
        <v>(LEV) CA40-RA401</v>
      </c>
    </row>
    <row r="106" spans="1:19">
      <c r="A106" s="372" t="s">
        <v>973</v>
      </c>
      <c r="B106" s="372" t="s">
        <v>623</v>
      </c>
      <c r="C106" s="374">
        <v>0.47183369150624999</v>
      </c>
      <c r="D106" s="374">
        <v>0.48191684575312499</v>
      </c>
      <c r="E106" s="374">
        <v>0.49199999999999999</v>
      </c>
      <c r="F106" s="374">
        <v>0.58199999999999996</v>
      </c>
      <c r="G106" s="372">
        <v>0.51773955210245304</v>
      </c>
      <c r="H106" s="375"/>
      <c r="J106" s="376"/>
      <c r="K106" s="376"/>
      <c r="L106" s="376"/>
      <c r="M106" s="376"/>
      <c r="N106" s="374"/>
      <c r="P106" s="376"/>
      <c r="Q106" s="376"/>
      <c r="R106" s="372" t="str">
        <f>IF(RIGHT(Table1[[#This Row],[Unit]],1)="*",LEFT(Table1[[#This Row],[Unit]],LEN(Table1[[#This Row],[Unit]])-1),Table1[[#This Row],[Unit]])</f>
        <v>(LEV) CA50-RA510</v>
      </c>
      <c r="S106" s="372" t="str">
        <f>IF(RIGHT(Table1[[#This Row],[Unit2]],1)="☆",LEFT(Table1[[#This Row],[Unit2]],LEN(Table1[[#This Row],[Unit2]])-1),Table1[[#This Row],[Unit2]])</f>
        <v>(LEV) CA50-RA510</v>
      </c>
    </row>
    <row r="107" spans="1:19">
      <c r="A107" s="372" t="s">
        <v>973</v>
      </c>
      <c r="B107" s="372" t="s">
        <v>624</v>
      </c>
      <c r="C107" s="374">
        <v>0.41625058123314301</v>
      </c>
      <c r="D107" s="374">
        <v>0.42612529061657101</v>
      </c>
      <c r="E107" s="374">
        <v>0.436</v>
      </c>
      <c r="F107" s="374">
        <v>0.52600000000000002</v>
      </c>
      <c r="G107" s="372">
        <v>0.53895437890444398</v>
      </c>
      <c r="H107" s="375"/>
      <c r="J107" s="376"/>
      <c r="K107" s="376"/>
      <c r="L107" s="376"/>
      <c r="M107" s="376"/>
      <c r="N107" s="374"/>
      <c r="P107" s="376"/>
      <c r="Q107" s="376"/>
      <c r="R107" s="372" t="str">
        <f>IF(RIGHT(Table1[[#This Row],[Unit]],1)="*",LEFT(Table1[[#This Row],[Unit]],LEN(Table1[[#This Row],[Unit]])-1),Table1[[#This Row],[Unit]])</f>
        <v>(LEV) CA50-RA520</v>
      </c>
      <c r="S107" s="372" t="str">
        <f>IF(RIGHT(Table1[[#This Row],[Unit2]],1)="☆",LEFT(Table1[[#This Row],[Unit2]],LEN(Table1[[#This Row],[Unit2]])-1),Table1[[#This Row],[Unit2]])</f>
        <v>(LEV) CA50-RA520</v>
      </c>
    </row>
    <row r="108" spans="1:19">
      <c r="A108" s="372" t="s">
        <v>973</v>
      </c>
      <c r="B108" s="372" t="s">
        <v>625</v>
      </c>
      <c r="C108" s="374">
        <v>0.33232226860011599</v>
      </c>
      <c r="D108" s="374">
        <v>0.34566113430005801</v>
      </c>
      <c r="E108" s="374">
        <v>0.35899999999999999</v>
      </c>
      <c r="F108" s="374">
        <v>0.44900000000000001</v>
      </c>
      <c r="G108" s="372">
        <v>0.39992937959931701</v>
      </c>
      <c r="H108" s="375"/>
      <c r="J108" s="376"/>
      <c r="K108" s="376"/>
      <c r="L108" s="376"/>
      <c r="M108" s="376"/>
      <c r="N108" s="374"/>
      <c r="P108" s="376"/>
      <c r="Q108" s="376"/>
      <c r="R108" s="372" t="str">
        <f>IF(RIGHT(Table1[[#This Row],[Unit]],1)="*",LEFT(Table1[[#This Row],[Unit]],LEN(Table1[[#This Row],[Unit]])-1),Table1[[#This Row],[Unit]])</f>
        <v>(LEV) CA50-RA530</v>
      </c>
      <c r="S108" s="372" t="str">
        <f>IF(RIGHT(Table1[[#This Row],[Unit2]],1)="☆",LEFT(Table1[[#This Row],[Unit2]],LEN(Table1[[#This Row],[Unit2]])-1),Table1[[#This Row],[Unit2]])</f>
        <v>(LEV) CA50-RA530</v>
      </c>
    </row>
    <row r="109" spans="1:19">
      <c r="A109" s="372" t="s">
        <v>973</v>
      </c>
      <c r="B109" s="372" t="s">
        <v>498</v>
      </c>
      <c r="C109" s="374">
        <v>0.57162513954049698</v>
      </c>
      <c r="D109" s="374">
        <v>0.57731256977024803</v>
      </c>
      <c r="E109" s="374">
        <v>0.58299999999999996</v>
      </c>
      <c r="F109" s="374">
        <v>0.64300000000000002</v>
      </c>
      <c r="G109" s="372">
        <v>0.66635024063931603</v>
      </c>
      <c r="H109" s="375"/>
      <c r="J109" s="376"/>
      <c r="K109" s="376"/>
      <c r="L109" s="376"/>
      <c r="M109" s="376"/>
      <c r="N109" s="374"/>
      <c r="P109" s="376"/>
      <c r="Q109" s="376"/>
      <c r="R109" s="372" t="str">
        <f>IF(RIGHT(Table1[[#This Row],[Unit]],1)="*",LEFT(Table1[[#This Row],[Unit]],LEN(Table1[[#This Row],[Unit]])-1),Table1[[#This Row],[Unit]])</f>
        <v>(LEV) CA60-RA601</v>
      </c>
      <c r="S109" s="372" t="str">
        <f>IF(RIGHT(Table1[[#This Row],[Unit2]],1)="☆",LEFT(Table1[[#This Row],[Unit2]],LEN(Table1[[#This Row],[Unit2]])-1),Table1[[#This Row],[Unit2]])</f>
        <v>(LEV) CA60-RA601</v>
      </c>
    </row>
    <row r="110" spans="1:19">
      <c r="A110" s="372" t="s">
        <v>973</v>
      </c>
      <c r="B110" s="372" t="s">
        <v>499</v>
      </c>
      <c r="C110" s="374">
        <v>0.50209348057155101</v>
      </c>
      <c r="D110" s="374">
        <v>0.51004674028577501</v>
      </c>
      <c r="E110" s="374">
        <v>0.51800000000000002</v>
      </c>
      <c r="F110" s="374">
        <v>0.57799999999999996</v>
      </c>
      <c r="G110" s="372">
        <v>0.64805732418457695</v>
      </c>
      <c r="H110" s="375"/>
      <c r="J110" s="376"/>
      <c r="K110" s="376"/>
      <c r="L110" s="376"/>
      <c r="M110" s="376"/>
      <c r="N110" s="374"/>
      <c r="P110" s="376"/>
      <c r="Q110" s="376"/>
      <c r="R110" s="372" t="str">
        <f>IF(RIGHT(Table1[[#This Row],[Unit]],1)="*",LEFT(Table1[[#This Row],[Unit]],LEN(Table1[[#This Row],[Unit]])-1),Table1[[#This Row],[Unit]])</f>
        <v>(LEV) CA60-RA602</v>
      </c>
      <c r="S110" s="372" t="str">
        <f>IF(RIGHT(Table1[[#This Row],[Unit2]],1)="☆",LEFT(Table1[[#This Row],[Unit2]],LEN(Table1[[#This Row],[Unit2]])-1),Table1[[#This Row],[Unit2]])</f>
        <v>(LEV) CA60-RA602</v>
      </c>
    </row>
    <row r="111" spans="1:19">
      <c r="A111" s="372" t="s">
        <v>973</v>
      </c>
      <c r="B111" s="372" t="s">
        <v>500</v>
      </c>
      <c r="C111" s="374">
        <v>0.497008708168582</v>
      </c>
      <c r="D111" s="374">
        <v>0.499</v>
      </c>
      <c r="E111" s="374">
        <v>0.504</v>
      </c>
      <c r="F111" s="374">
        <v>0.56399999999999995</v>
      </c>
      <c r="G111" s="372">
        <v>0.67545772494784295</v>
      </c>
      <c r="H111" s="375"/>
      <c r="J111" s="376"/>
      <c r="K111" s="376"/>
      <c r="L111" s="376"/>
      <c r="M111" s="376"/>
      <c r="N111" s="374"/>
      <c r="P111" s="376"/>
      <c r="Q111" s="376"/>
      <c r="R111" s="372" t="str">
        <f>IF(RIGHT(Table1[[#This Row],[Unit]],1)="*",LEFT(Table1[[#This Row],[Unit]],LEN(Table1[[#This Row],[Unit]])-1),Table1[[#This Row],[Unit]])</f>
        <v>(LEV) CA60-RA603</v>
      </c>
      <c r="S111" s="372" t="str">
        <f>IF(RIGHT(Table1[[#This Row],[Unit2]],1)="☆",LEFT(Table1[[#This Row],[Unit2]],LEN(Table1[[#This Row],[Unit2]])-1),Table1[[#This Row],[Unit2]])</f>
        <v>(LEV) CA60-RA603</v>
      </c>
    </row>
    <row r="112" spans="1:19">
      <c r="A112" s="372" t="s">
        <v>1235</v>
      </c>
      <c r="B112" s="372" t="s">
        <v>1039</v>
      </c>
      <c r="C112" s="374">
        <v>0.82935227516648602</v>
      </c>
      <c r="D112" s="374">
        <v>0.83399999999999996</v>
      </c>
      <c r="E112" s="374">
        <v>0.83899999999999997</v>
      </c>
      <c r="F112" s="374">
        <v>0.84899999999999998</v>
      </c>
      <c r="G112" s="372">
        <v>0.75270386042992998</v>
      </c>
      <c r="H112" s="375"/>
      <c r="J112" s="376"/>
      <c r="K112" s="376"/>
      <c r="L112" s="376"/>
      <c r="M112" s="376"/>
      <c r="N112" s="374"/>
      <c r="P112" s="376"/>
      <c r="Q112" s="376"/>
      <c r="R112" s="372" t="str">
        <f>IF(RIGHT(Table1[[#This Row],[Unit]],1)="*",LEFT(Table1[[#This Row],[Unit]],LEN(Table1[[#This Row],[Unit]])-1),Table1[[#This Row],[Unit]])</f>
        <v>(APN) AZOS R1</v>
      </c>
      <c r="S112" s="372" t="str">
        <f>IF(RIGHT(Table1[[#This Row],[Unit2]],1)="☆",LEFT(Table1[[#This Row],[Unit2]],LEN(Table1[[#This Row],[Unit2]])-1),Table1[[#This Row],[Unit2]])</f>
        <v>(APN) AZOS R1</v>
      </c>
    </row>
    <row r="113" spans="1:19">
      <c r="A113" s="372" t="s">
        <v>1235</v>
      </c>
      <c r="B113" s="372" t="s">
        <v>1040</v>
      </c>
      <c r="C113" s="374">
        <v>0.83308454923387798</v>
      </c>
      <c r="D113" s="374">
        <v>0.83799999999999997</v>
      </c>
      <c r="E113" s="374">
        <v>0.84299999999999997</v>
      </c>
      <c r="F113" s="374">
        <v>0.85299999999999998</v>
      </c>
      <c r="G113" s="372">
        <v>0.74426770899715899</v>
      </c>
      <c r="H113" s="375"/>
      <c r="J113" s="376"/>
      <c r="K113" s="376"/>
      <c r="L113" s="376"/>
      <c r="M113" s="376"/>
      <c r="N113" s="374"/>
      <c r="P113" s="376"/>
      <c r="Q113" s="376"/>
      <c r="R113" s="372" t="str">
        <f>IF(RIGHT(Table1[[#This Row],[Unit]],1)="*",LEFT(Table1[[#This Row],[Unit]],LEN(Table1[[#This Row],[Unit]])-1),Table1[[#This Row],[Unit]])</f>
        <v>(APN) AZOS R2</v>
      </c>
      <c r="S113" s="372" t="str">
        <f>IF(RIGHT(Table1[[#This Row],[Unit2]],1)="☆",LEFT(Table1[[#This Row],[Unit2]],LEN(Table1[[#This Row],[Unit2]])-1),Table1[[#This Row],[Unit2]])</f>
        <v>(APN) AZOS R2</v>
      </c>
    </row>
    <row r="114" spans="1:19">
      <c r="A114" s="372" t="s">
        <v>1235</v>
      </c>
      <c r="B114" s="372" t="s">
        <v>431</v>
      </c>
      <c r="C114" s="374">
        <v>0.61311050112566601</v>
      </c>
      <c r="D114" s="374">
        <v>0.63305525056283296</v>
      </c>
      <c r="E114" s="374">
        <v>0.65300000000000002</v>
      </c>
      <c r="F114" s="374">
        <v>0.69299999999999995</v>
      </c>
      <c r="G114" s="372">
        <v>0.57547391568547002</v>
      </c>
      <c r="H114" s="375"/>
      <c r="J114" s="376"/>
      <c r="K114" s="376"/>
      <c r="L114" s="376"/>
      <c r="M114" s="376"/>
      <c r="N114" s="374"/>
      <c r="P114" s="376"/>
      <c r="Q114" s="376"/>
      <c r="R114" s="372" t="str">
        <f>IF(RIGHT(Table1[[#This Row],[Unit]],1)="*",LEFT(Table1[[#This Row],[Unit]],LEN(Table1[[#This Row],[Unit]])-1),Table1[[#This Row],[Unit]])</f>
        <v>(APN) LPP R201</v>
      </c>
      <c r="S114" s="372" t="str">
        <f>IF(RIGHT(Table1[[#This Row],[Unit2]],1)="☆",LEFT(Table1[[#This Row],[Unit2]],LEN(Table1[[#This Row],[Unit2]])-1),Table1[[#This Row],[Unit2]])</f>
        <v>(APN) LPP R201</v>
      </c>
    </row>
    <row r="115" spans="1:19">
      <c r="A115" s="372" t="s">
        <v>1235</v>
      </c>
      <c r="B115" s="372" t="s">
        <v>432</v>
      </c>
      <c r="C115" s="374">
        <v>0.60364316448639199</v>
      </c>
      <c r="D115" s="374">
        <v>0.62382158224319595</v>
      </c>
      <c r="E115" s="374">
        <v>0.64400000000000002</v>
      </c>
      <c r="F115" s="374">
        <v>0.68400000000000005</v>
      </c>
      <c r="G115" s="372">
        <v>0.57613581768370503</v>
      </c>
      <c r="H115" s="375"/>
      <c r="J115" s="376"/>
      <c r="K115" s="376"/>
      <c r="L115" s="376"/>
      <c r="M115" s="376"/>
      <c r="N115" s="374"/>
      <c r="P115" s="376"/>
      <c r="Q115" s="376"/>
      <c r="R115" s="372" t="str">
        <f>IF(RIGHT(Table1[[#This Row],[Unit]],1)="*",LEFT(Table1[[#This Row],[Unit]],LEN(Table1[[#This Row],[Unit]])-1),Table1[[#This Row],[Unit]])</f>
        <v>(APN) LPP R202</v>
      </c>
      <c r="S115" s="372" t="str">
        <f>IF(RIGHT(Table1[[#This Row],[Unit2]],1)="☆",LEFT(Table1[[#This Row],[Unit2]],LEN(Table1[[#This Row],[Unit2]])-1),Table1[[#This Row],[Unit2]])</f>
        <v>(APN) LPP R202</v>
      </c>
    </row>
    <row r="116" spans="1:19">
      <c r="A116" s="372" t="s">
        <v>1235</v>
      </c>
      <c r="B116" s="372" t="s">
        <v>433</v>
      </c>
      <c r="C116" s="374">
        <v>0.85098139559572505</v>
      </c>
      <c r="D116" s="374">
        <v>0.85599069779786296</v>
      </c>
      <c r="E116" s="374">
        <v>0.86099999999999999</v>
      </c>
      <c r="F116" s="374">
        <v>0.871</v>
      </c>
      <c r="G116" s="372">
        <v>0.66920760619410602</v>
      </c>
      <c r="H116" s="375"/>
      <c r="J116" s="376"/>
      <c r="K116" s="376"/>
      <c r="L116" s="376"/>
      <c r="M116" s="376"/>
      <c r="N116" s="374"/>
      <c r="P116" s="376"/>
      <c r="Q116" s="376"/>
      <c r="R116" s="372" t="str">
        <f>IF(RIGHT(Table1[[#This Row],[Unit]],1)="*",LEFT(Table1[[#This Row],[Unit]],LEN(Table1[[#This Row],[Unit]])-1),Table1[[#This Row],[Unit]])</f>
        <v>(APN) LPP2 R310</v>
      </c>
      <c r="S116" s="372" t="str">
        <f>IF(RIGHT(Table1[[#This Row],[Unit2]],1)="☆",LEFT(Table1[[#This Row],[Unit2]],LEN(Table1[[#This Row],[Unit2]])-1),Table1[[#This Row],[Unit2]])</f>
        <v>(APN) LPP2 R310</v>
      </c>
    </row>
    <row r="117" spans="1:19">
      <c r="A117" s="372" t="s">
        <v>1235</v>
      </c>
      <c r="B117" s="372" t="s">
        <v>434</v>
      </c>
      <c r="C117" s="374">
        <v>0.65403139577876701</v>
      </c>
      <c r="D117" s="374">
        <v>0.67401569788938398</v>
      </c>
      <c r="E117" s="374">
        <v>0.69399999999999995</v>
      </c>
      <c r="F117" s="374">
        <v>0.73399999999999999</v>
      </c>
      <c r="G117" s="372">
        <v>0.57389198057810897</v>
      </c>
      <c r="H117" s="375"/>
      <c r="J117" s="376"/>
      <c r="K117" s="376"/>
      <c r="L117" s="376"/>
      <c r="M117" s="376"/>
      <c r="N117" s="374"/>
      <c r="P117" s="376"/>
      <c r="Q117" s="376"/>
      <c r="R117" s="372" t="str">
        <f>IF(RIGHT(Table1[[#This Row],[Unit]],1)="*",LEFT(Table1[[#This Row],[Unit]],LEN(Table1[[#This Row],[Unit]])-1),Table1[[#This Row],[Unit]])</f>
        <v>(APN) LPP3 R320</v>
      </c>
      <c r="S117" s="372" t="str">
        <f>IF(RIGHT(Table1[[#This Row],[Unit2]],1)="☆",LEFT(Table1[[#This Row],[Unit2]],LEN(Table1[[#This Row],[Unit2]])-1),Table1[[#This Row],[Unit2]])</f>
        <v>(APN) LPP3 R320</v>
      </c>
    </row>
    <row r="118" spans="1:19">
      <c r="A118" s="372" t="s">
        <v>1235</v>
      </c>
      <c r="B118" s="372" t="s">
        <v>435</v>
      </c>
      <c r="C118" s="374">
        <v>0.65101798717692505</v>
      </c>
      <c r="D118" s="374">
        <v>0.671008993588462</v>
      </c>
      <c r="E118" s="374">
        <v>0.69099999999999995</v>
      </c>
      <c r="F118" s="374">
        <v>0.73099999999999998</v>
      </c>
      <c r="G118" s="372">
        <v>0.58243180689878404</v>
      </c>
      <c r="H118" s="375"/>
      <c r="J118" s="376"/>
      <c r="K118" s="376"/>
      <c r="L118" s="376"/>
      <c r="M118" s="376"/>
      <c r="N118" s="374"/>
      <c r="P118" s="376"/>
      <c r="Q118" s="376"/>
      <c r="R118" s="372" t="str">
        <f>IF(RIGHT(Table1[[#This Row],[Unit]],1)="*",LEFT(Table1[[#This Row],[Unit]],LEN(Table1[[#This Row],[Unit]])-1),Table1[[#This Row],[Unit]])</f>
        <v>(APN) LPP3 R330</v>
      </c>
      <c r="S118" s="372" t="str">
        <f>IF(RIGHT(Table1[[#This Row],[Unit2]],1)="☆",LEFT(Table1[[#This Row],[Unit2]],LEN(Table1[[#This Row],[Unit2]])-1),Table1[[#This Row],[Unit2]])</f>
        <v>(APN) LPP3 R330</v>
      </c>
    </row>
    <row r="119" spans="1:19">
      <c r="A119" s="372" t="s">
        <v>1235</v>
      </c>
      <c r="B119" s="372" t="s">
        <v>771</v>
      </c>
      <c r="C119" s="374">
        <v>0.605406234008941</v>
      </c>
      <c r="D119" s="374">
        <v>0.61</v>
      </c>
      <c r="E119" s="374">
        <v>0.61499999999999999</v>
      </c>
      <c r="F119" s="374">
        <v>0.65500000000000003</v>
      </c>
      <c r="G119" s="372">
        <v>0.59402372536732695</v>
      </c>
      <c r="H119" s="375"/>
      <c r="J119" s="376"/>
      <c r="K119" s="376"/>
      <c r="L119" s="376"/>
      <c r="M119" s="376"/>
      <c r="N119" s="374"/>
      <c r="P119" s="376"/>
      <c r="Q119" s="376"/>
      <c r="R119" s="372" t="str">
        <f>IF(RIGHT(Table1[[#This Row],[Unit]],1)="*",LEFT(Table1[[#This Row],[Unit]],LEN(Table1[[#This Row],[Unit]])-1),Table1[[#This Row],[Unit]])</f>
        <v>(APN) SPP7 R200</v>
      </c>
      <c r="S119" s="372" t="str">
        <f>IF(RIGHT(Table1[[#This Row],[Unit2]],1)="☆",LEFT(Table1[[#This Row],[Unit2]],LEN(Table1[[#This Row],[Unit2]])-1),Table1[[#This Row],[Unit2]])</f>
        <v>(APN) SPP7 R200</v>
      </c>
    </row>
    <row r="120" spans="1:19">
      <c r="A120" s="372" t="s">
        <v>1235</v>
      </c>
      <c r="B120" s="372" t="s">
        <v>772</v>
      </c>
      <c r="C120" s="374">
        <v>0.56279395157216106</v>
      </c>
      <c r="D120" s="374">
        <v>0.59289697578608103</v>
      </c>
      <c r="E120" s="374">
        <v>0.623</v>
      </c>
      <c r="F120" s="374">
        <v>0.66300000000000003</v>
      </c>
      <c r="G120" s="372">
        <v>0.455536485118677</v>
      </c>
      <c r="H120" s="375"/>
      <c r="J120" s="376"/>
      <c r="K120" s="376"/>
      <c r="L120" s="376"/>
      <c r="M120" s="376"/>
      <c r="N120" s="374"/>
      <c r="P120" s="376"/>
      <c r="Q120" s="376"/>
      <c r="R120" s="372" t="str">
        <f>IF(RIGHT(Table1[[#This Row],[Unit]],1)="*",LEFT(Table1[[#This Row],[Unit]],LEN(Table1[[#This Row],[Unit]])-1),Table1[[#This Row],[Unit]])</f>
        <v>(APN) SPP8 R201</v>
      </c>
      <c r="S120" s="372" t="str">
        <f>IF(RIGHT(Table1[[#This Row],[Unit2]],1)="☆",LEFT(Table1[[#This Row],[Unit2]],LEN(Table1[[#This Row],[Unit2]])-1),Table1[[#This Row],[Unit2]])</f>
        <v>(APN) SPP8 R201</v>
      </c>
    </row>
    <row r="121" spans="1:19">
      <c r="A121" s="372" t="s">
        <v>1236</v>
      </c>
      <c r="B121" s="372" t="s">
        <v>1080</v>
      </c>
      <c r="C121" s="374">
        <v>0.93209520062123197</v>
      </c>
      <c r="D121" s="374">
        <v>0.95304760031061597</v>
      </c>
      <c r="E121" s="374">
        <v>0.97399999999999998</v>
      </c>
      <c r="F121" s="374">
        <v>0.98399999999999999</v>
      </c>
      <c r="G121" s="372">
        <v>0.97631827517020497</v>
      </c>
      <c r="H121" s="375"/>
      <c r="J121" s="376"/>
      <c r="K121" s="376"/>
      <c r="L121" s="376"/>
      <c r="M121" s="376"/>
      <c r="N121" s="374"/>
      <c r="P121" s="376"/>
      <c r="Q121" s="376"/>
      <c r="R121" s="372" t="str">
        <f>IF(RIGHT(Table1[[#This Row],[Unit]],1)="*",LEFT(Table1[[#This Row],[Unit]],LEN(Table1[[#This Row],[Unit]])-1),Table1[[#This Row],[Unit]])</f>
        <v>(MOG) Line 1 (EL)</v>
      </c>
      <c r="S121" s="372" t="str">
        <f>IF(RIGHT(Table1[[#This Row],[Unit2]],1)="☆",LEFT(Table1[[#This Row],[Unit2]],LEN(Table1[[#This Row],[Unit2]])-1),Table1[[#This Row],[Unit2]])</f>
        <v>(MOG) Line 1 (EL)</v>
      </c>
    </row>
    <row r="122" spans="1:19">
      <c r="A122" s="372" t="s">
        <v>1236</v>
      </c>
      <c r="B122" s="372" t="s">
        <v>1081</v>
      </c>
      <c r="C122" s="374">
        <v>0.88717667625922103</v>
      </c>
      <c r="D122" s="374">
        <v>0.91858833812961005</v>
      </c>
      <c r="E122" s="374">
        <v>0.95</v>
      </c>
      <c r="F122" s="374">
        <v>0.96</v>
      </c>
      <c r="G122" s="372">
        <v>0.96269308192454095</v>
      </c>
      <c r="H122" s="375"/>
      <c r="J122" s="376"/>
      <c r="K122" s="376"/>
      <c r="L122" s="376"/>
      <c r="M122" s="376"/>
      <c r="N122" s="374"/>
      <c r="P122" s="376"/>
      <c r="Q122" s="376"/>
      <c r="R122" s="372" t="str">
        <f>IF(RIGHT(Table1[[#This Row],[Unit]],1)="*",LEFT(Table1[[#This Row],[Unit]],LEN(Table1[[#This Row],[Unit]])-1),Table1[[#This Row],[Unit]])</f>
        <v>(MOG) Line 2 (EL)</v>
      </c>
      <c r="S122" s="372" t="str">
        <f>IF(RIGHT(Table1[[#This Row],[Unit2]],1)="☆",LEFT(Table1[[#This Row],[Unit2]],LEN(Table1[[#This Row],[Unit2]])-1),Table1[[#This Row],[Unit2]])</f>
        <v>(MOG) Line 2 (EL)</v>
      </c>
    </row>
    <row r="123" spans="1:19">
      <c r="A123" s="372" t="s">
        <v>1236</v>
      </c>
      <c r="B123" s="372" t="s">
        <v>1082</v>
      </c>
      <c r="C123" s="374">
        <v>0.93513353248126396</v>
      </c>
      <c r="D123" s="374">
        <v>0.95456676624063197</v>
      </c>
      <c r="E123" s="374">
        <v>0.97399999999999998</v>
      </c>
      <c r="F123" s="374">
        <v>0.98399999999999999</v>
      </c>
      <c r="G123" s="372">
        <v>0.97558239682356696</v>
      </c>
      <c r="H123" s="375"/>
      <c r="J123" s="376"/>
      <c r="K123" s="376"/>
      <c r="L123" s="376"/>
      <c r="M123" s="376"/>
      <c r="N123" s="374"/>
      <c r="P123" s="376"/>
      <c r="Q123" s="376"/>
      <c r="R123" s="372" t="str">
        <f>IF(RIGHT(Table1[[#This Row],[Unit]],1)="*",LEFT(Table1[[#This Row],[Unit]],LEN(Table1[[#This Row],[Unit]])-1),Table1[[#This Row],[Unit]])</f>
        <v>(MOG) Line 3 (EL)</v>
      </c>
      <c r="S123" s="372" t="str">
        <f>IF(RIGHT(Table1[[#This Row],[Unit2]],1)="☆",LEFT(Table1[[#This Row],[Unit2]],LEN(Table1[[#This Row],[Unit2]])-1),Table1[[#This Row],[Unit2]])</f>
        <v>(MOG) Line 3 (EL)</v>
      </c>
    </row>
    <row r="124" spans="1:19">
      <c r="A124" s="372" t="s">
        <v>1236</v>
      </c>
      <c r="B124" s="372" t="s">
        <v>1083</v>
      </c>
      <c r="C124" s="374">
        <v>0.902819461260289</v>
      </c>
      <c r="D124" s="374">
        <v>0.93590973063014404</v>
      </c>
      <c r="E124" s="374">
        <v>0.96899999999999997</v>
      </c>
      <c r="F124" s="374">
        <v>0.97899999999999998</v>
      </c>
      <c r="G124" s="372">
        <v>0.984230229316579</v>
      </c>
      <c r="H124" s="375"/>
      <c r="J124" s="376"/>
      <c r="K124" s="376"/>
      <c r="L124" s="376"/>
      <c r="M124" s="376"/>
      <c r="N124" s="374"/>
      <c r="P124" s="376"/>
      <c r="Q124" s="376"/>
      <c r="R124" s="372" t="str">
        <f>IF(RIGHT(Table1[[#This Row],[Unit]],1)="*",LEFT(Table1[[#This Row],[Unit]],LEN(Table1[[#This Row],[Unit]])-1),Table1[[#This Row],[Unit]])</f>
        <v>(MOG) Line 4 (EL)</v>
      </c>
      <c r="S124" s="372" t="str">
        <f>IF(RIGHT(Table1[[#This Row],[Unit2]],1)="☆",LEFT(Table1[[#This Row],[Unit2]],LEN(Table1[[#This Row],[Unit2]])-1),Table1[[#This Row],[Unit2]])</f>
        <v>(MOG) Line 4 (EL)</v>
      </c>
    </row>
    <row r="125" spans="1:19">
      <c r="A125" s="372" t="s">
        <v>1236</v>
      </c>
      <c r="B125" s="372" t="s">
        <v>1084</v>
      </c>
      <c r="C125" s="374">
        <v>0.91216909301792104</v>
      </c>
      <c r="D125" s="374">
        <v>0.93808454650896</v>
      </c>
      <c r="E125" s="374">
        <v>0.96399999999999997</v>
      </c>
      <c r="F125" s="374">
        <v>0.97399999999999998</v>
      </c>
      <c r="G125" s="372">
        <v>0.978315558193388</v>
      </c>
      <c r="H125" s="375"/>
      <c r="J125" s="376"/>
      <c r="K125" s="376"/>
      <c r="L125" s="376"/>
      <c r="M125" s="376"/>
      <c r="N125" s="374"/>
      <c r="P125" s="376"/>
      <c r="Q125" s="376"/>
      <c r="R125" s="372" t="str">
        <f>IF(RIGHT(Table1[[#This Row],[Unit]],1)="*",LEFT(Table1[[#This Row],[Unit]],LEN(Table1[[#This Row],[Unit]])-1),Table1[[#This Row],[Unit]])</f>
        <v>(MOG) Line 5 (EL)</v>
      </c>
      <c r="S125" s="372" t="str">
        <f>IF(RIGHT(Table1[[#This Row],[Unit2]],1)="☆",LEFT(Table1[[#This Row],[Unit2]],LEN(Table1[[#This Row],[Unit2]])-1),Table1[[#This Row],[Unit2]])</f>
        <v>(MOG) Line 5 (EL)</v>
      </c>
    </row>
    <row r="126" spans="1:19">
      <c r="A126" s="372" t="s">
        <v>1237</v>
      </c>
      <c r="B126" s="372" t="s">
        <v>1238</v>
      </c>
      <c r="C126" s="374">
        <v>0.54882011133749198</v>
      </c>
      <c r="D126" s="374">
        <v>0.55441005566874602</v>
      </c>
      <c r="E126" s="374">
        <v>0.56000000000000005</v>
      </c>
      <c r="F126" s="374">
        <v>0.62</v>
      </c>
      <c r="G126" s="372">
        <v>0.58852012213494398</v>
      </c>
      <c r="H126" s="375"/>
      <c r="J126" s="376"/>
      <c r="K126" s="376"/>
      <c r="L126" s="376"/>
      <c r="M126" s="376"/>
      <c r="N126" s="374"/>
      <c r="P126" s="376"/>
      <c r="Q126" s="376"/>
      <c r="R126" s="372" t="str">
        <f>IF(RIGHT(Table1[[#This Row],[Unit]],1)="*",LEFT(Table1[[#This Row],[Unit]],LEN(Table1[[#This Row],[Unit]])-1),Table1[[#This Row],[Unit]])</f>
        <v>(MHD) MPP (R100.01)</v>
      </c>
      <c r="S126" s="372" t="str">
        <f>IF(RIGHT(Table1[[#This Row],[Unit2]],1)="☆",LEFT(Table1[[#This Row],[Unit2]],LEN(Table1[[#This Row],[Unit2]])-1),Table1[[#This Row],[Unit2]])</f>
        <v>(MHD) MPP (R100.01)</v>
      </c>
    </row>
    <row r="127" spans="1:19">
      <c r="A127" s="372" t="s">
        <v>1237</v>
      </c>
      <c r="B127" s="372" t="s">
        <v>1239</v>
      </c>
      <c r="C127" s="374">
        <v>0.56835145513464402</v>
      </c>
      <c r="D127" s="374">
        <v>0.53600000000000003</v>
      </c>
      <c r="E127" s="374">
        <v>0.56599999999999995</v>
      </c>
      <c r="F127" s="374">
        <v>0.626</v>
      </c>
      <c r="G127" s="372">
        <v>0.57046557097538797</v>
      </c>
      <c r="H127" s="375"/>
      <c r="J127" s="376"/>
      <c r="K127" s="376"/>
      <c r="L127" s="376"/>
      <c r="M127" s="376"/>
      <c r="N127" s="374"/>
      <c r="P127" s="376"/>
      <c r="Q127" s="376"/>
      <c r="R127" s="372" t="str">
        <f>IF(RIGHT(Table1[[#This Row],[Unit]],1)="*",LEFT(Table1[[#This Row],[Unit]],LEN(Table1[[#This Row],[Unit]])-1),Table1[[#This Row],[Unit]])</f>
        <v>(MHD) MPP (R101)</v>
      </c>
      <c r="S127" s="372" t="str">
        <f>IF(RIGHT(Table1[[#This Row],[Unit2]],1)="☆",LEFT(Table1[[#This Row],[Unit2]],LEN(Table1[[#This Row],[Unit2]])-1),Table1[[#This Row],[Unit2]])</f>
        <v>(MHD) MPP (R101)</v>
      </c>
    </row>
    <row r="128" spans="1:19">
      <c r="A128" s="372" t="s">
        <v>974</v>
      </c>
      <c r="B128" s="372" t="s">
        <v>825</v>
      </c>
      <c r="C128" s="374">
        <v>0.41388881942490002</v>
      </c>
      <c r="D128" s="374">
        <v>0.43944440971245002</v>
      </c>
      <c r="E128" s="374">
        <v>0.46500000000000002</v>
      </c>
      <c r="F128" s="374">
        <v>0.55500000000000005</v>
      </c>
      <c r="G128" s="372">
        <v>0.35459661958212102</v>
      </c>
      <c r="H128" s="375"/>
      <c r="J128" s="376"/>
      <c r="K128" s="376"/>
      <c r="L128" s="376"/>
      <c r="M128" s="376"/>
      <c r="N128" s="374"/>
      <c r="P128" s="376"/>
      <c r="Q128" s="376"/>
      <c r="R128" s="372" t="str">
        <f>IF(RIGHT(Table1[[#This Row],[Unit]],1)="*",LEFT(Table1[[#This Row],[Unit]],LEN(Table1[[#This Row],[Unit]])-1),Table1[[#This Row],[Unit]])</f>
        <v>(MNS) Butanox (R11)</v>
      </c>
      <c r="S128" s="372" t="str">
        <f>IF(RIGHT(Table1[[#This Row],[Unit2]],1)="☆",LEFT(Table1[[#This Row],[Unit2]],LEN(Table1[[#This Row],[Unit2]])-1),Table1[[#This Row],[Unit2]])</f>
        <v>(MNS) Butanox (R11)</v>
      </c>
    </row>
    <row r="129" spans="1:19">
      <c r="A129" s="372" t="s">
        <v>974</v>
      </c>
      <c r="B129" s="372" t="s">
        <v>826</v>
      </c>
      <c r="C129" s="374">
        <v>0.38579770556256399</v>
      </c>
      <c r="D129" s="374">
        <v>0.41289885278128202</v>
      </c>
      <c r="E129" s="374">
        <v>0.44</v>
      </c>
      <c r="F129" s="374">
        <v>0.53</v>
      </c>
      <c r="G129" s="372">
        <v>0.313488377697551</v>
      </c>
      <c r="H129" s="375"/>
      <c r="J129" s="376"/>
      <c r="K129" s="376"/>
      <c r="L129" s="376"/>
      <c r="M129" s="376"/>
      <c r="N129" s="374"/>
      <c r="P129" s="376"/>
      <c r="Q129" s="376"/>
      <c r="R129" s="372" t="str">
        <f>IF(RIGHT(Table1[[#This Row],[Unit]],1)="*",LEFT(Table1[[#This Row],[Unit]],LEN(Table1[[#This Row],[Unit]])-1),Table1[[#This Row],[Unit]])</f>
        <v>(MNS) Butanox (R12)</v>
      </c>
      <c r="S129" s="372" t="str">
        <f>IF(RIGHT(Table1[[#This Row],[Unit2]],1)="☆",LEFT(Table1[[#This Row],[Unit2]],LEN(Table1[[#This Row],[Unit2]])-1),Table1[[#This Row],[Unit2]])</f>
        <v>(MNS) Butanox (R12)</v>
      </c>
    </row>
    <row r="130" spans="1:19">
      <c r="A130" s="372" t="s">
        <v>974</v>
      </c>
      <c r="B130" s="372" t="s">
        <v>504</v>
      </c>
      <c r="C130" s="374">
        <v>0.73616529360740102</v>
      </c>
      <c r="D130" s="374">
        <v>0.76558264680370103</v>
      </c>
      <c r="E130" s="374">
        <v>0.79500000000000004</v>
      </c>
      <c r="F130" s="374">
        <v>0.81499999999999995</v>
      </c>
      <c r="G130" s="372">
        <v>0.65337572843801694</v>
      </c>
      <c r="H130" s="375"/>
      <c r="J130" s="376"/>
      <c r="K130" s="376"/>
      <c r="L130" s="376"/>
      <c r="M130" s="376"/>
      <c r="N130" s="374"/>
      <c r="P130" s="376"/>
      <c r="Q130" s="376"/>
      <c r="R130" s="372" t="str">
        <f>IF(RIGHT(Table1[[#This Row],[Unit]],1)="*",LEFT(Table1[[#This Row],[Unit]],LEN(Table1[[#This Row],[Unit]])-1),Table1[[#This Row],[Unit]])</f>
        <v>(MNS) Distillation</v>
      </c>
      <c r="S130" s="372" t="str">
        <f>IF(RIGHT(Table1[[#This Row],[Unit2]],1)="☆",LEFT(Table1[[#This Row],[Unit2]],LEN(Table1[[#This Row],[Unit2]])-1),Table1[[#This Row],[Unit2]])</f>
        <v>(MNS) Distillation</v>
      </c>
    </row>
    <row r="131" spans="1:19">
      <c r="A131" s="372" t="s">
        <v>974</v>
      </c>
      <c r="B131" s="372" t="s">
        <v>505</v>
      </c>
      <c r="C131" s="374">
        <v>0.55516604450073304</v>
      </c>
      <c r="D131" s="374">
        <v>0.58258302225036596</v>
      </c>
      <c r="E131" s="374">
        <v>0.61</v>
      </c>
      <c r="F131" s="374">
        <v>0.65</v>
      </c>
      <c r="G131" s="372">
        <v>0.48905634052784902</v>
      </c>
      <c r="H131" s="375"/>
      <c r="J131" s="376"/>
      <c r="K131" s="376"/>
      <c r="L131" s="376"/>
      <c r="M131" s="376"/>
      <c r="N131" s="374"/>
      <c r="P131" s="376"/>
      <c r="Q131" s="376"/>
      <c r="R131" s="372" t="str">
        <f>IF(RIGHT(Table1[[#This Row],[Unit]],1)="*",LEFT(Table1[[#This Row],[Unit]],LEN(Table1[[#This Row],[Unit]])-1),Table1[[#This Row],[Unit]])</f>
        <v>(MNS) Hydro A</v>
      </c>
      <c r="S131" s="372" t="str">
        <f>IF(RIGHT(Table1[[#This Row],[Unit2]],1)="☆",LEFT(Table1[[#This Row],[Unit2]],LEN(Table1[[#This Row],[Unit2]])-1),Table1[[#This Row],[Unit2]])</f>
        <v>(MNS) Hydro A</v>
      </c>
    </row>
    <row r="132" spans="1:19">
      <c r="A132" s="372" t="s">
        <v>974</v>
      </c>
      <c r="B132" s="372" t="s">
        <v>506</v>
      </c>
      <c r="C132" s="374">
        <v>0.57355552894553896</v>
      </c>
      <c r="D132" s="374">
        <v>0.60177776447276998</v>
      </c>
      <c r="E132" s="374">
        <v>0.63</v>
      </c>
      <c r="F132" s="374">
        <v>0.67</v>
      </c>
      <c r="G132" s="372">
        <v>0.46633530457310401</v>
      </c>
      <c r="H132" s="375"/>
      <c r="J132" s="376"/>
      <c r="K132" s="376"/>
      <c r="L132" s="376"/>
      <c r="M132" s="376"/>
      <c r="N132" s="374"/>
      <c r="P132" s="376"/>
      <c r="Q132" s="376"/>
      <c r="R132" s="372" t="str">
        <f>IF(RIGHT(Table1[[#This Row],[Unit]],1)="*",LEFT(Table1[[#This Row],[Unit]],LEN(Table1[[#This Row],[Unit]])-1),Table1[[#This Row],[Unit]])</f>
        <v>(MNS) Hydro B</v>
      </c>
      <c r="S132" s="372" t="str">
        <f>IF(RIGHT(Table1[[#This Row],[Unit2]],1)="☆",LEFT(Table1[[#This Row],[Unit2]],LEN(Table1[[#This Row],[Unit2]])-1),Table1[[#This Row],[Unit2]])</f>
        <v>(MNS) Hydro B</v>
      </c>
    </row>
    <row r="133" spans="1:19">
      <c r="A133" s="372" t="s">
        <v>974</v>
      </c>
      <c r="B133" s="372" t="s">
        <v>507</v>
      </c>
      <c r="C133" s="374">
        <v>0.55006877560451195</v>
      </c>
      <c r="D133" s="374">
        <v>0.58703438780225603</v>
      </c>
      <c r="E133" s="374">
        <v>0.624</v>
      </c>
      <c r="F133" s="374">
        <v>0.66400000000000003</v>
      </c>
      <c r="G133" s="372">
        <v>0.45788461857232698</v>
      </c>
      <c r="H133" s="375"/>
      <c r="J133" s="376"/>
      <c r="K133" s="376"/>
      <c r="L133" s="376"/>
      <c r="M133" s="376"/>
      <c r="N133" s="374"/>
      <c r="P133" s="376"/>
      <c r="Q133" s="376"/>
      <c r="R133" s="372" t="str">
        <f>IF(RIGHT(Table1[[#This Row],[Unit]],1)="*",LEFT(Table1[[#This Row],[Unit]],LEN(Table1[[#This Row],[Unit]])-1),Table1[[#This Row],[Unit]])</f>
        <v>(MNS) Nitrile</v>
      </c>
      <c r="S133" s="372" t="str">
        <f>IF(RIGHT(Table1[[#This Row],[Unit2]],1)="☆",LEFT(Table1[[#This Row],[Unit2]],LEN(Table1[[#This Row],[Unit2]])-1),Table1[[#This Row],[Unit2]])</f>
        <v>(MNS) Nitrile</v>
      </c>
    </row>
    <row r="134" spans="1:19">
      <c r="A134" s="372" t="s">
        <v>974</v>
      </c>
      <c r="B134" s="372" t="s">
        <v>831</v>
      </c>
      <c r="C134" s="374">
        <v>0.51938537427157605</v>
      </c>
      <c r="D134" s="374">
        <v>0.52719268713578804</v>
      </c>
      <c r="E134" s="374">
        <v>0.53500000000000003</v>
      </c>
      <c r="F134" s="374">
        <v>0.59499999999999997</v>
      </c>
      <c r="G134" s="372">
        <v>0.43839249570069599</v>
      </c>
      <c r="H134" s="375"/>
      <c r="J134" s="376"/>
      <c r="K134" s="376"/>
      <c r="L134" s="376"/>
      <c r="M134" s="376"/>
      <c r="N134" s="374"/>
      <c r="P134" s="376"/>
      <c r="Q134" s="376"/>
      <c r="R134" s="372" t="str">
        <f>IF(RIGHT(Table1[[#This Row],[Unit]],1)="*",LEFT(Table1[[#This Row],[Unit]],LEN(Table1[[#This Row],[Unit]])-1),Table1[[#This Row],[Unit]])</f>
        <v>(MNS) PE L6 (R61)</v>
      </c>
      <c r="S134" s="372" t="str">
        <f>IF(RIGHT(Table1[[#This Row],[Unit2]],1)="☆",LEFT(Table1[[#This Row],[Unit2]],LEN(Table1[[#This Row],[Unit2]])-1),Table1[[#This Row],[Unit2]])</f>
        <v>(MNS) PE L6 (R61)</v>
      </c>
    </row>
    <row r="135" spans="1:19">
      <c r="A135" s="372" t="s">
        <v>974</v>
      </c>
      <c r="B135" s="372" t="s">
        <v>832</v>
      </c>
      <c r="C135" s="374">
        <v>0.48171382734820001</v>
      </c>
      <c r="D135" s="374">
        <v>0.49785691367410001</v>
      </c>
      <c r="E135" s="374">
        <v>0.51400000000000001</v>
      </c>
      <c r="F135" s="374">
        <v>0.57399999999999995</v>
      </c>
      <c r="G135" s="372">
        <v>0.41388501955656098</v>
      </c>
      <c r="H135" s="375"/>
      <c r="J135" s="376"/>
      <c r="K135" s="376"/>
      <c r="L135" s="376"/>
      <c r="M135" s="376"/>
      <c r="N135" s="374"/>
      <c r="P135" s="376"/>
      <c r="Q135" s="376"/>
      <c r="R135" s="372" t="str">
        <f>IF(RIGHT(Table1[[#This Row],[Unit]],1)="*",LEFT(Table1[[#This Row],[Unit]],LEN(Table1[[#This Row],[Unit]])-1),Table1[[#This Row],[Unit]])</f>
        <v>(MNS) PE L6 (R62)</v>
      </c>
      <c r="S135" s="372" t="str">
        <f>IF(RIGHT(Table1[[#This Row],[Unit2]],1)="☆",LEFT(Table1[[#This Row],[Unit2]],LEN(Table1[[#This Row],[Unit2]])-1),Table1[[#This Row],[Unit2]])</f>
        <v>(MNS) PE L6 (R62)</v>
      </c>
    </row>
    <row r="136" spans="1:19">
      <c r="A136" s="372" t="s">
        <v>974</v>
      </c>
      <c r="B136" s="372" t="s">
        <v>833</v>
      </c>
      <c r="C136" s="374">
        <v>0.55021634090948901</v>
      </c>
      <c r="D136" s="374">
        <v>0.56460817045474498</v>
      </c>
      <c r="E136" s="374">
        <v>0.57899999999999996</v>
      </c>
      <c r="F136" s="374">
        <v>0.63900000000000001</v>
      </c>
      <c r="G136" s="372">
        <v>0.49782246685538201</v>
      </c>
      <c r="H136" s="375"/>
      <c r="J136" s="376"/>
      <c r="K136" s="376"/>
      <c r="L136" s="376"/>
      <c r="M136" s="376"/>
      <c r="N136" s="374"/>
      <c r="P136" s="376"/>
      <c r="Q136" s="376"/>
      <c r="R136" s="372" t="str">
        <f>IF(RIGHT(Table1[[#This Row],[Unit]],1)="*",LEFT(Table1[[#This Row],[Unit]],LEN(Table1[[#This Row],[Unit]])-1),Table1[[#This Row],[Unit]])</f>
        <v>(MNS) Perkadox (R25)</v>
      </c>
      <c r="S136" s="372" t="str">
        <f>IF(RIGHT(Table1[[#This Row],[Unit2]],1)="☆",LEFT(Table1[[#This Row],[Unit2]],LEN(Table1[[#This Row],[Unit2]])-1),Table1[[#This Row],[Unit2]])</f>
        <v>(MNS) Perkadox (R25)</v>
      </c>
    </row>
    <row r="137" spans="1:19">
      <c r="A137" s="372" t="s">
        <v>974</v>
      </c>
      <c r="B137" s="372" t="s">
        <v>508</v>
      </c>
      <c r="C137" s="374">
        <v>0.55165007701832203</v>
      </c>
      <c r="D137" s="374">
        <v>0.56232503850916105</v>
      </c>
      <c r="E137" s="374">
        <v>0.57299999999999995</v>
      </c>
      <c r="F137" s="374">
        <v>0.63300000000000001</v>
      </c>
      <c r="G137" s="372">
        <v>0.45017486783202099</v>
      </c>
      <c r="H137" s="375"/>
      <c r="J137" s="376"/>
      <c r="K137" s="376"/>
      <c r="L137" s="376"/>
      <c r="M137" s="376"/>
      <c r="N137" s="374"/>
      <c r="P137" s="376"/>
      <c r="Q137" s="376"/>
      <c r="R137" s="372" t="str">
        <f>IF(RIGHT(Table1[[#This Row],[Unit]],1)="*",LEFT(Table1[[#This Row],[Unit]],LEN(Table1[[#This Row],[Unit]])-1),Table1[[#This Row],[Unit]])</f>
        <v>(MNS) Suspensions (W0)</v>
      </c>
      <c r="S137" s="372" t="str">
        <f>IF(RIGHT(Table1[[#This Row],[Unit2]],1)="☆",LEFT(Table1[[#This Row],[Unit2]],LEN(Table1[[#This Row],[Unit2]])-1),Table1[[#This Row],[Unit2]])</f>
        <v>(MNS) Suspensions (W0)</v>
      </c>
    </row>
    <row r="138" spans="1:19">
      <c r="A138" s="372" t="s">
        <v>974</v>
      </c>
      <c r="B138" s="372" t="s">
        <v>835</v>
      </c>
      <c r="C138" s="374">
        <v>0.500139123574598</v>
      </c>
      <c r="D138" s="374">
        <v>0.40200000000000002</v>
      </c>
      <c r="E138" s="374">
        <v>0.432</v>
      </c>
      <c r="F138" s="374">
        <v>0.52200000000000002</v>
      </c>
      <c r="G138" s="372">
        <v>0.36066134979832498</v>
      </c>
      <c r="H138" s="375"/>
      <c r="J138" s="376"/>
      <c r="K138" s="376"/>
      <c r="L138" s="376"/>
      <c r="M138" s="376"/>
      <c r="N138" s="374"/>
      <c r="P138" s="376"/>
      <c r="Q138" s="376"/>
      <c r="R138" s="372" t="str">
        <f>IF(RIGHT(Table1[[#This Row],[Unit]],1)="*",LEFT(Table1[[#This Row],[Unit]],LEN(Table1[[#This Row],[Unit]])-1),Table1[[#This Row],[Unit]])</f>
        <v>(MNS) Tx-B (R701)</v>
      </c>
      <c r="S138" s="372" t="str">
        <f>IF(RIGHT(Table1[[#This Row],[Unit2]],1)="☆",LEFT(Table1[[#This Row],[Unit2]],LEN(Table1[[#This Row],[Unit2]])-1),Table1[[#This Row],[Unit2]])</f>
        <v>(MNS) Tx-B (R701)</v>
      </c>
    </row>
    <row r="139" spans="1:19">
      <c r="A139" s="372" t="s">
        <v>1240</v>
      </c>
      <c r="B139" s="372" t="s">
        <v>836</v>
      </c>
      <c r="C139" s="374">
        <v>0.73325927076929798</v>
      </c>
      <c r="D139" s="374">
        <v>0.78062963538464902</v>
      </c>
      <c r="E139" s="374">
        <v>0.82799999999999996</v>
      </c>
      <c r="F139" s="374">
        <v>0.85799999999999998</v>
      </c>
      <c r="G139" s="372">
        <v>0.83460527187778599</v>
      </c>
      <c r="H139" s="375"/>
      <c r="J139" s="376"/>
      <c r="K139" s="376"/>
      <c r="L139" s="376"/>
      <c r="M139" s="376"/>
      <c r="N139" s="374"/>
      <c r="P139" s="376"/>
      <c r="Q139" s="376"/>
      <c r="R139" s="372" t="str">
        <f>IF(RIGHT(Table1[[#This Row],[Unit]],1)="*",LEFT(Table1[[#This Row],[Unit]],LEN(Table1[[#This Row],[Unit]])-1),Table1[[#This Row],[Unit]])</f>
        <v>(MRS) Continuous Hydro OAM</v>
      </c>
      <c r="S139" s="372" t="str">
        <f>IF(RIGHT(Table1[[#This Row],[Unit2]],1)="☆",LEFT(Table1[[#This Row],[Unit2]],LEN(Table1[[#This Row],[Unit2]])-1),Table1[[#This Row],[Unit2]])</f>
        <v>(MRS) Continuous Hydro OAM</v>
      </c>
    </row>
    <row r="140" spans="1:19">
      <c r="A140" s="372" t="s">
        <v>1240</v>
      </c>
      <c r="B140" s="372" t="s">
        <v>509</v>
      </c>
      <c r="C140" s="374">
        <v>0.62912034540504502</v>
      </c>
      <c r="D140" s="374">
        <v>0.64656017270252197</v>
      </c>
      <c r="E140" s="374">
        <v>0.66400000000000003</v>
      </c>
      <c r="F140" s="374">
        <v>0.754</v>
      </c>
      <c r="G140" s="372">
        <v>0.69804964545527504</v>
      </c>
      <c r="H140" s="375"/>
      <c r="J140" s="376"/>
      <c r="K140" s="376"/>
      <c r="L140" s="376"/>
      <c r="M140" s="376"/>
      <c r="N140" s="374"/>
      <c r="P140" s="376"/>
      <c r="Q140" s="376"/>
      <c r="R140" s="372" t="str">
        <f>IF(RIGHT(Table1[[#This Row],[Unit]],1)="*",LEFT(Table1[[#This Row],[Unit]],LEN(Table1[[#This Row],[Unit]])-1),Table1[[#This Row],[Unit]])</f>
        <v>(MRS) Nitrile OAM</v>
      </c>
      <c r="S140" s="372" t="str">
        <f>IF(RIGHT(Table1[[#This Row],[Unit2]],1)="☆",LEFT(Table1[[#This Row],[Unit2]],LEN(Table1[[#This Row],[Unit2]])-1),Table1[[#This Row],[Unit2]])</f>
        <v>(MRS) Nitrile OAM</v>
      </c>
    </row>
    <row r="141" spans="1:19">
      <c r="A141" s="372" t="s">
        <v>1240</v>
      </c>
      <c r="B141" s="372" t="s">
        <v>838</v>
      </c>
      <c r="C141" s="374">
        <v>0.66259670126547598</v>
      </c>
      <c r="D141" s="374">
        <v>0.66100000000000003</v>
      </c>
      <c r="E141" s="374">
        <v>0.66600000000000004</v>
      </c>
      <c r="F141" s="374">
        <v>0.70599999999999996</v>
      </c>
      <c r="G141" s="372">
        <v>0.73594484087220202</v>
      </c>
      <c r="H141" s="375"/>
      <c r="J141" s="376"/>
      <c r="K141" s="376"/>
      <c r="L141" s="376"/>
      <c r="M141" s="376"/>
      <c r="N141" s="374"/>
      <c r="P141" s="376"/>
      <c r="Q141" s="376"/>
      <c r="R141" s="372" t="str">
        <f>IF(RIGHT(Table1[[#This Row],[Unit]],1)="*",LEFT(Table1[[#This Row],[Unit]],LEN(Table1[[#This Row],[Unit]])-1),Table1[[#This Row],[Unit]])</f>
        <v>(MRS) RX4 ARQ</v>
      </c>
      <c r="S141" s="372" t="str">
        <f>IF(RIGHT(Table1[[#This Row],[Unit2]],1)="☆",LEFT(Table1[[#This Row],[Unit2]],LEN(Table1[[#This Row],[Unit2]])-1),Table1[[#This Row],[Unit2]])</f>
        <v>(MRS) RX4 ARQ</v>
      </c>
    </row>
    <row r="142" spans="1:19">
      <c r="A142" s="372" t="s">
        <v>1240</v>
      </c>
      <c r="B142" s="372" t="s">
        <v>839</v>
      </c>
      <c r="C142" s="374">
        <v>0.57976153832715904</v>
      </c>
      <c r="D142" s="374">
        <v>0.63138076916357999</v>
      </c>
      <c r="E142" s="374">
        <v>0.68300000000000005</v>
      </c>
      <c r="F142" s="374">
        <v>0.72299999999999998</v>
      </c>
      <c r="G142" s="372">
        <v>0.53521330607144801</v>
      </c>
      <c r="H142" s="375"/>
      <c r="J142" s="376"/>
      <c r="K142" s="376"/>
      <c r="L142" s="376"/>
      <c r="M142" s="376"/>
      <c r="N142" s="374"/>
      <c r="P142" s="376"/>
      <c r="Q142" s="376"/>
      <c r="R142" s="372" t="str">
        <f>IF(RIGHT(Table1[[#This Row],[Unit]],1)="*",LEFT(Table1[[#This Row],[Unit]],LEN(Table1[[#This Row],[Unit]])-1),Table1[[#This Row],[Unit]])</f>
        <v>(MRS) RX6 Batch Hydro</v>
      </c>
      <c r="S142" s="372" t="str">
        <f>IF(RIGHT(Table1[[#This Row],[Unit2]],1)="☆",LEFT(Table1[[#This Row],[Unit2]],LEN(Table1[[#This Row],[Unit2]])-1),Table1[[#This Row],[Unit2]])</f>
        <v>(MRS) RX6 Batch Hydro</v>
      </c>
    </row>
    <row r="143" spans="1:19">
      <c r="A143" s="372" t="s">
        <v>1241</v>
      </c>
      <c r="B143" s="372" t="s">
        <v>1078</v>
      </c>
      <c r="C143" s="374">
        <v>0.95160115668072098</v>
      </c>
      <c r="D143" s="374">
        <v>0.95</v>
      </c>
      <c r="E143" s="374">
        <v>0.95499999999999996</v>
      </c>
      <c r="F143" s="374">
        <v>0.96499999999999997</v>
      </c>
      <c r="G143" s="372">
        <v>0.92622791267170601</v>
      </c>
      <c r="H143" s="375"/>
      <c r="J143" s="376"/>
      <c r="K143" s="376"/>
      <c r="L143" s="376"/>
      <c r="M143" s="376"/>
      <c r="N143" s="374"/>
      <c r="P143" s="376"/>
      <c r="Q143" s="376"/>
      <c r="R143" s="372" t="str">
        <f>IF(RIGHT(Table1[[#This Row],[Unit]],1)="*",LEFT(Table1[[#This Row],[Unit]],LEN(Table1[[#This Row],[Unit]])-1),Table1[[#This Row],[Unit]])</f>
        <v>(MLE) Cell Line A</v>
      </c>
      <c r="S143" s="372" t="str">
        <f>IF(RIGHT(Table1[[#This Row],[Unit2]],1)="☆",LEFT(Table1[[#This Row],[Unit2]],LEN(Table1[[#This Row],[Unit2]])-1),Table1[[#This Row],[Unit2]])</f>
        <v>(MLE) Cell Line A</v>
      </c>
    </row>
    <row r="144" spans="1:19">
      <c r="A144" s="372" t="s">
        <v>1241</v>
      </c>
      <c r="B144" s="372" t="s">
        <v>1079</v>
      </c>
      <c r="C144" s="374">
        <v>0.94956341108157305</v>
      </c>
      <c r="D144" s="374">
        <v>0.94799999999999995</v>
      </c>
      <c r="E144" s="374">
        <v>0.95299999999999996</v>
      </c>
      <c r="F144" s="374">
        <v>0.96299999999999997</v>
      </c>
      <c r="G144" s="372">
        <v>0.94160389981688097</v>
      </c>
      <c r="H144" s="375"/>
      <c r="J144" s="376"/>
      <c r="K144" s="376"/>
      <c r="L144" s="376"/>
      <c r="M144" s="376"/>
      <c r="N144" s="374"/>
      <c r="P144" s="376"/>
      <c r="Q144" s="376"/>
      <c r="R144" s="372" t="str">
        <f>IF(RIGHT(Table1[[#This Row],[Unit]],1)="*",LEFT(Table1[[#This Row],[Unit]],LEN(Table1[[#This Row],[Unit]])-1),Table1[[#This Row],[Unit]])</f>
        <v>(MLE) Cell Line B</v>
      </c>
      <c r="S144" s="372" t="str">
        <f>IF(RIGHT(Table1[[#This Row],[Unit2]],1)="☆",LEFT(Table1[[#This Row],[Unit2]],LEN(Table1[[#This Row],[Unit2]])-1),Table1[[#This Row],[Unit2]])</f>
        <v>(MLE) Cell Line B</v>
      </c>
    </row>
    <row r="145" spans="1:19">
      <c r="A145" s="372" t="s">
        <v>1242</v>
      </c>
      <c r="B145" s="372" t="s">
        <v>840</v>
      </c>
      <c r="C145" s="374">
        <v>0.55078948843337805</v>
      </c>
      <c r="D145" s="374">
        <v>0.55589474421668905</v>
      </c>
      <c r="E145" s="374">
        <v>0.56100000000000005</v>
      </c>
      <c r="F145" s="374">
        <v>0.621</v>
      </c>
      <c r="G145" s="372">
        <v>0.62976992196188597</v>
      </c>
      <c r="H145" s="375"/>
      <c r="J145" s="376"/>
      <c r="K145" s="376"/>
      <c r="L145" s="376"/>
      <c r="M145" s="376"/>
      <c r="N145" s="374"/>
      <c r="P145" s="376"/>
      <c r="Q145" s="376"/>
      <c r="R145" s="372" t="str">
        <f>IF(RIGHT(Table1[[#This Row],[Unit]],1)="*",LEFT(Table1[[#This Row],[Unit]],LEN(Table1[[#This Row],[Unit]])-1),Table1[[#This Row],[Unit]])</f>
        <v>(NIN CH) B11 115E</v>
      </c>
      <c r="S145" s="372" t="str">
        <f>IF(RIGHT(Table1[[#This Row],[Unit2]],1)="☆",LEFT(Table1[[#This Row],[Unit2]],LEN(Table1[[#This Row],[Unit2]])-1),Table1[[#This Row],[Unit2]])</f>
        <v>(NIN CH) B11 115E</v>
      </c>
    </row>
    <row r="146" spans="1:19">
      <c r="A146" s="372" t="s">
        <v>1242</v>
      </c>
      <c r="B146" s="372" t="s">
        <v>514</v>
      </c>
      <c r="C146" s="374">
        <v>0.91982298024479003</v>
      </c>
      <c r="D146" s="374">
        <v>0.91500000000000004</v>
      </c>
      <c r="E146" s="374">
        <v>0.92</v>
      </c>
      <c r="F146" s="374">
        <v>0.94</v>
      </c>
      <c r="G146" s="372">
        <v>0.93266285117309</v>
      </c>
      <c r="H146" s="375"/>
      <c r="J146" s="376"/>
      <c r="K146" s="376"/>
      <c r="L146" s="376"/>
      <c r="M146" s="376"/>
      <c r="N146" s="374"/>
      <c r="P146" s="376"/>
      <c r="Q146" s="376"/>
      <c r="R146" s="372" t="str">
        <f>IF(RIGHT(Table1[[#This Row],[Unit]],1)="*",LEFT(Table1[[#This Row],[Unit]],LEN(Table1[[#This Row],[Unit]])-1),Table1[[#This Row],[Unit]])</f>
        <v>(NIN CH) B2☆</v>
      </c>
      <c r="S146" s="372" t="str">
        <f>IF(RIGHT(Table1[[#This Row],[Unit2]],1)="☆",LEFT(Table1[[#This Row],[Unit2]],LEN(Table1[[#This Row],[Unit2]])-1),Table1[[#This Row],[Unit2]])</f>
        <v>(NIN CH) B2</v>
      </c>
    </row>
    <row r="147" spans="1:19">
      <c r="A147" s="372" t="s">
        <v>1242</v>
      </c>
      <c r="B147" s="372" t="s">
        <v>842</v>
      </c>
      <c r="C147" s="374">
        <v>0.83321170473378103</v>
      </c>
      <c r="D147" s="374">
        <v>0.83799999999999997</v>
      </c>
      <c r="E147" s="374">
        <v>0.84299999999999997</v>
      </c>
      <c r="F147" s="374">
        <v>0.85299999999999998</v>
      </c>
      <c r="G147" s="372">
        <v>0.86918649864755604</v>
      </c>
      <c r="H147" s="375"/>
      <c r="J147" s="376"/>
      <c r="K147" s="376"/>
      <c r="L147" s="376"/>
      <c r="M147" s="376"/>
      <c r="N147" s="374"/>
      <c r="P147" s="376"/>
      <c r="Q147" s="376"/>
      <c r="R147" s="372" t="str">
        <f>IF(RIGHT(Table1[[#This Row],[Unit]],1)="*",LEFT(Table1[[#This Row],[Unit]],LEN(Table1[[#This Row],[Unit]])-1),Table1[[#This Row],[Unit]])</f>
        <v>(NIN CH) B4 RA0401</v>
      </c>
      <c r="S147" s="372" t="str">
        <f>IF(RIGHT(Table1[[#This Row],[Unit2]],1)="☆",LEFT(Table1[[#This Row],[Unit2]],LEN(Table1[[#This Row],[Unit2]])-1),Table1[[#This Row],[Unit2]])</f>
        <v>(NIN CH) B4 RA0401</v>
      </c>
    </row>
    <row r="148" spans="1:19">
      <c r="A148" s="372" t="s">
        <v>1242</v>
      </c>
      <c r="B148" s="372" t="s">
        <v>843</v>
      </c>
      <c r="C148" s="374">
        <v>0.77065870575442996</v>
      </c>
      <c r="D148" s="374">
        <v>0.77582935287721499</v>
      </c>
      <c r="E148" s="374">
        <v>0.78100000000000003</v>
      </c>
      <c r="F148" s="374">
        <v>0.80100000000000005</v>
      </c>
      <c r="G148" s="372">
        <v>0.82436387993128202</v>
      </c>
      <c r="H148" s="375"/>
      <c r="J148" s="376"/>
      <c r="K148" s="376"/>
      <c r="L148" s="376"/>
      <c r="M148" s="376"/>
      <c r="N148" s="374"/>
      <c r="P148" s="376"/>
      <c r="Q148" s="376"/>
      <c r="R148" s="372" t="str">
        <f>IF(RIGHT(Table1[[#This Row],[Unit]],1)="*",LEFT(Table1[[#This Row],[Unit]],LEN(Table1[[#This Row],[Unit]])-1),Table1[[#This Row],[Unit]])</f>
        <v>(NIN CH) B4 RB0401</v>
      </c>
      <c r="S148" s="372" t="str">
        <f>IF(RIGHT(Table1[[#This Row],[Unit2]],1)="☆",LEFT(Table1[[#This Row],[Unit2]],LEN(Table1[[#This Row],[Unit2]])-1),Table1[[#This Row],[Unit2]])</f>
        <v>(NIN CH) B4 RB0401</v>
      </c>
    </row>
    <row r="149" spans="1:19">
      <c r="A149" s="372" t="s">
        <v>1242</v>
      </c>
      <c r="B149" s="372" t="s">
        <v>844</v>
      </c>
      <c r="C149" s="374">
        <v>0.73109664157590404</v>
      </c>
      <c r="D149" s="374">
        <v>0.74154832078795196</v>
      </c>
      <c r="E149" s="374">
        <v>0.752</v>
      </c>
      <c r="F149" s="374">
        <v>0.77200000000000002</v>
      </c>
      <c r="G149" s="372">
        <v>0.78564122324074903</v>
      </c>
      <c r="H149" s="375"/>
      <c r="J149" s="376"/>
      <c r="K149" s="376"/>
      <c r="L149" s="376"/>
      <c r="M149" s="376"/>
      <c r="N149" s="374"/>
      <c r="P149" s="376"/>
      <c r="Q149" s="376"/>
      <c r="R149" s="372" t="str">
        <f>IF(RIGHT(Table1[[#This Row],[Unit]],1)="*",LEFT(Table1[[#This Row],[Unit]],LEN(Table1[[#This Row],[Unit]])-1),Table1[[#This Row],[Unit]])</f>
        <v>(NIN CH) B6 Cryst - Shift Prod☆</v>
      </c>
      <c r="S149" s="372" t="str">
        <f>IF(RIGHT(Table1[[#This Row],[Unit2]],1)="☆",LEFT(Table1[[#This Row],[Unit2]],LEN(Table1[[#This Row],[Unit2]])-1),Table1[[#This Row],[Unit2]])</f>
        <v>(NIN CH) B6 Cryst - Shift Prod</v>
      </c>
    </row>
    <row r="150" spans="1:19">
      <c r="A150" s="372" t="s">
        <v>1242</v>
      </c>
      <c r="B150" s="372" t="s">
        <v>516</v>
      </c>
      <c r="C150" s="374">
        <v>0.87206911148047495</v>
      </c>
      <c r="D150" s="374">
        <v>0.875</v>
      </c>
      <c r="E150" s="374">
        <v>0.88</v>
      </c>
      <c r="F150" s="374">
        <v>0.89</v>
      </c>
      <c r="G150" s="372">
        <v>0.90455943667889005</v>
      </c>
      <c r="H150" s="375"/>
      <c r="J150" s="376"/>
      <c r="K150" s="376"/>
      <c r="L150" s="376"/>
      <c r="M150" s="376"/>
      <c r="N150" s="374"/>
      <c r="P150" s="376"/>
      <c r="Q150" s="376"/>
      <c r="R150" s="372" t="str">
        <f>IF(RIGHT(Table1[[#This Row],[Unit]],1)="*",LEFT(Table1[[#This Row],[Unit]],LEN(Table1[[#This Row],[Unit]])-1),Table1[[#This Row],[Unit]])</f>
        <v>(NIN CH) B8 Spray Dryer - Shift Prod☆</v>
      </c>
      <c r="S150" s="372" t="str">
        <f>IF(RIGHT(Table1[[#This Row],[Unit2]],1)="☆",LEFT(Table1[[#This Row],[Unit2]],LEN(Table1[[#This Row],[Unit2]])-1),Table1[[#This Row],[Unit2]])</f>
        <v>(NIN CH) B8 Spray Dryer - Shift Prod</v>
      </c>
    </row>
    <row r="151" spans="1:19">
      <c r="A151" s="372" t="s">
        <v>1242</v>
      </c>
      <c r="B151" s="372" t="s">
        <v>517</v>
      </c>
      <c r="C151" s="374">
        <v>0.87624505687547805</v>
      </c>
      <c r="D151" s="374">
        <v>0.872</v>
      </c>
      <c r="E151" s="374">
        <v>0.877</v>
      </c>
      <c r="F151" s="374">
        <v>0.88700000000000001</v>
      </c>
      <c r="G151" s="372">
        <v>0.887351384155593</v>
      </c>
      <c r="H151" s="375"/>
      <c r="J151" s="376"/>
      <c r="K151" s="376"/>
      <c r="L151" s="376"/>
      <c r="M151" s="376"/>
      <c r="N151" s="374"/>
      <c r="P151" s="376"/>
      <c r="Q151" s="376"/>
      <c r="R151" s="372" t="str">
        <f>IF(RIGHT(Table1[[#This Row],[Unit]],1)="*",LEFT(Table1[[#This Row],[Unit]],LEN(Table1[[#This Row],[Unit]])-1),Table1[[#This Row],[Unit]])</f>
        <v>(NIN PA) D9101☆</v>
      </c>
      <c r="S151" s="372" t="str">
        <f>IF(RIGHT(Table1[[#This Row],[Unit2]],1)="☆",LEFT(Table1[[#This Row],[Unit2]],LEN(Table1[[#This Row],[Unit2]])-1),Table1[[#This Row],[Unit2]])</f>
        <v>(NIN PA) D9101</v>
      </c>
    </row>
    <row r="152" spans="1:19">
      <c r="A152" s="372" t="s">
        <v>1242</v>
      </c>
      <c r="B152" s="372" t="s">
        <v>518</v>
      </c>
      <c r="C152" s="374">
        <v>0.88817224468400002</v>
      </c>
      <c r="D152" s="374">
        <v>0.89658612234199997</v>
      </c>
      <c r="E152" s="374">
        <v>0.90500000000000003</v>
      </c>
      <c r="F152" s="374">
        <v>0.91500000000000004</v>
      </c>
      <c r="G152" s="372">
        <v>0.927574370767967</v>
      </c>
      <c r="H152" s="375"/>
      <c r="J152" s="376"/>
      <c r="K152" s="376"/>
      <c r="L152" s="376"/>
      <c r="M152" s="376"/>
      <c r="N152" s="374"/>
      <c r="P152" s="376"/>
      <c r="Q152" s="376"/>
      <c r="R152" s="372" t="str">
        <f>IF(RIGHT(Table1[[#This Row],[Unit]],1)="*",LEFT(Table1[[#This Row],[Unit]],LEN(Table1[[#This Row],[Unit]])-1),Table1[[#This Row],[Unit]])</f>
        <v>(NIN) Artemis TBHP</v>
      </c>
      <c r="S152" s="372" t="str">
        <f>IF(RIGHT(Table1[[#This Row],[Unit2]],1)="☆",LEFT(Table1[[#This Row],[Unit2]],LEN(Table1[[#This Row],[Unit2]])-1),Table1[[#This Row],[Unit2]])</f>
        <v>(NIN) Artemis TBHP</v>
      </c>
    </row>
    <row r="153" spans="1:19">
      <c r="A153" s="372" t="s">
        <v>1242</v>
      </c>
      <c r="B153" s="372" t="s">
        <v>519</v>
      </c>
      <c r="C153" s="374">
        <v>0.96227268136928501</v>
      </c>
      <c r="D153" s="374">
        <v>0.94699999999999995</v>
      </c>
      <c r="E153" s="374">
        <v>0.95199999999999996</v>
      </c>
      <c r="F153" s="374">
        <v>0.96199999999999997</v>
      </c>
      <c r="G153" s="372">
        <v>0.95550250698672201</v>
      </c>
      <c r="H153" s="375"/>
      <c r="J153" s="376"/>
      <c r="K153" s="376"/>
      <c r="L153" s="376"/>
      <c r="M153" s="376"/>
      <c r="N153" s="374"/>
      <c r="P153" s="376"/>
      <c r="Q153" s="376"/>
      <c r="R153" s="372" t="str">
        <f>IF(RIGHT(Table1[[#This Row],[Unit]],1)="*",LEFT(Table1[[#This Row],[Unit]],LEN(Table1[[#This Row],[Unit]])-1),Table1[[#This Row],[Unit]])</f>
        <v>(NIN) EDA OAM☆</v>
      </c>
      <c r="S153" s="372" t="str">
        <f>IF(RIGHT(Table1[[#This Row],[Unit2]],1)="☆",LEFT(Table1[[#This Row],[Unit2]],LEN(Table1[[#This Row],[Unit2]])-1),Table1[[#This Row],[Unit2]])</f>
        <v>(NIN) EDA OAM</v>
      </c>
    </row>
    <row r="154" spans="1:19">
      <c r="A154" s="372" t="s">
        <v>1242</v>
      </c>
      <c r="B154" s="372" t="s">
        <v>1085</v>
      </c>
      <c r="C154" s="374">
        <v>0.91963192828090501</v>
      </c>
      <c r="D154" s="374">
        <v>0.93481596414045298</v>
      </c>
      <c r="E154" s="374">
        <v>0.95</v>
      </c>
      <c r="F154" s="374">
        <v>0.96</v>
      </c>
      <c r="G154" s="372">
        <v>0.96031291883292602</v>
      </c>
      <c r="H154" s="375"/>
      <c r="J154" s="376"/>
      <c r="K154" s="376"/>
      <c r="L154" s="376"/>
      <c r="M154" s="376"/>
      <c r="N154" s="374"/>
      <c r="P154" s="376"/>
      <c r="Q154" s="376"/>
      <c r="R154" s="372" t="str">
        <f>IF(RIGHT(Table1[[#This Row],[Unit]],1)="*",LEFT(Table1[[#This Row],[Unit]],LEN(Table1[[#This Row],[Unit]])-1),Table1[[#This Row],[Unit]])</f>
        <v>(NIN) EO OAM</v>
      </c>
      <c r="S154" s="372" t="str">
        <f>IF(RIGHT(Table1[[#This Row],[Unit2]],1)="☆",LEFT(Table1[[#This Row],[Unit2]],LEN(Table1[[#This Row],[Unit2]])-1),Table1[[#This Row],[Unit2]])</f>
        <v>(NIN) EO OAM</v>
      </c>
    </row>
    <row r="155" spans="1:19">
      <c r="A155" s="372" t="s">
        <v>1242</v>
      </c>
      <c r="B155" s="372" t="s">
        <v>1243</v>
      </c>
      <c r="C155" s="374">
        <v>0.80353324738254905</v>
      </c>
      <c r="D155" s="374">
        <v>0.80400000000000005</v>
      </c>
      <c r="E155" s="374">
        <v>0.80900000000000005</v>
      </c>
      <c r="F155" s="374">
        <v>0.81899999999999995</v>
      </c>
      <c r="G155" s="372">
        <v>0.82245479220945505</v>
      </c>
      <c r="H155" s="375"/>
      <c r="J155" s="376"/>
      <c r="K155" s="376"/>
      <c r="L155" s="376"/>
      <c r="M155" s="376"/>
      <c r="N155" s="374"/>
      <c r="P155" s="376"/>
      <c r="Q155" s="376"/>
      <c r="R155" s="372" t="str">
        <f>IF(RIGHT(Table1[[#This Row],[Unit]],1)="*",LEFT(Table1[[#This Row],[Unit]],LEN(Table1[[#This Row],[Unit]])-1),Table1[[#This Row],[Unit]])</f>
        <v>(NIN) Jet Reactor☆</v>
      </c>
      <c r="S155" s="372" t="str">
        <f>IF(RIGHT(Table1[[#This Row],[Unit2]],1)="☆",LEFT(Table1[[#This Row],[Unit2]],LEN(Table1[[#This Row],[Unit2]])-1),Table1[[#This Row],[Unit2]])</f>
        <v>(NIN) Jet Reactor</v>
      </c>
    </row>
    <row r="156" spans="1:19">
      <c r="A156" s="372" t="s">
        <v>1242</v>
      </c>
      <c r="B156" s="372" t="s">
        <v>1244</v>
      </c>
      <c r="C156" s="374">
        <v>0.96060238068263304</v>
      </c>
      <c r="D156" s="374">
        <v>0.94499999999999995</v>
      </c>
      <c r="E156" s="374">
        <v>0.95</v>
      </c>
      <c r="F156" s="374">
        <v>0.96</v>
      </c>
      <c r="G156" s="372">
        <v>0.96344992830470799</v>
      </c>
      <c r="H156" s="375"/>
      <c r="J156" s="376"/>
      <c r="K156" s="376"/>
      <c r="L156" s="376"/>
      <c r="M156" s="376"/>
      <c r="N156" s="374"/>
      <c r="P156" s="376"/>
      <c r="Q156" s="376"/>
      <c r="R156" s="372" t="str">
        <f>IF(RIGHT(Table1[[#This Row],[Unit]],1)="*",LEFT(Table1[[#This Row],[Unit]],LEN(Table1[[#This Row],[Unit]])-1),Table1[[#This Row],[Unit]])</f>
        <v>(NIN) MEA OAM</v>
      </c>
      <c r="S156" s="372" t="str">
        <f>IF(RIGHT(Table1[[#This Row],[Unit2]],1)="☆",LEFT(Table1[[#This Row],[Unit2]],LEN(Table1[[#This Row],[Unit2]])-1),Table1[[#This Row],[Unit2]])</f>
        <v>(NIN) MEA OAM</v>
      </c>
    </row>
    <row r="157" spans="1:19">
      <c r="A157" s="372" t="s">
        <v>1242</v>
      </c>
      <c r="B157" s="372" t="s">
        <v>520</v>
      </c>
      <c r="C157" s="374">
        <v>0.72521827705725195</v>
      </c>
      <c r="D157" s="374">
        <v>0.74810913852862604</v>
      </c>
      <c r="E157" s="374">
        <v>0.77100000000000002</v>
      </c>
      <c r="F157" s="374">
        <v>0.79100000000000004</v>
      </c>
      <c r="G157" s="372">
        <v>0.80896157604895802</v>
      </c>
      <c r="H157" s="375"/>
      <c r="J157" s="376"/>
      <c r="K157" s="376"/>
      <c r="L157" s="376"/>
      <c r="M157" s="376"/>
      <c r="N157" s="374"/>
      <c r="P157" s="376"/>
      <c r="Q157" s="376"/>
      <c r="R157" s="372" t="str">
        <f>IF(RIGHT(Table1[[#This Row],[Unit]],1)="*",LEFT(Table1[[#This Row],[Unit]],LEN(Table1[[#This Row],[Unit]])-1),Table1[[#This Row],[Unit]])</f>
        <v>(NIN) MPP Unit☆</v>
      </c>
      <c r="S157" s="372" t="str">
        <f>IF(RIGHT(Table1[[#This Row],[Unit2]],1)="☆",LEFT(Table1[[#This Row],[Unit2]],LEN(Table1[[#This Row],[Unit2]])-1),Table1[[#This Row],[Unit2]])</f>
        <v>(NIN) MPP Unit</v>
      </c>
    </row>
    <row r="158" spans="1:19">
      <c r="A158" s="372" t="s">
        <v>1242</v>
      </c>
      <c r="B158" s="372" t="s">
        <v>1086</v>
      </c>
      <c r="C158" s="374">
        <v>0.84785941609544602</v>
      </c>
      <c r="D158" s="374">
        <v>0.87092970804772296</v>
      </c>
      <c r="E158" s="374">
        <v>0.89400000000000002</v>
      </c>
      <c r="F158" s="374">
        <v>0.90400000000000003</v>
      </c>
      <c r="G158" s="372">
        <v>0.93173637525980402</v>
      </c>
      <c r="H158" s="375"/>
      <c r="J158" s="376"/>
      <c r="K158" s="376"/>
      <c r="L158" s="376"/>
      <c r="M158" s="376"/>
      <c r="N158" s="374"/>
      <c r="P158" s="376"/>
      <c r="Q158" s="376"/>
      <c r="R158" s="372" t="str">
        <f>IF(RIGHT(Table1[[#This Row],[Unit]],1)="*",LEFT(Table1[[#This Row],[Unit]],LEN(Table1[[#This Row],[Unit]])-1),Table1[[#This Row],[Unit]])</f>
        <v>(NIN) PX14 Unit☆</v>
      </c>
      <c r="S158" s="372" t="str">
        <f>IF(RIGHT(Table1[[#This Row],[Unit2]],1)="☆",LEFT(Table1[[#This Row],[Unit2]],LEN(Table1[[#This Row],[Unit2]])-1),Table1[[#This Row],[Unit2]])</f>
        <v>(NIN) PX14 Unit</v>
      </c>
    </row>
    <row r="159" spans="1:19">
      <c r="A159" s="372" t="s">
        <v>1242</v>
      </c>
      <c r="B159" s="372" t="s">
        <v>1245</v>
      </c>
      <c r="C159" s="374">
        <v>0.92582750724954699</v>
      </c>
      <c r="D159" s="374">
        <v>0.90100000000000002</v>
      </c>
      <c r="E159" s="374">
        <v>0.91100000000000003</v>
      </c>
      <c r="F159" s="374">
        <v>0.93100000000000005</v>
      </c>
      <c r="G159" s="372">
        <v>0.93161496898241403</v>
      </c>
      <c r="H159" s="375"/>
      <c r="J159" s="376"/>
      <c r="K159" s="376"/>
      <c r="L159" s="376"/>
      <c r="M159" s="376"/>
      <c r="N159" s="374"/>
      <c r="P159" s="376"/>
      <c r="Q159" s="376"/>
      <c r="R159" s="372" t="str">
        <f>IF(RIGHT(Table1[[#This Row],[Unit]],1)="*",LEFT(Table1[[#This Row],[Unit]],LEN(Table1[[#This Row],[Unit]])-1),Table1[[#This Row],[Unit]])</f>
        <v>(NIN3) Final DCP AUM</v>
      </c>
      <c r="S159" s="372" t="str">
        <f>IF(RIGHT(Table1[[#This Row],[Unit2]],1)="☆",LEFT(Table1[[#This Row],[Unit2]],LEN(Table1[[#This Row],[Unit2]])-1),Table1[[#This Row],[Unit2]])</f>
        <v>(NIN3) Final DCP AUM</v>
      </c>
    </row>
    <row r="160" spans="1:19">
      <c r="A160" s="372" t="s">
        <v>978</v>
      </c>
      <c r="B160" s="372" t="s">
        <v>845</v>
      </c>
      <c r="C160" s="374">
        <v>0.54914450892371902</v>
      </c>
      <c r="D160" s="374">
        <v>0.502</v>
      </c>
      <c r="E160" s="374">
        <v>0.53200000000000003</v>
      </c>
      <c r="F160" s="374">
        <v>0.59199999999999997</v>
      </c>
      <c r="G160" s="372">
        <v>0.56865702684178299</v>
      </c>
      <c r="H160" s="375"/>
      <c r="J160" s="376"/>
      <c r="K160" s="376"/>
      <c r="L160" s="376"/>
      <c r="M160" s="376"/>
      <c r="N160" s="374"/>
      <c r="P160" s="376"/>
      <c r="Q160" s="376"/>
      <c r="R160" s="372" t="str">
        <f>IF(RIGHT(Table1[[#This Row],[Unit]],1)="*",LEFT(Table1[[#This Row],[Unit]],LEN(Table1[[#This Row],[Unit]])-1),Table1[[#This Row],[Unit]])</f>
        <v>(OVK) CD01 R4</v>
      </c>
      <c r="S160" s="372" t="str">
        <f>IF(RIGHT(Table1[[#This Row],[Unit2]],1)="☆",LEFT(Table1[[#This Row],[Unit2]],LEN(Table1[[#This Row],[Unit2]])-1),Table1[[#This Row],[Unit2]])</f>
        <v>(OVK) CD01 R4</v>
      </c>
    </row>
    <row r="161" spans="1:19">
      <c r="A161" s="372" t="s">
        <v>978</v>
      </c>
      <c r="B161" s="372" t="s">
        <v>846</v>
      </c>
      <c r="C161" s="374">
        <v>0.65876769344259201</v>
      </c>
      <c r="D161" s="374">
        <v>0.67238384672129603</v>
      </c>
      <c r="E161" s="374">
        <v>0.68600000000000005</v>
      </c>
      <c r="F161" s="374">
        <v>0.72599999999999998</v>
      </c>
      <c r="G161" s="372">
        <v>0.62931594900421595</v>
      </c>
      <c r="H161" s="375"/>
      <c r="J161" s="376"/>
      <c r="K161" s="376"/>
      <c r="L161" s="376"/>
      <c r="M161" s="376"/>
      <c r="N161" s="374"/>
      <c r="P161" s="376"/>
      <c r="Q161" s="376"/>
      <c r="R161" s="372" t="str">
        <f>IF(RIGHT(Table1[[#This Row],[Unit]],1)="*",LEFT(Table1[[#This Row],[Unit]],LEN(Table1[[#This Row],[Unit]])-1),Table1[[#This Row],[Unit]])</f>
        <v>(OVK) CD80 R1</v>
      </c>
      <c r="S161" s="372" t="str">
        <f>IF(RIGHT(Table1[[#This Row],[Unit2]],1)="☆",LEFT(Table1[[#This Row],[Unit2]],LEN(Table1[[#This Row],[Unit2]])-1),Table1[[#This Row],[Unit2]])</f>
        <v>(OVK) CD80 R1</v>
      </c>
    </row>
    <row r="162" spans="1:19">
      <c r="A162" s="372" t="s">
        <v>978</v>
      </c>
      <c r="B162" s="372" t="s">
        <v>847</v>
      </c>
      <c r="C162" s="374">
        <v>0.65259579075625995</v>
      </c>
      <c r="D162" s="374">
        <v>0.66629789537813</v>
      </c>
      <c r="E162" s="374">
        <v>0.68</v>
      </c>
      <c r="F162" s="374">
        <v>0.72</v>
      </c>
      <c r="G162" s="372">
        <v>0.61932424795230701</v>
      </c>
      <c r="H162" s="375"/>
      <c r="J162" s="376"/>
      <c r="K162" s="376"/>
      <c r="L162" s="376"/>
      <c r="M162" s="376"/>
      <c r="N162" s="374"/>
      <c r="P162" s="376"/>
      <c r="Q162" s="376"/>
      <c r="R162" s="372" t="str">
        <f>IF(RIGHT(Table1[[#This Row],[Unit]],1)="*",LEFT(Table1[[#This Row],[Unit]],LEN(Table1[[#This Row],[Unit]])-1),Table1[[#This Row],[Unit]])</f>
        <v>(OVK) CD80 R2</v>
      </c>
      <c r="S162" s="372" t="str">
        <f>IF(RIGHT(Table1[[#This Row],[Unit2]],1)="☆",LEFT(Table1[[#This Row],[Unit2]],LEN(Table1[[#This Row],[Unit2]])-1),Table1[[#This Row],[Unit2]])</f>
        <v>(OVK) CD80 R2</v>
      </c>
    </row>
    <row r="163" spans="1:19">
      <c r="A163" s="372" t="s">
        <v>978</v>
      </c>
      <c r="B163" s="372" t="s">
        <v>848</v>
      </c>
      <c r="C163" s="374">
        <v>0.64495258511506903</v>
      </c>
      <c r="D163" s="374">
        <v>0.60899999999999999</v>
      </c>
      <c r="E163" s="374">
        <v>0.629</v>
      </c>
      <c r="F163" s="374">
        <v>0.66900000000000004</v>
      </c>
      <c r="G163" s="372">
        <v>0.64707487700209698</v>
      </c>
      <c r="H163" s="375"/>
      <c r="J163" s="376"/>
      <c r="K163" s="376"/>
      <c r="L163" s="376"/>
      <c r="M163" s="376"/>
      <c r="N163" s="374"/>
      <c r="P163" s="376"/>
      <c r="Q163" s="376"/>
      <c r="R163" s="372" t="str">
        <f>IF(RIGHT(Table1[[#This Row],[Unit]],1)="*",LEFT(Table1[[#This Row],[Unit]],LEN(Table1[[#This Row],[Unit]])-1),Table1[[#This Row],[Unit]])</f>
        <v>(OVK) CD80 R5</v>
      </c>
      <c r="S163" s="372" t="str">
        <f>IF(RIGHT(Table1[[#This Row],[Unit2]],1)="☆",LEFT(Table1[[#This Row],[Unit2]],LEN(Table1[[#This Row],[Unit2]])-1),Table1[[#This Row],[Unit2]])</f>
        <v>(OVK) CD80 R5</v>
      </c>
    </row>
    <row r="164" spans="1:19">
      <c r="A164" s="372" t="s">
        <v>978</v>
      </c>
      <c r="B164" s="372" t="s">
        <v>849</v>
      </c>
      <c r="C164" s="374">
        <v>0.62540441599891805</v>
      </c>
      <c r="D164" s="374">
        <v>0.58799999999999997</v>
      </c>
      <c r="E164" s="374">
        <v>0.60799999999999998</v>
      </c>
      <c r="F164" s="374">
        <v>0.64800000000000002</v>
      </c>
      <c r="G164" s="372">
        <v>0.64256846201865603</v>
      </c>
      <c r="H164" s="375"/>
      <c r="J164" s="376"/>
      <c r="K164" s="376"/>
      <c r="L164" s="376"/>
      <c r="M164" s="376"/>
      <c r="N164" s="374"/>
      <c r="P164" s="376"/>
      <c r="Q164" s="376"/>
      <c r="R164" s="372" t="str">
        <f>IF(RIGHT(Table1[[#This Row],[Unit]],1)="*",LEFT(Table1[[#This Row],[Unit]],LEN(Table1[[#This Row],[Unit]])-1),Table1[[#This Row],[Unit]])</f>
        <v>(OVK) CD96 R3</v>
      </c>
      <c r="S164" s="372" t="str">
        <f>IF(RIGHT(Table1[[#This Row],[Unit2]],1)="☆",LEFT(Table1[[#This Row],[Unit2]],LEN(Table1[[#This Row],[Unit2]])-1),Table1[[#This Row],[Unit2]])</f>
        <v>(OVK) CD96 R3</v>
      </c>
    </row>
    <row r="165" spans="1:19">
      <c r="A165" s="372" t="s">
        <v>977</v>
      </c>
      <c r="B165" s="372" t="s">
        <v>521</v>
      </c>
      <c r="C165" s="374">
        <v>0.70608632323057696</v>
      </c>
      <c r="D165" s="374">
        <v>0.754543161615288</v>
      </c>
      <c r="E165" s="374">
        <v>0.80300000000000005</v>
      </c>
      <c r="F165" s="374">
        <v>0.83299999999999996</v>
      </c>
      <c r="G165" s="372">
        <v>0.78592826061836796</v>
      </c>
      <c r="H165" s="375"/>
      <c r="J165" s="376"/>
      <c r="K165" s="376"/>
      <c r="L165" s="376"/>
      <c r="M165" s="376"/>
      <c r="N165" s="374"/>
      <c r="P165" s="376"/>
      <c r="Q165" s="376"/>
      <c r="R165" s="372" t="str">
        <f>IF(RIGHT(Table1[[#This Row],[Unit]],1)="*",LEFT(Table1[[#This Row],[Unit]],LEN(Table1[[#This Row],[Unit]])-1),Table1[[#This Row],[Unit]])</f>
        <v>(OUL) Cell Line CR69☆</v>
      </c>
      <c r="S165" s="372" t="str">
        <f>IF(RIGHT(Table1[[#This Row],[Unit2]],1)="☆",LEFT(Table1[[#This Row],[Unit2]],LEN(Table1[[#This Row],[Unit2]])-1),Table1[[#This Row],[Unit2]])</f>
        <v>(OUL) Cell Line CR69</v>
      </c>
    </row>
    <row r="166" spans="1:19">
      <c r="A166" s="372" t="s">
        <v>977</v>
      </c>
      <c r="B166" s="372" t="s">
        <v>522</v>
      </c>
      <c r="C166" s="374">
        <v>0.85446796943419401</v>
      </c>
      <c r="D166" s="374">
        <v>0.88373398471709697</v>
      </c>
      <c r="E166" s="374">
        <v>0.91300000000000003</v>
      </c>
      <c r="F166" s="374">
        <v>0.93300000000000005</v>
      </c>
      <c r="G166" s="372">
        <v>0.90088292806939596</v>
      </c>
      <c r="H166" s="375"/>
      <c r="J166" s="376"/>
      <c r="K166" s="376"/>
      <c r="L166" s="376"/>
      <c r="M166" s="376"/>
      <c r="N166" s="374"/>
      <c r="P166" s="376"/>
      <c r="Q166" s="376"/>
      <c r="R166" s="372" t="str">
        <f>IF(RIGHT(Table1[[#This Row],[Unit]],1)="*",LEFT(Table1[[#This Row],[Unit]],LEN(Table1[[#This Row],[Unit]])-1),Table1[[#This Row],[Unit]])</f>
        <v>(OUL) Cell Line CR80☆</v>
      </c>
      <c r="S166" s="372" t="str">
        <f>IF(RIGHT(Table1[[#This Row],[Unit2]],1)="☆",LEFT(Table1[[#This Row],[Unit2]],LEN(Table1[[#This Row],[Unit2]])-1),Table1[[#This Row],[Unit2]])</f>
        <v>(OUL) Cell Line CR80</v>
      </c>
    </row>
    <row r="167" spans="1:19">
      <c r="A167" s="372" t="s">
        <v>1246</v>
      </c>
      <c r="B167" s="372" t="s">
        <v>823</v>
      </c>
      <c r="C167" s="374">
        <v>0.79862550565648205</v>
      </c>
      <c r="D167" s="374">
        <v>0.749</v>
      </c>
      <c r="E167" s="374">
        <v>0.75900000000000001</v>
      </c>
      <c r="F167" s="374">
        <v>0.77900000000000003</v>
      </c>
      <c r="G167" s="372">
        <v>0.66284210576241998</v>
      </c>
      <c r="H167" s="375"/>
      <c r="J167" s="376"/>
      <c r="K167" s="376"/>
      <c r="L167" s="376"/>
      <c r="M167" s="376"/>
      <c r="N167" s="374"/>
      <c r="P167" s="376"/>
      <c r="Q167" s="376"/>
      <c r="R167" s="372" t="str">
        <f>IF(RIGHT(Table1[[#This Row],[Unit]],1)="*",LEFT(Table1[[#This Row],[Unit]],LEN(Table1[[#This Row],[Unit]])-1),Table1[[#This Row],[Unit]])</f>
        <v>(LPT) MPP 46-R300</v>
      </c>
      <c r="S167" s="372" t="str">
        <f>IF(RIGHT(Table1[[#This Row],[Unit2]],1)="☆",LEFT(Table1[[#This Row],[Unit2]],LEN(Table1[[#This Row],[Unit2]])-1),Table1[[#This Row],[Unit2]])</f>
        <v>(LPT) MPP 46-R300</v>
      </c>
    </row>
    <row r="168" spans="1:19">
      <c r="A168" s="372" t="s">
        <v>1246</v>
      </c>
      <c r="B168" s="372" t="s">
        <v>503</v>
      </c>
      <c r="C168" s="374">
        <v>0.83981909997007298</v>
      </c>
      <c r="D168" s="374">
        <v>0.82299999999999995</v>
      </c>
      <c r="E168" s="374">
        <v>0.82799999999999996</v>
      </c>
      <c r="F168" s="374">
        <v>0.83799999999999997</v>
      </c>
      <c r="G168" s="372">
        <v>0.75010896468735599</v>
      </c>
      <c r="H168" s="375"/>
      <c r="J168" s="376"/>
      <c r="K168" s="376"/>
      <c r="L168" s="376"/>
      <c r="M168" s="376"/>
      <c r="N168" s="374"/>
      <c r="P168" s="376"/>
      <c r="Q168" s="376"/>
      <c r="R168" s="372" t="str">
        <f>IF(RIGHT(Table1[[#This Row],[Unit]],1)="*",LEFT(Table1[[#This Row],[Unit]],LEN(Table1[[#This Row],[Unit]])-1),Table1[[#This Row],[Unit]])</f>
        <v>(LPT) PC 41-R300</v>
      </c>
      <c r="S168" s="372" t="str">
        <f>IF(RIGHT(Table1[[#This Row],[Unit2]],1)="☆",LEFT(Table1[[#This Row],[Unit2]],LEN(Table1[[#This Row],[Unit2]])-1),Table1[[#This Row],[Unit2]])</f>
        <v>(LPT) PC 41-R300</v>
      </c>
    </row>
    <row r="169" spans="1:19">
      <c r="A169" s="372" t="s">
        <v>1246</v>
      </c>
      <c r="B169" s="372" t="s">
        <v>824</v>
      </c>
      <c r="C169" s="374">
        <v>0.82049986649707796</v>
      </c>
      <c r="D169" s="374">
        <v>0.81399999999999995</v>
      </c>
      <c r="E169" s="374">
        <v>0.81899999999999995</v>
      </c>
      <c r="F169" s="374">
        <v>0.82899999999999996</v>
      </c>
      <c r="G169" s="372">
        <v>0.71056179547678899</v>
      </c>
      <c r="H169" s="375"/>
      <c r="J169" s="376"/>
      <c r="K169" s="376"/>
      <c r="L169" s="376"/>
      <c r="M169" s="376"/>
      <c r="N169" s="374"/>
      <c r="P169" s="376"/>
      <c r="Q169" s="376"/>
      <c r="R169" s="372" t="str">
        <f>IF(RIGHT(Table1[[#This Row],[Unit]],1)="*",LEFT(Table1[[#This Row],[Unit]],LEN(Table1[[#This Row],[Unit]])-1),Table1[[#This Row],[Unit]])</f>
        <v>(LPT) PE 43-R300</v>
      </c>
      <c r="S169" s="372" t="str">
        <f>IF(RIGHT(Table1[[#This Row],[Unit2]],1)="☆",LEFT(Table1[[#This Row],[Unit2]],LEN(Table1[[#This Row],[Unit2]])-1),Table1[[#This Row],[Unit2]])</f>
        <v>(LPT) PE 43-R300</v>
      </c>
    </row>
    <row r="170" spans="1:19">
      <c r="A170" s="372" t="s">
        <v>1246</v>
      </c>
      <c r="B170" s="372" t="s">
        <v>1077</v>
      </c>
      <c r="C170" s="374">
        <v>0.87080653902440996</v>
      </c>
      <c r="D170" s="374">
        <v>0.874</v>
      </c>
      <c r="E170" s="374">
        <v>0.879</v>
      </c>
      <c r="F170" s="374">
        <v>0.88900000000000001</v>
      </c>
      <c r="G170" s="372">
        <v>0.88511942769080498</v>
      </c>
      <c r="H170" s="375"/>
      <c r="J170" s="376"/>
      <c r="K170" s="376"/>
      <c r="L170" s="376"/>
      <c r="M170" s="376"/>
      <c r="N170" s="374"/>
      <c r="P170" s="376"/>
      <c r="Q170" s="376"/>
      <c r="R170" s="372" t="str">
        <f>IF(RIGHT(Table1[[#This Row],[Unit]],1)="*",LEFT(Table1[[#This Row],[Unit]],LEN(Table1[[#This Row],[Unit]])-1),Table1[[#This Row],[Unit]])</f>
        <v>(LPT) TAHP 51-R320☆</v>
      </c>
      <c r="S170" s="372" t="str">
        <f>IF(RIGHT(Table1[[#This Row],[Unit2]],1)="☆",LEFT(Table1[[#This Row],[Unit2]],LEN(Table1[[#This Row],[Unit2]])-1),Table1[[#This Row],[Unit2]])</f>
        <v>(LPT) TAHP 51-R320</v>
      </c>
    </row>
    <row r="171" spans="1:19">
      <c r="A171" s="372" t="s">
        <v>1247</v>
      </c>
      <c r="B171" s="372" t="s">
        <v>1087</v>
      </c>
      <c r="C171" s="374">
        <v>0.86050675079961603</v>
      </c>
      <c r="D171" s="374">
        <v>0.86575337539980801</v>
      </c>
      <c r="E171" s="374">
        <v>0.871</v>
      </c>
      <c r="F171" s="374">
        <v>0.88100000000000001</v>
      </c>
      <c r="G171" s="372">
        <v>0.87892960552251598</v>
      </c>
      <c r="H171" s="375"/>
      <c r="J171" s="376"/>
      <c r="K171" s="376"/>
      <c r="L171" s="376"/>
      <c r="M171" s="376"/>
      <c r="N171" s="374"/>
      <c r="P171" s="376"/>
      <c r="Q171" s="376"/>
      <c r="R171" s="372" t="str">
        <f>IF(RIGHT(Table1[[#This Row],[Unit]],1)="*",LEFT(Table1[[#This Row],[Unit]],LEN(Table1[[#This Row],[Unit]])-1),Table1[[#This Row],[Unit]])</f>
        <v>(RDJ) R5101</v>
      </c>
      <c r="S171" s="372" t="str">
        <f>IF(RIGHT(Table1[[#This Row],[Unit2]],1)="☆",LEFT(Table1[[#This Row],[Unit2]],LEN(Table1[[#This Row],[Unit2]])-1),Table1[[#This Row],[Unit2]])</f>
        <v>(RDJ) R5101</v>
      </c>
    </row>
    <row r="172" spans="1:19">
      <c r="A172" s="372" t="s">
        <v>1247</v>
      </c>
      <c r="B172" s="372" t="s">
        <v>1088</v>
      </c>
      <c r="C172" s="374">
        <v>0.848111561906287</v>
      </c>
      <c r="D172" s="374">
        <v>0.858555780953144</v>
      </c>
      <c r="E172" s="374">
        <v>0.86899999999999999</v>
      </c>
      <c r="F172" s="374">
        <v>0.879</v>
      </c>
      <c r="G172" s="372">
        <v>0.86760248600164602</v>
      </c>
      <c r="H172" s="375"/>
      <c r="J172" s="376"/>
      <c r="K172" s="376"/>
      <c r="L172" s="376"/>
      <c r="M172" s="376"/>
      <c r="N172" s="374"/>
      <c r="P172" s="376"/>
      <c r="Q172" s="376"/>
      <c r="R172" s="372" t="str">
        <f>IF(RIGHT(Table1[[#This Row],[Unit]],1)="*",LEFT(Table1[[#This Row],[Unit]],LEN(Table1[[#This Row],[Unit]])-1),Table1[[#This Row],[Unit]])</f>
        <v>(RDJ) R5102</v>
      </c>
      <c r="S172" s="372" t="str">
        <f>IF(RIGHT(Table1[[#This Row],[Unit2]],1)="☆",LEFT(Table1[[#This Row],[Unit2]],LEN(Table1[[#This Row],[Unit2]])-1),Table1[[#This Row],[Unit2]])</f>
        <v>(RDJ) R5102</v>
      </c>
    </row>
    <row r="173" spans="1:19">
      <c r="A173" s="372" t="s">
        <v>983</v>
      </c>
      <c r="B173" s="372" t="s">
        <v>524</v>
      </c>
      <c r="C173" s="374">
        <v>0.86563384710685898</v>
      </c>
      <c r="D173" s="374">
        <v>0.87731692355343005</v>
      </c>
      <c r="E173" s="374">
        <v>0.88900000000000001</v>
      </c>
      <c r="F173" s="374">
        <v>0.91900000000000004</v>
      </c>
      <c r="G173" s="372">
        <v>0.85956087281192095</v>
      </c>
      <c r="H173" s="375"/>
      <c r="J173" s="376"/>
      <c r="K173" s="376"/>
      <c r="L173" s="376"/>
      <c r="M173" s="376"/>
      <c r="N173" s="374"/>
      <c r="P173" s="376"/>
      <c r="Q173" s="376"/>
      <c r="R173" s="372" t="str">
        <f>IF(RIGHT(Table1[[#This Row],[Unit]],1)="*",LEFT(Table1[[#This Row],[Unit]],LEN(Table1[[#This Row],[Unit]])-1),Table1[[#This Row],[Unit]])</f>
        <v>(RKN) Crude HP☆</v>
      </c>
      <c r="S173" s="372" t="str">
        <f>IF(RIGHT(Table1[[#This Row],[Unit2]],1)="☆",LEFT(Table1[[#This Row],[Unit2]],LEN(Table1[[#This Row],[Unit2]])-1),Table1[[#This Row],[Unit2]])</f>
        <v>(RKN) Crude HP</v>
      </c>
    </row>
    <row r="174" spans="1:19">
      <c r="A174" s="372" t="s">
        <v>979</v>
      </c>
      <c r="B174" s="372" t="s">
        <v>523</v>
      </c>
      <c r="C174" s="374">
        <v>0.97295191494751099</v>
      </c>
      <c r="D174" s="374">
        <v>0.80100000000000005</v>
      </c>
      <c r="E174" s="374">
        <v>0.80600000000000005</v>
      </c>
      <c r="F174" s="374">
        <v>0.83599999999999997</v>
      </c>
      <c r="G174" s="372">
        <v>0.77155269609085197</v>
      </c>
      <c r="H174" s="375"/>
      <c r="J174" s="376"/>
      <c r="K174" s="376"/>
      <c r="L174" s="376"/>
      <c r="M174" s="376"/>
      <c r="N174" s="374"/>
      <c r="P174" s="376"/>
      <c r="Q174" s="376"/>
      <c r="R174" s="372" t="str">
        <f>IF(RIGHT(Table1[[#This Row],[Unit]],1)="*",LEFT(Table1[[#This Row],[Unit]],LEN(Table1[[#This Row],[Unit]])-1),Table1[[#This Row],[Unit]])</f>
        <v>(RDE) DME AUM</v>
      </c>
      <c r="S174" s="372" t="str">
        <f>IF(RIGHT(Table1[[#This Row],[Unit2]],1)="☆",LEFT(Table1[[#This Row],[Unit2]],LEN(Table1[[#This Row],[Unit2]])-1),Table1[[#This Row],[Unit2]])</f>
        <v>(RDE) DME AUM</v>
      </c>
    </row>
    <row r="175" spans="1:19">
      <c r="A175" s="372" t="s">
        <v>980</v>
      </c>
      <c r="B175" s="372" t="s">
        <v>850</v>
      </c>
      <c r="C175" s="374">
        <v>0.913744622593051</v>
      </c>
      <c r="D175" s="374">
        <v>0.91700000000000004</v>
      </c>
      <c r="E175" s="374">
        <v>0.92200000000000004</v>
      </c>
      <c r="F175" s="374">
        <v>0.94199999999999995</v>
      </c>
      <c r="G175" s="372">
        <v>0.97206944143028995</v>
      </c>
      <c r="H175" s="375"/>
      <c r="J175" s="376"/>
      <c r="K175" s="376"/>
      <c r="L175" s="376"/>
      <c r="M175" s="376"/>
      <c r="N175" s="374"/>
      <c r="P175" s="376"/>
      <c r="Q175" s="376"/>
      <c r="R175" s="372" t="str">
        <f>IF(RIGHT(Table1[[#This Row],[Unit]],1)="*",LEFT(Table1[[#This Row],[Unit]],LEN(Table1[[#This Row],[Unit]])-1),Table1[[#This Row],[Unit]])</f>
        <v>(RDM) U4500 Shift Summary</v>
      </c>
      <c r="S175" s="372" t="str">
        <f>IF(RIGHT(Table1[[#This Row],[Unit2]],1)="☆",LEFT(Table1[[#This Row],[Unit2]],LEN(Table1[[#This Row],[Unit2]])-1),Table1[[#This Row],[Unit2]])</f>
        <v>(RDM) U4500 Shift Summary</v>
      </c>
    </row>
    <row r="176" spans="1:19">
      <c r="A176" s="372" t="s">
        <v>1248</v>
      </c>
      <c r="B176" s="372" t="s">
        <v>529</v>
      </c>
      <c r="C176" s="374">
        <v>0.42516374306082699</v>
      </c>
      <c r="D176" s="374">
        <v>0.47008187153041298</v>
      </c>
      <c r="E176" s="374">
        <v>0.51500000000000001</v>
      </c>
      <c r="F176" s="374">
        <v>0.57499999999999996</v>
      </c>
      <c r="G176" s="372">
        <v>0.35601330015693999</v>
      </c>
      <c r="H176" s="375"/>
      <c r="J176" s="376"/>
      <c r="K176" s="376"/>
      <c r="L176" s="376"/>
      <c r="M176" s="376"/>
      <c r="N176" s="374"/>
      <c r="P176" s="376"/>
      <c r="Q176" s="376"/>
      <c r="R176" s="372" t="str">
        <f>IF(RIGHT(Table1[[#This Row],[Unit]],1)="*",LEFT(Table1[[#This Row],[Unit]],LEN(Table1[[#This Row],[Unit]])-1),Table1[[#This Row],[Unit]])</f>
        <v>(SLS) LFD3: PQ-10 Dryer</v>
      </c>
      <c r="S176" s="372" t="str">
        <f>IF(RIGHT(Table1[[#This Row],[Unit2]],1)="☆",LEFT(Table1[[#This Row],[Unit2]],LEN(Table1[[#This Row],[Unit2]])-1),Table1[[#This Row],[Unit2]])</f>
        <v>(SLS) LFD3: PQ-10 Dryer</v>
      </c>
    </row>
    <row r="177" spans="1:19">
      <c r="A177" s="372" t="s">
        <v>1248</v>
      </c>
      <c r="B177" s="372" t="s">
        <v>532</v>
      </c>
      <c r="C177" s="374">
        <v>0.81606598439751099</v>
      </c>
      <c r="D177" s="374">
        <v>0.80700000000000005</v>
      </c>
      <c r="E177" s="374">
        <v>0.81200000000000006</v>
      </c>
      <c r="F177" s="374">
        <v>0.82199999999999995</v>
      </c>
      <c r="G177" s="372">
        <v>0.71869977531676399</v>
      </c>
      <c r="H177" s="375"/>
      <c r="J177" s="376"/>
      <c r="K177" s="376"/>
      <c r="L177" s="376"/>
      <c r="M177" s="376"/>
      <c r="N177" s="374"/>
      <c r="P177" s="376"/>
      <c r="Q177" s="376"/>
      <c r="R177" s="372" t="str">
        <f>IF(RIGHT(Table1[[#This Row],[Unit]],1)="*",LEFT(Table1[[#This Row],[Unit]],LEN(Table1[[#This Row],[Unit]])-1),Table1[[#This Row],[Unit]])</f>
        <v>(SLS) R04: OAA Wash/Strip Reac.</v>
      </c>
      <c r="S177" s="372" t="str">
        <f>IF(RIGHT(Table1[[#This Row],[Unit2]],1)="☆",LEFT(Table1[[#This Row],[Unit2]],LEN(Table1[[#This Row],[Unit2]])-1),Table1[[#This Row],[Unit2]])</f>
        <v>(SLS) R04: OAA Wash/Strip Reac.</v>
      </c>
    </row>
    <row r="178" spans="1:19">
      <c r="A178" s="372" t="s">
        <v>1248</v>
      </c>
      <c r="B178" s="372" t="s">
        <v>534</v>
      </c>
      <c r="C178" s="374">
        <v>0.74337762315399902</v>
      </c>
      <c r="D178" s="374">
        <v>0.75468881157699896</v>
      </c>
      <c r="E178" s="374">
        <v>0.76600000000000001</v>
      </c>
      <c r="F178" s="374">
        <v>0.78600000000000003</v>
      </c>
      <c r="G178" s="372">
        <v>0.64915471488540399</v>
      </c>
      <c r="H178" s="375"/>
      <c r="J178" s="376"/>
      <c r="K178" s="376"/>
      <c r="L178" s="376"/>
      <c r="M178" s="376"/>
      <c r="N178" s="374"/>
      <c r="P178" s="376"/>
      <c r="Q178" s="376"/>
      <c r="R178" s="372" t="str">
        <f>IF(RIGHT(Table1[[#This Row],[Unit]],1)="*",LEFT(Table1[[#This Row],[Unit]],LEN(Table1[[#This Row],[Unit]])-1),Table1[[#This Row],[Unit]])</f>
        <v>(SLS) SD100: Amph. Spray Dryer</v>
      </c>
      <c r="S178" s="372" t="str">
        <f>IF(RIGHT(Table1[[#This Row],[Unit2]],1)="☆",LEFT(Table1[[#This Row],[Unit2]],LEN(Table1[[#This Row],[Unit2]])-1),Table1[[#This Row],[Unit2]])</f>
        <v>(SLS) SD100: Amph. Spray Dryer</v>
      </c>
    </row>
    <row r="179" spans="1:19">
      <c r="A179" s="372" t="s">
        <v>1249</v>
      </c>
      <c r="B179" s="372" t="s">
        <v>627</v>
      </c>
      <c r="C179" s="374">
        <v>0.815897277177564</v>
      </c>
      <c r="D179" s="374">
        <v>0.82994863858878198</v>
      </c>
      <c r="E179" s="374">
        <v>0.84399999999999997</v>
      </c>
      <c r="F179" s="374">
        <v>0.874</v>
      </c>
      <c r="G179" s="372">
        <v>0.82596109252510397</v>
      </c>
      <c r="H179" s="375"/>
      <c r="J179" s="376"/>
      <c r="K179" s="376"/>
      <c r="L179" s="376"/>
      <c r="M179" s="376"/>
      <c r="N179" s="374"/>
      <c r="P179" s="376"/>
      <c r="Q179" s="376"/>
      <c r="R179" s="372" t="str">
        <f>IF(RIGHT(Table1[[#This Row],[Unit]],1)="*",LEFT(Table1[[#This Row],[Unit]],LEN(Table1[[#This Row],[Unit]])-1),Table1[[#This Row],[Unit]])</f>
        <v>(SLZ) Acid</v>
      </c>
      <c r="S179" s="372" t="str">
        <f>IF(RIGHT(Table1[[#This Row],[Unit2]],1)="☆",LEFT(Table1[[#This Row],[Unit2]],LEN(Table1[[#This Row],[Unit2]])-1),Table1[[#This Row],[Unit2]])</f>
        <v>(SLZ) Acid</v>
      </c>
    </row>
    <row r="180" spans="1:19">
      <c r="A180" s="372" t="s">
        <v>1249</v>
      </c>
      <c r="B180" s="372" t="s">
        <v>628</v>
      </c>
      <c r="C180" s="374">
        <v>0.73262165322469697</v>
      </c>
      <c r="D180" s="374">
        <v>0.81131082661234899</v>
      </c>
      <c r="E180" s="374">
        <v>0.89</v>
      </c>
      <c r="F180" s="374">
        <v>0.92</v>
      </c>
      <c r="G180" s="372">
        <v>0.61232776605543104</v>
      </c>
      <c r="H180" s="375"/>
      <c r="J180" s="376"/>
      <c r="K180" s="376"/>
      <c r="L180" s="376"/>
      <c r="M180" s="376"/>
      <c r="N180" s="374"/>
      <c r="P180" s="376"/>
      <c r="Q180" s="376"/>
      <c r="R180" s="372" t="str">
        <f>IF(RIGHT(Table1[[#This Row],[Unit]],1)="*",LEFT(Table1[[#This Row],[Unit]],LEN(Table1[[#This Row],[Unit]])-1),Table1[[#This Row],[Unit]])</f>
        <v>(SLZ) CS2</v>
      </c>
      <c r="S180" s="372" t="str">
        <f>IF(RIGHT(Table1[[#This Row],[Unit2]],1)="☆",LEFT(Table1[[#This Row],[Unit2]],LEN(Table1[[#This Row],[Unit2]])-1),Table1[[#This Row],[Unit2]])</f>
        <v>(SLZ) CS2</v>
      </c>
    </row>
    <row r="181" spans="1:19">
      <c r="A181" s="372" t="s">
        <v>1249</v>
      </c>
      <c r="B181" s="372" t="s">
        <v>856</v>
      </c>
      <c r="C181" s="374">
        <v>0.70422259263731102</v>
      </c>
      <c r="D181" s="374">
        <v>0.79011129631865495</v>
      </c>
      <c r="E181" s="374">
        <v>0.876</v>
      </c>
      <c r="F181" s="374">
        <v>0.88600000000000001</v>
      </c>
      <c r="G181" s="372">
        <v>0.58805529397665701</v>
      </c>
      <c r="H181" s="375"/>
      <c r="J181" s="376"/>
      <c r="K181" s="376"/>
      <c r="L181" s="376"/>
      <c r="M181" s="376"/>
      <c r="N181" s="374"/>
      <c r="P181" s="376"/>
      <c r="Q181" s="376"/>
      <c r="R181" s="372" t="str">
        <f>IF(RIGHT(Table1[[#This Row],[Unit]],1)="*",LEFT(Table1[[#This Row],[Unit]],LEN(Table1[[#This Row],[Unit]])-1),Table1[[#This Row],[Unit]])</f>
        <v>(SLZ) NaSH</v>
      </c>
      <c r="S181" s="372" t="str">
        <f>IF(RIGHT(Table1[[#This Row],[Unit2]],1)="☆",LEFT(Table1[[#This Row],[Unit2]],LEN(Table1[[#This Row],[Unit2]])-1),Table1[[#This Row],[Unit2]])</f>
        <v>(SLZ) NaSH</v>
      </c>
    </row>
    <row r="182" spans="1:19">
      <c r="A182" s="372" t="s">
        <v>1250</v>
      </c>
      <c r="B182" s="372" t="s">
        <v>1105</v>
      </c>
      <c r="C182" s="374">
        <v>0.54961611028728297</v>
      </c>
      <c r="D182" s="374">
        <v>0.60730805514364194</v>
      </c>
      <c r="E182" s="374">
        <v>0.66500000000000004</v>
      </c>
      <c r="F182" s="374">
        <v>0.70499999999999996</v>
      </c>
      <c r="G182" s="372">
        <v>0.58055483550036002</v>
      </c>
      <c r="H182" s="375"/>
      <c r="J182" s="376"/>
      <c r="K182" s="376"/>
      <c r="L182" s="376"/>
      <c r="M182" s="376"/>
      <c r="N182" s="374"/>
      <c r="P182" s="376"/>
      <c r="Q182" s="376"/>
      <c r="R182" s="372" t="str">
        <f>IF(RIGHT(Table1[[#This Row],[Unit]],1)="*",LEFT(Table1[[#This Row],[Unit]],LEN(Table1[[#This Row],[Unit]])-1),Table1[[#This Row],[Unit]])</f>
        <v>(YAM) Unit2 V2301</v>
      </c>
      <c r="S182" s="372" t="str">
        <f>IF(RIGHT(Table1[[#This Row],[Unit2]],1)="☆",LEFT(Table1[[#This Row],[Unit2]],LEN(Table1[[#This Row],[Unit2]])-1),Table1[[#This Row],[Unit2]])</f>
        <v>(YAM) Unit2 V2301</v>
      </c>
    </row>
    <row r="183" spans="1:19">
      <c r="A183" s="372" t="s">
        <v>1250</v>
      </c>
      <c r="B183" s="372" t="s">
        <v>1106</v>
      </c>
      <c r="C183" s="374">
        <v>0.52362826005353702</v>
      </c>
      <c r="D183" s="374">
        <v>0.57631413002676901</v>
      </c>
      <c r="E183" s="374">
        <v>0.629</v>
      </c>
      <c r="F183" s="374">
        <v>0.66900000000000004</v>
      </c>
      <c r="G183" s="372">
        <v>0.59253839886368098</v>
      </c>
      <c r="H183" s="375"/>
      <c r="J183" s="376"/>
      <c r="K183" s="376"/>
      <c r="L183" s="376"/>
      <c r="M183" s="376"/>
      <c r="N183" s="374"/>
      <c r="P183" s="376"/>
      <c r="Q183" s="376"/>
      <c r="R183" s="372" t="str">
        <f>IF(RIGHT(Table1[[#This Row],[Unit]],1)="*",LEFT(Table1[[#This Row],[Unit]],LEN(Table1[[#This Row],[Unit]])-1),Table1[[#This Row],[Unit]])</f>
        <v>(YAM) Unit2 V2401</v>
      </c>
      <c r="S183" s="372" t="str">
        <f>IF(RIGHT(Table1[[#This Row],[Unit2]],1)="☆",LEFT(Table1[[#This Row],[Unit2]],LEN(Table1[[#This Row],[Unit2]])-1),Table1[[#This Row],[Unit2]])</f>
        <v>(YAM) Unit2 V2401</v>
      </c>
    </row>
    <row r="184" spans="1:19">
      <c r="A184" s="372" t="s">
        <v>1251</v>
      </c>
      <c r="B184" s="372" t="s">
        <v>494</v>
      </c>
      <c r="C184" s="374">
        <v>0.86548062065972198</v>
      </c>
      <c r="D184" s="374">
        <v>0.85799999999999998</v>
      </c>
      <c r="E184" s="374">
        <v>0.86299999999999999</v>
      </c>
      <c r="F184" s="374">
        <v>0.873</v>
      </c>
      <c r="G184" s="372">
        <v>0.86885780556007797</v>
      </c>
      <c r="H184" s="375"/>
      <c r="J184" s="376"/>
      <c r="K184" s="376"/>
      <c r="L184" s="376"/>
      <c r="M184" s="376"/>
      <c r="N184" s="374"/>
      <c r="P184" s="376"/>
      <c r="Q184" s="376"/>
      <c r="R184" s="372" t="str">
        <f>IF(RIGHT(Table1[[#This Row],[Unit]],1)="*",LEFT(Table1[[#This Row],[Unit]],LEN(Table1[[#This Row],[Unit]])-1),Table1[[#This Row],[Unit]])</f>
        <v>(JRG) Quat Reactor 14R101</v>
      </c>
      <c r="S184" s="372" t="str">
        <f>IF(RIGHT(Table1[[#This Row],[Unit2]],1)="☆",LEFT(Table1[[#This Row],[Unit2]],LEN(Table1[[#This Row],[Unit2]])-1),Table1[[#This Row],[Unit2]])</f>
        <v>(JRG) Quat Reactor 14R101</v>
      </c>
    </row>
    <row r="185" spans="1:19">
      <c r="A185" s="372" t="s">
        <v>1251</v>
      </c>
      <c r="B185" s="372" t="s">
        <v>871</v>
      </c>
      <c r="C185" s="374">
        <v>0.76194527803337098</v>
      </c>
      <c r="D185" s="374">
        <v>0.78697263901668602</v>
      </c>
      <c r="E185" s="374">
        <v>0.81200000000000006</v>
      </c>
      <c r="F185" s="374">
        <v>0.82199999999999995</v>
      </c>
      <c r="G185" s="372">
        <v>0.87779227720577502</v>
      </c>
      <c r="H185" s="375"/>
      <c r="J185" s="376"/>
      <c r="K185" s="376"/>
      <c r="L185" s="376"/>
      <c r="M185" s="376"/>
      <c r="N185" s="374"/>
      <c r="P185" s="376"/>
      <c r="Q185" s="376"/>
      <c r="R185" s="372" t="str">
        <f>IF(RIGHT(Table1[[#This Row],[Unit]],1)="*",LEFT(Table1[[#This Row],[Unit]],LEN(Table1[[#This Row],[Unit]])-1),Table1[[#This Row],[Unit]])</f>
        <v>(SSG) Jet Reactor</v>
      </c>
      <c r="S185" s="372" t="str">
        <f>IF(RIGHT(Table1[[#This Row],[Unit2]],1)="☆",LEFT(Table1[[#This Row],[Unit2]],LEN(Table1[[#This Row],[Unit2]])-1),Table1[[#This Row],[Unit2]])</f>
        <v>(SSG) Jet Reactor</v>
      </c>
    </row>
    <row r="186" spans="1:19">
      <c r="A186" s="372" t="s">
        <v>984</v>
      </c>
      <c r="B186" s="372" t="s">
        <v>542</v>
      </c>
      <c r="C186" s="374">
        <v>0.80171003287172204</v>
      </c>
      <c r="D186" s="374">
        <v>0.83235501643586096</v>
      </c>
      <c r="E186" s="374">
        <v>0.86299999999999999</v>
      </c>
      <c r="F186" s="374">
        <v>0.873</v>
      </c>
      <c r="G186" s="372">
        <v>0.79342908474572904</v>
      </c>
      <c r="H186" s="375"/>
      <c r="J186" s="376"/>
      <c r="K186" s="376"/>
      <c r="L186" s="376"/>
      <c r="M186" s="376"/>
      <c r="N186" s="374"/>
      <c r="P186" s="376"/>
      <c r="Q186" s="376"/>
      <c r="R186" s="372" t="str">
        <f>IF(RIGHT(Table1[[#This Row],[Unit]],1)="*",LEFT(Table1[[#This Row],[Unit]],LEN(Table1[[#This Row],[Unit]])-1),Table1[[#This Row],[Unit]])</f>
        <v>(SSD) Calcium AUM</v>
      </c>
      <c r="S186" s="372" t="str">
        <f>IF(RIGHT(Table1[[#This Row],[Unit2]],1)="☆",LEFT(Table1[[#This Row],[Unit2]],LEN(Table1[[#This Row],[Unit2]])-1),Table1[[#This Row],[Unit2]])</f>
        <v>(SSD) Calcium AUM</v>
      </c>
    </row>
    <row r="187" spans="1:19">
      <c r="A187" s="372" t="s">
        <v>984</v>
      </c>
      <c r="B187" s="372" t="s">
        <v>543</v>
      </c>
      <c r="C187" s="374">
        <v>0.81707320732051303</v>
      </c>
      <c r="D187" s="374">
        <v>0.87053660366025698</v>
      </c>
      <c r="E187" s="374">
        <v>0.92400000000000004</v>
      </c>
      <c r="F187" s="374">
        <v>0.94399999999999995</v>
      </c>
      <c r="G187" s="372">
        <v>0.91384187523920501</v>
      </c>
      <c r="H187" s="375"/>
      <c r="J187" s="376"/>
      <c r="K187" s="376"/>
      <c r="L187" s="376"/>
      <c r="M187" s="376"/>
      <c r="N187" s="374"/>
      <c r="P187" s="376"/>
      <c r="Q187" s="376"/>
      <c r="R187" s="372" t="str">
        <f>IF(RIGHT(Table1[[#This Row],[Unit]],1)="*",LEFT(Table1[[#This Row],[Unit]],LEN(Table1[[#This Row],[Unit]])-1),Table1[[#This Row],[Unit]])</f>
        <v>(SSD) EDA AUM☆</v>
      </c>
      <c r="S187" s="372" t="str">
        <f>IF(RIGHT(Table1[[#This Row],[Unit2]],1)="☆",LEFT(Table1[[#This Row],[Unit2]],LEN(Table1[[#This Row],[Unit2]])-1),Table1[[#This Row],[Unit2]])</f>
        <v>(SSD) EDA AUM</v>
      </c>
    </row>
    <row r="188" spans="1:19">
      <c r="A188" s="372" t="s">
        <v>984</v>
      </c>
      <c r="B188" s="372" t="s">
        <v>865</v>
      </c>
      <c r="C188" s="374">
        <v>0.62260539290553196</v>
      </c>
      <c r="D188" s="374">
        <v>0.648802696452766</v>
      </c>
      <c r="E188" s="374">
        <v>0.67500000000000004</v>
      </c>
      <c r="F188" s="374">
        <v>0.71499999999999997</v>
      </c>
      <c r="G188" s="372">
        <v>0.65475556603739604</v>
      </c>
      <c r="H188" s="375"/>
      <c r="J188" s="376"/>
      <c r="K188" s="376"/>
      <c r="L188" s="376"/>
      <c r="M188" s="376"/>
      <c r="N188" s="374"/>
      <c r="P188" s="376"/>
      <c r="Q188" s="376"/>
      <c r="R188" s="372" t="str">
        <f>IF(RIGHT(Table1[[#This Row],[Unit]],1)="*",LEFT(Table1[[#This Row],[Unit]],LEN(Table1[[#This Row],[Unit]])-1),Table1[[#This Row],[Unit]])</f>
        <v>(SSD) EMU REA 1</v>
      </c>
      <c r="S188" s="372" t="str">
        <f>IF(RIGHT(Table1[[#This Row],[Unit2]],1)="☆",LEFT(Table1[[#This Row],[Unit2]],LEN(Table1[[#This Row],[Unit2]])-1),Table1[[#This Row],[Unit2]])</f>
        <v>(SSD) EMU REA 1</v>
      </c>
    </row>
    <row r="189" spans="1:19">
      <c r="A189" s="372" t="s">
        <v>984</v>
      </c>
      <c r="B189" s="372" t="s">
        <v>866</v>
      </c>
      <c r="C189" s="374">
        <v>0.56957360104411303</v>
      </c>
      <c r="D189" s="374">
        <v>0.59728680052205596</v>
      </c>
      <c r="E189" s="374">
        <v>0.625</v>
      </c>
      <c r="F189" s="374">
        <v>0.66500000000000004</v>
      </c>
      <c r="G189" s="372">
        <v>0.60497923518403596</v>
      </c>
      <c r="H189" s="375"/>
      <c r="J189" s="376"/>
      <c r="K189" s="376"/>
      <c r="L189" s="376"/>
      <c r="M189" s="376"/>
      <c r="N189" s="374"/>
      <c r="P189" s="376"/>
      <c r="Q189" s="376"/>
      <c r="R189" s="372" t="str">
        <f>IF(RIGHT(Table1[[#This Row],[Unit]],1)="*",LEFT(Table1[[#This Row],[Unit]],LEN(Table1[[#This Row],[Unit]])-1),Table1[[#This Row],[Unit]])</f>
        <v>(SSD) EMU REA 3</v>
      </c>
      <c r="S189" s="372" t="str">
        <f>IF(RIGHT(Table1[[#This Row],[Unit2]],1)="☆",LEFT(Table1[[#This Row],[Unit2]],LEN(Table1[[#This Row],[Unit2]])-1),Table1[[#This Row],[Unit2]])</f>
        <v>(SSD) EMU REA 3</v>
      </c>
    </row>
    <row r="190" spans="1:19">
      <c r="A190" s="372" t="s">
        <v>984</v>
      </c>
      <c r="B190" s="372" t="s">
        <v>867</v>
      </c>
      <c r="C190" s="374">
        <v>0.55586253639067496</v>
      </c>
      <c r="D190" s="374">
        <v>0.58093126819533802</v>
      </c>
      <c r="E190" s="374">
        <v>0.60599999999999998</v>
      </c>
      <c r="F190" s="374">
        <v>0.64600000000000002</v>
      </c>
      <c r="G190" s="372">
        <v>0.58726036326883102</v>
      </c>
      <c r="H190" s="375"/>
      <c r="J190" s="376"/>
      <c r="K190" s="376"/>
      <c r="L190" s="376"/>
      <c r="M190" s="376"/>
      <c r="N190" s="374"/>
      <c r="P190" s="376"/>
      <c r="Q190" s="376"/>
      <c r="R190" s="372" t="str">
        <f>IF(RIGHT(Table1[[#This Row],[Unit]],1)="*",LEFT(Table1[[#This Row],[Unit]],LEN(Table1[[#This Row],[Unit]])-1),Table1[[#This Row],[Unit]])</f>
        <v>(SSD) EMU REA 4</v>
      </c>
      <c r="S190" s="372" t="str">
        <f>IF(RIGHT(Table1[[#This Row],[Unit2]],1)="☆",LEFT(Table1[[#This Row],[Unit2]],LEN(Table1[[#This Row],[Unit2]])-1),Table1[[#This Row],[Unit2]])</f>
        <v>(SSD) EMU REA 4</v>
      </c>
    </row>
    <row r="191" spans="1:19">
      <c r="A191" s="372" t="s">
        <v>984</v>
      </c>
      <c r="B191" s="372" t="s">
        <v>868</v>
      </c>
      <c r="C191" s="374">
        <v>0.55467924625201304</v>
      </c>
      <c r="D191" s="374">
        <v>0.57833962312600595</v>
      </c>
      <c r="E191" s="374">
        <v>0.60199999999999998</v>
      </c>
      <c r="F191" s="374">
        <v>0.64200000000000002</v>
      </c>
      <c r="G191" s="372">
        <v>0.61759935244195197</v>
      </c>
      <c r="H191" s="375"/>
      <c r="J191" s="376"/>
      <c r="K191" s="376"/>
      <c r="L191" s="376"/>
      <c r="M191" s="376"/>
      <c r="N191" s="374"/>
      <c r="P191" s="376"/>
      <c r="Q191" s="376"/>
      <c r="R191" s="372" t="str">
        <f>IF(RIGHT(Table1[[#This Row],[Unit]],1)="*",LEFT(Table1[[#This Row],[Unit]],LEN(Table1[[#This Row],[Unit]])-1),Table1[[#This Row],[Unit]])</f>
        <v>(SSD) EMU REA 6</v>
      </c>
      <c r="S191" s="372" t="str">
        <f>IF(RIGHT(Table1[[#This Row],[Unit2]],1)="☆",LEFT(Table1[[#This Row],[Unit2]],LEN(Table1[[#This Row],[Unit2]])-1),Table1[[#This Row],[Unit2]])</f>
        <v>(SSD) EMU REA 6</v>
      </c>
    </row>
    <row r="192" spans="1:19">
      <c r="A192" s="372" t="s">
        <v>984</v>
      </c>
      <c r="B192" s="372" t="s">
        <v>544</v>
      </c>
      <c r="C192" s="374">
        <v>0.79056415208785602</v>
      </c>
      <c r="D192" s="374">
        <v>0.86278207604392798</v>
      </c>
      <c r="E192" s="374">
        <v>0.93500000000000005</v>
      </c>
      <c r="F192" s="374">
        <v>0.95499999999999996</v>
      </c>
      <c r="G192" s="372">
        <v>0.94684641818793602</v>
      </c>
      <c r="H192" s="375"/>
      <c r="J192" s="376"/>
      <c r="K192" s="376"/>
      <c r="L192" s="376"/>
      <c r="M192" s="376"/>
      <c r="N192" s="374"/>
      <c r="P192" s="376"/>
      <c r="Q192" s="376"/>
      <c r="R192" s="372" t="str">
        <f>IF(RIGHT(Table1[[#This Row],[Unit]],1)="*",LEFT(Table1[[#This Row],[Unit]],LEN(Table1[[#This Row],[Unit]])-1),Table1[[#This Row],[Unit]])</f>
        <v>(SSD) EO AUM☆</v>
      </c>
      <c r="S192" s="372" t="str">
        <f>IF(RIGHT(Table1[[#This Row],[Unit2]],1)="☆",LEFT(Table1[[#This Row],[Unit2]],LEN(Table1[[#This Row],[Unit2]])-1),Table1[[#This Row],[Unit2]])</f>
        <v>(SSD) EO AUM</v>
      </c>
    </row>
    <row r="193" spans="1:19">
      <c r="A193" s="372" t="s">
        <v>984</v>
      </c>
      <c r="B193" s="372" t="s">
        <v>545</v>
      </c>
      <c r="C193" s="374">
        <v>0.78384814364025501</v>
      </c>
      <c r="D193" s="374">
        <v>0.83642407182012801</v>
      </c>
      <c r="E193" s="374">
        <v>0.88900000000000001</v>
      </c>
      <c r="F193" s="374">
        <v>0.91900000000000004</v>
      </c>
      <c r="G193" s="372">
        <v>0.88143943192263496</v>
      </c>
      <c r="H193" s="375"/>
      <c r="J193" s="376"/>
      <c r="K193" s="376"/>
      <c r="L193" s="376"/>
      <c r="M193" s="376"/>
      <c r="N193" s="374"/>
      <c r="P193" s="376"/>
      <c r="Q193" s="376"/>
      <c r="R193" s="372" t="str">
        <f>IF(RIGHT(Table1[[#This Row],[Unit]],1)="*",LEFT(Table1[[#This Row],[Unit]],LEN(Table1[[#This Row],[Unit]])-1),Table1[[#This Row],[Unit]])</f>
        <v>(SSD) MEA AUM☆</v>
      </c>
      <c r="S193" s="372" t="str">
        <f>IF(RIGHT(Table1[[#This Row],[Unit2]],1)="☆",LEFT(Table1[[#This Row],[Unit2]],LEN(Table1[[#This Row],[Unit2]])-1),Table1[[#This Row],[Unit2]])</f>
        <v>(SSD) MEA AUM</v>
      </c>
    </row>
    <row r="194" spans="1:19">
      <c r="A194" s="372" t="s">
        <v>984</v>
      </c>
      <c r="B194" s="372" t="s">
        <v>546</v>
      </c>
      <c r="C194" s="374">
        <v>0.67986486275014801</v>
      </c>
      <c r="D194" s="374">
        <v>0.70043243137507405</v>
      </c>
      <c r="E194" s="374">
        <v>0.72099999999999997</v>
      </c>
      <c r="F194" s="374">
        <v>0.751</v>
      </c>
      <c r="G194" s="372">
        <v>0.68453200935238701</v>
      </c>
      <c r="H194" s="375"/>
      <c r="J194" s="376"/>
      <c r="K194" s="376"/>
      <c r="L194" s="376"/>
      <c r="M194" s="376"/>
      <c r="N194" s="374"/>
      <c r="P194" s="376"/>
      <c r="Q194" s="376"/>
      <c r="R194" s="372" t="str">
        <f>IF(RIGHT(Table1[[#This Row],[Unit]],1)="*",LEFT(Table1[[#This Row],[Unit]],LEN(Table1[[#This Row],[Unit]])-1),Table1[[#This Row],[Unit]])</f>
        <v>(SSD) STF Special D7810</v>
      </c>
      <c r="S194" s="372" t="str">
        <f>IF(RIGHT(Table1[[#This Row],[Unit2]],1)="☆",LEFT(Table1[[#This Row],[Unit2]],LEN(Table1[[#This Row],[Unit2]])-1),Table1[[#This Row],[Unit2]])</f>
        <v>(SSD) STF Special D7810</v>
      </c>
    </row>
    <row r="195" spans="1:19">
      <c r="A195" s="372" t="s">
        <v>985</v>
      </c>
      <c r="B195" s="372" t="s">
        <v>535</v>
      </c>
      <c r="C195" s="374">
        <v>0.85778261090253005</v>
      </c>
      <c r="D195" s="374">
        <v>0.86639130545126497</v>
      </c>
      <c r="E195" s="374">
        <v>0.875</v>
      </c>
      <c r="F195" s="374">
        <v>0.90500000000000003</v>
      </c>
      <c r="G195" s="372">
        <v>0.89900106426167004</v>
      </c>
      <c r="H195" s="375"/>
      <c r="J195" s="376"/>
      <c r="K195" s="376"/>
      <c r="L195" s="376"/>
      <c r="M195" s="376"/>
      <c r="N195" s="374"/>
      <c r="P195" s="376"/>
      <c r="Q195" s="376"/>
      <c r="R195" s="372" t="str">
        <f>IF(RIGHT(Table1[[#This Row],[Unit]],1)="*",LEFT(Table1[[#This Row],[Unit]],LEN(Table1[[#This Row],[Unit]])-1),Table1[[#This Row],[Unit]])</f>
        <v>(SND) Cell line K87 B411☆</v>
      </c>
      <c r="S195" s="372" t="str">
        <f>IF(RIGHT(Table1[[#This Row],[Unit2]],1)="☆",LEFT(Table1[[#This Row],[Unit2]],LEN(Table1[[#This Row],[Unit2]])-1),Table1[[#This Row],[Unit2]])</f>
        <v>(SND) Cell line K87 B411</v>
      </c>
    </row>
    <row r="196" spans="1:19">
      <c r="A196" s="372" t="s">
        <v>985</v>
      </c>
      <c r="B196" s="372" t="s">
        <v>536</v>
      </c>
      <c r="C196" s="374">
        <v>0.87990407484011002</v>
      </c>
      <c r="D196" s="374">
        <v>0.88495203742005502</v>
      </c>
      <c r="E196" s="374">
        <v>0.89</v>
      </c>
      <c r="F196" s="374">
        <v>0.92</v>
      </c>
      <c r="G196" s="372">
        <v>0.898296102229316</v>
      </c>
      <c r="H196" s="375"/>
      <c r="J196" s="376"/>
      <c r="K196" s="376"/>
      <c r="L196" s="376"/>
      <c r="M196" s="376"/>
      <c r="N196" s="374"/>
      <c r="P196" s="376"/>
      <c r="Q196" s="376"/>
      <c r="R196" s="372" t="str">
        <f>IF(RIGHT(Table1[[#This Row],[Unit]],1)="*",LEFT(Table1[[#This Row],[Unit]],LEN(Table1[[#This Row],[Unit]])-1),Table1[[#This Row],[Unit]])</f>
        <v>(SND) Cell line K97 B421☆</v>
      </c>
      <c r="S196" s="372" t="str">
        <f>IF(RIGHT(Table1[[#This Row],[Unit2]],1)="☆",LEFT(Table1[[#This Row],[Unit2]],LEN(Table1[[#This Row],[Unit2]])-1),Table1[[#This Row],[Unit2]])</f>
        <v>(SND) Cell line K97 B421</v>
      </c>
    </row>
    <row r="197" spans="1:19">
      <c r="A197" s="372" t="s">
        <v>985</v>
      </c>
      <c r="B197" s="372" t="s">
        <v>538</v>
      </c>
      <c r="C197" s="374">
        <v>0.75757140999584904</v>
      </c>
      <c r="D197" s="374">
        <v>0.76778570499792398</v>
      </c>
      <c r="E197" s="374">
        <v>0.77800000000000002</v>
      </c>
      <c r="F197" s="374">
        <v>0.79800000000000004</v>
      </c>
      <c r="G197" s="372">
        <v>0.703765474851895</v>
      </c>
      <c r="H197" s="375"/>
      <c r="J197" s="376"/>
      <c r="K197" s="376"/>
      <c r="L197" s="376"/>
      <c r="M197" s="376"/>
      <c r="N197" s="374"/>
      <c r="P197" s="376"/>
      <c r="Q197" s="376"/>
      <c r="R197" s="372" t="str">
        <f>IF(RIGHT(Table1[[#This Row],[Unit]],1)="*",LEFT(Table1[[#This Row],[Unit]],LEN(Table1[[#This Row],[Unit]])-1),Table1[[#This Row],[Unit]])</f>
        <v>(SND) DU21☆</v>
      </c>
      <c r="S197" s="372" t="str">
        <f>IF(RIGHT(Table1[[#This Row],[Unit2]],1)="☆",LEFT(Table1[[#This Row],[Unit2]],LEN(Table1[[#This Row],[Unit2]])-1),Table1[[#This Row],[Unit2]])</f>
        <v>(SND) DU21</v>
      </c>
    </row>
    <row r="198" spans="1:19">
      <c r="A198" s="372" t="s">
        <v>985</v>
      </c>
      <c r="B198" s="372" t="s">
        <v>539</v>
      </c>
      <c r="C198" s="374">
        <v>0.751154711287916</v>
      </c>
      <c r="D198" s="374">
        <v>0.76107735564395795</v>
      </c>
      <c r="E198" s="374">
        <v>0.77100000000000002</v>
      </c>
      <c r="F198" s="374">
        <v>0.79100000000000004</v>
      </c>
      <c r="G198" s="372">
        <v>0.67366713306512205</v>
      </c>
      <c r="H198" s="375"/>
      <c r="J198" s="376"/>
      <c r="K198" s="376"/>
      <c r="L198" s="376"/>
      <c r="M198" s="376"/>
      <c r="N198" s="374"/>
      <c r="P198" s="376"/>
      <c r="Q198" s="376"/>
      <c r="R198" s="372" t="str">
        <f>IF(RIGHT(Table1[[#This Row],[Unit]],1)="*",LEFT(Table1[[#This Row],[Unit]],LEN(Table1[[#This Row],[Unit]])-1),Table1[[#This Row],[Unit]])</f>
        <v>(SND) DU22☆</v>
      </c>
      <c r="S198" s="372" t="str">
        <f>IF(RIGHT(Table1[[#This Row],[Unit2]],1)="☆",LEFT(Table1[[#This Row],[Unit2]],LEN(Table1[[#This Row],[Unit2]])-1),Table1[[#This Row],[Unit2]])</f>
        <v>(SND) DU22</v>
      </c>
    </row>
    <row r="199" spans="1:19">
      <c r="A199" s="372" t="s">
        <v>985</v>
      </c>
      <c r="B199" s="372" t="s">
        <v>1100</v>
      </c>
      <c r="C199" s="374">
        <v>0.78408650509205102</v>
      </c>
      <c r="D199" s="374">
        <v>0.78954325254602498</v>
      </c>
      <c r="E199" s="374">
        <v>0.79500000000000004</v>
      </c>
      <c r="F199" s="374">
        <v>0.81499999999999995</v>
      </c>
      <c r="G199" s="372">
        <v>0.84386889623246097</v>
      </c>
      <c r="H199" s="375"/>
      <c r="J199" s="376"/>
      <c r="K199" s="376"/>
      <c r="L199" s="376"/>
      <c r="M199" s="376"/>
      <c r="N199" s="374"/>
      <c r="P199" s="376"/>
      <c r="Q199" s="376"/>
      <c r="R199" s="372" t="str">
        <f>IF(RIGHT(Table1[[#This Row],[Unit]],1)="*",LEFT(Table1[[#This Row],[Unit]],LEN(Table1[[#This Row],[Unit]])-1),Table1[[#This Row],[Unit]])</f>
        <v>(SND) POL4☆</v>
      </c>
      <c r="S199" s="372" t="str">
        <f>IF(RIGHT(Table1[[#This Row],[Unit2]],1)="☆",LEFT(Table1[[#This Row],[Unit2]],LEN(Table1[[#This Row],[Unit2]])-1),Table1[[#This Row],[Unit2]])</f>
        <v>(SND) POL4</v>
      </c>
    </row>
    <row r="200" spans="1:19">
      <c r="A200" s="372" t="s">
        <v>985</v>
      </c>
      <c r="B200" s="372" t="s">
        <v>1101</v>
      </c>
      <c r="C200" s="374">
        <v>0.76050787352807603</v>
      </c>
      <c r="D200" s="374">
        <v>0.76200000000000001</v>
      </c>
      <c r="E200" s="374">
        <v>0.76700000000000002</v>
      </c>
      <c r="F200" s="374">
        <v>0.78700000000000003</v>
      </c>
      <c r="G200" s="372">
        <v>0.77333633827464798</v>
      </c>
      <c r="H200" s="375"/>
      <c r="J200" s="376"/>
      <c r="K200" s="376"/>
      <c r="L200" s="376"/>
      <c r="M200" s="376"/>
      <c r="N200" s="374"/>
      <c r="P200" s="376"/>
      <c r="Q200" s="376"/>
      <c r="R200" s="372" t="str">
        <f>IF(RIGHT(Table1[[#This Row],[Unit]],1)="*",LEFT(Table1[[#This Row],[Unit]],LEN(Table1[[#This Row],[Unit]])-1),Table1[[#This Row],[Unit]])</f>
        <v>(SND) POL5☆</v>
      </c>
      <c r="S200" s="372" t="str">
        <f>IF(RIGHT(Table1[[#This Row],[Unit2]],1)="☆",LEFT(Table1[[#This Row],[Unit2]],LEN(Table1[[#This Row],[Unit2]])-1),Table1[[#This Row],[Unit2]])</f>
        <v>(SND) POL5</v>
      </c>
    </row>
    <row r="201" spans="1:19">
      <c r="A201" s="372" t="s">
        <v>985</v>
      </c>
      <c r="B201" s="372" t="s">
        <v>1102</v>
      </c>
      <c r="C201" s="374">
        <v>0.81648411703774704</v>
      </c>
      <c r="D201" s="374">
        <v>0.82099999999999995</v>
      </c>
      <c r="E201" s="374">
        <v>0.82599999999999996</v>
      </c>
      <c r="F201" s="374">
        <v>0.83599999999999997</v>
      </c>
      <c r="G201" s="372">
        <v>0.86113321694186695</v>
      </c>
      <c r="H201" s="375"/>
      <c r="J201" s="376"/>
      <c r="K201" s="376"/>
      <c r="L201" s="376"/>
      <c r="M201" s="376"/>
      <c r="N201" s="374"/>
      <c r="P201" s="376"/>
      <c r="Q201" s="376"/>
      <c r="R201" s="372" t="str">
        <f>IF(RIGHT(Table1[[#This Row],[Unit]],1)="*",LEFT(Table1[[#This Row],[Unit]],LEN(Table1[[#This Row],[Unit]])-1),Table1[[#This Row],[Unit]])</f>
        <v>(SND) POL7☆</v>
      </c>
      <c r="S201" s="372" t="str">
        <f>IF(RIGHT(Table1[[#This Row],[Unit2]],1)="☆",LEFT(Table1[[#This Row],[Unit2]],LEN(Table1[[#This Row],[Unit2]])-1),Table1[[#This Row],[Unit2]])</f>
        <v>(SND) POL7</v>
      </c>
    </row>
    <row r="202" spans="1:19">
      <c r="A202" s="372" t="s">
        <v>1252</v>
      </c>
      <c r="B202" s="372" t="s">
        <v>547</v>
      </c>
      <c r="C202" s="374">
        <v>0.94560424743600602</v>
      </c>
      <c r="D202" s="374">
        <v>0.94199999999999995</v>
      </c>
      <c r="E202" s="374">
        <v>0.94699999999999995</v>
      </c>
      <c r="F202" s="374">
        <v>0.95699999999999996</v>
      </c>
      <c r="G202" s="372">
        <v>0.95291249254694699</v>
      </c>
      <c r="H202" s="375"/>
      <c r="J202" s="376"/>
      <c r="K202" s="376"/>
      <c r="L202" s="376"/>
      <c r="M202" s="376"/>
      <c r="N202" s="374"/>
      <c r="P202" s="376"/>
      <c r="Q202" s="376"/>
      <c r="R202" s="372" t="str">
        <f>IF(RIGHT(Table1[[#This Row],[Unit]],1)="*",LEFT(Table1[[#This Row],[Unit]],LEN(Table1[[#This Row],[Unit]])-1),Table1[[#This Row],[Unit]])</f>
        <v>(TCG) Jumbo 4000</v>
      </c>
      <c r="S202" s="372" t="str">
        <f>IF(RIGHT(Table1[[#This Row],[Unit2]],1)="☆",LEFT(Table1[[#This Row],[Unit2]],LEN(Table1[[#This Row],[Unit2]])-1),Table1[[#This Row],[Unit2]])</f>
        <v>(TCG) Jumbo 4000</v>
      </c>
    </row>
    <row r="203" spans="1:19">
      <c r="A203" s="372" t="s">
        <v>1252</v>
      </c>
      <c r="B203" s="372" t="s">
        <v>548</v>
      </c>
      <c r="C203" s="374">
        <v>0.94424214035982301</v>
      </c>
      <c r="D203" s="374">
        <v>0.93899999999999995</v>
      </c>
      <c r="E203" s="374">
        <v>0.94399999999999995</v>
      </c>
      <c r="F203" s="374">
        <v>0.95399999999999996</v>
      </c>
      <c r="G203" s="372">
        <v>0.94916637474962295</v>
      </c>
      <c r="H203" s="375"/>
      <c r="J203" s="376"/>
      <c r="K203" s="376"/>
      <c r="L203" s="376"/>
      <c r="M203" s="376"/>
      <c r="N203" s="374"/>
      <c r="P203" s="376"/>
      <c r="Q203" s="376"/>
      <c r="R203" s="372" t="str">
        <f>IF(RIGHT(Table1[[#This Row],[Unit]],1)="*",LEFT(Table1[[#This Row],[Unit]],LEN(Table1[[#This Row],[Unit]])-1),Table1[[#This Row],[Unit]])</f>
        <v>(TCG) Jumbo 4001</v>
      </c>
      <c r="S203" s="372" t="str">
        <f>IF(RIGHT(Table1[[#This Row],[Unit2]],1)="☆",LEFT(Table1[[#This Row],[Unit2]],LEN(Table1[[#This Row],[Unit2]])-1),Table1[[#This Row],[Unit2]])</f>
        <v>(TCG) Jumbo 4001</v>
      </c>
    </row>
    <row r="204" spans="1:19">
      <c r="A204" s="372" t="s">
        <v>1252</v>
      </c>
      <c r="B204" s="372" t="s">
        <v>549</v>
      </c>
      <c r="C204" s="374">
        <v>0.95610735012488701</v>
      </c>
      <c r="D204" s="374">
        <v>0.95099999999999996</v>
      </c>
      <c r="E204" s="374">
        <v>0.95599999999999996</v>
      </c>
      <c r="F204" s="374">
        <v>0.96599999999999997</v>
      </c>
      <c r="G204" s="372">
        <v>0.96090980501088197</v>
      </c>
      <c r="H204" s="375"/>
      <c r="J204" s="376"/>
      <c r="K204" s="376"/>
      <c r="L204" s="376"/>
      <c r="M204" s="376"/>
      <c r="N204" s="374"/>
      <c r="P204" s="376"/>
      <c r="Q204" s="376"/>
      <c r="R204" s="372" t="str">
        <f>IF(RIGHT(Table1[[#This Row],[Unit]],1)="*",LEFT(Table1[[#This Row],[Unit]],LEN(Table1[[#This Row],[Unit]])-1),Table1[[#This Row],[Unit]])</f>
        <v>(TCG) Jumbo 4002</v>
      </c>
      <c r="S204" s="372" t="str">
        <f>IF(RIGHT(Table1[[#This Row],[Unit2]],1)="☆",LEFT(Table1[[#This Row],[Unit2]],LEN(Table1[[#This Row],[Unit2]])-1),Table1[[#This Row],[Unit2]])</f>
        <v>(TCG) Jumbo 4002</v>
      </c>
    </row>
    <row r="205" spans="1:19">
      <c r="A205" s="372" t="s">
        <v>1252</v>
      </c>
      <c r="B205" s="372" t="s">
        <v>630</v>
      </c>
      <c r="C205" s="374">
        <v>0.95799581173728798</v>
      </c>
      <c r="D205" s="374">
        <v>0.95499999999999996</v>
      </c>
      <c r="E205" s="374">
        <v>0.96</v>
      </c>
      <c r="F205" s="374">
        <v>0.97</v>
      </c>
      <c r="G205" s="372">
        <v>0.96367541950883395</v>
      </c>
      <c r="H205" s="375"/>
      <c r="J205" s="376"/>
      <c r="K205" s="376"/>
      <c r="L205" s="376"/>
      <c r="M205" s="376"/>
      <c r="N205" s="374"/>
      <c r="P205" s="376"/>
      <c r="Q205" s="376"/>
      <c r="R205" s="372" t="str">
        <f>IF(RIGHT(Table1[[#This Row],[Unit]],1)="*",LEFT(Table1[[#This Row],[Unit]],LEN(Table1[[#This Row],[Unit]])-1),Table1[[#This Row],[Unit]])</f>
        <v>(TCG) Numbo 4007</v>
      </c>
      <c r="S205" s="372" t="str">
        <f>IF(RIGHT(Table1[[#This Row],[Unit2]],1)="☆",LEFT(Table1[[#This Row],[Unit2]],LEN(Table1[[#This Row],[Unit2]])-1),Table1[[#This Row],[Unit2]])</f>
        <v>(TCG) Numbo 4007</v>
      </c>
    </row>
    <row r="206" spans="1:19">
      <c r="A206" s="372" t="s">
        <v>1252</v>
      </c>
      <c r="B206" s="372" t="s">
        <v>550</v>
      </c>
      <c r="C206" s="374">
        <v>0.96324381828830996</v>
      </c>
      <c r="D206" s="374">
        <v>0.95799999999999996</v>
      </c>
      <c r="E206" s="374">
        <v>0.96299999999999997</v>
      </c>
      <c r="F206" s="374">
        <v>0.97299999999999998</v>
      </c>
      <c r="G206" s="372">
        <v>0.96813465895304296</v>
      </c>
      <c r="H206" s="375"/>
      <c r="J206" s="376"/>
      <c r="K206" s="376"/>
      <c r="L206" s="376"/>
      <c r="M206" s="376"/>
      <c r="N206" s="374"/>
      <c r="P206" s="376"/>
      <c r="Q206" s="376"/>
      <c r="R206" s="372" t="str">
        <f>IF(RIGHT(Table1[[#This Row],[Unit]],1)="*",LEFT(Table1[[#This Row],[Unit]],LEN(Table1[[#This Row],[Unit]])-1),Table1[[#This Row],[Unit]])</f>
        <v>(TCG) Nyacol 4006</v>
      </c>
      <c r="S206" s="372" t="str">
        <f>IF(RIGHT(Table1[[#This Row],[Unit2]],1)="☆",LEFT(Table1[[#This Row],[Unit2]],LEN(Table1[[#This Row],[Unit2]])-1),Table1[[#This Row],[Unit2]])</f>
        <v>(TCG) Nyacol 4006</v>
      </c>
    </row>
    <row r="207" spans="1:19">
      <c r="A207" s="372" t="s">
        <v>1253</v>
      </c>
      <c r="B207" s="372" t="s">
        <v>1254</v>
      </c>
      <c r="C207" s="374">
        <v>0.94747187930773602</v>
      </c>
      <c r="D207" s="374">
        <v>0.93</v>
      </c>
      <c r="E207" s="374">
        <v>0.94</v>
      </c>
      <c r="F207" s="374">
        <v>0.96</v>
      </c>
      <c r="G207" s="372">
        <v>0.96089276882685004</v>
      </c>
      <c r="H207" s="375"/>
      <c r="J207" s="376"/>
      <c r="K207" s="376"/>
      <c r="L207" s="376"/>
      <c r="M207" s="376"/>
      <c r="N207" s="374"/>
      <c r="P207" s="376"/>
      <c r="Q207" s="376"/>
      <c r="R207" s="372" t="str">
        <f>IF(RIGHT(Table1[[#This Row],[Unit]],1)="*",LEFT(Table1[[#This Row],[Unit]],LEN(Table1[[#This Row],[Unit]])-1),Table1[[#This Row],[Unit]])</f>
        <v>(TXG) MCA AUM☆</v>
      </c>
      <c r="S207" s="372" t="str">
        <f>IF(RIGHT(Table1[[#This Row],[Unit2]],1)="☆",LEFT(Table1[[#This Row],[Unit2]],LEN(Table1[[#This Row],[Unit2]])-1),Table1[[#This Row],[Unit2]])</f>
        <v>(TXG) MCA AUM</v>
      </c>
    </row>
    <row r="208" spans="1:19">
      <c r="A208" s="372" t="s">
        <v>1255</v>
      </c>
      <c r="B208" s="372" t="s">
        <v>631</v>
      </c>
      <c r="C208" s="374">
        <v>0.66682739192858997</v>
      </c>
      <c r="D208" s="374">
        <v>0.67941369596429502</v>
      </c>
      <c r="E208" s="374">
        <v>0.69199999999999995</v>
      </c>
      <c r="F208" s="374">
        <v>0.73199999999999998</v>
      </c>
      <c r="G208" s="372">
        <v>0.73989948867018995</v>
      </c>
      <c r="H208" s="375"/>
      <c r="J208" s="376"/>
      <c r="K208" s="376"/>
      <c r="L208" s="376"/>
      <c r="M208" s="376"/>
      <c r="N208" s="374"/>
      <c r="P208" s="376"/>
      <c r="Q208" s="376"/>
      <c r="R208" s="372" t="str">
        <f>IF(RIGHT(Table1[[#This Row],[Unit]],1)="*",LEFT(Table1[[#This Row],[Unit]],LEN(Table1[[#This Row],[Unit]])-1),Table1[[#This Row],[Unit]])</f>
        <v>(TNG) MEKP Reactor</v>
      </c>
      <c r="S208" s="372" t="str">
        <f>IF(RIGHT(Table1[[#This Row],[Unit2]],1)="☆",LEFT(Table1[[#This Row],[Unit2]],LEN(Table1[[#This Row],[Unit2]])-1),Table1[[#This Row],[Unit2]])</f>
        <v>(TNG) MEKP Reactor</v>
      </c>
    </row>
    <row r="209" spans="1:19">
      <c r="A209" s="372" t="s">
        <v>1255</v>
      </c>
      <c r="B209" s="372" t="s">
        <v>1103</v>
      </c>
      <c r="C209" s="374">
        <v>0.69372903820137199</v>
      </c>
      <c r="D209" s="374">
        <v>0.71136451910068599</v>
      </c>
      <c r="E209" s="374">
        <v>0.72899999999999998</v>
      </c>
      <c r="F209" s="374">
        <v>0.75900000000000001</v>
      </c>
      <c r="G209" s="372">
        <v>0.764158641666286</v>
      </c>
      <c r="H209" s="375"/>
      <c r="J209" s="376"/>
      <c r="K209" s="376"/>
      <c r="L209" s="376"/>
      <c r="M209" s="376"/>
      <c r="N209" s="374"/>
      <c r="P209" s="376"/>
      <c r="Q209" s="376"/>
      <c r="R209" s="372" t="str">
        <f>IF(RIGHT(Table1[[#This Row],[Unit]],1)="*",LEFT(Table1[[#This Row],[Unit]],LEN(Table1[[#This Row],[Unit]])-1),Table1[[#This Row],[Unit]])</f>
        <v>(TNG) MPP1 Reactor R1310☆</v>
      </c>
      <c r="S209" s="372" t="str">
        <f>IF(RIGHT(Table1[[#This Row],[Unit2]],1)="☆",LEFT(Table1[[#This Row],[Unit2]],LEN(Table1[[#This Row],[Unit2]])-1),Table1[[#This Row],[Unit2]])</f>
        <v>(TNG) MPP1 Reactor R1310</v>
      </c>
    </row>
    <row r="210" spans="1:19">
      <c r="A210" s="372" t="s">
        <v>1255</v>
      </c>
      <c r="B210" s="372" t="s">
        <v>1104</v>
      </c>
      <c r="C210" s="374">
        <v>0.70404321223927502</v>
      </c>
      <c r="D210" s="374">
        <v>0.71702160611963806</v>
      </c>
      <c r="E210" s="374">
        <v>0.73</v>
      </c>
      <c r="F210" s="374">
        <v>0.76</v>
      </c>
      <c r="G210" s="372">
        <v>0.76874931342359698</v>
      </c>
      <c r="H210" s="375"/>
      <c r="J210" s="376"/>
      <c r="K210" s="376"/>
      <c r="L210" s="376"/>
      <c r="M210" s="376"/>
      <c r="N210" s="374"/>
      <c r="P210" s="376"/>
      <c r="Q210" s="376"/>
      <c r="R210" s="372" t="str">
        <f>IF(RIGHT(Table1[[#This Row],[Unit]],1)="*",LEFT(Table1[[#This Row],[Unit]],LEN(Table1[[#This Row],[Unit]])-1),Table1[[#This Row],[Unit]])</f>
        <v>(TNG) MPP2 Reactor R2310☆</v>
      </c>
      <c r="S210" s="372" t="str">
        <f>IF(RIGHT(Table1[[#This Row],[Unit2]],1)="☆",LEFT(Table1[[#This Row],[Unit2]],LEN(Table1[[#This Row],[Unit2]])-1),Table1[[#This Row],[Unit2]])</f>
        <v>(TNG) MPP2 Reactor R2310</v>
      </c>
    </row>
    <row r="211" spans="1:19">
      <c r="A211" s="372" t="s">
        <v>1256</v>
      </c>
      <c r="B211" s="372" t="s">
        <v>554</v>
      </c>
      <c r="C211" s="374">
        <v>0.96293218854822404</v>
      </c>
      <c r="D211" s="374">
        <v>0.95499999999999996</v>
      </c>
      <c r="E211" s="374">
        <v>0.96</v>
      </c>
      <c r="F211" s="374">
        <v>0.97</v>
      </c>
      <c r="G211" s="372">
        <v>0.97652321163829303</v>
      </c>
      <c r="H211" s="375"/>
      <c r="J211" s="376"/>
      <c r="K211" s="376"/>
      <c r="L211" s="376"/>
      <c r="M211" s="376"/>
      <c r="N211" s="374"/>
      <c r="P211" s="376"/>
      <c r="Q211" s="376"/>
      <c r="R211" s="372" t="str">
        <f>IF(RIGHT(Table1[[#This Row],[Unit]],1)="*",LEFT(Table1[[#This Row],[Unit]],LEN(Table1[[#This Row],[Unit]])-1),Table1[[#This Row],[Unit]])</f>
        <v>(TLG) ClO2 TL1</v>
      </c>
      <c r="S211" s="372" t="str">
        <f>IF(RIGHT(Table1[[#This Row],[Unit2]],1)="☆",LEFT(Table1[[#This Row],[Unit2]],LEN(Table1[[#This Row],[Unit2]])-1),Table1[[#This Row],[Unit2]])</f>
        <v>(TLG) ClO2 TL1</v>
      </c>
    </row>
    <row r="212" spans="1:19">
      <c r="A212" s="372" t="s">
        <v>1256</v>
      </c>
      <c r="B212" s="372" t="s">
        <v>555</v>
      </c>
      <c r="C212" s="374">
        <v>0.97600575004364398</v>
      </c>
      <c r="D212" s="374">
        <v>0.96</v>
      </c>
      <c r="E212" s="374">
        <v>0.96499999999999997</v>
      </c>
      <c r="F212" s="374">
        <v>0.97499999999999998</v>
      </c>
      <c r="G212" s="372">
        <v>0.988954496946997</v>
      </c>
      <c r="H212" s="375"/>
      <c r="J212" s="376"/>
      <c r="K212" s="376"/>
      <c r="L212" s="376"/>
      <c r="M212" s="376"/>
      <c r="N212" s="374"/>
      <c r="P212" s="376"/>
      <c r="Q212" s="376"/>
      <c r="R212" s="372" t="str">
        <f>IF(RIGHT(Table1[[#This Row],[Unit]],1)="*",LEFT(Table1[[#This Row],[Unit]],LEN(Table1[[#This Row],[Unit]])-1),Table1[[#This Row],[Unit]])</f>
        <v>(TLG) ClO2 TL2</v>
      </c>
      <c r="S212" s="372" t="str">
        <f>IF(RIGHT(Table1[[#This Row],[Unit2]],1)="☆",LEFT(Table1[[#This Row],[Unit2]],LEN(Table1[[#This Row],[Unit2]])-1),Table1[[#This Row],[Unit2]])</f>
        <v>(TLG) ClO2 TL2</v>
      </c>
    </row>
    <row r="213" spans="1:19">
      <c r="A213" s="372" t="s">
        <v>988</v>
      </c>
      <c r="B213" s="372" t="s">
        <v>556</v>
      </c>
      <c r="C213" s="374">
        <v>0.81540836217739598</v>
      </c>
      <c r="D213" s="374">
        <v>0.81200000000000006</v>
      </c>
      <c r="E213" s="374">
        <v>0.81699999999999995</v>
      </c>
      <c r="F213" s="374">
        <v>0.82699999999999996</v>
      </c>
      <c r="G213" s="372">
        <v>0.75562364645473401</v>
      </c>
      <c r="H213" s="375"/>
      <c r="J213" s="376"/>
      <c r="K213" s="376"/>
      <c r="L213" s="376"/>
      <c r="M213" s="376"/>
      <c r="N213" s="374"/>
      <c r="P213" s="376"/>
      <c r="Q213" s="376"/>
      <c r="R213" s="372" t="str">
        <f>IF(RIGHT(Table1[[#This Row],[Unit]],1)="*",LEFT(Table1[[#This Row],[Unit]],LEN(Table1[[#This Row],[Unit]])-1),Table1[[#This Row],[Unit]])</f>
        <v>(WZN) R01</v>
      </c>
      <c r="S213" s="372" t="str">
        <f>IF(RIGHT(Table1[[#This Row],[Unit2]],1)="☆",LEFT(Table1[[#This Row],[Unit2]],LEN(Table1[[#This Row],[Unit2]])-1),Table1[[#This Row],[Unit2]])</f>
        <v>(WZN) R01</v>
      </c>
    </row>
    <row r="214" spans="1:19">
      <c r="A214" s="372" t="s">
        <v>988</v>
      </c>
      <c r="B214" s="372" t="s">
        <v>557</v>
      </c>
      <c r="C214" s="374">
        <v>0.85001149399327103</v>
      </c>
      <c r="D214" s="374">
        <v>0.84899999999999998</v>
      </c>
      <c r="E214" s="374">
        <v>0.85399999999999998</v>
      </c>
      <c r="F214" s="374">
        <v>0.86399999999999999</v>
      </c>
      <c r="G214" s="372">
        <v>0.82846308013823999</v>
      </c>
      <c r="H214" s="375"/>
      <c r="J214" s="376"/>
      <c r="K214" s="376"/>
      <c r="L214" s="376"/>
      <c r="M214" s="376"/>
      <c r="N214" s="374"/>
      <c r="P214" s="376"/>
      <c r="Q214" s="376"/>
      <c r="R214" s="372" t="str">
        <f>IF(RIGHT(Table1[[#This Row],[Unit]],1)="*",LEFT(Table1[[#This Row],[Unit]],LEN(Table1[[#This Row],[Unit]])-1),Table1[[#This Row],[Unit]])</f>
        <v>(WZN) R02</v>
      </c>
      <c r="S214" s="372" t="str">
        <f>IF(RIGHT(Table1[[#This Row],[Unit2]],1)="☆",LEFT(Table1[[#This Row],[Unit2]],LEN(Table1[[#This Row],[Unit2]])-1),Table1[[#This Row],[Unit2]])</f>
        <v>(WZN) R02</v>
      </c>
    </row>
    <row r="215" spans="1:19">
      <c r="A215" s="372" t="s">
        <v>988</v>
      </c>
      <c r="B215" s="372" t="s">
        <v>558</v>
      </c>
      <c r="C215" s="374">
        <v>0.80915705375856695</v>
      </c>
      <c r="D215" s="374">
        <v>0.81399999999999995</v>
      </c>
      <c r="E215" s="374">
        <v>0.81899999999999995</v>
      </c>
      <c r="F215" s="374">
        <v>0.82899999999999996</v>
      </c>
      <c r="G215" s="372">
        <v>0.76933119805618</v>
      </c>
      <c r="H215" s="375"/>
      <c r="J215" s="376"/>
      <c r="K215" s="376"/>
      <c r="L215" s="376"/>
      <c r="M215" s="376"/>
      <c r="N215" s="374"/>
      <c r="P215" s="376"/>
      <c r="Q215" s="376"/>
      <c r="R215" s="372" t="str">
        <f>IF(RIGHT(Table1[[#This Row],[Unit]],1)="*",LEFT(Table1[[#This Row],[Unit]],LEN(Table1[[#This Row],[Unit]])-1),Table1[[#This Row],[Unit]])</f>
        <v>(WZN) R03</v>
      </c>
      <c r="S215" s="372" t="str">
        <f>IF(RIGHT(Table1[[#This Row],[Unit2]],1)="☆",LEFT(Table1[[#This Row],[Unit2]],LEN(Table1[[#This Row],[Unit2]])-1),Table1[[#This Row],[Unit2]])</f>
        <v>(WZN) R03</v>
      </c>
    </row>
    <row r="216" spans="1:19">
      <c r="A216" s="372" t="s">
        <v>988</v>
      </c>
      <c r="B216" s="372" t="s">
        <v>559</v>
      </c>
      <c r="C216" s="374">
        <v>0.76406482851875102</v>
      </c>
      <c r="D216" s="374">
        <v>0.74</v>
      </c>
      <c r="E216" s="374">
        <v>0.75</v>
      </c>
      <c r="F216" s="374">
        <v>0.77</v>
      </c>
      <c r="G216" s="372">
        <v>0.76518967132136595</v>
      </c>
      <c r="H216" s="375"/>
      <c r="J216" s="376"/>
      <c r="K216" s="376"/>
      <c r="L216" s="376"/>
      <c r="M216" s="376"/>
      <c r="N216" s="374"/>
      <c r="P216" s="376"/>
      <c r="Q216" s="376"/>
      <c r="R216" s="372" t="str">
        <f>IF(RIGHT(Table1[[#This Row],[Unit]],1)="*",LEFT(Table1[[#This Row],[Unit]],LEN(Table1[[#This Row],[Unit]])-1),Table1[[#This Row],[Unit]])</f>
        <v>(WZN) R04</v>
      </c>
      <c r="S216" s="372" t="str">
        <f>IF(RIGHT(Table1[[#This Row],[Unit2]],1)="☆",LEFT(Table1[[#This Row],[Unit2]],LEN(Table1[[#This Row],[Unit2]])-1),Table1[[#This Row],[Unit2]])</f>
        <v>(WZN) R04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5D719-346B-4E56-B19A-4E1E5BABD400}">
  <sheetPr codeName="Sheet7">
    <tabColor theme="7" tint="0.79998168889431442"/>
  </sheetPr>
  <dimension ref="A1:I31"/>
  <sheetViews>
    <sheetView workbookViewId="0">
      <selection activeCell="C34" sqref="C34"/>
    </sheetView>
  </sheetViews>
  <sheetFormatPr defaultRowHeight="12.75"/>
  <cols>
    <col min="2" max="2" width="10.140625" bestFit="1" customWidth="1"/>
    <col min="3" max="3" width="68.42578125" customWidth="1"/>
    <col min="4" max="4" width="11.42578125" bestFit="1" customWidth="1"/>
    <col min="7" max="7" width="24.140625" bestFit="1" customWidth="1"/>
    <col min="8" max="8" width="3.140625" customWidth="1"/>
  </cols>
  <sheetData>
    <row r="1" spans="1:9">
      <c r="A1" s="48" t="s">
        <v>311</v>
      </c>
      <c r="B1" s="48" t="s">
        <v>312</v>
      </c>
      <c r="C1" s="48" t="s">
        <v>313</v>
      </c>
      <c r="D1" s="48" t="s">
        <v>319</v>
      </c>
      <c r="G1" s="48" t="s">
        <v>605</v>
      </c>
    </row>
    <row r="2" spans="1:9">
      <c r="A2" t="s">
        <v>307</v>
      </c>
      <c r="B2" s="47">
        <v>44209</v>
      </c>
      <c r="C2" t="s">
        <v>314</v>
      </c>
      <c r="D2" t="s">
        <v>320</v>
      </c>
      <c r="G2" t="s">
        <v>606</v>
      </c>
      <c r="I2" s="157" t="s">
        <v>1180</v>
      </c>
    </row>
    <row r="3" spans="1:9">
      <c r="A3" t="s">
        <v>310</v>
      </c>
      <c r="B3" s="47">
        <v>44211</v>
      </c>
      <c r="C3" s="2" t="s">
        <v>315</v>
      </c>
      <c r="D3" t="s">
        <v>320</v>
      </c>
      <c r="G3" t="s">
        <v>731</v>
      </c>
      <c r="I3" s="157" t="s">
        <v>1179</v>
      </c>
    </row>
    <row r="4" spans="1:9">
      <c r="A4" t="s">
        <v>316</v>
      </c>
      <c r="B4" s="47">
        <v>44215</v>
      </c>
      <c r="C4" t="s">
        <v>321</v>
      </c>
      <c r="D4" t="s">
        <v>320</v>
      </c>
      <c r="G4" t="s">
        <v>732</v>
      </c>
      <c r="I4" s="157" t="s">
        <v>1178</v>
      </c>
    </row>
    <row r="5" spans="1:9">
      <c r="A5" t="s">
        <v>322</v>
      </c>
      <c r="B5" s="47">
        <v>44217</v>
      </c>
      <c r="C5" t="s">
        <v>333</v>
      </c>
      <c r="D5" t="s">
        <v>320</v>
      </c>
    </row>
    <row r="6" spans="1:9" ht="25.5">
      <c r="A6" s="51" t="s">
        <v>323</v>
      </c>
      <c r="B6" s="52">
        <v>44222</v>
      </c>
      <c r="C6" s="53" t="s">
        <v>415</v>
      </c>
      <c r="D6" s="51" t="s">
        <v>320</v>
      </c>
    </row>
    <row r="7" spans="1:9">
      <c r="A7" t="s">
        <v>324</v>
      </c>
      <c r="B7" s="47">
        <v>44232</v>
      </c>
      <c r="C7" t="s">
        <v>328</v>
      </c>
      <c r="D7" s="51" t="s">
        <v>320</v>
      </c>
    </row>
    <row r="8" spans="1:9">
      <c r="A8" t="s">
        <v>331</v>
      </c>
      <c r="B8" s="47">
        <v>44236</v>
      </c>
      <c r="C8" t="s">
        <v>330</v>
      </c>
      <c r="D8" s="51" t="s">
        <v>320</v>
      </c>
    </row>
    <row r="9" spans="1:9">
      <c r="A9" t="s">
        <v>332</v>
      </c>
      <c r="B9" s="47">
        <v>44544</v>
      </c>
      <c r="C9" t="s">
        <v>400</v>
      </c>
      <c r="D9" s="51" t="s">
        <v>320</v>
      </c>
    </row>
    <row r="10" spans="1:9">
      <c r="A10" t="s">
        <v>399</v>
      </c>
      <c r="B10" s="47">
        <v>44575</v>
      </c>
      <c r="C10" t="s">
        <v>410</v>
      </c>
      <c r="D10" s="51" t="s">
        <v>320</v>
      </c>
    </row>
    <row r="11" spans="1:9">
      <c r="A11" s="67" t="s">
        <v>413</v>
      </c>
      <c r="B11" s="47">
        <v>44880</v>
      </c>
      <c r="C11" t="s">
        <v>412</v>
      </c>
      <c r="D11" s="51" t="s">
        <v>320</v>
      </c>
    </row>
    <row r="12" spans="1:9">
      <c r="A12" t="s">
        <v>414</v>
      </c>
      <c r="B12" s="47">
        <v>44910</v>
      </c>
      <c r="C12" t="s">
        <v>416</v>
      </c>
      <c r="D12" s="51" t="s">
        <v>320</v>
      </c>
    </row>
    <row r="13" spans="1:9">
      <c r="A13" t="s">
        <v>639</v>
      </c>
      <c r="B13" s="47">
        <v>44942</v>
      </c>
      <c r="C13" t="s">
        <v>640</v>
      </c>
      <c r="D13" s="51" t="s">
        <v>320</v>
      </c>
    </row>
    <row r="14" spans="1:9" ht="25.5">
      <c r="A14" t="s">
        <v>646</v>
      </c>
      <c r="B14" s="47">
        <v>44946</v>
      </c>
      <c r="C14" s="2" t="s">
        <v>647</v>
      </c>
      <c r="D14" s="51" t="s">
        <v>320</v>
      </c>
    </row>
    <row r="15" spans="1:9">
      <c r="A15" t="s">
        <v>648</v>
      </c>
      <c r="B15" s="47">
        <v>44946</v>
      </c>
      <c r="C15" t="s">
        <v>649</v>
      </c>
      <c r="D15" s="51" t="s">
        <v>320</v>
      </c>
    </row>
    <row r="16" spans="1:9">
      <c r="A16" t="s">
        <v>654</v>
      </c>
      <c r="B16" s="47">
        <v>44959</v>
      </c>
      <c r="C16" t="s">
        <v>655</v>
      </c>
      <c r="D16" s="51" t="s">
        <v>320</v>
      </c>
    </row>
    <row r="17" spans="1:4">
      <c r="A17" t="s">
        <v>656</v>
      </c>
      <c r="B17" s="47">
        <v>44959</v>
      </c>
      <c r="C17" t="s">
        <v>657</v>
      </c>
      <c r="D17" s="51" t="s">
        <v>320</v>
      </c>
    </row>
    <row r="18" spans="1:4">
      <c r="A18" t="s">
        <v>658</v>
      </c>
      <c r="B18" s="47">
        <v>44964</v>
      </c>
      <c r="C18" t="s">
        <v>659</v>
      </c>
      <c r="D18" s="51" t="s">
        <v>320</v>
      </c>
    </row>
    <row r="19" spans="1:4" ht="25.5">
      <c r="A19" t="s">
        <v>660</v>
      </c>
      <c r="B19" s="47">
        <v>44964</v>
      </c>
      <c r="C19" s="2" t="s">
        <v>661</v>
      </c>
      <c r="D19" s="51" t="s">
        <v>320</v>
      </c>
    </row>
    <row r="20" spans="1:4">
      <c r="A20" t="s">
        <v>662</v>
      </c>
      <c r="B20" s="47">
        <v>44964</v>
      </c>
      <c r="C20" t="s">
        <v>663</v>
      </c>
      <c r="D20" s="51" t="s">
        <v>320</v>
      </c>
    </row>
    <row r="21" spans="1:4" ht="76.5">
      <c r="A21" s="235" t="s">
        <v>872</v>
      </c>
      <c r="B21" s="236">
        <v>45272</v>
      </c>
      <c r="C21" s="237" t="s">
        <v>884</v>
      </c>
      <c r="D21" s="235" t="s">
        <v>320</v>
      </c>
    </row>
    <row r="22" spans="1:4">
      <c r="A22" t="s">
        <v>883</v>
      </c>
      <c r="B22" s="47">
        <v>45310</v>
      </c>
      <c r="C22" t="s">
        <v>885</v>
      </c>
      <c r="D22" s="51" t="s">
        <v>320</v>
      </c>
    </row>
    <row r="23" spans="1:4">
      <c r="A23" t="s">
        <v>998</v>
      </c>
    </row>
    <row r="24" spans="1:4">
      <c r="A24" t="s">
        <v>1000</v>
      </c>
      <c r="B24" s="47">
        <v>45314</v>
      </c>
      <c r="C24" t="s">
        <v>1001</v>
      </c>
      <c r="D24" s="51" t="s">
        <v>320</v>
      </c>
    </row>
    <row r="25" spans="1:4" s="51" customFormat="1" ht="25.5">
      <c r="A25" s="51" t="s">
        <v>999</v>
      </c>
      <c r="B25" s="52">
        <v>44950</v>
      </c>
      <c r="C25" s="53" t="s">
        <v>1004</v>
      </c>
      <c r="D25" s="51" t="s">
        <v>320</v>
      </c>
    </row>
    <row r="26" spans="1:4" ht="25.5">
      <c r="A26" t="s">
        <v>1005</v>
      </c>
      <c r="B26" s="47">
        <v>44951</v>
      </c>
      <c r="C26" s="2" t="s">
        <v>1006</v>
      </c>
      <c r="D26" s="51" t="s">
        <v>320</v>
      </c>
    </row>
    <row r="27" spans="1:4">
      <c r="A27" t="s">
        <v>1005</v>
      </c>
      <c r="B27" s="47">
        <v>44952</v>
      </c>
      <c r="C27" t="s">
        <v>1007</v>
      </c>
      <c r="D27" s="51" t="s">
        <v>320</v>
      </c>
    </row>
    <row r="28" spans="1:4">
      <c r="A28" t="s">
        <v>1008</v>
      </c>
      <c r="B28" s="47">
        <v>45327</v>
      </c>
      <c r="C28" t="s">
        <v>1009</v>
      </c>
      <c r="D28" s="51" t="s">
        <v>320</v>
      </c>
    </row>
    <row r="29" spans="1:4" ht="63.75">
      <c r="A29" s="235">
        <v>5.0999999999999996</v>
      </c>
      <c r="B29" s="52">
        <v>45674</v>
      </c>
      <c r="C29" s="53" t="s">
        <v>1181</v>
      </c>
      <c r="D29" s="51" t="s">
        <v>320</v>
      </c>
    </row>
    <row r="30" spans="1:4">
      <c r="A30">
        <v>5.2</v>
      </c>
      <c r="B30" s="47">
        <v>45678</v>
      </c>
      <c r="C30" t="s">
        <v>1291</v>
      </c>
      <c r="D30" s="51" t="s">
        <v>320</v>
      </c>
    </row>
    <row r="31" spans="1:4">
      <c r="A31">
        <v>5.3</v>
      </c>
      <c r="B31" s="47">
        <v>45679</v>
      </c>
      <c r="C31" t="s">
        <v>1290</v>
      </c>
      <c r="D31" s="51" t="s">
        <v>320</v>
      </c>
    </row>
  </sheetData>
  <hyperlinks>
    <hyperlink ref="I4" r:id="rId1" display="https://app.powerbi.com/Redirect?action=OpenReport&amp;appId=5fe9aec6-f99c-4cfa-93e3-39928864516f&amp;reportObjectId=649d7ded-6b6a-45a6-b356-ba0b8306dd53&amp;ctid=d34b221f-acd4-4e44-92f8-1215a965d42a&amp;reportPage=d03889429340802d51f7&amp;pbi_source=appShareLink&amp;portalSessionId=859e43d5-2d3b-432a-822d-62b92e358cd3" xr:uid="{0EF1D4A9-76FD-4C94-B1B7-63F1507E7374}"/>
    <hyperlink ref="I3" r:id="rId2" display="https://app.powerbi.com/Redirect?action=OpenReport&amp;appId=5fe9aec6-f99c-4cfa-93e3-39928864516f&amp;reportObjectId=649d7ded-6b6a-45a6-b356-ba0b8306dd53&amp;ctid=d34b221f-acd4-4e44-92f8-1215a965d42a&amp;reportPage=1e3cdffded5beaf7aae6&amp;pbi_source=appShareLink&amp;portalSessionId=859e43d5-2d3b-432a-822d-62b92e358cd3" xr:uid="{C23F751D-71AC-4C4E-9800-C6E5A45309B1}"/>
    <hyperlink ref="I2" r:id="rId3" display="https://app.powerbi.com/Redirect?action=OpenReport&amp;appId=5fe9aec6-f99c-4cfa-93e3-39928864516f&amp;reportObjectId=649d7ded-6b6a-45a6-b356-ba0b8306dd53&amp;ctid=d34b221f-acd4-4e44-92f8-1215a965d42a&amp;reportPage=d2a235ff63c1e1802f6b&amp;pbi_source=appShareLink&amp;portalSessionId=859e43d5-2d3b-432a-822d-62b92e358cd3" xr:uid="{F99C7B3E-2117-4A4C-9B07-6B0406FC64DD}"/>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64063-C7BA-481E-961C-B38DF346F7AB}">
  <sheetPr codeName="Sheet8">
    <tabColor theme="7"/>
  </sheetPr>
  <dimension ref="A1:AC343"/>
  <sheetViews>
    <sheetView zoomScale="90" zoomScaleNormal="90" workbookViewId="0">
      <pane xSplit="2" ySplit="2" topLeftCell="C282" activePane="bottomRight" state="frozen"/>
      <selection pane="topRight" activeCell="C1" sqref="C1"/>
      <selection pane="bottomLeft" activeCell="A2" sqref="A2"/>
      <selection pane="bottomRight" activeCell="B297" sqref="B297"/>
    </sheetView>
  </sheetViews>
  <sheetFormatPr defaultRowHeight="12.75"/>
  <cols>
    <col min="1" max="1" width="25.5703125" bestFit="1" customWidth="1"/>
    <col min="2" max="2" width="46.28515625" bestFit="1" customWidth="1"/>
    <col min="3" max="3" width="13.42578125" bestFit="1" customWidth="1"/>
    <col min="4" max="4" width="7.85546875" bestFit="1" customWidth="1"/>
    <col min="5" max="6" width="10" customWidth="1"/>
    <col min="7" max="8" width="13.140625" customWidth="1"/>
    <col min="9" max="9" width="31" bestFit="1" customWidth="1"/>
    <col min="10" max="10" width="20.42578125" bestFit="1" customWidth="1"/>
    <col min="11" max="19" width="23.5703125" style="66" bestFit="1" customWidth="1"/>
    <col min="20" max="24" width="12.5703125" customWidth="1"/>
    <col min="25" max="25" width="35.28515625" bestFit="1" customWidth="1"/>
    <col min="26" max="26" width="12.5703125" customWidth="1"/>
  </cols>
  <sheetData>
    <row r="1" spans="1:28">
      <c r="A1" s="157" t="s">
        <v>1036</v>
      </c>
      <c r="B1" t="s">
        <v>1107</v>
      </c>
      <c r="F1" s="271" t="s">
        <v>1187</v>
      </c>
    </row>
    <row r="2" spans="1:28" s="19" customFormat="1">
      <c r="A2" t="s">
        <v>19</v>
      </c>
      <c r="B2" t="s">
        <v>9</v>
      </c>
      <c r="C2" t="s">
        <v>139</v>
      </c>
      <c r="D2" t="s">
        <v>376</v>
      </c>
      <c r="E2" t="s">
        <v>8</v>
      </c>
      <c r="F2" t="s">
        <v>10</v>
      </c>
      <c r="G2" t="s">
        <v>325</v>
      </c>
      <c r="H2" t="s">
        <v>560</v>
      </c>
      <c r="I2" t="s">
        <v>377</v>
      </c>
      <c r="J2" t="s">
        <v>378</v>
      </c>
      <c r="K2" s="66" t="s">
        <v>417</v>
      </c>
      <c r="L2" s="66" t="s">
        <v>418</v>
      </c>
      <c r="M2" s="66" t="s">
        <v>419</v>
      </c>
      <c r="N2" s="66" t="s">
        <v>420</v>
      </c>
      <c r="O2" s="66" t="s">
        <v>421</v>
      </c>
      <c r="P2" s="66" t="s">
        <v>422</v>
      </c>
      <c r="Q2" s="66" t="s">
        <v>423</v>
      </c>
      <c r="R2" s="66" t="s">
        <v>424</v>
      </c>
      <c r="S2" s="66" t="s">
        <v>561</v>
      </c>
      <c r="T2" t="s">
        <v>565</v>
      </c>
      <c r="U2" t="s">
        <v>379</v>
      </c>
      <c r="V2" t="s">
        <v>380</v>
      </c>
      <c r="W2" t="s">
        <v>381</v>
      </c>
      <c r="X2" t="s">
        <v>578</v>
      </c>
      <c r="Y2" t="s">
        <v>425</v>
      </c>
      <c r="Z2" t="s">
        <v>579</v>
      </c>
      <c r="AB2" s="19" t="s">
        <v>886</v>
      </c>
    </row>
    <row r="3" spans="1:28">
      <c r="A3" s="79" t="s">
        <v>317</v>
      </c>
      <c r="B3" s="79" t="s">
        <v>329</v>
      </c>
      <c r="C3" t="s">
        <v>117</v>
      </c>
      <c r="D3" s="5">
        <v>1</v>
      </c>
      <c r="E3" s="5">
        <v>1</v>
      </c>
      <c r="F3" s="5">
        <v>1</v>
      </c>
      <c r="G3" s="5"/>
      <c r="H3" s="5"/>
      <c r="I3" s="5"/>
      <c r="J3" s="69"/>
      <c r="K3" s="66">
        <v>8784</v>
      </c>
      <c r="P3" s="66">
        <v>8784</v>
      </c>
      <c r="Q3" s="66">
        <v>0</v>
      </c>
      <c r="R3" s="66">
        <v>8784</v>
      </c>
      <c r="T3" s="55"/>
      <c r="U3" s="55"/>
      <c r="V3" s="55"/>
      <c r="W3" s="55"/>
      <c r="X3" s="55"/>
      <c r="Y3" s="55"/>
      <c r="Z3" s="55"/>
    </row>
    <row r="4" spans="1:28">
      <c r="A4" t="s">
        <v>394</v>
      </c>
      <c r="B4" t="s">
        <v>334</v>
      </c>
      <c r="C4" t="s">
        <v>117</v>
      </c>
      <c r="D4" s="5">
        <v>0.78484369044319402</v>
      </c>
      <c r="E4" s="5">
        <v>0.98263120446333097</v>
      </c>
      <c r="F4" s="5">
        <v>0.79871643285727001</v>
      </c>
      <c r="G4" s="5">
        <v>0.76717685982108597</v>
      </c>
      <c r="H4" s="5">
        <v>0.78152570549903799</v>
      </c>
      <c r="I4" s="5">
        <v>1.7368795536669202E-2</v>
      </c>
      <c r="J4" s="5">
        <v>0.84122694333261205</v>
      </c>
      <c r="K4" s="66">
        <v>8784</v>
      </c>
      <c r="L4" s="66">
        <v>152.56749999410201</v>
      </c>
      <c r="M4" s="66">
        <v>436.180277649083</v>
      </c>
      <c r="N4" s="66">
        <v>436.180277649083</v>
      </c>
      <c r="P4" s="66">
        <v>8631.4325000058998</v>
      </c>
      <c r="Q4" s="66">
        <v>1778.3695696672301</v>
      </c>
      <c r="R4" s="66">
        <v>6894.0669768530197</v>
      </c>
      <c r="S4" s="66">
        <v>-41.004046514353</v>
      </c>
      <c r="T4" t="s">
        <v>564</v>
      </c>
      <c r="U4" t="s">
        <v>383</v>
      </c>
      <c r="V4" t="s">
        <v>384</v>
      </c>
      <c r="W4" t="s">
        <v>384</v>
      </c>
      <c r="X4" t="b">
        <v>0</v>
      </c>
      <c r="Y4" t="s">
        <v>1037</v>
      </c>
      <c r="Z4">
        <v>1</v>
      </c>
    </row>
    <row r="5" spans="1:28">
      <c r="A5" t="s">
        <v>394</v>
      </c>
      <c r="B5" t="s">
        <v>335</v>
      </c>
      <c r="C5" t="s">
        <v>117</v>
      </c>
      <c r="D5" s="5">
        <v>0.44763063901417599</v>
      </c>
      <c r="E5" s="5">
        <v>0.82241762169445598</v>
      </c>
      <c r="F5" s="5">
        <v>0.54428629349150703</v>
      </c>
      <c r="G5" s="5">
        <v>0.70947895298794394</v>
      </c>
      <c r="H5" s="5">
        <v>0.70826840236482003</v>
      </c>
      <c r="I5" s="5">
        <v>0.17758237830554399</v>
      </c>
      <c r="J5" s="5">
        <v>0.59280004468354897</v>
      </c>
      <c r="K5" s="66">
        <v>8784</v>
      </c>
      <c r="L5" s="66">
        <v>1559.8836110359</v>
      </c>
      <c r="M5" s="66">
        <v>591.20944443187705</v>
      </c>
      <c r="N5" s="66">
        <v>591.20944443187705</v>
      </c>
      <c r="P5" s="66">
        <v>7224.1163889641102</v>
      </c>
      <c r="Q5" s="66">
        <v>3429.2163829412402</v>
      </c>
      <c r="R5" s="66">
        <v>3931.9875331005301</v>
      </c>
      <c r="S5" s="66">
        <v>-137.08752707765601</v>
      </c>
      <c r="T5" t="s">
        <v>564</v>
      </c>
      <c r="U5" t="s">
        <v>386</v>
      </c>
      <c r="V5" t="s">
        <v>385</v>
      </c>
      <c r="W5" t="s">
        <v>385</v>
      </c>
      <c r="X5" t="b">
        <v>0</v>
      </c>
      <c r="Y5" t="s">
        <v>765</v>
      </c>
      <c r="Z5">
        <v>1</v>
      </c>
    </row>
    <row r="6" spans="1:28">
      <c r="A6" t="s">
        <v>394</v>
      </c>
      <c r="B6" t="s">
        <v>336</v>
      </c>
      <c r="C6" t="s">
        <v>117</v>
      </c>
      <c r="D6" s="5">
        <v>0.47199431384820101</v>
      </c>
      <c r="E6" s="5">
        <v>0.78977379958986405</v>
      </c>
      <c r="F6" s="5">
        <v>0.59763227660035201</v>
      </c>
      <c r="G6" s="5">
        <v>0.70765084592914895</v>
      </c>
      <c r="H6" s="5">
        <v>0.70534209603609499</v>
      </c>
      <c r="I6" s="5">
        <v>0.21022620041013601</v>
      </c>
      <c r="J6" s="5">
        <v>0.65359383461524301</v>
      </c>
      <c r="K6" s="66">
        <v>8784</v>
      </c>
      <c r="L6" s="66">
        <v>1846.62694440264</v>
      </c>
      <c r="M6" s="66">
        <v>593.98694443054399</v>
      </c>
      <c r="N6" s="66">
        <v>593.98694443054399</v>
      </c>
      <c r="P6" s="66">
        <v>6937.3730555973598</v>
      </c>
      <c r="Q6" s="66">
        <v>2718.7394410770398</v>
      </c>
      <c r="R6" s="66">
        <v>4145.9980528425904</v>
      </c>
      <c r="S6" s="66">
        <v>72.635561677730294</v>
      </c>
      <c r="T6" t="s">
        <v>564</v>
      </c>
      <c r="U6" t="s">
        <v>386</v>
      </c>
      <c r="V6" t="s">
        <v>385</v>
      </c>
      <c r="W6" t="s">
        <v>385</v>
      </c>
      <c r="X6" t="b">
        <v>0</v>
      </c>
      <c r="Y6" t="s">
        <v>766</v>
      </c>
      <c r="Z6">
        <v>1</v>
      </c>
    </row>
    <row r="7" spans="1:28">
      <c r="A7" t="s">
        <v>394</v>
      </c>
      <c r="B7" t="s">
        <v>337</v>
      </c>
      <c r="C7" t="s">
        <v>117</v>
      </c>
      <c r="D7" s="5">
        <v>0.50428627128844505</v>
      </c>
      <c r="E7" s="5">
        <v>0.80426216859539101</v>
      </c>
      <c r="F7" s="5">
        <v>0.62701727245129402</v>
      </c>
      <c r="G7" s="5">
        <v>0.67304669739588097</v>
      </c>
      <c r="H7" s="5">
        <v>0.67294983086502702</v>
      </c>
      <c r="I7" s="5">
        <v>0.19573783140460899</v>
      </c>
      <c r="J7" s="5">
        <v>0.68720427469742795</v>
      </c>
      <c r="K7" s="66">
        <v>8784</v>
      </c>
      <c r="L7" s="66">
        <v>1719.36111105809</v>
      </c>
      <c r="M7" s="66">
        <v>618.73805552808506</v>
      </c>
      <c r="N7" s="66">
        <v>618.73805552808506</v>
      </c>
      <c r="P7" s="66">
        <v>7064.6388889419104</v>
      </c>
      <c r="Q7" s="66">
        <v>2580.9433258939998</v>
      </c>
      <c r="R7" s="66">
        <v>4429.6506069977004</v>
      </c>
      <c r="S7" s="66">
        <v>54.044956050211603</v>
      </c>
      <c r="T7" t="s">
        <v>564</v>
      </c>
      <c r="U7" t="s">
        <v>386</v>
      </c>
      <c r="V7" t="s">
        <v>385</v>
      </c>
      <c r="W7" t="s">
        <v>385</v>
      </c>
      <c r="X7" t="b">
        <v>0</v>
      </c>
      <c r="Y7" t="s">
        <v>767</v>
      </c>
      <c r="Z7">
        <v>1</v>
      </c>
    </row>
    <row r="8" spans="1:28">
      <c r="A8" t="s">
        <v>394</v>
      </c>
      <c r="B8" t="s">
        <v>338</v>
      </c>
      <c r="C8" t="s">
        <v>117</v>
      </c>
      <c r="D8" s="5">
        <v>0.71851112732918798</v>
      </c>
      <c r="E8" s="5">
        <v>0.92830541014234502</v>
      </c>
      <c r="F8" s="5">
        <v>0.77400295148448195</v>
      </c>
      <c r="G8" s="5">
        <v>0.76516676960189001</v>
      </c>
      <c r="H8" s="5">
        <v>0.76499735661556501</v>
      </c>
      <c r="I8" s="5">
        <v>7.1694589857655103E-2</v>
      </c>
      <c r="J8" s="5">
        <v>0.80467348818275297</v>
      </c>
      <c r="K8" s="66">
        <v>8784</v>
      </c>
      <c r="L8" s="66">
        <v>629.76527730964199</v>
      </c>
      <c r="M8" s="66">
        <v>310.80277774951799</v>
      </c>
      <c r="N8" s="66">
        <v>310.80277774951799</v>
      </c>
      <c r="P8" s="66">
        <v>8154.2347226903603</v>
      </c>
      <c r="Q8" s="66">
        <v>1900.50856031219</v>
      </c>
      <c r="R8" s="66">
        <v>6311.4017424595804</v>
      </c>
      <c r="S8" s="66">
        <v>-57.675580081414502</v>
      </c>
      <c r="T8" t="s">
        <v>564</v>
      </c>
      <c r="U8" t="s">
        <v>383</v>
      </c>
      <c r="V8" t="s">
        <v>384</v>
      </c>
      <c r="W8" t="s">
        <v>384</v>
      </c>
      <c r="X8" t="b">
        <v>0</v>
      </c>
      <c r="Y8" t="s">
        <v>1038</v>
      </c>
      <c r="Z8">
        <v>1</v>
      </c>
    </row>
    <row r="9" spans="1:28">
      <c r="A9" s="19" t="s">
        <v>20</v>
      </c>
      <c r="B9" s="19" t="s">
        <v>21</v>
      </c>
      <c r="C9" s="19" t="s">
        <v>116</v>
      </c>
      <c r="D9" s="68">
        <v>0.62128707249190096</v>
      </c>
      <c r="E9" s="68">
        <v>0.87368396725331599</v>
      </c>
      <c r="F9" s="68">
        <v>0.71111190748423703</v>
      </c>
      <c r="G9" s="68">
        <v>0.84867823428537004</v>
      </c>
      <c r="H9" s="68">
        <v>0.84867823431102596</v>
      </c>
      <c r="I9" s="68">
        <v>0.12631603274668399</v>
      </c>
      <c r="J9" s="68">
        <v>0.73107583572912405</v>
      </c>
      <c r="K9" s="70">
        <v>8784</v>
      </c>
      <c r="L9" s="70">
        <v>1109.5600316468699</v>
      </c>
      <c r="M9" s="70">
        <v>209.570555283229</v>
      </c>
      <c r="N9" s="70">
        <v>209.570555283229</v>
      </c>
      <c r="O9" s="70"/>
      <c r="P9" s="70">
        <v>7674.4399683531301</v>
      </c>
      <c r="Q9" s="70">
        <v>2222.8160219342699</v>
      </c>
      <c r="R9" s="70">
        <v>5457.3856447688504</v>
      </c>
      <c r="S9" s="70">
        <v>-5.7616983500060801</v>
      </c>
      <c r="T9" s="19" t="s">
        <v>564</v>
      </c>
      <c r="U9" s="19" t="s">
        <v>386</v>
      </c>
      <c r="V9" s="19" t="s">
        <v>385</v>
      </c>
      <c r="W9" s="19" t="s">
        <v>384</v>
      </c>
      <c r="X9" s="19" t="b">
        <v>0</v>
      </c>
      <c r="Y9" s="19" t="s">
        <v>768</v>
      </c>
      <c r="Z9" s="19">
        <v>1</v>
      </c>
    </row>
    <row r="10" spans="1:28">
      <c r="A10" t="s">
        <v>20</v>
      </c>
      <c r="B10" t="s">
        <v>22</v>
      </c>
      <c r="C10" t="s">
        <v>116</v>
      </c>
      <c r="D10" s="5">
        <v>0.76147560372985201</v>
      </c>
      <c r="E10" s="5">
        <v>0.89646100004933205</v>
      </c>
      <c r="F10" s="5">
        <v>0.84942412853202498</v>
      </c>
      <c r="G10" s="5">
        <v>0.87356439038993805</v>
      </c>
      <c r="H10" s="5">
        <v>0.87356439045409595</v>
      </c>
      <c r="I10" s="5">
        <v>0.103538999950668</v>
      </c>
      <c r="J10" s="5">
        <v>0.867603957061163</v>
      </c>
      <c r="K10" s="66">
        <v>8784</v>
      </c>
      <c r="L10" s="66">
        <v>909.48657556666603</v>
      </c>
      <c r="M10" s="66">
        <v>165.00305541657099</v>
      </c>
      <c r="N10" s="66">
        <v>165.00305541657099</v>
      </c>
      <c r="P10" s="66">
        <v>7874.5134244333303</v>
      </c>
      <c r="Q10" s="66">
        <v>1227.9888871794401</v>
      </c>
      <c r="R10" s="66">
        <v>6688.8017031630097</v>
      </c>
      <c r="S10" s="66">
        <v>-42.2771659091256</v>
      </c>
      <c r="T10" t="s">
        <v>564</v>
      </c>
      <c r="U10" t="s">
        <v>386</v>
      </c>
      <c r="V10" t="s">
        <v>385</v>
      </c>
      <c r="W10" t="s">
        <v>384</v>
      </c>
      <c r="X10" t="b">
        <v>0</v>
      </c>
      <c r="Y10" t="s">
        <v>769</v>
      </c>
      <c r="Z10">
        <v>1</v>
      </c>
    </row>
    <row r="11" spans="1:28">
      <c r="A11" t="s">
        <v>23</v>
      </c>
      <c r="B11" t="s">
        <v>24</v>
      </c>
      <c r="C11" t="s">
        <v>116</v>
      </c>
      <c r="D11" s="5">
        <v>0.93107814376374998</v>
      </c>
      <c r="E11" s="5">
        <v>0.99480128012295099</v>
      </c>
      <c r="F11" s="5">
        <v>0.93594385367967703</v>
      </c>
      <c r="G11" s="5">
        <v>0.93984333128429398</v>
      </c>
      <c r="H11" s="5">
        <v>0.93984333128429598</v>
      </c>
      <c r="I11" s="5">
        <v>5.1987198770491799E-3</v>
      </c>
      <c r="J11" s="5">
        <v>0.95362687286407399</v>
      </c>
      <c r="K11" s="66">
        <v>8784</v>
      </c>
      <c r="L11" s="66">
        <v>45.665555400000002</v>
      </c>
      <c r="M11" s="66">
        <v>162.03416663318399</v>
      </c>
      <c r="N11" s="66">
        <v>39.106388866636898</v>
      </c>
      <c r="O11" s="66">
        <v>122.927777766547</v>
      </c>
      <c r="P11" s="66">
        <v>8738.3344445999992</v>
      </c>
      <c r="Q11" s="66">
        <v>589.09138470508105</v>
      </c>
      <c r="R11" s="66">
        <v>8178.5904148207801</v>
      </c>
      <c r="S11" s="66">
        <v>-29.347354925861801</v>
      </c>
      <c r="T11" t="s">
        <v>564</v>
      </c>
      <c r="U11" t="s">
        <v>383</v>
      </c>
      <c r="V11" t="s">
        <v>384</v>
      </c>
      <c r="W11" t="s">
        <v>384</v>
      </c>
      <c r="X11" t="b">
        <v>0</v>
      </c>
      <c r="Y11" t="s">
        <v>426</v>
      </c>
      <c r="Z11">
        <v>1</v>
      </c>
    </row>
    <row r="12" spans="1:28">
      <c r="A12" t="s">
        <v>23</v>
      </c>
      <c r="B12" t="s">
        <v>25</v>
      </c>
      <c r="C12" t="s">
        <v>116</v>
      </c>
      <c r="D12" s="5">
        <v>0.93925542528086803</v>
      </c>
      <c r="E12" s="5">
        <v>0.991714259524894</v>
      </c>
      <c r="F12" s="5">
        <v>0.94710287389720804</v>
      </c>
      <c r="G12" s="5">
        <v>0.94845617415376504</v>
      </c>
      <c r="H12" s="5">
        <v>0.94845617415376904</v>
      </c>
      <c r="I12" s="5">
        <v>8.2857404751062493E-3</v>
      </c>
      <c r="J12" s="5">
        <v>0.96070526411434298</v>
      </c>
      <c r="K12" s="66">
        <v>8784</v>
      </c>
      <c r="L12" s="66">
        <v>72.7819443333333</v>
      </c>
      <c r="M12" s="66">
        <v>123.339999983213</v>
      </c>
      <c r="N12" s="66">
        <v>3.33999998333333</v>
      </c>
      <c r="O12" s="66">
        <v>119.99999999988</v>
      </c>
      <c r="P12" s="66">
        <v>8711.2180556666699</v>
      </c>
      <c r="Q12" s="66">
        <v>476.82110994963</v>
      </c>
      <c r="R12" s="66">
        <v>8250.4196556671395</v>
      </c>
      <c r="S12" s="66">
        <v>-16.0227099501076</v>
      </c>
      <c r="T12" t="s">
        <v>564</v>
      </c>
      <c r="U12" t="s">
        <v>383</v>
      </c>
      <c r="V12" t="s">
        <v>384</v>
      </c>
      <c r="W12" t="s">
        <v>384</v>
      </c>
      <c r="X12" t="b">
        <v>0</v>
      </c>
      <c r="Y12" t="s">
        <v>427</v>
      </c>
      <c r="Z12">
        <v>1</v>
      </c>
    </row>
    <row r="13" spans="1:28">
      <c r="A13" t="s">
        <v>23</v>
      </c>
      <c r="B13" t="s">
        <v>26</v>
      </c>
      <c r="C13" t="s">
        <v>116</v>
      </c>
      <c r="D13" s="5">
        <v>0.93767034150294903</v>
      </c>
      <c r="E13" s="5">
        <v>0.999291040543412</v>
      </c>
      <c r="F13" s="5">
        <v>0.93833558338824496</v>
      </c>
      <c r="G13" s="5">
        <v>0.94986164459057498</v>
      </c>
      <c r="H13" s="5">
        <v>0.94831185334397305</v>
      </c>
      <c r="I13" s="5">
        <v>7.0895945658773496E-4</v>
      </c>
      <c r="J13" s="5">
        <v>0.95260482850380002</v>
      </c>
      <c r="K13" s="66">
        <v>8784</v>
      </c>
      <c r="L13" s="66">
        <v>6.2274998666666699</v>
      </c>
      <c r="M13" s="66">
        <v>131.483888833213</v>
      </c>
      <c r="N13" s="66">
        <v>1.3616666500000001</v>
      </c>
      <c r="O13" s="66">
        <v>130.12222218321301</v>
      </c>
      <c r="P13" s="66">
        <v>8777.7725001333292</v>
      </c>
      <c r="Q13" s="66">
        <v>575.40833076082004</v>
      </c>
      <c r="R13" s="66">
        <v>8236.4962797618991</v>
      </c>
      <c r="S13" s="66">
        <v>-34.132110389390903</v>
      </c>
      <c r="T13" t="s">
        <v>564</v>
      </c>
      <c r="U13" t="s">
        <v>383</v>
      </c>
      <c r="V13" t="s">
        <v>384</v>
      </c>
      <c r="W13" t="s">
        <v>384</v>
      </c>
      <c r="X13" t="b">
        <v>0</v>
      </c>
      <c r="Y13" t="s">
        <v>428</v>
      </c>
      <c r="Z13">
        <v>1</v>
      </c>
    </row>
    <row r="14" spans="1:28">
      <c r="A14" t="s">
        <v>23</v>
      </c>
      <c r="B14" t="s">
        <v>27</v>
      </c>
      <c r="C14" t="s">
        <v>116</v>
      </c>
      <c r="D14" s="5">
        <v>0.78005862608559595</v>
      </c>
      <c r="E14" s="5">
        <v>0.94168877329339196</v>
      </c>
      <c r="F14" s="5">
        <v>0.82836139519586405</v>
      </c>
      <c r="G14" s="5">
        <v>0.81662389396964696</v>
      </c>
      <c r="H14" s="5">
        <v>0.81662389397110502</v>
      </c>
      <c r="I14" s="5">
        <v>5.8311226706607801E-2</v>
      </c>
      <c r="J14" s="5">
        <v>0.85588664522048497</v>
      </c>
      <c r="K14" s="66">
        <v>8784</v>
      </c>
      <c r="L14" s="66">
        <v>512.20581539084299</v>
      </c>
      <c r="M14" s="66">
        <v>266.02027774942002</v>
      </c>
      <c r="N14" s="66">
        <v>24.54527775</v>
      </c>
      <c r="O14" s="66">
        <v>241.47499999941999</v>
      </c>
      <c r="P14" s="66">
        <v>8271.7941846091599</v>
      </c>
      <c r="Q14" s="66">
        <v>1534.12250215944</v>
      </c>
      <c r="R14" s="66">
        <v>6852.0349715358798</v>
      </c>
      <c r="S14" s="66">
        <v>-114.363289086164</v>
      </c>
      <c r="T14" t="s">
        <v>564</v>
      </c>
      <c r="U14" t="s">
        <v>383</v>
      </c>
      <c r="V14" t="s">
        <v>384</v>
      </c>
      <c r="W14" t="s">
        <v>384</v>
      </c>
      <c r="X14" t="b">
        <v>0</v>
      </c>
      <c r="Y14" t="s">
        <v>429</v>
      </c>
      <c r="Z14">
        <v>1</v>
      </c>
    </row>
    <row r="15" spans="1:28">
      <c r="A15" t="s">
        <v>23</v>
      </c>
      <c r="B15" t="s">
        <v>28</v>
      </c>
      <c r="C15" t="s">
        <v>116</v>
      </c>
      <c r="D15" s="5">
        <v>0.88095331062259596</v>
      </c>
      <c r="E15" s="5">
        <v>0.95508140350051496</v>
      </c>
      <c r="F15" s="5">
        <v>0.92238557613390004</v>
      </c>
      <c r="G15" s="5">
        <v>0.922986266623955</v>
      </c>
      <c r="H15" s="5">
        <v>0.92191814032279895</v>
      </c>
      <c r="I15" s="5">
        <v>4.4918596499485298E-2</v>
      </c>
      <c r="J15" s="5">
        <v>0.94732498023391198</v>
      </c>
      <c r="K15" s="66">
        <v>8784</v>
      </c>
      <c r="L15" s="66">
        <v>394.56495165147902</v>
      </c>
      <c r="M15" s="66">
        <v>220.86138886563799</v>
      </c>
      <c r="N15" s="66">
        <v>3.7733333333333299</v>
      </c>
      <c r="O15" s="66">
        <v>217.08805553230499</v>
      </c>
      <c r="P15" s="66">
        <v>8389.4350483485196</v>
      </c>
      <c r="Q15" s="66">
        <v>683.24285791644502</v>
      </c>
      <c r="R15" s="66">
        <v>7738.2938805088797</v>
      </c>
      <c r="S15" s="66">
        <v>-32.101690076808403</v>
      </c>
      <c r="T15" t="s">
        <v>564</v>
      </c>
      <c r="U15" t="s">
        <v>383</v>
      </c>
      <c r="V15" t="s">
        <v>384</v>
      </c>
      <c r="W15" t="s">
        <v>384</v>
      </c>
      <c r="X15" t="b">
        <v>0</v>
      </c>
      <c r="Y15" t="s">
        <v>430</v>
      </c>
      <c r="Z15">
        <v>1</v>
      </c>
    </row>
    <row r="16" spans="1:28">
      <c r="A16" s="78" t="s">
        <v>645</v>
      </c>
      <c r="B16" s="78" t="s">
        <v>957</v>
      </c>
      <c r="C16" t="s">
        <v>117</v>
      </c>
      <c r="D16" s="5">
        <v>0.3296002200971464</v>
      </c>
      <c r="E16" s="5">
        <v>0.42305138129933217</v>
      </c>
      <c r="F16" s="5">
        <v>0.77910210122664991</v>
      </c>
      <c r="G16" s="5"/>
      <c r="H16" s="5"/>
      <c r="I16" s="5">
        <v>0.57694861870066783</v>
      </c>
      <c r="J16" s="5">
        <v>0.81599220236277803</v>
      </c>
      <c r="K16" s="66">
        <v>17568</v>
      </c>
      <c r="L16" s="66">
        <v>10135.833333333332</v>
      </c>
      <c r="M16" s="66">
        <v>336</v>
      </c>
      <c r="O16" s="66">
        <v>336</v>
      </c>
      <c r="P16" s="66">
        <v>7432.1666666666679</v>
      </c>
      <c r="Q16" s="66">
        <v>1641.75</v>
      </c>
      <c r="R16" s="66">
        <v>5790.4166666666679</v>
      </c>
      <c r="T16" t="s">
        <v>564</v>
      </c>
      <c r="U16" t="s">
        <v>386</v>
      </c>
      <c r="V16" t="s">
        <v>385</v>
      </c>
      <c r="W16" t="s">
        <v>384</v>
      </c>
      <c r="X16" t="b">
        <v>0</v>
      </c>
      <c r="Y16" t="s">
        <v>641</v>
      </c>
      <c r="Z16">
        <v>1</v>
      </c>
    </row>
    <row r="17" spans="1:29">
      <c r="A17" s="78" t="s">
        <v>645</v>
      </c>
      <c r="B17" s="78" t="s">
        <v>958</v>
      </c>
      <c r="C17" t="s">
        <v>117</v>
      </c>
      <c r="D17" s="5">
        <v>0.25833902550091065</v>
      </c>
      <c r="E17" s="5">
        <v>0.39129857316332717</v>
      </c>
      <c r="F17" s="5">
        <v>0.66020947485816794</v>
      </c>
      <c r="G17" s="5"/>
      <c r="H17" s="5"/>
      <c r="I17" s="5">
        <v>0.60870142683667283</v>
      </c>
      <c r="J17" s="5">
        <v>0.73174074273123002</v>
      </c>
      <c r="K17" s="66">
        <v>8784</v>
      </c>
      <c r="L17" s="66">
        <v>5346.8333333333339</v>
      </c>
      <c r="M17" s="66">
        <v>336</v>
      </c>
      <c r="O17" s="66">
        <v>336</v>
      </c>
      <c r="P17" s="66">
        <v>3437.1666666666661</v>
      </c>
      <c r="Q17" s="66">
        <v>1167.916666666667</v>
      </c>
      <c r="R17" s="66">
        <v>2269.2499999999991</v>
      </c>
      <c r="T17" t="s">
        <v>564</v>
      </c>
      <c r="U17" t="s">
        <v>386</v>
      </c>
      <c r="V17" t="s">
        <v>385</v>
      </c>
      <c r="W17" t="s">
        <v>384</v>
      </c>
      <c r="X17" t="b">
        <v>0</v>
      </c>
      <c r="Y17" t="s">
        <v>642</v>
      </c>
      <c r="Z17">
        <v>1</v>
      </c>
    </row>
    <row r="18" spans="1:29">
      <c r="A18" s="78" t="s">
        <v>645</v>
      </c>
      <c r="B18" s="78" t="s">
        <v>959</v>
      </c>
      <c r="C18" t="s">
        <v>117</v>
      </c>
      <c r="D18" s="5">
        <v>0.63806352459016391</v>
      </c>
      <c r="E18" s="5">
        <v>0.75831056466302382</v>
      </c>
      <c r="F18" s="5">
        <v>0.8414277135565229</v>
      </c>
      <c r="G18" s="5"/>
      <c r="H18" s="5"/>
      <c r="I18" s="5">
        <v>0.24168943533697618</v>
      </c>
      <c r="J18" s="5">
        <v>0.88612648221343859</v>
      </c>
      <c r="K18" s="66">
        <v>8784</v>
      </c>
      <c r="L18" s="66">
        <v>2122.9999999999991</v>
      </c>
      <c r="M18" s="66">
        <v>336</v>
      </c>
      <c r="O18" s="66">
        <v>336</v>
      </c>
      <c r="P18" s="66">
        <v>6661.0000000000009</v>
      </c>
      <c r="Q18" s="66">
        <v>1056.2500000000009</v>
      </c>
      <c r="R18" s="66">
        <v>5604.75</v>
      </c>
      <c r="T18" t="s">
        <v>564</v>
      </c>
      <c r="U18" t="s">
        <v>386</v>
      </c>
      <c r="V18" t="s">
        <v>385</v>
      </c>
      <c r="W18" t="s">
        <v>384</v>
      </c>
      <c r="X18" t="b">
        <v>0</v>
      </c>
      <c r="Y18" t="s">
        <v>643</v>
      </c>
      <c r="Z18">
        <v>1</v>
      </c>
    </row>
    <row r="19" spans="1:29">
      <c r="A19" s="78" t="s">
        <v>645</v>
      </c>
      <c r="B19" s="79" t="s">
        <v>996</v>
      </c>
      <c r="C19" t="s">
        <v>117</v>
      </c>
      <c r="D19" s="5">
        <v>0.52887826350941103</v>
      </c>
      <c r="E19" s="5">
        <v>0.63051191560412867</v>
      </c>
      <c r="F19" s="5">
        <v>0.83880772182182028</v>
      </c>
      <c r="G19" s="5"/>
      <c r="H19" s="5"/>
      <c r="I19" s="5">
        <v>0.36948808439587133</v>
      </c>
      <c r="J19" s="5">
        <v>0.89298242803825145</v>
      </c>
      <c r="K19" s="66">
        <v>8784</v>
      </c>
      <c r="L19" s="66">
        <v>3245.5833333333335</v>
      </c>
      <c r="M19" s="66">
        <v>336</v>
      </c>
      <c r="O19" s="66">
        <v>336</v>
      </c>
      <c r="P19" s="66">
        <v>5538.4166666666661</v>
      </c>
      <c r="Q19" s="66">
        <v>892.75</v>
      </c>
      <c r="R19" s="66">
        <v>4645.6666666666661</v>
      </c>
      <c r="T19" t="s">
        <v>564</v>
      </c>
      <c r="U19" t="s">
        <v>386</v>
      </c>
      <c r="V19" t="s">
        <v>385</v>
      </c>
      <c r="W19" t="s">
        <v>385</v>
      </c>
      <c r="X19" t="b">
        <v>0</v>
      </c>
      <c r="Y19" t="s">
        <v>644</v>
      </c>
      <c r="Z19">
        <v>1</v>
      </c>
    </row>
    <row r="20" spans="1:29">
      <c r="A20" s="78" t="s">
        <v>645</v>
      </c>
      <c r="B20" s="78" t="s">
        <v>1163</v>
      </c>
      <c r="C20" t="s">
        <v>117</v>
      </c>
      <c r="D20" s="5">
        <v>0.2898413782635097</v>
      </c>
      <c r="E20" s="5">
        <v>0.51364222829386752</v>
      </c>
      <c r="F20" s="5">
        <v>0.56428650585497464</v>
      </c>
      <c r="G20" s="5"/>
      <c r="H20" s="5"/>
      <c r="I20" s="5">
        <v>0.48635777170613248</v>
      </c>
      <c r="J20" s="5">
        <v>0.65875199448014221</v>
      </c>
      <c r="K20" s="66">
        <v>8784</v>
      </c>
      <c r="L20" s="66">
        <v>4272.1666666666679</v>
      </c>
      <c r="M20" s="66">
        <v>647</v>
      </c>
      <c r="O20" s="66">
        <v>647</v>
      </c>
      <c r="P20" s="66">
        <v>4511.8333333333321</v>
      </c>
      <c r="Q20" s="66">
        <v>1965.8666666666631</v>
      </c>
      <c r="R20" s="66">
        <v>2545.966666666669</v>
      </c>
      <c r="T20" t="s">
        <v>564</v>
      </c>
      <c r="U20" t="s">
        <v>386</v>
      </c>
      <c r="V20" t="s">
        <v>385</v>
      </c>
      <c r="W20" t="s">
        <v>385</v>
      </c>
      <c r="X20" t="b">
        <v>0</v>
      </c>
      <c r="Y20" t="s">
        <v>1163</v>
      </c>
      <c r="Z20">
        <v>1</v>
      </c>
    </row>
    <row r="21" spans="1:29">
      <c r="A21" s="78" t="s">
        <v>645</v>
      </c>
      <c r="B21" s="78" t="s">
        <v>961</v>
      </c>
      <c r="C21" t="s">
        <v>117</v>
      </c>
      <c r="D21" s="5">
        <v>0.39099499089253192</v>
      </c>
      <c r="E21" s="5">
        <v>0.59438562537947792</v>
      </c>
      <c r="F21" s="5">
        <v>0.65781367213062425</v>
      </c>
      <c r="G21" s="5"/>
      <c r="H21" s="5"/>
      <c r="I21" s="5">
        <v>0.40561437462052208</v>
      </c>
      <c r="J21" s="5">
        <v>0.73574093578735023</v>
      </c>
      <c r="K21" s="66">
        <v>8784</v>
      </c>
      <c r="L21" s="66">
        <v>3562.9166666666661</v>
      </c>
      <c r="M21" s="66">
        <v>553</v>
      </c>
      <c r="O21" s="66">
        <v>553</v>
      </c>
      <c r="P21" s="66">
        <v>5221.0833333333339</v>
      </c>
      <c r="Q21" s="66">
        <v>1786.5833333333335</v>
      </c>
      <c r="R21" s="66">
        <v>3434.5000000000005</v>
      </c>
      <c r="T21" t="s">
        <v>564</v>
      </c>
      <c r="U21" t="s">
        <v>386</v>
      </c>
      <c r="V21" t="s">
        <v>385</v>
      </c>
      <c r="W21" t="s">
        <v>384</v>
      </c>
      <c r="X21" t="b">
        <v>0</v>
      </c>
      <c r="Y21" t="s">
        <v>961</v>
      </c>
      <c r="Z21">
        <v>1</v>
      </c>
    </row>
    <row r="22" spans="1:29">
      <c r="A22" s="78" t="s">
        <v>645</v>
      </c>
      <c r="B22" s="78" t="s">
        <v>1164</v>
      </c>
      <c r="C22" t="s">
        <v>117</v>
      </c>
      <c r="D22" s="5">
        <v>9.1074681238616367E-3</v>
      </c>
      <c r="E22" s="5">
        <v>7.5961976320582977E-2</v>
      </c>
      <c r="F22" s="5">
        <v>0.11989509179468041</v>
      </c>
      <c r="G22" s="5"/>
      <c r="H22" s="5"/>
      <c r="I22" s="5">
        <v>0.92403802367941701</v>
      </c>
      <c r="J22" s="5">
        <v>0.24150943396226535</v>
      </c>
      <c r="K22" s="66">
        <v>8784</v>
      </c>
      <c r="L22" s="66">
        <v>8116.7499999999991</v>
      </c>
      <c r="M22" s="66">
        <v>336</v>
      </c>
      <c r="O22" s="66">
        <v>336</v>
      </c>
      <c r="P22" s="66">
        <v>667.25000000000091</v>
      </c>
      <c r="Q22" s="66">
        <v>587.25000000000034</v>
      </c>
      <c r="R22" s="66">
        <v>80.000000000000611</v>
      </c>
      <c r="T22" t="s">
        <v>564</v>
      </c>
      <c r="U22" t="s">
        <v>386</v>
      </c>
      <c r="V22" t="s">
        <v>385</v>
      </c>
      <c r="W22" t="s">
        <v>385</v>
      </c>
      <c r="X22" t="b">
        <v>0</v>
      </c>
      <c r="Y22" t="s">
        <v>1164</v>
      </c>
      <c r="Z22">
        <v>1</v>
      </c>
      <c r="AB22" s="352"/>
      <c r="AC22" s="353"/>
    </row>
    <row r="23" spans="1:29">
      <c r="A23" s="78" t="s">
        <v>645</v>
      </c>
      <c r="B23" s="78" t="s">
        <v>1165</v>
      </c>
      <c r="C23" t="s">
        <v>117</v>
      </c>
      <c r="D23" s="5">
        <v>3.8896478445658764E-3</v>
      </c>
      <c r="E23" s="5">
        <v>6.5801457194899812E-2</v>
      </c>
      <c r="F23" s="5">
        <v>5.9111880046136087E-2</v>
      </c>
      <c r="G23" s="5"/>
      <c r="H23" s="5"/>
      <c r="I23" s="5">
        <v>0.93419854280510017</v>
      </c>
      <c r="J23" s="5">
        <v>0.14118457300275478</v>
      </c>
      <c r="K23" s="66">
        <v>8784</v>
      </c>
      <c r="L23" s="66">
        <v>8206</v>
      </c>
      <c r="M23" s="66">
        <v>336</v>
      </c>
      <c r="O23" s="66">
        <v>336</v>
      </c>
      <c r="P23" s="66">
        <v>578</v>
      </c>
      <c r="Q23" s="66">
        <v>543.83333333333337</v>
      </c>
      <c r="R23" s="66">
        <v>34.166666666666657</v>
      </c>
      <c r="T23" t="s">
        <v>564</v>
      </c>
      <c r="U23" t="s">
        <v>386</v>
      </c>
      <c r="V23" t="s">
        <v>385</v>
      </c>
      <c r="W23" t="s">
        <v>385</v>
      </c>
      <c r="X23" t="b">
        <v>0</v>
      </c>
      <c r="Y23" t="s">
        <v>1165</v>
      </c>
      <c r="Z23">
        <v>1</v>
      </c>
      <c r="AB23" s="352"/>
      <c r="AC23" s="353"/>
    </row>
    <row r="24" spans="1:29">
      <c r="A24" s="78" t="s">
        <v>645</v>
      </c>
      <c r="B24" s="78" t="s">
        <v>962</v>
      </c>
      <c r="C24" t="s">
        <v>117</v>
      </c>
      <c r="D24" s="5">
        <v>0.31989981785063759</v>
      </c>
      <c r="E24" s="5">
        <v>0.40321417729204623</v>
      </c>
      <c r="F24" s="5">
        <v>0.79337442943861469</v>
      </c>
      <c r="G24" s="5"/>
      <c r="H24" s="5"/>
      <c r="I24" s="5">
        <v>0.59678582270795377</v>
      </c>
      <c r="J24" s="5">
        <v>0.83884770386586394</v>
      </c>
      <c r="K24" s="66">
        <v>17568</v>
      </c>
      <c r="L24" s="66">
        <v>10484.333333333332</v>
      </c>
      <c r="M24" s="66">
        <v>384</v>
      </c>
      <c r="O24" s="66">
        <v>384</v>
      </c>
      <c r="P24" s="66">
        <v>7083.6666666666679</v>
      </c>
      <c r="Q24" s="66">
        <v>1463.666666666667</v>
      </c>
      <c r="R24" s="66">
        <v>5620.0000000000009</v>
      </c>
      <c r="T24" t="s">
        <v>564</v>
      </c>
      <c r="U24" t="s">
        <v>386</v>
      </c>
      <c r="V24" t="s">
        <v>385</v>
      </c>
      <c r="W24" t="s">
        <v>385</v>
      </c>
      <c r="X24" t="b">
        <v>0</v>
      </c>
      <c r="Y24" t="s">
        <v>962</v>
      </c>
      <c r="Z24">
        <v>1</v>
      </c>
      <c r="AB24" s="352"/>
      <c r="AC24" s="353"/>
    </row>
    <row r="25" spans="1:29">
      <c r="A25" s="78" t="s">
        <v>645</v>
      </c>
      <c r="B25" s="78" t="s">
        <v>963</v>
      </c>
      <c r="C25" t="s">
        <v>117</v>
      </c>
      <c r="D25" s="5">
        <v>0.19529826958105637</v>
      </c>
      <c r="E25" s="5">
        <v>0.2669721463266545</v>
      </c>
      <c r="F25" s="5">
        <v>0.73153050708930001</v>
      </c>
      <c r="G25" s="5"/>
      <c r="H25" s="5"/>
      <c r="I25" s="5">
        <v>0.73302785367334544</v>
      </c>
      <c r="J25" s="5">
        <v>0.8538719980090419</v>
      </c>
      <c r="K25" s="66">
        <v>8784</v>
      </c>
      <c r="L25" s="66">
        <v>6438.916666666667</v>
      </c>
      <c r="M25" s="66">
        <v>336</v>
      </c>
      <c r="O25" s="66">
        <v>336</v>
      </c>
      <c r="P25" s="66">
        <v>2345.083333333333</v>
      </c>
      <c r="Q25" s="66">
        <v>629.58333333333394</v>
      </c>
      <c r="R25" s="66">
        <v>1715.4999999999991</v>
      </c>
      <c r="T25" t="s">
        <v>564</v>
      </c>
      <c r="U25" t="s">
        <v>386</v>
      </c>
      <c r="V25" t="s">
        <v>385</v>
      </c>
      <c r="W25" t="s">
        <v>385</v>
      </c>
      <c r="X25" t="b">
        <v>0</v>
      </c>
      <c r="Y25" t="s">
        <v>963</v>
      </c>
      <c r="Z25">
        <v>1</v>
      </c>
      <c r="AB25" s="352"/>
      <c r="AC25" s="353"/>
    </row>
    <row r="26" spans="1:29">
      <c r="A26" t="s">
        <v>271</v>
      </c>
      <c r="B26" t="s">
        <v>143</v>
      </c>
      <c r="C26" t="s">
        <v>117</v>
      </c>
      <c r="D26" s="5">
        <v>0.65828804095950699</v>
      </c>
      <c r="E26" s="5">
        <v>0.87456445431740704</v>
      </c>
      <c r="F26" s="5">
        <v>0.75270386042992998</v>
      </c>
      <c r="G26" s="5">
        <v>0.82935227516598897</v>
      </c>
      <c r="H26" s="5">
        <v>0.82935227516648802</v>
      </c>
      <c r="I26" s="5">
        <v>0.12543554568259299</v>
      </c>
      <c r="J26" s="5">
        <v>0.82813188776222302</v>
      </c>
      <c r="K26" s="66">
        <v>8784</v>
      </c>
      <c r="L26" s="66">
        <v>1101.8258332759001</v>
      </c>
      <c r="M26" s="66">
        <v>699.70888886417595</v>
      </c>
      <c r="N26" s="66">
        <v>699.93888886417596</v>
      </c>
      <c r="O26" s="66">
        <v>-0.23</v>
      </c>
      <c r="P26" s="66">
        <v>7682.1741667241004</v>
      </c>
      <c r="Q26" s="66">
        <v>1904.08083118063</v>
      </c>
      <c r="R26" s="66">
        <v>5782.4021517883202</v>
      </c>
      <c r="S26" s="66">
        <v>-4.3088162448345999</v>
      </c>
      <c r="T26" t="s">
        <v>564</v>
      </c>
      <c r="U26" t="s">
        <v>386</v>
      </c>
      <c r="V26" t="s">
        <v>384</v>
      </c>
      <c r="W26" t="s">
        <v>384</v>
      </c>
      <c r="X26" t="b">
        <v>0</v>
      </c>
      <c r="Y26" t="s">
        <v>1039</v>
      </c>
      <c r="Z26">
        <v>1</v>
      </c>
      <c r="AB26" s="352"/>
      <c r="AC26" s="353"/>
    </row>
    <row r="27" spans="1:29" s="19" customFormat="1">
      <c r="A27" t="s">
        <v>271</v>
      </c>
      <c r="B27" t="s">
        <v>144</v>
      </c>
      <c r="C27" t="s">
        <v>117</v>
      </c>
      <c r="D27" s="5">
        <v>0.65036694039388498</v>
      </c>
      <c r="E27" s="5">
        <v>0.87383468680940302</v>
      </c>
      <c r="F27" s="5">
        <v>0.74426770899715999</v>
      </c>
      <c r="G27" s="5">
        <v>0.83308454923360897</v>
      </c>
      <c r="H27" s="5">
        <v>0.83308454923387998</v>
      </c>
      <c r="I27" s="5">
        <v>0.12616531319059601</v>
      </c>
      <c r="J27" s="5">
        <v>0.81390687452239296</v>
      </c>
      <c r="K27" s="66">
        <v>8784</v>
      </c>
      <c r="L27" s="66">
        <v>1108.2361110662</v>
      </c>
      <c r="M27" s="66">
        <v>656.75055553221898</v>
      </c>
      <c r="N27" s="66">
        <v>656.75055553221898</v>
      </c>
      <c r="O27" s="66"/>
      <c r="P27" s="66">
        <v>7675.7638889338004</v>
      </c>
      <c r="Q27" s="66">
        <v>1970.53583116508</v>
      </c>
      <c r="R27" s="66">
        <v>5712.8232044198903</v>
      </c>
      <c r="S27" s="66">
        <v>-7.5951466511660897</v>
      </c>
      <c r="T27" t="s">
        <v>564</v>
      </c>
      <c r="U27" t="s">
        <v>386</v>
      </c>
      <c r="V27" t="s">
        <v>384</v>
      </c>
      <c r="W27" t="s">
        <v>384</v>
      </c>
      <c r="X27" t="b">
        <v>0</v>
      </c>
      <c r="Y27" t="s">
        <v>1040</v>
      </c>
      <c r="Z27">
        <v>1</v>
      </c>
      <c r="AB27" s="364"/>
      <c r="AC27" s="365"/>
    </row>
    <row r="28" spans="1:29">
      <c r="A28" t="s">
        <v>271</v>
      </c>
      <c r="B28" t="s">
        <v>145</v>
      </c>
      <c r="C28" t="s">
        <v>117</v>
      </c>
      <c r="D28" s="5">
        <v>0.42750838737770303</v>
      </c>
      <c r="E28" s="5">
        <v>0.93692841156374695</v>
      </c>
      <c r="F28" s="5">
        <v>0.45628714222059502</v>
      </c>
      <c r="G28" s="5">
        <v>0.63334277262508198</v>
      </c>
      <c r="H28" s="5">
        <v>0.63334277262698202</v>
      </c>
      <c r="I28" s="5">
        <v>6.3071588436253295E-2</v>
      </c>
      <c r="J28" s="5">
        <v>0.45951168850970298</v>
      </c>
      <c r="K28" s="66">
        <v>8784</v>
      </c>
      <c r="L28" s="66">
        <v>554.02083282404897</v>
      </c>
      <c r="M28" s="66">
        <v>57.7524999832291</v>
      </c>
      <c r="N28" s="66">
        <v>57.7524999832291</v>
      </c>
      <c r="P28" s="66">
        <v>8229.9791671759504</v>
      </c>
      <c r="Q28" s="66">
        <v>4515.0058300172695</v>
      </c>
      <c r="R28" s="66">
        <v>3755.23367472575</v>
      </c>
      <c r="S28" s="66">
        <v>-40.2603375670597</v>
      </c>
      <c r="T28" t="s">
        <v>564</v>
      </c>
      <c r="U28" t="s">
        <v>386</v>
      </c>
      <c r="V28" t="s">
        <v>385</v>
      </c>
      <c r="W28" t="s">
        <v>385</v>
      </c>
      <c r="X28" t="b">
        <v>0</v>
      </c>
      <c r="Y28" t="s">
        <v>770</v>
      </c>
      <c r="Z28">
        <v>1</v>
      </c>
      <c r="AB28" s="352"/>
      <c r="AC28" s="353"/>
    </row>
    <row r="29" spans="1:29">
      <c r="A29" t="s">
        <v>271</v>
      </c>
      <c r="B29" t="s">
        <v>146</v>
      </c>
      <c r="C29" t="s">
        <v>117</v>
      </c>
      <c r="D29" s="5">
        <v>0.44438499263001702</v>
      </c>
      <c r="E29" s="5">
        <v>0.77220701150406101</v>
      </c>
      <c r="F29" s="5">
        <v>0.57547391568547102</v>
      </c>
      <c r="G29" s="5">
        <v>0.61311050112492504</v>
      </c>
      <c r="H29" s="5">
        <v>0.61311050112566601</v>
      </c>
      <c r="I29" s="5">
        <v>0.22779298849593899</v>
      </c>
      <c r="J29" s="5">
        <v>0.60244375923018101</v>
      </c>
      <c r="K29" s="66">
        <v>8784</v>
      </c>
      <c r="L29" s="66">
        <v>2000.9336109483299</v>
      </c>
      <c r="M29" s="66">
        <v>303.66027776579898</v>
      </c>
      <c r="N29" s="66">
        <v>303.66027776579898</v>
      </c>
      <c r="P29" s="66">
        <v>6783.0663890516698</v>
      </c>
      <c r="Q29" s="66">
        <v>2794.2216613095302</v>
      </c>
      <c r="R29" s="66">
        <v>3903.4777752620698</v>
      </c>
      <c r="S29" s="66">
        <v>85.366952480071006</v>
      </c>
      <c r="T29" t="s">
        <v>564</v>
      </c>
      <c r="U29" t="s">
        <v>386</v>
      </c>
      <c r="V29" t="s">
        <v>384</v>
      </c>
      <c r="W29" t="s">
        <v>384</v>
      </c>
      <c r="X29" t="b">
        <v>0</v>
      </c>
      <c r="Y29" t="s">
        <v>431</v>
      </c>
      <c r="Z29">
        <v>1</v>
      </c>
    </row>
    <row r="30" spans="1:29">
      <c r="A30" t="s">
        <v>271</v>
      </c>
      <c r="B30" t="s">
        <v>147</v>
      </c>
      <c r="C30" t="s">
        <v>117</v>
      </c>
      <c r="D30" s="5">
        <v>0.44431671000411199</v>
      </c>
      <c r="E30" s="5">
        <v>0.77120133198876994</v>
      </c>
      <c r="F30" s="5">
        <v>0.57613581768370503</v>
      </c>
      <c r="G30" s="5">
        <v>0.60364316448564703</v>
      </c>
      <c r="H30" s="5">
        <v>0.60364316448639399</v>
      </c>
      <c r="I30" s="5">
        <v>0.22879866801123</v>
      </c>
      <c r="J30" s="5">
        <v>0.59874644591218296</v>
      </c>
      <c r="K30" s="66">
        <v>8784</v>
      </c>
      <c r="L30" s="66">
        <v>2009.7674998106399</v>
      </c>
      <c r="M30" s="66">
        <v>255.817222199464</v>
      </c>
      <c r="N30" s="66">
        <v>255.817222199464</v>
      </c>
      <c r="P30" s="66">
        <v>6774.2325001893596</v>
      </c>
      <c r="Q30" s="66">
        <v>2797.7833280709401</v>
      </c>
      <c r="R30" s="66">
        <v>3902.8779806761199</v>
      </c>
      <c r="S30" s="66">
        <v>73.571191442293795</v>
      </c>
      <c r="T30" t="s">
        <v>564</v>
      </c>
      <c r="U30" t="s">
        <v>386</v>
      </c>
      <c r="V30" t="s">
        <v>384</v>
      </c>
      <c r="W30" t="s">
        <v>384</v>
      </c>
      <c r="X30" t="b">
        <v>0</v>
      </c>
      <c r="Y30" t="s">
        <v>432</v>
      </c>
      <c r="Z30">
        <v>1</v>
      </c>
    </row>
    <row r="31" spans="1:29">
      <c r="A31" t="s">
        <v>271</v>
      </c>
      <c r="B31" t="s">
        <v>148</v>
      </c>
      <c r="C31" t="s">
        <v>117</v>
      </c>
      <c r="D31" s="5">
        <v>0.53477925010814098</v>
      </c>
      <c r="E31" s="5">
        <v>0.79912308999223602</v>
      </c>
      <c r="F31" s="5">
        <v>0.66920760619410502</v>
      </c>
      <c r="G31" s="5">
        <v>0.85098139559512298</v>
      </c>
      <c r="H31" s="5">
        <v>0.85098139559572705</v>
      </c>
      <c r="I31" s="5">
        <v>0.200876910007764</v>
      </c>
      <c r="J31" s="5">
        <v>0.674532071953864</v>
      </c>
      <c r="K31" s="66">
        <v>8784</v>
      </c>
      <c r="L31" s="66">
        <v>1764.5027775082001</v>
      </c>
      <c r="M31" s="66">
        <v>55.408888866645398</v>
      </c>
      <c r="N31" s="66">
        <v>55.408888866645398</v>
      </c>
      <c r="P31" s="66">
        <v>7019.4972224918001</v>
      </c>
      <c r="Q31" s="66">
        <v>2346.2416607739301</v>
      </c>
      <c r="R31" s="66">
        <v>4697.5009329499098</v>
      </c>
      <c r="S31" s="66">
        <v>-24.245371232032198</v>
      </c>
      <c r="T31" t="s">
        <v>564</v>
      </c>
      <c r="U31" t="s">
        <v>386</v>
      </c>
      <c r="V31" t="s">
        <v>384</v>
      </c>
      <c r="W31" t="s">
        <v>384</v>
      </c>
      <c r="X31" t="b">
        <v>0</v>
      </c>
      <c r="Y31" t="s">
        <v>433</v>
      </c>
      <c r="Z31">
        <v>1</v>
      </c>
    </row>
    <row r="32" spans="1:29">
      <c r="A32" t="s">
        <v>271</v>
      </c>
      <c r="B32" t="s">
        <v>149</v>
      </c>
      <c r="C32" t="s">
        <v>117</v>
      </c>
      <c r="D32" s="5">
        <v>0.48323327583398201</v>
      </c>
      <c r="E32" s="5">
        <v>0.84202827742460895</v>
      </c>
      <c r="F32" s="5">
        <v>0.57389198057810897</v>
      </c>
      <c r="G32" s="5">
        <v>0.65403139577842495</v>
      </c>
      <c r="H32" s="5">
        <v>0.65403139577876601</v>
      </c>
      <c r="I32" s="5">
        <v>0.15797172257539099</v>
      </c>
      <c r="J32" s="5">
        <v>0.59085749920443198</v>
      </c>
      <c r="K32" s="66">
        <v>8784</v>
      </c>
      <c r="L32" s="66">
        <v>1387.6236111022299</v>
      </c>
      <c r="M32" s="66">
        <v>212.37499999932501</v>
      </c>
      <c r="N32" s="66">
        <v>212.37499999932501</v>
      </c>
      <c r="P32" s="66">
        <v>7396.3763888977601</v>
      </c>
      <c r="Q32" s="66">
        <v>3106.2680548364901</v>
      </c>
      <c r="R32" s="66">
        <v>4244.7210949256996</v>
      </c>
      <c r="S32" s="66">
        <v>45.387239135579399</v>
      </c>
      <c r="T32" t="s">
        <v>564</v>
      </c>
      <c r="U32" t="s">
        <v>386</v>
      </c>
      <c r="V32" t="s">
        <v>384</v>
      </c>
      <c r="W32" t="s">
        <v>384</v>
      </c>
      <c r="X32" t="b">
        <v>0</v>
      </c>
      <c r="Y32" t="s">
        <v>434</v>
      </c>
      <c r="Z32">
        <v>1</v>
      </c>
    </row>
    <row r="33" spans="1:26">
      <c r="A33" t="s">
        <v>271</v>
      </c>
      <c r="B33" t="s">
        <v>150</v>
      </c>
      <c r="C33" t="s">
        <v>117</v>
      </c>
      <c r="D33" s="5">
        <v>0.48795967849072802</v>
      </c>
      <c r="E33" s="5">
        <v>0.83779709952469394</v>
      </c>
      <c r="F33" s="5">
        <v>0.58243180689878404</v>
      </c>
      <c r="G33" s="5">
        <v>0.65101798717649595</v>
      </c>
      <c r="H33" s="5">
        <v>0.65101798717692205</v>
      </c>
      <c r="I33" s="5">
        <v>0.162202900475306</v>
      </c>
      <c r="J33" s="5">
        <v>0.60097403744655598</v>
      </c>
      <c r="K33" s="66">
        <v>8784</v>
      </c>
      <c r="L33" s="66">
        <v>1424.7902777750901</v>
      </c>
      <c r="M33" s="66">
        <v>227.05833333279901</v>
      </c>
      <c r="N33" s="66">
        <v>221.48166666613201</v>
      </c>
      <c r="O33" s="66">
        <v>5.5766666666666698</v>
      </c>
      <c r="P33" s="66">
        <v>7359.2097222249104</v>
      </c>
      <c r="Q33" s="66">
        <v>3008.22222205341</v>
      </c>
      <c r="R33" s="66">
        <v>4286.2378158625497</v>
      </c>
      <c r="S33" s="66">
        <v>64.749684308952297</v>
      </c>
      <c r="T33" t="s">
        <v>564</v>
      </c>
      <c r="U33" t="s">
        <v>386</v>
      </c>
      <c r="V33" t="s">
        <v>384</v>
      </c>
      <c r="W33" t="s">
        <v>384</v>
      </c>
      <c r="X33" t="b">
        <v>0</v>
      </c>
      <c r="Y33" t="s">
        <v>435</v>
      </c>
      <c r="Z33">
        <v>1</v>
      </c>
    </row>
    <row r="34" spans="1:26">
      <c r="A34" t="s">
        <v>271</v>
      </c>
      <c r="B34" t="s">
        <v>151</v>
      </c>
      <c r="C34" t="s">
        <v>117</v>
      </c>
      <c r="D34" s="5">
        <v>0.40348065501470798</v>
      </c>
      <c r="E34" s="5">
        <v>0.79833029754842799</v>
      </c>
      <c r="F34" s="5">
        <v>0.50540566511598795</v>
      </c>
      <c r="G34" s="5">
        <v>0.58334028963965601</v>
      </c>
      <c r="H34" s="5">
        <v>0.58334028964245899</v>
      </c>
      <c r="I34" s="5">
        <v>0.20166970245157201</v>
      </c>
      <c r="J34" s="5">
        <v>0.51980361105338102</v>
      </c>
      <c r="K34" s="66">
        <v>8784</v>
      </c>
      <c r="L34" s="66">
        <v>1771.46666633461</v>
      </c>
      <c r="M34" s="66">
        <v>194.23888883278801</v>
      </c>
      <c r="N34" s="66">
        <v>194.23888883278801</v>
      </c>
      <c r="P34" s="66">
        <v>7012.5333336653903</v>
      </c>
      <c r="Q34" s="66">
        <v>3409.0897167458502</v>
      </c>
      <c r="R34" s="66">
        <v>3544.1740736491902</v>
      </c>
      <c r="S34" s="66">
        <v>59.269543270356102</v>
      </c>
      <c r="T34" t="s">
        <v>564</v>
      </c>
      <c r="U34" t="s">
        <v>386</v>
      </c>
      <c r="V34" t="s">
        <v>385</v>
      </c>
      <c r="W34" t="s">
        <v>385</v>
      </c>
      <c r="X34" t="b">
        <v>0</v>
      </c>
      <c r="Y34" t="s">
        <v>436</v>
      </c>
      <c r="Z34">
        <v>1</v>
      </c>
    </row>
    <row r="35" spans="1:26">
      <c r="A35" t="s">
        <v>271</v>
      </c>
      <c r="B35" t="s">
        <v>152</v>
      </c>
      <c r="C35" t="s">
        <v>117</v>
      </c>
      <c r="D35" s="5">
        <v>0.37339590743670598</v>
      </c>
      <c r="E35" s="5">
        <v>0.39665474479560903</v>
      </c>
      <c r="F35" s="5">
        <v>0.94136251320808395</v>
      </c>
      <c r="G35" s="5">
        <v>0.93736923936094296</v>
      </c>
      <c r="H35" s="5">
        <v>0.87864253284510097</v>
      </c>
      <c r="I35" s="5">
        <v>0.60334525520439097</v>
      </c>
      <c r="J35" s="5">
        <v>0.94136251320808395</v>
      </c>
      <c r="K35" s="66">
        <v>8784</v>
      </c>
      <c r="L35" s="66">
        <v>5299.7847217153703</v>
      </c>
      <c r="P35" s="66">
        <v>3484.2152782846301</v>
      </c>
      <c r="Q35" s="66">
        <v>307.595833032847</v>
      </c>
      <c r="R35" s="66">
        <v>3279.9096509240198</v>
      </c>
      <c r="S35" s="66">
        <v>-103.290205672241</v>
      </c>
      <c r="T35" t="s">
        <v>564</v>
      </c>
      <c r="U35" t="s">
        <v>386</v>
      </c>
      <c r="V35" t="s">
        <v>385</v>
      </c>
      <c r="W35" t="s">
        <v>385</v>
      </c>
      <c r="X35" t="b">
        <v>0</v>
      </c>
      <c r="Y35" t="s">
        <v>437</v>
      </c>
      <c r="Z35">
        <v>1</v>
      </c>
    </row>
    <row r="36" spans="1:26">
      <c r="A36" t="s">
        <v>271</v>
      </c>
      <c r="B36" t="s">
        <v>153</v>
      </c>
      <c r="C36" t="s">
        <v>117</v>
      </c>
      <c r="D36" s="5">
        <v>0.54594579420843603</v>
      </c>
      <c r="E36" s="5">
        <v>0.91906395467763302</v>
      </c>
      <c r="F36" s="5">
        <v>0.59402372536732695</v>
      </c>
      <c r="G36" s="5">
        <v>0.60540623400608595</v>
      </c>
      <c r="H36" s="5">
        <v>0.605406234008942</v>
      </c>
      <c r="I36" s="5">
        <v>8.0936045322367103E-2</v>
      </c>
      <c r="J36" s="5">
        <v>0.597367899417517</v>
      </c>
      <c r="K36" s="66">
        <v>8784</v>
      </c>
      <c r="L36" s="66">
        <v>710.942222111673</v>
      </c>
      <c r="M36" s="66">
        <v>45.194444416621501</v>
      </c>
      <c r="N36" s="66">
        <v>45.194444416621501</v>
      </c>
      <c r="P36" s="66">
        <v>8073.0577778883298</v>
      </c>
      <c r="Q36" s="66">
        <v>3239.6747001568401</v>
      </c>
      <c r="R36" s="66">
        <v>4795.5878563268998</v>
      </c>
      <c r="S36" s="66">
        <v>37.7952214045769</v>
      </c>
      <c r="T36" t="s">
        <v>564</v>
      </c>
      <c r="U36" t="s">
        <v>386</v>
      </c>
      <c r="V36" t="s">
        <v>384</v>
      </c>
      <c r="W36" t="s">
        <v>384</v>
      </c>
      <c r="X36" t="b">
        <v>0</v>
      </c>
      <c r="Y36" t="s">
        <v>771</v>
      </c>
      <c r="Z36">
        <v>1</v>
      </c>
    </row>
    <row r="37" spans="1:26">
      <c r="A37" t="s">
        <v>271</v>
      </c>
      <c r="B37" t="s">
        <v>154</v>
      </c>
      <c r="C37" t="s">
        <v>117</v>
      </c>
      <c r="D37" s="5">
        <v>0.42884911501272299</v>
      </c>
      <c r="E37" s="5">
        <v>0.94141551560024705</v>
      </c>
      <c r="F37" s="5">
        <v>0.455536485118677</v>
      </c>
      <c r="G37" s="5">
        <v>0.56279395157098899</v>
      </c>
      <c r="H37" s="5">
        <v>0.56279395157215995</v>
      </c>
      <c r="I37" s="5">
        <v>5.8584484399753098E-2</v>
      </c>
      <c r="J37" s="5">
        <v>0.459068854185683</v>
      </c>
      <c r="K37" s="66">
        <v>8784</v>
      </c>
      <c r="L37" s="66">
        <v>514.60611096743105</v>
      </c>
      <c r="M37" s="66">
        <v>63.629999966610903</v>
      </c>
      <c r="N37" s="66">
        <v>63.629999966610903</v>
      </c>
      <c r="P37" s="66">
        <v>8269.3938890325699</v>
      </c>
      <c r="Q37" s="66">
        <v>4389.9374874632504</v>
      </c>
      <c r="R37" s="66">
        <v>3767.01062627176</v>
      </c>
      <c r="S37" s="66">
        <v>112.445775297563</v>
      </c>
      <c r="T37" t="s">
        <v>564</v>
      </c>
      <c r="U37" t="s">
        <v>386</v>
      </c>
      <c r="V37" t="s">
        <v>384</v>
      </c>
      <c r="W37" t="s">
        <v>384</v>
      </c>
      <c r="X37" t="b">
        <v>0</v>
      </c>
      <c r="Y37" t="s">
        <v>772</v>
      </c>
      <c r="Z37">
        <v>1</v>
      </c>
    </row>
    <row r="38" spans="1:26">
      <c r="A38" t="s">
        <v>272</v>
      </c>
      <c r="B38" t="s">
        <v>339</v>
      </c>
      <c r="C38" t="s">
        <v>117</v>
      </c>
      <c r="D38" s="5">
        <v>0.64457186027234004</v>
      </c>
      <c r="E38" s="5">
        <v>0.95208162569647004</v>
      </c>
      <c r="F38" s="5">
        <v>0.67701323381891898</v>
      </c>
      <c r="G38" s="5">
        <v>0.678857374909835</v>
      </c>
      <c r="H38" s="5">
        <v>0.69077090059788604</v>
      </c>
      <c r="I38" s="5">
        <v>4.7918374303530402E-2</v>
      </c>
      <c r="J38" s="5">
        <v>0.68608512636358099</v>
      </c>
      <c r="K38" s="66">
        <v>8784</v>
      </c>
      <c r="L38" s="66">
        <v>420.91499988221102</v>
      </c>
      <c r="M38" s="66">
        <v>110.582499966252</v>
      </c>
      <c r="N38" s="66">
        <v>57.144166633250499</v>
      </c>
      <c r="O38" s="66">
        <v>53.438333333001196</v>
      </c>
      <c r="P38" s="66">
        <v>8363.0850001177896</v>
      </c>
      <c r="Q38" s="66">
        <v>2753.1652756562198</v>
      </c>
      <c r="R38" s="66">
        <v>5661.9192206322296</v>
      </c>
      <c r="S38" s="66">
        <v>-27.9994961707493</v>
      </c>
      <c r="T38" t="s">
        <v>564</v>
      </c>
      <c r="U38" t="s">
        <v>386</v>
      </c>
      <c r="V38" t="s">
        <v>384</v>
      </c>
      <c r="W38" t="s">
        <v>384</v>
      </c>
      <c r="X38" t="b">
        <v>0</v>
      </c>
      <c r="Y38" t="s">
        <v>773</v>
      </c>
      <c r="Z38">
        <v>1</v>
      </c>
    </row>
    <row r="39" spans="1:26">
      <c r="A39" t="s">
        <v>272</v>
      </c>
      <c r="B39" t="s">
        <v>340</v>
      </c>
      <c r="C39" t="s">
        <v>117</v>
      </c>
      <c r="D39" s="5">
        <v>0.56726122575413296</v>
      </c>
      <c r="E39" s="5">
        <v>0.95594255971277797</v>
      </c>
      <c r="F39" s="5">
        <v>0.593405137150261</v>
      </c>
      <c r="G39" s="5">
        <v>0.64938616632093105</v>
      </c>
      <c r="H39" s="5">
        <v>0.66574934362894</v>
      </c>
      <c r="I39" s="5">
        <v>4.4057440287221701E-2</v>
      </c>
      <c r="J39" s="5">
        <v>0.612583731689049</v>
      </c>
      <c r="K39" s="66">
        <v>8784</v>
      </c>
      <c r="L39" s="66">
        <v>387.00055548295597</v>
      </c>
      <c r="M39" s="66">
        <v>262.89083329845602</v>
      </c>
      <c r="N39" s="66">
        <v>45.7777777666427</v>
      </c>
      <c r="O39" s="66">
        <v>217.11305553181401</v>
      </c>
      <c r="P39" s="66">
        <v>8396.9994445170505</v>
      </c>
      <c r="Q39" s="66">
        <v>3425.8259375767102</v>
      </c>
      <c r="R39" s="66">
        <v>4982.8226070243099</v>
      </c>
      <c r="S39" s="66">
        <v>-11.6491000839751</v>
      </c>
      <c r="T39" s="66" t="s">
        <v>564</v>
      </c>
      <c r="U39" s="18" t="s">
        <v>383</v>
      </c>
      <c r="V39" s="18" t="s">
        <v>384</v>
      </c>
      <c r="W39" s="18" t="s">
        <v>384</v>
      </c>
      <c r="X39" s="80" t="b">
        <v>0</v>
      </c>
      <c r="Y39" t="s">
        <v>566</v>
      </c>
      <c r="Z39">
        <v>1</v>
      </c>
    </row>
    <row r="40" spans="1:26">
      <c r="A40" t="s">
        <v>272</v>
      </c>
      <c r="B40" t="s">
        <v>341</v>
      </c>
      <c r="C40" t="s">
        <v>117</v>
      </c>
      <c r="D40" s="5">
        <v>0.56184775684316601</v>
      </c>
      <c r="E40" s="5">
        <v>0.95500129655819199</v>
      </c>
      <c r="F40" s="5">
        <v>0.58832145973838501</v>
      </c>
      <c r="G40" s="5">
        <v>0.61182386763808805</v>
      </c>
      <c r="H40" s="5">
        <v>0.62893485440783303</v>
      </c>
      <c r="I40" s="5">
        <v>4.4998703441808001E-2</v>
      </c>
      <c r="J40" s="5">
        <v>0.60733392248679796</v>
      </c>
      <c r="K40" s="66">
        <v>8784</v>
      </c>
      <c r="L40" s="66">
        <v>395.26861103284102</v>
      </c>
      <c r="M40" s="66">
        <v>262.607499983092</v>
      </c>
      <c r="N40" s="66">
        <v>45.495833316642702</v>
      </c>
      <c r="O40" s="66">
        <v>217.11166666644999</v>
      </c>
      <c r="P40" s="66">
        <v>8388.7313889671605</v>
      </c>
      <c r="Q40" s="66">
        <v>3458.8503658785298</v>
      </c>
      <c r="R40" s="66">
        <v>4935.2706961103704</v>
      </c>
      <c r="S40" s="66">
        <v>-5.3896730217488296</v>
      </c>
      <c r="T40" t="s">
        <v>564</v>
      </c>
      <c r="U40" t="s">
        <v>383</v>
      </c>
      <c r="V40" t="s">
        <v>384</v>
      </c>
      <c r="W40" t="s">
        <v>384</v>
      </c>
      <c r="X40" t="b">
        <v>0</v>
      </c>
      <c r="Y40" t="s">
        <v>567</v>
      </c>
      <c r="Z40">
        <v>1</v>
      </c>
    </row>
    <row r="41" spans="1:26">
      <c r="A41" t="s">
        <v>272</v>
      </c>
      <c r="B41" t="s">
        <v>155</v>
      </c>
      <c r="C41" t="s">
        <v>117</v>
      </c>
      <c r="D41" s="5">
        <v>0.56938558349033097</v>
      </c>
      <c r="E41" s="5">
        <v>0.95636874494352397</v>
      </c>
      <c r="F41" s="5">
        <v>0.59536197361192</v>
      </c>
      <c r="G41" s="5">
        <v>0.65252115512413</v>
      </c>
      <c r="H41" s="5">
        <v>0.67089111772255805</v>
      </c>
      <c r="I41" s="5">
        <v>4.3631255056476401E-2</v>
      </c>
      <c r="J41" s="5">
        <v>0.61477158823335898</v>
      </c>
      <c r="K41" s="66">
        <v>8784</v>
      </c>
      <c r="L41" s="66">
        <v>383.256944416088</v>
      </c>
      <c r="M41" s="66">
        <v>265.22888884823902</v>
      </c>
      <c r="N41" s="66">
        <v>48.099166633309302</v>
      </c>
      <c r="O41" s="66">
        <v>217.12972221493001</v>
      </c>
      <c r="P41" s="66">
        <v>8400.7430555839092</v>
      </c>
      <c r="Q41" s="66">
        <v>3398.2334612382101</v>
      </c>
      <c r="R41" s="66">
        <v>5001.4829653790803</v>
      </c>
      <c r="S41" s="66">
        <v>1.0266289666319299</v>
      </c>
      <c r="T41" s="66" t="s">
        <v>564</v>
      </c>
      <c r="U41" s="18" t="s">
        <v>383</v>
      </c>
      <c r="V41" s="18" t="s">
        <v>384</v>
      </c>
      <c r="W41" s="18" t="s">
        <v>384</v>
      </c>
      <c r="X41" s="80" t="b">
        <v>0</v>
      </c>
      <c r="Y41" t="s">
        <v>568</v>
      </c>
      <c r="Z41">
        <v>1</v>
      </c>
    </row>
    <row r="42" spans="1:26">
      <c r="A42" t="s">
        <v>272</v>
      </c>
      <c r="B42" t="s">
        <v>156</v>
      </c>
      <c r="C42" t="s">
        <v>117</v>
      </c>
      <c r="D42" s="5">
        <v>0.52157656105280303</v>
      </c>
      <c r="E42" s="5">
        <v>0.75558857015293301</v>
      </c>
      <c r="F42" s="5">
        <v>0.69029175619641003</v>
      </c>
      <c r="G42" s="5">
        <v>0.82778698002283801</v>
      </c>
      <c r="H42" s="5">
        <v>0.85172399333992799</v>
      </c>
      <c r="I42" s="5">
        <v>0.24441142984706701</v>
      </c>
      <c r="J42" s="5">
        <v>0.72949771164118304</v>
      </c>
      <c r="K42" s="66">
        <v>8784</v>
      </c>
      <c r="L42" s="66">
        <v>2146.9099997766398</v>
      </c>
      <c r="M42" s="66">
        <v>356.70222219928701</v>
      </c>
      <c r="N42" s="66">
        <v>163.32111109986701</v>
      </c>
      <c r="O42" s="66">
        <v>193.38111109942</v>
      </c>
      <c r="P42" s="66">
        <v>6637.0900002233602</v>
      </c>
      <c r="Q42" s="66">
        <v>2055.5033413516298</v>
      </c>
      <c r="R42" s="66">
        <v>4581.5285122878204</v>
      </c>
      <c r="S42" s="66">
        <v>5.8146583909178998E-2</v>
      </c>
      <c r="T42" t="s">
        <v>564</v>
      </c>
      <c r="U42" t="s">
        <v>386</v>
      </c>
      <c r="V42" t="s">
        <v>385</v>
      </c>
      <c r="W42" t="s">
        <v>385</v>
      </c>
      <c r="X42" t="b">
        <v>0</v>
      </c>
      <c r="Y42" t="s">
        <v>774</v>
      </c>
      <c r="Z42">
        <v>1</v>
      </c>
    </row>
    <row r="43" spans="1:26">
      <c r="A43" t="s">
        <v>272</v>
      </c>
      <c r="B43" t="s">
        <v>157</v>
      </c>
      <c r="C43" t="s">
        <v>117</v>
      </c>
      <c r="D43" s="5">
        <v>0.33063326194373799</v>
      </c>
      <c r="E43" s="5">
        <v>0.47357298130251901</v>
      </c>
      <c r="F43" s="5">
        <v>0.69816749476366102</v>
      </c>
      <c r="G43" s="5">
        <v>0.60018897944579896</v>
      </c>
      <c r="H43" s="5">
        <v>0.61197246798192395</v>
      </c>
      <c r="I43" s="5">
        <v>0.52642701869748099</v>
      </c>
      <c r="J43" s="5">
        <v>0.73971283603974602</v>
      </c>
      <c r="K43" s="66">
        <v>8784</v>
      </c>
      <c r="L43" s="66">
        <v>4624.1349322386704</v>
      </c>
      <c r="M43" s="66">
        <v>233.63527774895601</v>
      </c>
      <c r="N43" s="66">
        <v>38.529166649978798</v>
      </c>
      <c r="O43" s="66">
        <v>195.10611109897701</v>
      </c>
      <c r="P43" s="66">
        <v>4159.8650677613296</v>
      </c>
      <c r="Q43" s="66">
        <v>1276.4166767991601</v>
      </c>
      <c r="R43" s="66">
        <v>2904.2825729137899</v>
      </c>
      <c r="S43" s="66">
        <v>-20.8341819516241</v>
      </c>
      <c r="T43" s="66" t="s">
        <v>564</v>
      </c>
      <c r="U43" s="18" t="s">
        <v>386</v>
      </c>
      <c r="V43" s="18" t="s">
        <v>385</v>
      </c>
      <c r="W43" s="18" t="s">
        <v>385</v>
      </c>
      <c r="X43" s="80" t="b">
        <v>0</v>
      </c>
      <c r="Y43" t="s">
        <v>438</v>
      </c>
      <c r="Z43">
        <v>1</v>
      </c>
    </row>
    <row r="44" spans="1:26">
      <c r="A44" t="s">
        <v>272</v>
      </c>
      <c r="B44" t="s">
        <v>158</v>
      </c>
      <c r="C44" t="s">
        <v>117</v>
      </c>
      <c r="D44" s="5">
        <v>0.35126510641898401</v>
      </c>
      <c r="E44" s="5">
        <v>0.48193008757775102</v>
      </c>
      <c r="F44" s="5">
        <v>0.72887150122643796</v>
      </c>
      <c r="G44" s="5">
        <v>0.57783420997677504</v>
      </c>
      <c r="H44" s="5">
        <v>0.57783420997813095</v>
      </c>
      <c r="I44" s="5">
        <v>0.51806991242224898</v>
      </c>
      <c r="J44" s="5">
        <v>0.76627726805693597</v>
      </c>
      <c r="K44" s="66">
        <v>8784</v>
      </c>
      <c r="L44" s="66">
        <v>4550.7261107170398</v>
      </c>
      <c r="M44" s="66">
        <v>206.64694443263801</v>
      </c>
      <c r="N44" s="66">
        <v>13.426388883333299</v>
      </c>
      <c r="O44" s="66">
        <v>193.220555549305</v>
      </c>
      <c r="P44" s="66">
        <v>4233.2738892829702</v>
      </c>
      <c r="Q44" s="66">
        <v>1148.4519436324899</v>
      </c>
      <c r="R44" s="66">
        <v>3085.5126947843601</v>
      </c>
      <c r="S44" s="66">
        <v>-0.69074913388666803</v>
      </c>
      <c r="T44" t="s">
        <v>564</v>
      </c>
      <c r="U44" t="s">
        <v>386</v>
      </c>
      <c r="V44" t="s">
        <v>385</v>
      </c>
      <c r="W44" t="s">
        <v>385</v>
      </c>
      <c r="X44" t="b">
        <v>0</v>
      </c>
      <c r="Y44" t="s">
        <v>439</v>
      </c>
      <c r="Z44">
        <v>1</v>
      </c>
    </row>
    <row r="45" spans="1:26">
      <c r="A45" t="s">
        <v>272</v>
      </c>
      <c r="B45" t="s">
        <v>159</v>
      </c>
      <c r="C45" t="s">
        <v>117</v>
      </c>
      <c r="D45" s="5">
        <v>0.32885246856486</v>
      </c>
      <c r="E45" s="5">
        <v>0.460120973281131</v>
      </c>
      <c r="F45" s="5">
        <v>0.71470871284090198</v>
      </c>
      <c r="G45" s="5">
        <v>0.53531831028194299</v>
      </c>
      <c r="H45" s="5">
        <v>0.53712216841237803</v>
      </c>
      <c r="I45" s="5">
        <v>0.539879026718869</v>
      </c>
      <c r="J45" s="5">
        <v>0.75475191385055795</v>
      </c>
      <c r="K45" s="66">
        <v>8784</v>
      </c>
      <c r="L45" s="66">
        <v>4742.2973706985404</v>
      </c>
      <c r="M45" s="66">
        <v>214.43166666605899</v>
      </c>
      <c r="N45" s="66">
        <v>27.337222216651199</v>
      </c>
      <c r="O45" s="66">
        <v>187.094444449408</v>
      </c>
      <c r="P45" s="66">
        <v>4041.7026293014501</v>
      </c>
      <c r="Q45" s="66">
        <v>1161.51694371538</v>
      </c>
      <c r="R45" s="66">
        <v>2888.64008387373</v>
      </c>
      <c r="S45" s="66">
        <v>-8.4543982876597497</v>
      </c>
      <c r="T45" s="66" t="s">
        <v>564</v>
      </c>
      <c r="U45" s="18" t="s">
        <v>386</v>
      </c>
      <c r="V45" s="18" t="s">
        <v>385</v>
      </c>
      <c r="W45" s="18" t="s">
        <v>385</v>
      </c>
      <c r="X45" s="80" t="b">
        <v>0</v>
      </c>
      <c r="Y45" t="s">
        <v>440</v>
      </c>
      <c r="Z45">
        <v>1</v>
      </c>
    </row>
    <row r="46" spans="1:26">
      <c r="A46" t="s">
        <v>29</v>
      </c>
      <c r="B46" t="s">
        <v>30</v>
      </c>
      <c r="C46" t="s">
        <v>117</v>
      </c>
      <c r="D46" s="5">
        <v>0.70696058718599497</v>
      </c>
      <c r="E46" s="5">
        <v>0.99474132261118697</v>
      </c>
      <c r="F46" s="5">
        <v>0.71069791825901996</v>
      </c>
      <c r="G46" s="5">
        <v>0.71618897375920998</v>
      </c>
      <c r="H46" s="5">
        <v>0.71618897375923896</v>
      </c>
      <c r="I46" s="5">
        <v>5.2586773888129903E-3</v>
      </c>
      <c r="J46" s="5">
        <v>0.73306667565985395</v>
      </c>
      <c r="K46" s="66">
        <v>8784</v>
      </c>
      <c r="L46" s="66">
        <v>46.1922221833333</v>
      </c>
      <c r="M46" s="66">
        <v>266.62499999903099</v>
      </c>
      <c r="N46" s="66">
        <v>111.849999999804</v>
      </c>
      <c r="O46" s="66">
        <v>154.774999999226</v>
      </c>
      <c r="P46" s="66">
        <v>8737.8077778166698</v>
      </c>
      <c r="Q46" s="66">
        <v>2528.1747524603302</v>
      </c>
      <c r="R46" s="66">
        <v>6209.9417978417796</v>
      </c>
      <c r="S46" s="66">
        <v>-0.30877248544660801</v>
      </c>
      <c r="T46" t="s">
        <v>564</v>
      </c>
      <c r="U46" t="s">
        <v>383</v>
      </c>
      <c r="V46" t="s">
        <v>384</v>
      </c>
      <c r="W46" t="s">
        <v>384</v>
      </c>
      <c r="X46" t="b">
        <v>0</v>
      </c>
      <c r="Y46" t="s">
        <v>441</v>
      </c>
      <c r="Z46">
        <v>1</v>
      </c>
    </row>
    <row r="47" spans="1:26">
      <c r="A47" t="s">
        <v>29</v>
      </c>
      <c r="B47" t="s">
        <v>31</v>
      </c>
      <c r="C47" t="s">
        <v>116</v>
      </c>
      <c r="D47" s="5">
        <v>0.760161632114846</v>
      </c>
      <c r="E47" s="5">
        <v>0.86752883201311604</v>
      </c>
      <c r="F47" s="5">
        <v>0.87623788865999697</v>
      </c>
      <c r="G47" s="5">
        <v>0.94479939786109801</v>
      </c>
      <c r="H47" s="5">
        <v>0.94479939786118605</v>
      </c>
      <c r="I47" s="5">
        <v>0.13247116798688399</v>
      </c>
      <c r="J47" s="5">
        <v>0.974757675474203</v>
      </c>
      <c r="K47" s="66">
        <v>8784</v>
      </c>
      <c r="L47" s="66">
        <v>1163.62673959679</v>
      </c>
      <c r="M47" s="66">
        <v>770.19916636651703</v>
      </c>
      <c r="N47" s="66">
        <v>14.64527775</v>
      </c>
      <c r="O47" s="66">
        <v>755.55388861651704</v>
      </c>
      <c r="P47" s="66">
        <v>7620.3732604032102</v>
      </c>
      <c r="Q47" s="66">
        <v>968.35666611644797</v>
      </c>
      <c r="R47" s="66">
        <v>6677.2597764968104</v>
      </c>
      <c r="S47" s="66">
        <v>-25.243182210039301</v>
      </c>
      <c r="T47" s="66" t="s">
        <v>564</v>
      </c>
      <c r="U47" s="18" t="s">
        <v>386</v>
      </c>
      <c r="V47" s="18" t="s">
        <v>384</v>
      </c>
      <c r="W47" s="18" t="s">
        <v>384</v>
      </c>
      <c r="X47" s="80" t="b">
        <v>0</v>
      </c>
      <c r="Y47" t="s">
        <v>1041</v>
      </c>
      <c r="Z47">
        <v>1</v>
      </c>
    </row>
    <row r="48" spans="1:26">
      <c r="A48" t="s">
        <v>29</v>
      </c>
      <c r="B48" t="s">
        <v>32</v>
      </c>
      <c r="C48" t="s">
        <v>117</v>
      </c>
      <c r="D48" s="5">
        <v>0.59374136000248501</v>
      </c>
      <c r="E48" s="5">
        <v>0.93302854940434599</v>
      </c>
      <c r="F48" s="5">
        <v>0.63635926294167</v>
      </c>
      <c r="G48" s="5">
        <v>0.74896522377531105</v>
      </c>
      <c r="H48" s="5">
        <v>0.74896522377740504</v>
      </c>
      <c r="I48" s="5">
        <v>6.6971450595654E-2</v>
      </c>
      <c r="J48" s="5">
        <v>0.66352122662374202</v>
      </c>
      <c r="K48" s="66">
        <v>8784</v>
      </c>
      <c r="L48" s="66">
        <v>588.27722203222504</v>
      </c>
      <c r="M48" s="66">
        <v>335.50083329848502</v>
      </c>
      <c r="N48" s="66">
        <v>118.777222199785</v>
      </c>
      <c r="O48" s="66">
        <v>216.72361109869999</v>
      </c>
      <c r="P48" s="66">
        <v>8195.7227779677796</v>
      </c>
      <c r="Q48" s="66">
        <v>2908.7266572313802</v>
      </c>
      <c r="R48" s="66">
        <v>5215.4241062618303</v>
      </c>
      <c r="S48" s="66">
        <v>71.572014474565805</v>
      </c>
      <c r="T48" t="s">
        <v>564</v>
      </c>
      <c r="U48" t="s">
        <v>386</v>
      </c>
      <c r="V48" t="s">
        <v>384</v>
      </c>
      <c r="W48" t="s">
        <v>384</v>
      </c>
      <c r="X48" t="b">
        <v>0</v>
      </c>
      <c r="Y48" t="s">
        <v>442</v>
      </c>
      <c r="Z48">
        <v>1</v>
      </c>
    </row>
    <row r="49" spans="1:27">
      <c r="A49" t="s">
        <v>29</v>
      </c>
      <c r="B49" t="s">
        <v>33</v>
      </c>
      <c r="C49" t="s">
        <v>117</v>
      </c>
      <c r="D49" s="5">
        <v>0.52825956595540902</v>
      </c>
      <c r="E49" s="5">
        <v>0.93182155690665702</v>
      </c>
      <c r="F49" s="5">
        <v>0.56691065155120302</v>
      </c>
      <c r="G49" s="5">
        <v>0.55342345657548497</v>
      </c>
      <c r="H49" s="5">
        <v>0.55342345657723901</v>
      </c>
      <c r="I49" s="5">
        <v>6.8178443093342894E-2</v>
      </c>
      <c r="J49" s="5">
        <v>0.59139811886375904</v>
      </c>
      <c r="K49" s="66">
        <v>8784</v>
      </c>
      <c r="L49" s="66">
        <v>598.87944413192497</v>
      </c>
      <c r="M49" s="66">
        <v>338.91361109879801</v>
      </c>
      <c r="N49" s="66">
        <v>120.24027776655799</v>
      </c>
      <c r="O49" s="66">
        <v>218.67333333223999</v>
      </c>
      <c r="P49" s="66">
        <v>8185.1205558680704</v>
      </c>
      <c r="Q49" s="66">
        <v>3406.3122300043101</v>
      </c>
      <c r="R49" s="66">
        <v>4640.2320273523101</v>
      </c>
      <c r="S49" s="66">
        <v>138.57629851144699</v>
      </c>
      <c r="T49" s="66" t="s">
        <v>564</v>
      </c>
      <c r="U49" s="18" t="s">
        <v>386</v>
      </c>
      <c r="V49" s="18" t="s">
        <v>385</v>
      </c>
      <c r="W49" s="18" t="s">
        <v>385</v>
      </c>
      <c r="X49" s="80" t="b">
        <v>0</v>
      </c>
      <c r="Y49" t="s">
        <v>443</v>
      </c>
      <c r="Z49">
        <v>1</v>
      </c>
    </row>
    <row r="50" spans="1:27">
      <c r="A50" t="s">
        <v>273</v>
      </c>
      <c r="B50" t="s">
        <v>160</v>
      </c>
      <c r="C50" t="s">
        <v>117</v>
      </c>
      <c r="D50" s="5">
        <v>0.65606664541852999</v>
      </c>
      <c r="E50" s="5">
        <v>0.77045663834342204</v>
      </c>
      <c r="F50" s="5">
        <v>0.85152961603284405</v>
      </c>
      <c r="G50" s="5">
        <v>0.95436421491326195</v>
      </c>
      <c r="H50" s="5">
        <v>0.80646415017121398</v>
      </c>
      <c r="I50" s="5">
        <v>0.22954336165657799</v>
      </c>
      <c r="J50" s="5">
        <v>0.92004691269016503</v>
      </c>
      <c r="K50" s="66">
        <v>8784</v>
      </c>
      <c r="L50" s="66">
        <v>2016.30888879138</v>
      </c>
      <c r="M50" s="66">
        <v>504.00027776404198</v>
      </c>
      <c r="O50" s="66">
        <v>504.00027776404198</v>
      </c>
      <c r="P50" s="66">
        <v>6767.69111120862</v>
      </c>
      <c r="Q50" s="66">
        <v>1013.14305124703</v>
      </c>
      <c r="R50" s="66">
        <v>5762.8894133563699</v>
      </c>
      <c r="S50" s="66">
        <v>-8.3413533947782206</v>
      </c>
      <c r="T50" t="s">
        <v>564</v>
      </c>
      <c r="U50" t="s">
        <v>386</v>
      </c>
      <c r="V50" t="s">
        <v>384</v>
      </c>
      <c r="W50" t="s">
        <v>384</v>
      </c>
      <c r="X50" t="b">
        <v>0</v>
      </c>
      <c r="Y50" t="s">
        <v>444</v>
      </c>
      <c r="Z50">
        <v>1</v>
      </c>
    </row>
    <row r="51" spans="1:27">
      <c r="A51" t="s">
        <v>273</v>
      </c>
      <c r="B51" t="s">
        <v>161</v>
      </c>
      <c r="C51" t="s">
        <v>117</v>
      </c>
      <c r="D51" s="5">
        <v>0.32266025381116398</v>
      </c>
      <c r="E51" s="5">
        <v>0.44170271708582398</v>
      </c>
      <c r="F51" s="5">
        <v>0.73049189269186698</v>
      </c>
      <c r="G51" s="5">
        <v>0.83329242323678598</v>
      </c>
      <c r="H51" s="5">
        <v>0.80282248454153804</v>
      </c>
      <c r="I51" s="5">
        <v>0.55829728291417502</v>
      </c>
      <c r="J51" s="5">
        <v>0.84079600739691795</v>
      </c>
      <c r="K51" s="66">
        <v>8784</v>
      </c>
      <c r="L51" s="66">
        <v>4904.0833331181202</v>
      </c>
      <c r="M51" s="66">
        <v>509.00666666432602</v>
      </c>
      <c r="N51" s="66">
        <v>4.9999999999950004</v>
      </c>
      <c r="O51" s="66">
        <v>504.00666666433102</v>
      </c>
      <c r="P51" s="66">
        <v>3879.9166668818798</v>
      </c>
      <c r="Q51" s="66">
        <v>1045.3436084807799</v>
      </c>
      <c r="R51" s="66">
        <v>2834.2476694772599</v>
      </c>
      <c r="S51" s="66">
        <v>0.32538892383778401</v>
      </c>
      <c r="T51" s="66" t="s">
        <v>564</v>
      </c>
      <c r="U51" s="18" t="s">
        <v>386</v>
      </c>
      <c r="V51" s="18" t="s">
        <v>385</v>
      </c>
      <c r="W51" s="18" t="s">
        <v>384</v>
      </c>
      <c r="X51" s="80" t="b">
        <v>0</v>
      </c>
      <c r="Y51" t="s">
        <v>445</v>
      </c>
      <c r="Z51">
        <v>1</v>
      </c>
    </row>
    <row r="52" spans="1:27">
      <c r="A52" t="s">
        <v>273</v>
      </c>
      <c r="B52" t="s">
        <v>162</v>
      </c>
      <c r="C52" t="s">
        <v>117</v>
      </c>
      <c r="D52" s="5">
        <v>0.379765214672867</v>
      </c>
      <c r="E52" s="5">
        <v>0.54051352840282396</v>
      </c>
      <c r="F52" s="5">
        <v>0.70260075782940001</v>
      </c>
      <c r="G52" s="5">
        <v>0.83016709153065205</v>
      </c>
      <c r="H52" s="5">
        <v>0.78258332882540904</v>
      </c>
      <c r="I52" s="5">
        <v>0.45948647159717598</v>
      </c>
      <c r="J52" s="5">
        <v>0.78696845851734198</v>
      </c>
      <c r="K52" s="66">
        <v>8784</v>
      </c>
      <c r="L52" s="66">
        <v>4036.12916650959</v>
      </c>
      <c r="M52" s="66">
        <v>508.99999999949603</v>
      </c>
      <c r="N52" s="66">
        <v>5</v>
      </c>
      <c r="O52" s="66">
        <v>503.99999999949603</v>
      </c>
      <c r="P52" s="66">
        <v>4747.8708334904104</v>
      </c>
      <c r="Q52" s="66">
        <v>1405.90138678214</v>
      </c>
      <c r="R52" s="66">
        <v>3335.8576456864598</v>
      </c>
      <c r="S52" s="66">
        <v>6.1118010218068601</v>
      </c>
      <c r="T52" t="s">
        <v>564</v>
      </c>
      <c r="U52" t="s">
        <v>386</v>
      </c>
      <c r="V52" t="s">
        <v>385</v>
      </c>
      <c r="W52" t="s">
        <v>384</v>
      </c>
      <c r="X52" t="b">
        <v>0</v>
      </c>
      <c r="Y52" t="s">
        <v>446</v>
      </c>
      <c r="Z52">
        <v>1</v>
      </c>
    </row>
    <row r="53" spans="1:27">
      <c r="A53" t="s">
        <v>273</v>
      </c>
      <c r="B53" t="s">
        <v>163</v>
      </c>
      <c r="C53" t="s">
        <v>117</v>
      </c>
      <c r="D53" s="5">
        <v>0.49274420103745098</v>
      </c>
      <c r="E53" s="5">
        <v>0.67128956058497702</v>
      </c>
      <c r="F53" s="5">
        <v>0.73402631288957199</v>
      </c>
      <c r="G53" s="5">
        <v>0.82759229183844096</v>
      </c>
      <c r="H53" s="5">
        <v>0.80182812310370799</v>
      </c>
      <c r="I53" s="5">
        <v>0.32871043941502298</v>
      </c>
      <c r="J53" s="5">
        <v>0.80423754617839005</v>
      </c>
      <c r="K53" s="66">
        <v>8784</v>
      </c>
      <c r="L53" s="66">
        <v>2887.3924998215598</v>
      </c>
      <c r="M53" s="66">
        <v>514.78333332598197</v>
      </c>
      <c r="N53" s="66">
        <v>10</v>
      </c>
      <c r="O53" s="66">
        <v>504.78333332598203</v>
      </c>
      <c r="P53" s="66">
        <v>5896.6075001784302</v>
      </c>
      <c r="Q53" s="66">
        <v>1553.5683268257101</v>
      </c>
      <c r="R53" s="66">
        <v>4328.2650619129699</v>
      </c>
      <c r="S53" s="66">
        <v>14.774111439755799</v>
      </c>
      <c r="T53" s="66" t="s">
        <v>564</v>
      </c>
      <c r="U53" s="18" t="s">
        <v>386</v>
      </c>
      <c r="V53" s="18" t="s">
        <v>385</v>
      </c>
      <c r="W53" s="18" t="s">
        <v>384</v>
      </c>
      <c r="X53" s="80" t="b">
        <v>0</v>
      </c>
      <c r="Y53" t="s">
        <v>447</v>
      </c>
      <c r="Z53">
        <v>1</v>
      </c>
    </row>
    <row r="54" spans="1:27">
      <c r="A54" t="s">
        <v>273</v>
      </c>
      <c r="B54" t="s">
        <v>1042</v>
      </c>
      <c r="C54" t="s">
        <v>117</v>
      </c>
      <c r="D54" s="5">
        <v>0.52347113030488401</v>
      </c>
      <c r="E54" s="5">
        <v>0.65988321571782105</v>
      </c>
      <c r="F54" s="5">
        <v>0.793278443573461</v>
      </c>
      <c r="G54" s="5"/>
      <c r="H54" s="5">
        <v>0.68497199751089</v>
      </c>
      <c r="I54" s="5">
        <v>0.34011678428217901</v>
      </c>
      <c r="J54" s="5">
        <v>0.86882272240917402</v>
      </c>
      <c r="K54" s="66">
        <v>8784</v>
      </c>
      <c r="L54" s="66">
        <v>2987.5858331346599</v>
      </c>
      <c r="M54" s="66">
        <v>503.99916665937701</v>
      </c>
      <c r="O54" s="66">
        <v>503.99916665937701</v>
      </c>
      <c r="P54" s="66">
        <v>5796.4141668653501</v>
      </c>
      <c r="Q54" s="66">
        <v>1159.5465440271801</v>
      </c>
      <c r="R54" s="66">
        <v>4598.1704085981</v>
      </c>
      <c r="S54" s="66">
        <v>38.697214240063303</v>
      </c>
      <c r="T54" t="s">
        <v>564</v>
      </c>
      <c r="U54" t="s">
        <v>386</v>
      </c>
      <c r="V54" t="s">
        <v>385</v>
      </c>
      <c r="W54" t="s">
        <v>384</v>
      </c>
      <c r="X54" t="b">
        <v>0</v>
      </c>
      <c r="Y54" t="s">
        <v>1043</v>
      </c>
      <c r="Z54">
        <v>1</v>
      </c>
    </row>
    <row r="55" spans="1:27">
      <c r="A55" t="s">
        <v>273</v>
      </c>
      <c r="B55" t="s">
        <v>164</v>
      </c>
      <c r="C55" t="s">
        <v>117</v>
      </c>
      <c r="D55" s="5">
        <v>0.66912077630837596</v>
      </c>
      <c r="E55" s="5">
        <v>0.89982749570388698</v>
      </c>
      <c r="F55" s="5">
        <v>0.743610058042247</v>
      </c>
      <c r="G55" s="5">
        <v>0.838545721316725</v>
      </c>
      <c r="H55" s="5">
        <v>0.81228943331445003</v>
      </c>
      <c r="I55" s="5">
        <v>0.100172504296113</v>
      </c>
      <c r="J55" s="5">
        <v>0.80790126726565004</v>
      </c>
      <c r="K55" s="66">
        <v>8784</v>
      </c>
      <c r="L55" s="66">
        <v>879.91527773705798</v>
      </c>
      <c r="M55" s="66">
        <v>628.99166666540896</v>
      </c>
      <c r="N55" s="66">
        <v>124.991666666417</v>
      </c>
      <c r="O55" s="66">
        <v>503.999999998992</v>
      </c>
      <c r="P55" s="66">
        <v>7904.08472226294</v>
      </c>
      <c r="Q55" s="66">
        <v>2026.5374959221899</v>
      </c>
      <c r="R55" s="66">
        <v>5877.5568990927804</v>
      </c>
      <c r="S55" s="66">
        <v>-9.6727520171777694E-3</v>
      </c>
      <c r="T55" t="s">
        <v>564</v>
      </c>
      <c r="U55" t="s">
        <v>386</v>
      </c>
      <c r="V55" t="s">
        <v>384</v>
      </c>
      <c r="W55" t="s">
        <v>384</v>
      </c>
      <c r="X55" t="b">
        <v>0</v>
      </c>
      <c r="Y55" t="s">
        <v>448</v>
      </c>
      <c r="Z55">
        <v>1</v>
      </c>
    </row>
    <row r="56" spans="1:27">
      <c r="A56" t="s">
        <v>273</v>
      </c>
      <c r="B56" t="s">
        <v>165</v>
      </c>
      <c r="C56" t="s">
        <v>117</v>
      </c>
      <c r="D56" s="5">
        <v>0.37234222716943999</v>
      </c>
      <c r="E56" s="5">
        <v>0.56359621662577297</v>
      </c>
      <c r="F56" s="5">
        <v>0.660654234690639</v>
      </c>
      <c r="G56" s="5">
        <v>0.74792655101278405</v>
      </c>
      <c r="H56" s="5">
        <v>0.70013928381456203</v>
      </c>
      <c r="I56" s="5">
        <v>0.43640378337422697</v>
      </c>
      <c r="J56" s="5">
        <v>0.73763402927329502</v>
      </c>
      <c r="K56" s="66">
        <v>8784</v>
      </c>
      <c r="L56" s="66">
        <v>3833.3708331592102</v>
      </c>
      <c r="M56" s="66">
        <v>516.64972221218898</v>
      </c>
      <c r="N56" s="66">
        <v>12.649722216654</v>
      </c>
      <c r="O56" s="66">
        <v>503.99999999553398</v>
      </c>
      <c r="P56" s="66">
        <v>4950.6291668407903</v>
      </c>
      <c r="Q56" s="66">
        <v>1680.2347217884901</v>
      </c>
      <c r="R56" s="66">
        <v>3270.6541234563601</v>
      </c>
      <c r="S56" s="66">
        <v>-0.25967840405478498</v>
      </c>
      <c r="T56" t="s">
        <v>564</v>
      </c>
      <c r="U56" t="s">
        <v>386</v>
      </c>
      <c r="V56" t="s">
        <v>385</v>
      </c>
      <c r="W56" t="s">
        <v>384</v>
      </c>
      <c r="X56" t="b">
        <v>0</v>
      </c>
      <c r="Y56" t="s">
        <v>449</v>
      </c>
      <c r="Z56">
        <v>1</v>
      </c>
    </row>
    <row r="57" spans="1:27">
      <c r="A57" t="s">
        <v>273</v>
      </c>
      <c r="B57" t="s">
        <v>166</v>
      </c>
      <c r="C57" t="s">
        <v>117</v>
      </c>
      <c r="D57" s="5">
        <v>0.42791808069502102</v>
      </c>
      <c r="E57" s="5">
        <v>0.54403928862009499</v>
      </c>
      <c r="F57" s="5">
        <v>0.78655731239630799</v>
      </c>
      <c r="G57" s="5">
        <v>0.86788085002081905</v>
      </c>
      <c r="H57" s="5">
        <v>0.80726207278126505</v>
      </c>
      <c r="I57" s="5">
        <v>0.45596071137990501</v>
      </c>
      <c r="J57" s="5">
        <v>0.879291726408307</v>
      </c>
      <c r="K57" s="66">
        <v>8784</v>
      </c>
      <c r="L57" s="66">
        <v>4005.1588887610801</v>
      </c>
      <c r="M57" s="66">
        <v>503.99999999705102</v>
      </c>
      <c r="O57" s="66">
        <v>503.99999999705102</v>
      </c>
      <c r="P57" s="66">
        <v>4778.8411112389203</v>
      </c>
      <c r="Q57" s="66">
        <v>1019.9116664460699</v>
      </c>
      <c r="R57" s="66">
        <v>3758.8324208250701</v>
      </c>
      <c r="S57" s="66">
        <v>9.70239677830491E-2</v>
      </c>
      <c r="T57" t="s">
        <v>564</v>
      </c>
      <c r="U57" t="s">
        <v>386</v>
      </c>
      <c r="V57" t="s">
        <v>385</v>
      </c>
      <c r="W57" t="s">
        <v>384</v>
      </c>
      <c r="X57" t="b">
        <v>0</v>
      </c>
      <c r="Y57" t="s">
        <v>450</v>
      </c>
      <c r="Z57">
        <v>1</v>
      </c>
    </row>
    <row r="58" spans="1:27">
      <c r="A58" t="s">
        <v>274</v>
      </c>
      <c r="B58" t="s">
        <v>167</v>
      </c>
      <c r="C58" t="s">
        <v>116</v>
      </c>
      <c r="D58" s="5">
        <v>0.72022950569515998</v>
      </c>
      <c r="E58" s="5">
        <v>0.99850330778309004</v>
      </c>
      <c r="F58" s="5">
        <v>0.72130908338625099</v>
      </c>
      <c r="G58" s="5">
        <v>0.90677209173988105</v>
      </c>
      <c r="H58" s="5">
        <v>0.90677209173988105</v>
      </c>
      <c r="I58" s="5">
        <v>1.49669221690953E-3</v>
      </c>
      <c r="J58" s="5">
        <v>0.73798660833284802</v>
      </c>
      <c r="K58" s="66">
        <v>8784</v>
      </c>
      <c r="L58" s="66">
        <v>13.146944433333299</v>
      </c>
      <c r="M58" s="66">
        <v>198.209722216508</v>
      </c>
      <c r="N58" s="66">
        <v>59.209722216646703</v>
      </c>
      <c r="O58" s="66">
        <v>138.99999999986099</v>
      </c>
      <c r="P58" s="66">
        <v>8770.8530555666694</v>
      </c>
      <c r="Q58" s="66">
        <v>2389.7885799617402</v>
      </c>
      <c r="R58" s="66">
        <v>6326.4959780262798</v>
      </c>
      <c r="S58" s="66">
        <v>54.568497578640297</v>
      </c>
      <c r="T58" t="s">
        <v>564</v>
      </c>
      <c r="U58" t="s">
        <v>386</v>
      </c>
      <c r="V58" t="s">
        <v>385</v>
      </c>
      <c r="W58" t="s">
        <v>384</v>
      </c>
      <c r="X58" t="b">
        <v>0</v>
      </c>
      <c r="Y58" t="s">
        <v>1044</v>
      </c>
      <c r="Z58">
        <v>1</v>
      </c>
    </row>
    <row r="59" spans="1:27">
      <c r="A59" t="s">
        <v>274</v>
      </c>
      <c r="B59" t="s">
        <v>168</v>
      </c>
      <c r="C59" t="s">
        <v>116</v>
      </c>
      <c r="D59" s="5">
        <v>0.61627698253595597</v>
      </c>
      <c r="E59" s="5">
        <v>0.99645112325629903</v>
      </c>
      <c r="F59" s="5">
        <v>0.61847186294700196</v>
      </c>
      <c r="G59" s="5">
        <v>0.34938139603941198</v>
      </c>
      <c r="H59" s="5">
        <v>0.34938139603941198</v>
      </c>
      <c r="I59" s="5">
        <v>3.5488767437006699E-3</v>
      </c>
      <c r="J59" s="5">
        <v>0.63544956478933901</v>
      </c>
      <c r="K59" s="66">
        <v>8784</v>
      </c>
      <c r="L59" s="66">
        <v>31.173333316666699</v>
      </c>
      <c r="M59" s="66">
        <v>233.85472216647099</v>
      </c>
      <c r="N59" s="66">
        <v>113.854722166591</v>
      </c>
      <c r="O59" s="66">
        <v>119.99999999988</v>
      </c>
      <c r="P59" s="66">
        <v>8752.8266666833297</v>
      </c>
      <c r="Q59" s="66">
        <v>3241.8677281479299</v>
      </c>
      <c r="R59" s="66">
        <v>5413.3770145958297</v>
      </c>
      <c r="S59" s="66">
        <v>97.581923939577294</v>
      </c>
      <c r="T59" t="s">
        <v>564</v>
      </c>
      <c r="U59" t="s">
        <v>386</v>
      </c>
      <c r="V59" t="s">
        <v>385</v>
      </c>
      <c r="W59" t="s">
        <v>384</v>
      </c>
      <c r="X59" t="b">
        <v>0</v>
      </c>
      <c r="Y59" t="s">
        <v>1045</v>
      </c>
      <c r="Z59">
        <v>1</v>
      </c>
      <c r="AA59" s="18"/>
    </row>
    <row r="60" spans="1:27">
      <c r="A60" t="s">
        <v>274</v>
      </c>
      <c r="B60" t="s">
        <v>169</v>
      </c>
      <c r="C60" t="s">
        <v>116</v>
      </c>
      <c r="D60" s="5">
        <v>0.57826095106313202</v>
      </c>
      <c r="E60" s="5">
        <v>0.99370044652398304</v>
      </c>
      <c r="F60" s="5">
        <v>0.58192683024941705</v>
      </c>
      <c r="G60" s="5">
        <v>0.56453896179923602</v>
      </c>
      <c r="H60" s="5">
        <v>0.49092002961865999</v>
      </c>
      <c r="I60" s="5">
        <v>6.2995534760170004E-3</v>
      </c>
      <c r="J60" s="5">
        <v>0.63108461135855898</v>
      </c>
      <c r="K60" s="66">
        <v>8784</v>
      </c>
      <c r="L60" s="66">
        <v>55.335277733333299</v>
      </c>
      <c r="M60" s="66">
        <v>679.91166646985596</v>
      </c>
      <c r="N60" s="66">
        <v>571.82277758663099</v>
      </c>
      <c r="O60" s="66">
        <v>108.088888883225</v>
      </c>
      <c r="P60" s="66">
        <v>8728.6647222666707</v>
      </c>
      <c r="Q60" s="66">
        <v>3687.9060252567201</v>
      </c>
      <c r="R60" s="66">
        <v>5079.4441941385503</v>
      </c>
      <c r="S60" s="66">
        <v>-38.685497128603501</v>
      </c>
      <c r="T60" t="s">
        <v>564</v>
      </c>
      <c r="U60" t="s">
        <v>386</v>
      </c>
      <c r="V60" t="s">
        <v>385</v>
      </c>
      <c r="W60" t="s">
        <v>384</v>
      </c>
      <c r="X60" t="b">
        <v>0</v>
      </c>
      <c r="Y60" t="s">
        <v>1046</v>
      </c>
      <c r="Z60">
        <v>1</v>
      </c>
    </row>
    <row r="61" spans="1:27">
      <c r="A61" t="s">
        <v>274</v>
      </c>
      <c r="B61" t="s">
        <v>170</v>
      </c>
      <c r="C61" t="s">
        <v>116</v>
      </c>
      <c r="D61" s="5">
        <v>0.51548317083522599</v>
      </c>
      <c r="E61" s="5">
        <v>0.99883212533394095</v>
      </c>
      <c r="F61" s="5">
        <v>0.51608589447689601</v>
      </c>
      <c r="G61" s="5">
        <v>0.71613310754592097</v>
      </c>
      <c r="H61" s="5">
        <v>0.71613310754592097</v>
      </c>
      <c r="I61" s="5">
        <v>1.1678746660595E-3</v>
      </c>
      <c r="J61" s="5">
        <v>0.52295247223091601</v>
      </c>
      <c r="K61" s="66">
        <v>8784</v>
      </c>
      <c r="L61" s="66">
        <v>10.258611066666701</v>
      </c>
      <c r="M61" s="66">
        <v>115.202777766336</v>
      </c>
      <c r="N61" s="66">
        <v>7.4472222166592204</v>
      </c>
      <c r="O61" s="66">
        <v>107.755555549677</v>
      </c>
      <c r="P61" s="66">
        <v>8773.7413889333293</v>
      </c>
      <c r="Q61" s="66">
        <v>4252.6043965601102</v>
      </c>
      <c r="R61" s="66">
        <v>4528.0041726166201</v>
      </c>
      <c r="S61" s="66">
        <v>-6.8671802434115898</v>
      </c>
      <c r="T61" t="s">
        <v>564</v>
      </c>
      <c r="U61" t="s">
        <v>386</v>
      </c>
      <c r="V61" t="s">
        <v>385</v>
      </c>
      <c r="W61" t="s">
        <v>385</v>
      </c>
      <c r="X61" t="b">
        <v>0</v>
      </c>
      <c r="Y61" t="s">
        <v>1047</v>
      </c>
      <c r="Z61">
        <v>1</v>
      </c>
    </row>
    <row r="62" spans="1:27">
      <c r="A62" t="s">
        <v>274</v>
      </c>
      <c r="B62" t="s">
        <v>171</v>
      </c>
      <c r="C62" t="s">
        <v>116</v>
      </c>
      <c r="D62" s="5">
        <v>0.65332058492919098</v>
      </c>
      <c r="E62" s="5">
        <v>0.97677149741960001</v>
      </c>
      <c r="F62" s="5">
        <v>0.66885713460631302</v>
      </c>
      <c r="G62" s="5">
        <v>0.74819537002756198</v>
      </c>
      <c r="H62" s="5">
        <v>0.74819537002756198</v>
      </c>
      <c r="I62" s="5">
        <v>2.3228502580400101E-2</v>
      </c>
      <c r="J62" s="5">
        <v>0.68250646445095298</v>
      </c>
      <c r="K62" s="66">
        <v>8784</v>
      </c>
      <c r="L62" s="66">
        <v>204.03916666623499</v>
      </c>
      <c r="M62" s="66">
        <v>171.58916664983201</v>
      </c>
      <c r="N62" s="66">
        <v>51.5891666499517</v>
      </c>
      <c r="O62" s="66">
        <v>119.99999999988</v>
      </c>
      <c r="P62" s="66">
        <v>8579.9608333337601</v>
      </c>
      <c r="Q62" s="66">
        <v>2862.64534104922</v>
      </c>
      <c r="R62" s="66">
        <v>5738.7680180180096</v>
      </c>
      <c r="S62" s="66">
        <v>-21.452525733471699</v>
      </c>
      <c r="T62" t="s">
        <v>564</v>
      </c>
      <c r="U62" t="s">
        <v>386</v>
      </c>
      <c r="V62" t="s">
        <v>385</v>
      </c>
      <c r="W62" t="s">
        <v>384</v>
      </c>
      <c r="X62" t="b">
        <v>0</v>
      </c>
      <c r="Y62" t="s">
        <v>1048</v>
      </c>
      <c r="Z62">
        <v>1</v>
      </c>
    </row>
    <row r="63" spans="1:27">
      <c r="A63" t="s">
        <v>274</v>
      </c>
      <c r="B63" t="s">
        <v>172</v>
      </c>
      <c r="C63" t="s">
        <v>116</v>
      </c>
      <c r="D63" s="5">
        <v>0.63267594916046599</v>
      </c>
      <c r="E63" s="5">
        <v>0.98385675976970099</v>
      </c>
      <c r="F63" s="5">
        <v>0.64305697234683001</v>
      </c>
      <c r="G63" s="5">
        <v>0.75941832562837097</v>
      </c>
      <c r="H63" s="5">
        <v>0.75941832562837097</v>
      </c>
      <c r="I63" s="5">
        <v>1.6143240230298599E-2</v>
      </c>
      <c r="J63" s="5">
        <v>0.655001005893601</v>
      </c>
      <c r="K63" s="66">
        <v>8784</v>
      </c>
      <c r="L63" s="66">
        <v>141.80222218294301</v>
      </c>
      <c r="M63" s="66">
        <v>157.591666649812</v>
      </c>
      <c r="N63" s="66">
        <v>37.591666649932101</v>
      </c>
      <c r="O63" s="66">
        <v>119.99999999988</v>
      </c>
      <c r="P63" s="66">
        <v>8642.1977778170494</v>
      </c>
      <c r="Q63" s="66">
        <v>3099.5403632330499</v>
      </c>
      <c r="R63" s="66">
        <v>5557.4255374255299</v>
      </c>
      <c r="S63" s="66">
        <v>-14.7681228415214</v>
      </c>
      <c r="T63" t="s">
        <v>564</v>
      </c>
      <c r="U63" t="s">
        <v>386</v>
      </c>
      <c r="V63" t="s">
        <v>385</v>
      </c>
      <c r="W63" t="s">
        <v>384</v>
      </c>
      <c r="X63" t="b">
        <v>0</v>
      </c>
      <c r="Y63" t="s">
        <v>1049</v>
      </c>
      <c r="Z63">
        <v>1</v>
      </c>
    </row>
    <row r="64" spans="1:27">
      <c r="A64" t="s">
        <v>275</v>
      </c>
      <c r="B64" t="s">
        <v>173</v>
      </c>
      <c r="C64" t="s">
        <v>116</v>
      </c>
      <c r="D64" s="5">
        <v>0.86141734808384496</v>
      </c>
      <c r="E64" s="5">
        <v>1</v>
      </c>
      <c r="F64" s="5">
        <v>0.86141734808384496</v>
      </c>
      <c r="G64" s="5">
        <v>0.87902725181581698</v>
      </c>
      <c r="H64" s="5">
        <v>0.87902725181581698</v>
      </c>
      <c r="I64" s="5">
        <v>0</v>
      </c>
      <c r="J64" s="5">
        <v>0.88393168838122005</v>
      </c>
      <c r="K64" s="66">
        <v>8784</v>
      </c>
      <c r="L64" s="66">
        <v>0</v>
      </c>
      <c r="M64" s="66">
        <v>223.73444438259801</v>
      </c>
      <c r="N64" s="66">
        <v>223.73444438259801</v>
      </c>
      <c r="P64" s="66">
        <v>8784</v>
      </c>
      <c r="Q64" s="66">
        <v>1302.7972318405</v>
      </c>
      <c r="R64" s="66">
        <v>7566.6899855684997</v>
      </c>
      <c r="S64" s="66">
        <v>-85.487217408998902</v>
      </c>
      <c r="T64" t="s">
        <v>564</v>
      </c>
      <c r="U64" t="s">
        <v>386</v>
      </c>
      <c r="V64" t="s">
        <v>384</v>
      </c>
      <c r="W64" t="s">
        <v>384</v>
      </c>
      <c r="X64" t="b">
        <v>0</v>
      </c>
      <c r="Y64" t="s">
        <v>1050</v>
      </c>
      <c r="Z64">
        <v>1</v>
      </c>
    </row>
    <row r="65" spans="1:26">
      <c r="A65" t="s">
        <v>276</v>
      </c>
      <c r="B65" t="s">
        <v>174</v>
      </c>
      <c r="C65" t="s">
        <v>117</v>
      </c>
      <c r="D65" s="5">
        <v>0.45943980017432701</v>
      </c>
      <c r="E65" s="5">
        <v>0.59064293072104701</v>
      </c>
      <c r="F65" s="5">
        <v>0.77786387727260298</v>
      </c>
      <c r="G65" s="5">
        <v>0.80719875204848701</v>
      </c>
      <c r="H65" s="5">
        <v>0.80719875204915803</v>
      </c>
      <c r="I65" s="5">
        <v>0.40935706927895299</v>
      </c>
      <c r="J65" s="5">
        <v>0.78186573040667595</v>
      </c>
      <c r="K65" s="66">
        <v>8784</v>
      </c>
      <c r="L65" s="66">
        <v>3595.7924965463199</v>
      </c>
      <c r="M65" s="66">
        <v>26.5549999833333</v>
      </c>
      <c r="N65" s="66">
        <v>26.5549999833333</v>
      </c>
      <c r="P65" s="66">
        <v>5188.2075034536801</v>
      </c>
      <c r="Q65" s="66">
        <v>1169.0911083665801</v>
      </c>
      <c r="R65" s="66">
        <v>4035.7192047312901</v>
      </c>
      <c r="S65" s="66">
        <v>-16.602809644190799</v>
      </c>
      <c r="T65" t="s">
        <v>564</v>
      </c>
      <c r="U65" t="s">
        <v>386</v>
      </c>
      <c r="V65" t="s">
        <v>385</v>
      </c>
      <c r="W65" t="s">
        <v>385</v>
      </c>
      <c r="X65" t="b">
        <v>0</v>
      </c>
      <c r="Y65" t="s">
        <v>451</v>
      </c>
      <c r="Z65">
        <v>1</v>
      </c>
    </row>
    <row r="66" spans="1:26">
      <c r="A66" t="s">
        <v>276</v>
      </c>
      <c r="B66" t="s">
        <v>175</v>
      </c>
      <c r="C66" t="s">
        <v>117</v>
      </c>
      <c r="D66" s="5">
        <v>0.31828257516764402</v>
      </c>
      <c r="E66" s="5">
        <v>0.37305998318780997</v>
      </c>
      <c r="F66" s="5">
        <v>0.85316729081449205</v>
      </c>
      <c r="G66" s="5">
        <v>0.88689791904489501</v>
      </c>
      <c r="H66" s="5">
        <v>0.88689791904638104</v>
      </c>
      <c r="I66" s="5">
        <v>0.62694001681219003</v>
      </c>
      <c r="J66" s="5">
        <v>0.85316729081449305</v>
      </c>
      <c r="K66" s="66">
        <v>8784</v>
      </c>
      <c r="L66" s="66">
        <v>5507.0411076782702</v>
      </c>
      <c r="P66" s="66">
        <v>3276.9588923217202</v>
      </c>
      <c r="Q66" s="66">
        <v>444.58527866663002</v>
      </c>
      <c r="R66" s="66">
        <v>2795.7941402725901</v>
      </c>
      <c r="S66" s="66">
        <v>36.579473382509597</v>
      </c>
      <c r="T66" t="s">
        <v>564</v>
      </c>
      <c r="U66" t="s">
        <v>386</v>
      </c>
      <c r="V66" t="s">
        <v>385</v>
      </c>
      <c r="W66" t="s">
        <v>385</v>
      </c>
      <c r="X66" t="b">
        <v>0</v>
      </c>
      <c r="Y66" t="s">
        <v>452</v>
      </c>
      <c r="Z66">
        <v>1</v>
      </c>
    </row>
    <row r="67" spans="1:26">
      <c r="A67" t="s">
        <v>276</v>
      </c>
      <c r="B67" t="s">
        <v>176</v>
      </c>
      <c r="C67" t="s">
        <v>117</v>
      </c>
      <c r="D67" s="5">
        <v>0.38168606362173402</v>
      </c>
      <c r="E67" s="5">
        <v>0.47071392474818302</v>
      </c>
      <c r="F67" s="5">
        <v>0.810866310840335</v>
      </c>
      <c r="G67" s="5">
        <v>0.818929245481265</v>
      </c>
      <c r="H67" s="5">
        <v>0.818929245482242</v>
      </c>
      <c r="I67" s="5">
        <v>0.52928607525181703</v>
      </c>
      <c r="J67" s="5">
        <v>0.81107963664407101</v>
      </c>
      <c r="K67" s="66">
        <v>8784</v>
      </c>
      <c r="L67" s="66">
        <v>4649.2488850119598</v>
      </c>
      <c r="M67" s="66">
        <v>1.0874999999999999</v>
      </c>
      <c r="N67" s="66">
        <v>1.0874999999999999</v>
      </c>
      <c r="P67" s="66">
        <v>4134.7511149880402</v>
      </c>
      <c r="Q67" s="66">
        <v>817.22444314995903</v>
      </c>
      <c r="R67" s="66">
        <v>3352.7303828533099</v>
      </c>
      <c r="S67" s="66">
        <v>-35.203711015233203</v>
      </c>
      <c r="T67" t="s">
        <v>564</v>
      </c>
      <c r="U67" t="s">
        <v>386</v>
      </c>
      <c r="V67" t="s">
        <v>385</v>
      </c>
      <c r="W67" t="s">
        <v>384</v>
      </c>
      <c r="X67" t="b">
        <v>0</v>
      </c>
      <c r="Y67" t="s">
        <v>453</v>
      </c>
      <c r="Z67">
        <v>1</v>
      </c>
    </row>
    <row r="68" spans="1:26">
      <c r="A68" t="s">
        <v>276</v>
      </c>
      <c r="B68" t="s">
        <v>177</v>
      </c>
      <c r="C68" t="s">
        <v>117</v>
      </c>
      <c r="D68" s="5">
        <v>0.14897788019573299</v>
      </c>
      <c r="E68" s="5">
        <v>0.16906759146964101</v>
      </c>
      <c r="F68" s="5">
        <v>0.88117349339825501</v>
      </c>
      <c r="G68" s="5">
        <v>0.78761914159399304</v>
      </c>
      <c r="H68" s="5">
        <v>0.78761914159570801</v>
      </c>
      <c r="I68" s="5">
        <v>0.83093240853035799</v>
      </c>
      <c r="J68" s="5">
        <v>0.88117349339825501</v>
      </c>
      <c r="K68" s="66">
        <v>8784</v>
      </c>
      <c r="L68" s="66">
        <v>7298.9102765306698</v>
      </c>
      <c r="P68" s="66">
        <v>1485.08972346933</v>
      </c>
      <c r="Q68" s="66">
        <v>178.404721783333</v>
      </c>
      <c r="R68" s="66">
        <v>1308.62169963932</v>
      </c>
      <c r="S68" s="66">
        <v>-1.9366979533211599</v>
      </c>
      <c r="T68" t="s">
        <v>564</v>
      </c>
      <c r="U68" t="s">
        <v>386</v>
      </c>
      <c r="V68" t="s">
        <v>385</v>
      </c>
      <c r="W68" t="s">
        <v>385</v>
      </c>
      <c r="X68" t="b">
        <v>0</v>
      </c>
      <c r="Y68" t="s">
        <v>454</v>
      </c>
      <c r="Z68">
        <v>1</v>
      </c>
    </row>
    <row r="69" spans="1:26">
      <c r="A69" t="s">
        <v>276</v>
      </c>
      <c r="B69" t="s">
        <v>178</v>
      </c>
      <c r="C69" t="s">
        <v>117</v>
      </c>
      <c r="D69" s="5">
        <v>0.413619282889437</v>
      </c>
      <c r="E69" s="5">
        <v>0.44413238731253102</v>
      </c>
      <c r="F69" s="5">
        <v>0.93129727690491004</v>
      </c>
      <c r="G69" s="5">
        <v>0.93359386366112296</v>
      </c>
      <c r="H69" s="5">
        <v>0.93435770422144104</v>
      </c>
      <c r="I69" s="5">
        <v>0.55586761268746798</v>
      </c>
      <c r="J69" s="5">
        <v>0.93129727690491004</v>
      </c>
      <c r="K69" s="66">
        <v>8784</v>
      </c>
      <c r="L69" s="66">
        <v>4882.7411098467201</v>
      </c>
      <c r="P69" s="66">
        <v>3901.2588901532799</v>
      </c>
      <c r="Q69" s="66">
        <v>249.676110033317</v>
      </c>
      <c r="R69" s="66">
        <v>3633.23178090082</v>
      </c>
      <c r="S69" s="66">
        <v>18.350999219139499</v>
      </c>
      <c r="T69" t="s">
        <v>564</v>
      </c>
      <c r="U69" t="s">
        <v>386</v>
      </c>
      <c r="V69" t="s">
        <v>385</v>
      </c>
      <c r="W69" t="s">
        <v>385</v>
      </c>
      <c r="X69" t="b">
        <v>0</v>
      </c>
      <c r="Y69" t="s">
        <v>455</v>
      </c>
      <c r="Z69">
        <v>1</v>
      </c>
    </row>
    <row r="70" spans="1:26">
      <c r="A70" t="s">
        <v>276</v>
      </c>
      <c r="B70" t="s">
        <v>179</v>
      </c>
      <c r="C70" t="s">
        <v>117</v>
      </c>
      <c r="D70" s="5">
        <v>0.28552548310250497</v>
      </c>
      <c r="E70" s="5">
        <v>0.31489188063562501</v>
      </c>
      <c r="F70" s="5">
        <v>0.90674133142511504</v>
      </c>
      <c r="G70" s="5">
        <v>0.87018419699360094</v>
      </c>
      <c r="H70" s="5">
        <v>0.88389843001190505</v>
      </c>
      <c r="I70" s="5">
        <v>0.68510811936437499</v>
      </c>
      <c r="J70" s="5">
        <v>0.90674133142511504</v>
      </c>
      <c r="K70" s="66">
        <v>8784</v>
      </c>
      <c r="L70" s="66">
        <v>6017.9897204966701</v>
      </c>
      <c r="P70" s="66">
        <v>2766.0102795033299</v>
      </c>
      <c r="Q70" s="66">
        <v>328.65722269982598</v>
      </c>
      <c r="R70" s="66">
        <v>2508.0558435724001</v>
      </c>
      <c r="S70" s="66">
        <v>-70.702786768900495</v>
      </c>
      <c r="T70" t="s">
        <v>564</v>
      </c>
      <c r="U70" t="s">
        <v>386</v>
      </c>
      <c r="V70" t="s">
        <v>385</v>
      </c>
      <c r="W70" t="s">
        <v>384</v>
      </c>
      <c r="X70" t="b">
        <v>0</v>
      </c>
      <c r="Y70" t="s">
        <v>456</v>
      </c>
      <c r="Z70">
        <v>1</v>
      </c>
    </row>
    <row r="71" spans="1:26">
      <c r="A71" t="s">
        <v>276</v>
      </c>
      <c r="B71" t="s">
        <v>180</v>
      </c>
      <c r="C71" t="s">
        <v>117</v>
      </c>
      <c r="D71" s="5">
        <v>0.15147152332078301</v>
      </c>
      <c r="E71" s="5">
        <v>0.177412087887693</v>
      </c>
      <c r="F71" s="5">
        <v>0.85378355626291003</v>
      </c>
      <c r="G71" s="5">
        <v>0.81114459678828799</v>
      </c>
      <c r="H71" s="5">
        <v>0.82956793232730297</v>
      </c>
      <c r="I71" s="5">
        <v>0.82258791211230597</v>
      </c>
      <c r="J71" s="5">
        <v>0.85378355626290803</v>
      </c>
      <c r="K71" s="66">
        <v>8784</v>
      </c>
      <c r="L71" s="66">
        <v>7225.6122199945003</v>
      </c>
      <c r="P71" s="66">
        <v>1558.3877800055</v>
      </c>
      <c r="Q71" s="66">
        <v>226.84055659998899</v>
      </c>
      <c r="R71" s="66">
        <v>1330.52586084975</v>
      </c>
      <c r="S71" s="66">
        <v>1.0213625557550901</v>
      </c>
      <c r="T71" t="s">
        <v>564</v>
      </c>
      <c r="U71" t="s">
        <v>386</v>
      </c>
      <c r="V71" t="s">
        <v>385</v>
      </c>
      <c r="W71" t="s">
        <v>385</v>
      </c>
      <c r="X71" t="b">
        <v>0</v>
      </c>
      <c r="Y71" t="s">
        <v>457</v>
      </c>
      <c r="Z71">
        <v>1</v>
      </c>
    </row>
    <row r="72" spans="1:26">
      <c r="A72" t="s">
        <v>276</v>
      </c>
      <c r="B72" t="s">
        <v>181</v>
      </c>
      <c r="C72" t="s">
        <v>117</v>
      </c>
      <c r="D72" s="5">
        <v>0.32625368142786199</v>
      </c>
      <c r="E72" s="5">
        <v>0.47742432613320701</v>
      </c>
      <c r="F72" s="5">
        <v>0.683362081840868</v>
      </c>
      <c r="G72" s="5">
        <v>0.77831249787081402</v>
      </c>
      <c r="H72" s="5">
        <v>0.778312497871679</v>
      </c>
      <c r="I72" s="5">
        <v>0.52257567386679304</v>
      </c>
      <c r="J72" s="5">
        <v>0.68682799829282903</v>
      </c>
      <c r="K72" s="66">
        <v>8784</v>
      </c>
      <c r="L72" s="66">
        <v>4590.3047192459098</v>
      </c>
      <c r="M72" s="66">
        <v>21.162499933333301</v>
      </c>
      <c r="N72" s="66">
        <v>21.162499933333301</v>
      </c>
      <c r="P72" s="66">
        <v>4193.6952807540902</v>
      </c>
      <c r="Q72" s="66">
        <v>1327.9444401998201</v>
      </c>
      <c r="R72" s="66">
        <v>2865.8123376623298</v>
      </c>
      <c r="S72" s="66">
        <v>-6.1497108066206098E-2</v>
      </c>
      <c r="T72" t="s">
        <v>564</v>
      </c>
      <c r="U72" t="s">
        <v>386</v>
      </c>
      <c r="V72" t="s">
        <v>385</v>
      </c>
      <c r="W72" t="s">
        <v>384</v>
      </c>
      <c r="X72" t="b">
        <v>0</v>
      </c>
      <c r="Y72" t="s">
        <v>775</v>
      </c>
      <c r="Z72">
        <v>1</v>
      </c>
    </row>
    <row r="73" spans="1:26">
      <c r="A73" t="s">
        <v>277</v>
      </c>
      <c r="B73" t="s">
        <v>342</v>
      </c>
      <c r="C73" t="s">
        <v>117</v>
      </c>
      <c r="D73" s="5">
        <v>0.55506051306072302</v>
      </c>
      <c r="E73" s="5">
        <v>0.95146601777290496</v>
      </c>
      <c r="F73" s="5">
        <v>0.58337397520507595</v>
      </c>
      <c r="G73" s="5">
        <v>0.69678811425574105</v>
      </c>
      <c r="H73" s="5">
        <v>0.69678811425925402</v>
      </c>
      <c r="I73" s="5">
        <v>4.8533982227094603E-2</v>
      </c>
      <c r="J73" s="5">
        <v>0.59466405116710797</v>
      </c>
      <c r="K73" s="66">
        <v>8784</v>
      </c>
      <c r="L73" s="66">
        <v>426.32249988279898</v>
      </c>
      <c r="M73" s="66">
        <v>158.67583328318301</v>
      </c>
      <c r="N73" s="66">
        <v>152.16111108318299</v>
      </c>
      <c r="O73" s="66">
        <v>6.5147221999999996</v>
      </c>
      <c r="P73" s="66">
        <v>8357.6775001172009</v>
      </c>
      <c r="Q73" s="66">
        <v>3242.07344680395</v>
      </c>
      <c r="R73" s="66">
        <v>4875.6515467253903</v>
      </c>
      <c r="S73" s="66">
        <v>239.95250658785801</v>
      </c>
      <c r="T73" t="s">
        <v>564</v>
      </c>
      <c r="U73" t="s">
        <v>386</v>
      </c>
      <c r="V73" t="s">
        <v>385</v>
      </c>
      <c r="W73" t="s">
        <v>385</v>
      </c>
      <c r="X73" t="b">
        <v>0</v>
      </c>
      <c r="Y73" t="s">
        <v>458</v>
      </c>
      <c r="Z73">
        <v>1</v>
      </c>
    </row>
    <row r="74" spans="1:26">
      <c r="A74" t="s">
        <v>277</v>
      </c>
      <c r="B74" t="s">
        <v>182</v>
      </c>
      <c r="C74" t="s">
        <v>117</v>
      </c>
      <c r="D74" s="5">
        <v>0.39383052132908503</v>
      </c>
      <c r="E74" s="5">
        <v>0.48684403654491099</v>
      </c>
      <c r="F74" s="5">
        <v>0.80894596989225798</v>
      </c>
      <c r="G74" s="5">
        <v>0.84814426301044499</v>
      </c>
      <c r="H74" s="5">
        <v>0.84814426301230195</v>
      </c>
      <c r="I74" s="5">
        <v>0.51315596345508896</v>
      </c>
      <c r="J74" s="5">
        <v>0.83494391009350999</v>
      </c>
      <c r="K74" s="66">
        <v>8784</v>
      </c>
      <c r="L74" s="66">
        <v>4507.5619829895004</v>
      </c>
      <c r="M74" s="66">
        <v>133.156944432534</v>
      </c>
      <c r="N74" s="66">
        <v>133.156944432534</v>
      </c>
      <c r="P74" s="66">
        <v>4276.4380170104996</v>
      </c>
      <c r="Q74" s="66">
        <v>1302.08138846366</v>
      </c>
      <c r="R74" s="66">
        <v>3459.4072993546802</v>
      </c>
      <c r="S74" s="66">
        <v>-485.05067080784403</v>
      </c>
      <c r="T74" t="s">
        <v>564</v>
      </c>
      <c r="U74" t="s">
        <v>386</v>
      </c>
      <c r="V74" t="s">
        <v>385</v>
      </c>
      <c r="W74" t="s">
        <v>385</v>
      </c>
      <c r="X74" t="b">
        <v>0</v>
      </c>
      <c r="Y74" t="s">
        <v>459</v>
      </c>
      <c r="Z74">
        <v>1</v>
      </c>
    </row>
    <row r="75" spans="1:26">
      <c r="A75" t="s">
        <v>277</v>
      </c>
      <c r="B75" t="s">
        <v>183</v>
      </c>
      <c r="C75" t="s">
        <v>117</v>
      </c>
      <c r="D75" s="5">
        <v>0.43158449155559397</v>
      </c>
      <c r="E75" s="5">
        <v>0.651952761369193</v>
      </c>
      <c r="F75" s="5">
        <v>0.66198736646073197</v>
      </c>
      <c r="G75" s="5">
        <v>0.56816979567117498</v>
      </c>
      <c r="H75" s="5">
        <v>0.58162797271187305</v>
      </c>
      <c r="I75" s="5">
        <v>0.348047238630807</v>
      </c>
      <c r="J75" s="5">
        <v>0.67784830403819696</v>
      </c>
      <c r="K75" s="66">
        <v>8784</v>
      </c>
      <c r="L75" s="66">
        <v>3057.2469441330099</v>
      </c>
      <c r="M75" s="66">
        <v>133.99999999932999</v>
      </c>
      <c r="N75" s="66">
        <v>133.99999999932999</v>
      </c>
      <c r="P75" s="66">
        <v>5726.7530558669896</v>
      </c>
      <c r="Q75" s="66">
        <v>2301.8545699645401</v>
      </c>
      <c r="R75" s="66">
        <v>3791.03817382434</v>
      </c>
      <c r="S75" s="66">
        <v>-366.139687921887</v>
      </c>
      <c r="T75" t="s">
        <v>564</v>
      </c>
      <c r="U75" t="s">
        <v>386</v>
      </c>
      <c r="V75" t="s">
        <v>385</v>
      </c>
      <c r="W75" t="s">
        <v>385</v>
      </c>
      <c r="X75" t="b">
        <v>0</v>
      </c>
      <c r="Y75" t="s">
        <v>460</v>
      </c>
      <c r="Z75">
        <v>1</v>
      </c>
    </row>
    <row r="76" spans="1:26">
      <c r="A76" t="s">
        <v>277</v>
      </c>
      <c r="B76" t="s">
        <v>343</v>
      </c>
      <c r="C76" t="s">
        <v>117</v>
      </c>
      <c r="D76" s="5">
        <v>0.52453357176587401</v>
      </c>
      <c r="E76" s="5">
        <v>1</v>
      </c>
      <c r="F76" s="5">
        <v>0.52453357176587401</v>
      </c>
      <c r="G76" s="5">
        <v>0.45675290835625598</v>
      </c>
      <c r="H76" s="5">
        <v>0.45698194019338201</v>
      </c>
      <c r="I76" s="5">
        <v>0</v>
      </c>
      <c r="J76" s="5">
        <v>0.52453357176587301</v>
      </c>
      <c r="K76" s="66">
        <v>8784</v>
      </c>
      <c r="L76" s="66">
        <v>0</v>
      </c>
      <c r="P76" s="66">
        <v>8784</v>
      </c>
      <c r="Q76" s="66">
        <v>954.86444423333296</v>
      </c>
      <c r="R76" s="66">
        <v>4607.5028943914303</v>
      </c>
      <c r="S76" s="66">
        <v>3221.6326613752299</v>
      </c>
      <c r="T76" t="s">
        <v>564</v>
      </c>
      <c r="U76" t="s">
        <v>386</v>
      </c>
      <c r="V76" t="s">
        <v>385</v>
      </c>
      <c r="W76" t="s">
        <v>385</v>
      </c>
      <c r="X76" t="b">
        <v>0</v>
      </c>
      <c r="Y76" t="s">
        <v>461</v>
      </c>
      <c r="Z76">
        <v>1</v>
      </c>
    </row>
    <row r="77" spans="1:26">
      <c r="A77" t="s">
        <v>277</v>
      </c>
      <c r="B77" t="s">
        <v>184</v>
      </c>
      <c r="C77" t="s">
        <v>117</v>
      </c>
      <c r="D77" s="5">
        <v>0.52878838010684104</v>
      </c>
      <c r="E77" s="5">
        <v>0.74555587180576299</v>
      </c>
      <c r="F77" s="5">
        <v>0.70925386024537196</v>
      </c>
      <c r="G77" s="5">
        <v>0.88307029109915802</v>
      </c>
      <c r="H77" s="5">
        <v>0.821025558122913</v>
      </c>
      <c r="I77" s="5">
        <v>0.25444412819423701</v>
      </c>
      <c r="J77" s="5">
        <v>0.70936533670107604</v>
      </c>
      <c r="K77" s="66">
        <v>8784</v>
      </c>
      <c r="L77" s="66">
        <v>2235.0372220581799</v>
      </c>
      <c r="M77" s="66">
        <v>1.0291666666666699</v>
      </c>
      <c r="N77" s="66">
        <v>1.0291666666666699</v>
      </c>
      <c r="P77" s="66">
        <v>6548.9627779418197</v>
      </c>
      <c r="Q77" s="66">
        <v>1969.69694324786</v>
      </c>
      <c r="R77" s="66">
        <v>4644.8771308584901</v>
      </c>
      <c r="S77" s="66">
        <v>-65.611296164536199</v>
      </c>
      <c r="T77" t="s">
        <v>564</v>
      </c>
      <c r="U77" t="s">
        <v>383</v>
      </c>
      <c r="V77" t="s">
        <v>384</v>
      </c>
      <c r="W77" t="s">
        <v>384</v>
      </c>
      <c r="X77" t="b">
        <v>0</v>
      </c>
      <c r="Y77" t="s">
        <v>462</v>
      </c>
      <c r="Z77">
        <v>1</v>
      </c>
    </row>
    <row r="78" spans="1:26">
      <c r="A78" t="s">
        <v>277</v>
      </c>
      <c r="B78" t="s">
        <v>185</v>
      </c>
      <c r="C78" t="s">
        <v>117</v>
      </c>
      <c r="D78" s="5">
        <v>0.50970805858506696</v>
      </c>
      <c r="E78" s="5">
        <v>0.759465769188156</v>
      </c>
      <c r="F78" s="5">
        <v>0.67114026630841905</v>
      </c>
      <c r="G78" s="5">
        <v>0.75566706665733896</v>
      </c>
      <c r="H78" s="5">
        <v>0.69397338865925795</v>
      </c>
      <c r="I78" s="5">
        <v>0.240534230811844</v>
      </c>
      <c r="J78" s="5">
        <v>0.67689514026668895</v>
      </c>
      <c r="K78" s="66">
        <v>8784</v>
      </c>
      <c r="L78" s="66">
        <v>2112.85268345124</v>
      </c>
      <c r="M78" s="66">
        <v>56.7172220333333</v>
      </c>
      <c r="N78" s="66">
        <v>36.705277649999999</v>
      </c>
      <c r="O78" s="66">
        <v>20.011944383333301</v>
      </c>
      <c r="P78" s="66">
        <v>6671.1473165487596</v>
      </c>
      <c r="Q78" s="66">
        <v>2133.1170336413002</v>
      </c>
      <c r="R78" s="66">
        <v>4477.2755866112302</v>
      </c>
      <c r="S78" s="66">
        <v>60.754696296232403</v>
      </c>
      <c r="T78" t="s">
        <v>564</v>
      </c>
      <c r="U78" t="s">
        <v>386</v>
      </c>
      <c r="V78" t="s">
        <v>385</v>
      </c>
      <c r="W78" t="s">
        <v>385</v>
      </c>
      <c r="X78" t="b">
        <v>0</v>
      </c>
      <c r="Y78" t="s">
        <v>776</v>
      </c>
      <c r="Z78">
        <v>1</v>
      </c>
    </row>
    <row r="79" spans="1:26">
      <c r="A79" t="s">
        <v>277</v>
      </c>
      <c r="B79" t="s">
        <v>344</v>
      </c>
      <c r="C79" t="s">
        <v>117</v>
      </c>
      <c r="D79" s="5">
        <v>0.619670175020685</v>
      </c>
      <c r="E79" s="5">
        <v>0.85495484215454798</v>
      </c>
      <c r="F79" s="5">
        <v>0.724798719730123</v>
      </c>
      <c r="G79" s="5">
        <v>0.66277456572142301</v>
      </c>
      <c r="H79" s="5">
        <v>0.67382809988873504</v>
      </c>
      <c r="I79" s="5">
        <v>0.14504515784545199</v>
      </c>
      <c r="J79" s="5">
        <v>0.72761814772673605</v>
      </c>
      <c r="K79" s="66">
        <v>8784</v>
      </c>
      <c r="L79" s="66">
        <v>1274.0766665144499</v>
      </c>
      <c r="M79" s="66">
        <v>29.1</v>
      </c>
      <c r="N79" s="66">
        <v>29.1</v>
      </c>
      <c r="P79" s="66">
        <v>7509.9233334855498</v>
      </c>
      <c r="Q79" s="66">
        <v>2065.9219621013399</v>
      </c>
      <c r="R79" s="66">
        <v>5443.1828173817003</v>
      </c>
      <c r="S79" s="66">
        <v>0.81855400250277899</v>
      </c>
      <c r="T79" t="s">
        <v>564</v>
      </c>
      <c r="U79" t="s">
        <v>386</v>
      </c>
      <c r="V79" t="s">
        <v>384</v>
      </c>
      <c r="W79" t="s">
        <v>384</v>
      </c>
      <c r="X79" t="b">
        <v>0</v>
      </c>
      <c r="Y79" t="s">
        <v>463</v>
      </c>
      <c r="Z79">
        <v>1</v>
      </c>
    </row>
    <row r="80" spans="1:26">
      <c r="A80" t="s">
        <v>277</v>
      </c>
      <c r="B80" t="s">
        <v>345</v>
      </c>
      <c r="C80" t="s">
        <v>117</v>
      </c>
      <c r="D80" s="5">
        <v>0.87440575221573602</v>
      </c>
      <c r="E80" s="5">
        <v>0.89842889850740604</v>
      </c>
      <c r="F80" s="5">
        <v>0.97326093769737299</v>
      </c>
      <c r="G80" s="5">
        <v>0.75118316745013503</v>
      </c>
      <c r="H80" s="5">
        <v>0.66557512687448395</v>
      </c>
      <c r="I80" s="5">
        <v>0.101571101492594</v>
      </c>
      <c r="J80" s="5">
        <v>0.97326093769737299</v>
      </c>
      <c r="K80" s="66">
        <v>8784</v>
      </c>
      <c r="L80" s="66">
        <v>892.20055551094299</v>
      </c>
      <c r="P80" s="66">
        <v>7891.7994444890601</v>
      </c>
      <c r="Q80" s="66">
        <v>316.04278761251499</v>
      </c>
      <c r="R80" s="66">
        <v>7680.7801274630201</v>
      </c>
      <c r="S80" s="66">
        <v>-105.023470586484</v>
      </c>
      <c r="T80" t="s">
        <v>564</v>
      </c>
      <c r="U80" t="s">
        <v>383</v>
      </c>
      <c r="V80" t="s">
        <v>384</v>
      </c>
      <c r="W80" t="s">
        <v>384</v>
      </c>
      <c r="X80" t="b">
        <v>0</v>
      </c>
      <c r="Y80" t="s">
        <v>1051</v>
      </c>
      <c r="Z80">
        <v>1</v>
      </c>
    </row>
    <row r="81" spans="1:26">
      <c r="A81" t="s">
        <v>277</v>
      </c>
      <c r="B81" t="s">
        <v>186</v>
      </c>
      <c r="C81" t="s">
        <v>117</v>
      </c>
      <c r="D81" s="5">
        <v>0.29057399039137199</v>
      </c>
      <c r="E81" s="5">
        <v>0.58384654549802395</v>
      </c>
      <c r="F81" s="5">
        <v>0.49768897774929999</v>
      </c>
      <c r="G81" s="5">
        <v>0.626518751672418</v>
      </c>
      <c r="H81" s="5">
        <v>0.62651875167525095</v>
      </c>
      <c r="I81" s="5">
        <v>0.41615345450197599</v>
      </c>
      <c r="J81" s="5">
        <v>0.51720319456682695</v>
      </c>
      <c r="K81" s="66">
        <v>8784</v>
      </c>
      <c r="L81" s="66">
        <v>3655.49194434536</v>
      </c>
      <c r="M81" s="66">
        <v>193.49999999961301</v>
      </c>
      <c r="N81" s="66">
        <v>193.49999999961301</v>
      </c>
      <c r="P81" s="66">
        <v>5128.50805565464</v>
      </c>
      <c r="Q81" s="66">
        <v>2933.7315035957899</v>
      </c>
      <c r="R81" s="66">
        <v>2552.4019315978098</v>
      </c>
      <c r="S81" s="66">
        <v>-357.62537953895003</v>
      </c>
      <c r="T81" t="s">
        <v>564</v>
      </c>
      <c r="U81" t="s">
        <v>386</v>
      </c>
      <c r="V81" t="s">
        <v>385</v>
      </c>
      <c r="W81" t="s">
        <v>385</v>
      </c>
      <c r="X81" t="b">
        <v>0</v>
      </c>
      <c r="Y81" t="s">
        <v>464</v>
      </c>
      <c r="Z81">
        <v>1</v>
      </c>
    </row>
    <row r="82" spans="1:26">
      <c r="A82" t="s">
        <v>277</v>
      </c>
      <c r="B82" t="s">
        <v>346</v>
      </c>
      <c r="C82" t="s">
        <v>117</v>
      </c>
      <c r="D82" s="5">
        <v>0.58909043059789501</v>
      </c>
      <c r="E82" s="5">
        <v>0.93471763686627196</v>
      </c>
      <c r="F82" s="5">
        <v>0.63023356719027501</v>
      </c>
      <c r="G82" s="5">
        <v>0.69614963674389696</v>
      </c>
      <c r="H82" s="5">
        <v>0.69614963674409003</v>
      </c>
      <c r="I82" s="5">
        <v>6.5282363133727997E-2</v>
      </c>
      <c r="J82" s="5">
        <v>0.65980985599402198</v>
      </c>
      <c r="K82" s="66">
        <v>8784</v>
      </c>
      <c r="L82" s="66">
        <v>573.44027776666701</v>
      </c>
      <c r="M82" s="66">
        <v>368.04222213282702</v>
      </c>
      <c r="N82" s="66">
        <v>368.04222213282702</v>
      </c>
      <c r="P82" s="66">
        <v>8210.5597222333308</v>
      </c>
      <c r="Q82" s="66">
        <v>3022.5227069870498</v>
      </c>
      <c r="R82" s="66">
        <v>5174.5703423719096</v>
      </c>
      <c r="S82" s="66">
        <v>13.466672874374201</v>
      </c>
      <c r="T82" t="s">
        <v>564</v>
      </c>
      <c r="U82" t="s">
        <v>386</v>
      </c>
      <c r="V82" t="s">
        <v>385</v>
      </c>
      <c r="W82" t="s">
        <v>385</v>
      </c>
      <c r="X82" t="b">
        <v>0</v>
      </c>
      <c r="Y82" t="s">
        <v>465</v>
      </c>
      <c r="Z82">
        <v>1</v>
      </c>
    </row>
    <row r="83" spans="1:26">
      <c r="A83" t="s">
        <v>277</v>
      </c>
      <c r="B83" t="s">
        <v>347</v>
      </c>
      <c r="C83" t="s">
        <v>117</v>
      </c>
      <c r="D83" s="5">
        <v>0.58228740076567698</v>
      </c>
      <c r="E83" s="5">
        <v>0.94736730925739498</v>
      </c>
      <c r="F83" s="5">
        <v>0.61463742212311501</v>
      </c>
      <c r="G83" s="5">
        <v>0.641819053376677</v>
      </c>
      <c r="H83" s="5">
        <v>0.64181905337685297</v>
      </c>
      <c r="I83" s="5">
        <v>5.2632690742605202E-2</v>
      </c>
      <c r="J83" s="5">
        <v>0.64991303650555099</v>
      </c>
      <c r="K83" s="66">
        <v>8784</v>
      </c>
      <c r="L83" s="66">
        <v>462.32555548304401</v>
      </c>
      <c r="M83" s="66">
        <v>451.67916664562199</v>
      </c>
      <c r="N83" s="66">
        <v>451.67916664562199</v>
      </c>
      <c r="P83" s="66">
        <v>8321.6744445169606</v>
      </c>
      <c r="Q83" s="66">
        <v>3244.54479123395</v>
      </c>
      <c r="R83" s="66">
        <v>5114.8125283257104</v>
      </c>
      <c r="S83" s="66">
        <v>-37.6828750426981</v>
      </c>
      <c r="T83" t="s">
        <v>564</v>
      </c>
      <c r="U83" t="s">
        <v>386</v>
      </c>
      <c r="V83" t="s">
        <v>385</v>
      </c>
      <c r="W83" t="s">
        <v>385</v>
      </c>
      <c r="X83" t="b">
        <v>0</v>
      </c>
      <c r="Y83" t="s">
        <v>466</v>
      </c>
      <c r="Z83">
        <v>1</v>
      </c>
    </row>
    <row r="84" spans="1:26">
      <c r="A84" t="s">
        <v>277</v>
      </c>
      <c r="B84" t="s">
        <v>348</v>
      </c>
      <c r="C84" t="s">
        <v>117</v>
      </c>
      <c r="D84" s="5">
        <v>0.45934218248185299</v>
      </c>
      <c r="E84" s="5">
        <v>0.75326988957022001</v>
      </c>
      <c r="F84" s="5">
        <v>0.60979761549201394</v>
      </c>
      <c r="G84" s="5">
        <v>0.58597311212329695</v>
      </c>
      <c r="H84" s="5">
        <v>0.58597311212417402</v>
      </c>
      <c r="I84" s="5">
        <v>0.24673011042977999</v>
      </c>
      <c r="J84" s="5">
        <v>0.64286266061508901</v>
      </c>
      <c r="K84" s="66">
        <v>8784</v>
      </c>
      <c r="L84" s="66">
        <v>2167.2772900151899</v>
      </c>
      <c r="M84" s="66">
        <v>340.324999997958</v>
      </c>
      <c r="N84" s="66">
        <v>340.324999997958</v>
      </c>
      <c r="P84" s="66">
        <v>6616.7227099848096</v>
      </c>
      <c r="Q84" s="66">
        <v>2730.9947199682401</v>
      </c>
      <c r="R84" s="66">
        <v>4034.8617309206002</v>
      </c>
      <c r="S84" s="66">
        <v>-149.133740904028</v>
      </c>
      <c r="T84" t="s">
        <v>564</v>
      </c>
      <c r="U84" t="s">
        <v>386</v>
      </c>
      <c r="V84" t="s">
        <v>385</v>
      </c>
      <c r="W84" t="s">
        <v>385</v>
      </c>
      <c r="X84" t="b">
        <v>0</v>
      </c>
      <c r="Y84" t="s">
        <v>467</v>
      </c>
      <c r="Z84">
        <v>1</v>
      </c>
    </row>
    <row r="85" spans="1:26">
      <c r="A85" t="s">
        <v>277</v>
      </c>
      <c r="B85" t="s">
        <v>187</v>
      </c>
      <c r="C85" t="s">
        <v>116</v>
      </c>
      <c r="D85" s="5">
        <v>0.62144844958450096</v>
      </c>
      <c r="E85" s="5">
        <v>0.95045648030171204</v>
      </c>
      <c r="F85" s="5">
        <v>0.65384208794833898</v>
      </c>
      <c r="G85" s="5">
        <v>0.78032937169535699</v>
      </c>
      <c r="H85" s="5">
        <v>0.72106255722085999</v>
      </c>
      <c r="I85" s="5">
        <v>4.9543519698287998E-2</v>
      </c>
      <c r="J85" s="5">
        <v>0.67245793425706801</v>
      </c>
      <c r="K85" s="66">
        <v>8784</v>
      </c>
      <c r="L85" s="66">
        <v>435.190277029762</v>
      </c>
      <c r="M85" s="66">
        <v>231.12249963314</v>
      </c>
      <c r="N85" s="66">
        <v>231.12249963314</v>
      </c>
      <c r="P85" s="66">
        <v>8348.8097229702398</v>
      </c>
      <c r="Q85" s="66">
        <v>3413.4058279473502</v>
      </c>
      <c r="R85" s="66">
        <v>5458.8031811502597</v>
      </c>
      <c r="S85" s="66">
        <v>-523.39928612737197</v>
      </c>
      <c r="T85" t="s">
        <v>564</v>
      </c>
      <c r="U85" t="s">
        <v>386</v>
      </c>
      <c r="V85" t="s">
        <v>385</v>
      </c>
      <c r="W85" t="s">
        <v>385</v>
      </c>
      <c r="X85" t="b">
        <v>0</v>
      </c>
      <c r="Y85" t="s">
        <v>777</v>
      </c>
      <c r="Z85">
        <v>1</v>
      </c>
    </row>
    <row r="86" spans="1:26">
      <c r="A86" t="s">
        <v>277</v>
      </c>
      <c r="B86" t="s">
        <v>349</v>
      </c>
      <c r="C86" t="s">
        <v>117</v>
      </c>
      <c r="D86" s="5">
        <v>0.51362491853473602</v>
      </c>
      <c r="E86" s="5">
        <v>0.95833383932720695</v>
      </c>
      <c r="F86" s="5">
        <v>0.53595615375047601</v>
      </c>
      <c r="G86" s="5">
        <v>0.79391410414281505</v>
      </c>
      <c r="H86" s="5">
        <v>0.66302463216225604</v>
      </c>
      <c r="I86" s="5">
        <v>4.16661606727931E-2</v>
      </c>
      <c r="J86" s="5">
        <v>0.54605641177672404</v>
      </c>
      <c r="K86" s="66">
        <v>8784</v>
      </c>
      <c r="L86" s="66">
        <v>365.99555534981499</v>
      </c>
      <c r="M86" s="66">
        <v>155.70555554953299</v>
      </c>
      <c r="N86" s="66">
        <v>155.70555554953299</v>
      </c>
      <c r="P86" s="66">
        <v>8418.0044446501906</v>
      </c>
      <c r="Q86" s="66">
        <v>3941.65401637994</v>
      </c>
      <c r="R86" s="66">
        <v>4511.6812844091201</v>
      </c>
      <c r="S86" s="66">
        <v>-35.330856138870999</v>
      </c>
      <c r="T86" t="s">
        <v>564</v>
      </c>
      <c r="U86" t="s">
        <v>383</v>
      </c>
      <c r="V86" t="s">
        <v>384</v>
      </c>
      <c r="W86" t="s">
        <v>384</v>
      </c>
      <c r="X86" t="b">
        <v>0</v>
      </c>
      <c r="Y86" t="s">
        <v>468</v>
      </c>
      <c r="Z86">
        <v>1</v>
      </c>
    </row>
    <row r="87" spans="1:26">
      <c r="A87" t="s">
        <v>277</v>
      </c>
      <c r="B87" t="s">
        <v>188</v>
      </c>
      <c r="C87" t="s">
        <v>117</v>
      </c>
      <c r="D87" s="5">
        <v>0.224466303894054</v>
      </c>
      <c r="E87" s="5">
        <v>1</v>
      </c>
      <c r="F87" s="5">
        <v>0.224466303894054</v>
      </c>
      <c r="G87" s="5">
        <v>0.176789496710132</v>
      </c>
      <c r="H87" s="5">
        <v>0.176789496710235</v>
      </c>
      <c r="I87" s="5">
        <v>0</v>
      </c>
      <c r="J87" s="5">
        <v>0.224466303894054</v>
      </c>
      <c r="K87" s="66">
        <v>8784</v>
      </c>
      <c r="L87" s="66">
        <v>0</v>
      </c>
      <c r="P87" s="66">
        <v>8784</v>
      </c>
      <c r="Q87" s="66">
        <v>2454.92972208333</v>
      </c>
      <c r="R87" s="66">
        <v>1971.71201340537</v>
      </c>
      <c r="S87" s="66">
        <v>4357.3582645113001</v>
      </c>
      <c r="T87" t="s">
        <v>564</v>
      </c>
      <c r="U87" t="s">
        <v>386</v>
      </c>
      <c r="V87" t="s">
        <v>385</v>
      </c>
      <c r="W87" t="s">
        <v>385</v>
      </c>
      <c r="X87" t="b">
        <v>0</v>
      </c>
      <c r="Y87" t="s">
        <v>469</v>
      </c>
      <c r="Z87">
        <v>1</v>
      </c>
    </row>
    <row r="88" spans="1:26">
      <c r="A88" t="s">
        <v>277</v>
      </c>
      <c r="B88" t="s">
        <v>189</v>
      </c>
      <c r="C88" t="s">
        <v>117</v>
      </c>
      <c r="D88" s="5">
        <v>0.27941734397501899</v>
      </c>
      <c r="E88" s="5">
        <v>1</v>
      </c>
      <c r="F88" s="5">
        <v>0.27941734397501899</v>
      </c>
      <c r="G88" s="5">
        <v>0.29072978485499301</v>
      </c>
      <c r="H88" s="5">
        <v>0.29072978485513101</v>
      </c>
      <c r="I88" s="5">
        <v>0</v>
      </c>
      <c r="J88" s="5">
        <v>0.27941734397501899</v>
      </c>
      <c r="K88" s="66">
        <v>8784</v>
      </c>
      <c r="L88" s="66">
        <v>0</v>
      </c>
      <c r="P88" s="66">
        <v>8784</v>
      </c>
      <c r="Q88" s="66">
        <v>3390.6638330666701</v>
      </c>
      <c r="R88" s="66">
        <v>2454.4019494765698</v>
      </c>
      <c r="S88" s="66">
        <v>2938.9342174567701</v>
      </c>
      <c r="T88" t="s">
        <v>564</v>
      </c>
      <c r="U88" t="s">
        <v>386</v>
      </c>
      <c r="V88" t="s">
        <v>385</v>
      </c>
      <c r="W88" t="s">
        <v>385</v>
      </c>
      <c r="X88" t="b">
        <v>0</v>
      </c>
      <c r="Y88" t="s">
        <v>470</v>
      </c>
      <c r="Z88">
        <v>1</v>
      </c>
    </row>
    <row r="89" spans="1:26">
      <c r="A89" t="s">
        <v>277</v>
      </c>
      <c r="B89" t="s">
        <v>190</v>
      </c>
      <c r="C89" t="s">
        <v>117</v>
      </c>
      <c r="D89" s="5">
        <v>0.553584061826777</v>
      </c>
      <c r="E89" s="5">
        <v>0.90905884227094003</v>
      </c>
      <c r="F89" s="5">
        <v>0.60896394830048195</v>
      </c>
      <c r="G89" s="5">
        <v>0.71932192831817399</v>
      </c>
      <c r="H89" s="5">
        <v>0.75430740912095695</v>
      </c>
      <c r="I89" s="5">
        <v>9.0941157729060404E-2</v>
      </c>
      <c r="J89" s="5">
        <v>0.62746526002201597</v>
      </c>
      <c r="K89" s="66">
        <v>8784</v>
      </c>
      <c r="L89" s="66">
        <v>798.827129492067</v>
      </c>
      <c r="M89" s="66">
        <v>235.449166416667</v>
      </c>
      <c r="N89" s="66">
        <v>219.09611088333301</v>
      </c>
      <c r="O89" s="66">
        <v>16.353055533333301</v>
      </c>
      <c r="P89" s="66">
        <v>7985.1728705079304</v>
      </c>
      <c r="Q89" s="66">
        <v>3122.4574899250101</v>
      </c>
      <c r="R89" s="66">
        <v>4862.6823990864104</v>
      </c>
      <c r="S89" s="66">
        <v>3.2981496515532199E-2</v>
      </c>
      <c r="T89" t="s">
        <v>564</v>
      </c>
      <c r="U89" t="s">
        <v>386</v>
      </c>
      <c r="V89" t="s">
        <v>384</v>
      </c>
      <c r="W89" t="s">
        <v>384</v>
      </c>
      <c r="X89" t="b">
        <v>0</v>
      </c>
      <c r="Y89" t="s">
        <v>471</v>
      </c>
      <c r="Z89">
        <v>1</v>
      </c>
    </row>
    <row r="90" spans="1:26">
      <c r="A90" t="s">
        <v>277</v>
      </c>
      <c r="B90" t="s">
        <v>191</v>
      </c>
      <c r="C90" t="s">
        <v>117</v>
      </c>
      <c r="D90" s="5">
        <v>0.56199774442640005</v>
      </c>
      <c r="E90" s="5">
        <v>0.78713215949772797</v>
      </c>
      <c r="F90" s="5">
        <v>0.71398142947813603</v>
      </c>
      <c r="G90" s="5">
        <v>0.69431057238458205</v>
      </c>
      <c r="H90" s="5">
        <v>0.69431057238485805</v>
      </c>
      <c r="I90" s="5">
        <v>0.212867840502272</v>
      </c>
      <c r="J90" s="5">
        <v>0.73301837375940804</v>
      </c>
      <c r="K90" s="66">
        <v>8784</v>
      </c>
      <c r="L90" s="66">
        <v>1869.83111097196</v>
      </c>
      <c r="M90" s="66">
        <v>179.56527776606299</v>
      </c>
      <c r="N90" s="66">
        <v>161.52083333274001</v>
      </c>
      <c r="O90" s="66">
        <v>18.044444433323001</v>
      </c>
      <c r="P90" s="66">
        <v>6914.1688890280402</v>
      </c>
      <c r="Q90" s="66">
        <v>2047.6650128021399</v>
      </c>
      <c r="R90" s="66">
        <v>4936.5881870414896</v>
      </c>
      <c r="S90" s="66">
        <v>-70.084310815591905</v>
      </c>
      <c r="T90" t="s">
        <v>564</v>
      </c>
      <c r="U90" t="s">
        <v>383</v>
      </c>
      <c r="V90" t="s">
        <v>384</v>
      </c>
      <c r="W90" t="s">
        <v>384</v>
      </c>
      <c r="X90" t="b">
        <v>0</v>
      </c>
      <c r="Y90" t="s">
        <v>1052</v>
      </c>
      <c r="Z90">
        <v>1</v>
      </c>
    </row>
    <row r="91" spans="1:26">
      <c r="A91" t="s">
        <v>389</v>
      </c>
      <c r="B91" t="s">
        <v>350</v>
      </c>
      <c r="C91" t="s">
        <v>116</v>
      </c>
      <c r="D91" s="5">
        <v>0.52900607824503099</v>
      </c>
      <c r="E91" s="5">
        <v>0.74887331900069298</v>
      </c>
      <c r="F91" s="5">
        <v>0.70640262488045902</v>
      </c>
      <c r="G91" s="5">
        <v>0.63652218472911704</v>
      </c>
      <c r="H91" s="5">
        <v>0.63652218472911704</v>
      </c>
      <c r="I91" s="5">
        <v>0.25112668099930702</v>
      </c>
      <c r="J91" s="5">
        <v>0.74893282024484997</v>
      </c>
      <c r="K91" s="66">
        <v>8784</v>
      </c>
      <c r="L91" s="66">
        <v>2205.89676589792</v>
      </c>
      <c r="M91" s="66">
        <v>373.555555466295</v>
      </c>
      <c r="O91" s="66">
        <v>373.555555466295</v>
      </c>
      <c r="P91" s="66">
        <v>6578.10323410209</v>
      </c>
      <c r="Q91" s="66">
        <v>1923.19221849564</v>
      </c>
      <c r="R91" s="66">
        <v>4646.7893913043499</v>
      </c>
      <c r="S91" s="66">
        <v>8.1216243020917105</v>
      </c>
      <c r="T91" t="s">
        <v>564</v>
      </c>
      <c r="U91" t="s">
        <v>383</v>
      </c>
      <c r="V91" t="s">
        <v>384</v>
      </c>
      <c r="W91" t="s">
        <v>384</v>
      </c>
      <c r="X91" t="b">
        <v>0</v>
      </c>
      <c r="Y91" t="s">
        <v>1053</v>
      </c>
      <c r="Z91">
        <v>1</v>
      </c>
    </row>
    <row r="92" spans="1:26">
      <c r="A92" t="s">
        <v>278</v>
      </c>
      <c r="B92" t="s">
        <v>192</v>
      </c>
      <c r="C92" t="s">
        <v>116</v>
      </c>
      <c r="D92" s="5">
        <v>0.94477246088385602</v>
      </c>
      <c r="E92" s="5">
        <v>0.97572567293185797</v>
      </c>
      <c r="F92" s="5">
        <v>0.96827672684373201</v>
      </c>
      <c r="G92" s="5">
        <v>0.96397091087661702</v>
      </c>
      <c r="H92" s="5">
        <v>0.97041124101769605</v>
      </c>
      <c r="I92" s="5">
        <v>2.4274327068142799E-2</v>
      </c>
      <c r="J92" s="5">
        <v>0.98903424808187601</v>
      </c>
      <c r="K92" s="66">
        <v>8784</v>
      </c>
      <c r="L92" s="66">
        <v>213.22568896656699</v>
      </c>
      <c r="M92" s="66">
        <v>179.88055533329899</v>
      </c>
      <c r="N92" s="66">
        <v>123.994166483299</v>
      </c>
      <c r="O92" s="66">
        <v>55.886388850000003</v>
      </c>
      <c r="P92" s="66">
        <v>8570.7743110334304</v>
      </c>
      <c r="Q92" s="66">
        <v>276.85749903327502</v>
      </c>
      <c r="R92" s="66">
        <v>8298.8812964037897</v>
      </c>
      <c r="S92" s="66">
        <v>-4.9644844036334703</v>
      </c>
      <c r="T92" t="s">
        <v>564</v>
      </c>
      <c r="U92" t="s">
        <v>383</v>
      </c>
      <c r="V92" t="s">
        <v>384</v>
      </c>
      <c r="W92" t="s">
        <v>384</v>
      </c>
      <c r="X92" t="b">
        <v>0</v>
      </c>
      <c r="Y92" t="s">
        <v>472</v>
      </c>
      <c r="Z92">
        <v>1</v>
      </c>
    </row>
    <row r="93" spans="1:26" s="19" customFormat="1">
      <c r="A93" t="s">
        <v>278</v>
      </c>
      <c r="B93" t="s">
        <v>193</v>
      </c>
      <c r="C93" t="s">
        <v>116</v>
      </c>
      <c r="D93" s="5">
        <v>0.65480114586506799</v>
      </c>
      <c r="E93" s="5">
        <v>0.67685860557547495</v>
      </c>
      <c r="F93" s="5">
        <v>0.96741201259951004</v>
      </c>
      <c r="G93" s="5">
        <v>0.96026895992732197</v>
      </c>
      <c r="H93" s="5">
        <v>0.96010209219602605</v>
      </c>
      <c r="I93" s="5">
        <v>0.323141394424525</v>
      </c>
      <c r="J93" s="5">
        <v>0.99159459742369604</v>
      </c>
      <c r="K93" s="66">
        <v>8784</v>
      </c>
      <c r="L93" s="66">
        <v>2838.4740086250299</v>
      </c>
      <c r="M93" s="66">
        <v>144.9969443</v>
      </c>
      <c r="N93" s="66">
        <v>34.9997221333333</v>
      </c>
      <c r="O93" s="66">
        <v>109.997222166667</v>
      </c>
      <c r="P93" s="66">
        <v>5945.5259913749696</v>
      </c>
      <c r="Q93" s="66">
        <v>193.762970373158</v>
      </c>
      <c r="R93" s="66">
        <v>5751.7732652787599</v>
      </c>
      <c r="S93" s="66">
        <v>-1.0244276943987701E-2</v>
      </c>
      <c r="T93" t="s">
        <v>564</v>
      </c>
      <c r="U93" t="s">
        <v>386</v>
      </c>
      <c r="V93" t="s">
        <v>385</v>
      </c>
      <c r="W93" t="s">
        <v>384</v>
      </c>
      <c r="X93" t="b">
        <v>0</v>
      </c>
      <c r="Y93" t="s">
        <v>473</v>
      </c>
      <c r="Z93">
        <v>1</v>
      </c>
    </row>
    <row r="94" spans="1:26" s="19" customFormat="1">
      <c r="A94" t="s">
        <v>279</v>
      </c>
      <c r="B94" t="s">
        <v>194</v>
      </c>
      <c r="C94" t="s">
        <v>117</v>
      </c>
      <c r="D94" s="5">
        <v>0.47638954947083301</v>
      </c>
      <c r="E94" s="5">
        <v>0.94254139471862797</v>
      </c>
      <c r="F94" s="5">
        <v>0.50543090429789295</v>
      </c>
      <c r="G94" s="5">
        <v>0.76990292578267305</v>
      </c>
      <c r="H94" s="5">
        <v>0.76912086323905604</v>
      </c>
      <c r="I94" s="5">
        <v>5.7458605281372498E-2</v>
      </c>
      <c r="J94" s="5">
        <v>0.51221394406448495</v>
      </c>
      <c r="K94" s="66">
        <v>8784</v>
      </c>
      <c r="L94" s="66">
        <v>504.71638879157598</v>
      </c>
      <c r="M94" s="66">
        <v>109.63916664996501</v>
      </c>
      <c r="N94" s="66">
        <v>109.63916664996501</v>
      </c>
      <c r="O94" s="66"/>
      <c r="P94" s="66">
        <v>8279.2836112084206</v>
      </c>
      <c r="Q94" s="66">
        <v>4109.4108197907799</v>
      </c>
      <c r="R94" s="66">
        <v>4184.6058025517896</v>
      </c>
      <c r="S94" s="66">
        <v>-14.7330111341502</v>
      </c>
      <c r="T94" t="s">
        <v>564</v>
      </c>
      <c r="U94" t="s">
        <v>386</v>
      </c>
      <c r="V94" t="s">
        <v>385</v>
      </c>
      <c r="W94" t="s">
        <v>384</v>
      </c>
      <c r="X94" t="b">
        <v>0</v>
      </c>
      <c r="Y94" t="s">
        <v>1054</v>
      </c>
      <c r="Z94">
        <v>1</v>
      </c>
    </row>
    <row r="95" spans="1:26" s="19" customFormat="1">
      <c r="A95" t="s">
        <v>580</v>
      </c>
      <c r="B95" t="s">
        <v>581</v>
      </c>
      <c r="C95" t="s">
        <v>117</v>
      </c>
      <c r="D95" s="5">
        <v>0.38027905177659299</v>
      </c>
      <c r="E95" s="5">
        <v>0.43634313044312101</v>
      </c>
      <c r="F95" s="5">
        <v>0.87151378180379802</v>
      </c>
      <c r="G95" s="5">
        <v>0.87528888250167103</v>
      </c>
      <c r="H95" s="5">
        <v>0.85148183329571303</v>
      </c>
      <c r="I95" s="5">
        <v>0.56365686955687899</v>
      </c>
      <c r="J95" s="5">
        <v>0.902119526223224</v>
      </c>
      <c r="K95" s="66">
        <v>8784</v>
      </c>
      <c r="L95" s="66">
        <v>4951.1619421876203</v>
      </c>
      <c r="M95" s="66">
        <v>130.03472221643199</v>
      </c>
      <c r="N95" s="66">
        <v>130.03472221643199</v>
      </c>
      <c r="O95" s="66"/>
      <c r="P95" s="66">
        <v>3832.8380578123802</v>
      </c>
      <c r="Q95" s="66">
        <v>492.38360911634697</v>
      </c>
      <c r="R95" s="66">
        <v>3340.3711908055898</v>
      </c>
      <c r="S95" s="66">
        <v>8.3257890440047694E-2</v>
      </c>
      <c r="T95" t="s">
        <v>564</v>
      </c>
      <c r="U95" t="s">
        <v>386</v>
      </c>
      <c r="V95" t="s">
        <v>385</v>
      </c>
      <c r="W95" t="s">
        <v>384</v>
      </c>
      <c r="X95" t="b">
        <v>0</v>
      </c>
      <c r="Y95" t="s">
        <v>778</v>
      </c>
      <c r="Z95">
        <v>1</v>
      </c>
    </row>
    <row r="96" spans="1:26">
      <c r="A96" t="s">
        <v>580</v>
      </c>
      <c r="B96" t="s">
        <v>582</v>
      </c>
      <c r="C96" t="s">
        <v>117</v>
      </c>
      <c r="D96" s="5">
        <v>0.38292514816187201</v>
      </c>
      <c r="E96" s="5">
        <v>0.43498399893261502</v>
      </c>
      <c r="F96" s="5">
        <v>0.88032007867303796</v>
      </c>
      <c r="G96" s="5">
        <v>0.84404114726885504</v>
      </c>
      <c r="H96" s="5">
        <v>0.84335119813083903</v>
      </c>
      <c r="I96" s="5">
        <v>0.56501600106738503</v>
      </c>
      <c r="J96" s="5">
        <v>0.91145272411446299</v>
      </c>
      <c r="K96" s="66">
        <v>8784</v>
      </c>
      <c r="L96" s="66">
        <v>4963.1005533759098</v>
      </c>
      <c r="M96" s="66">
        <v>130.51111109976401</v>
      </c>
      <c r="N96" s="66">
        <v>130.51111109976401</v>
      </c>
      <c r="P96" s="66">
        <v>3820.8994466240902</v>
      </c>
      <c r="Q96" s="66">
        <v>457.13971628299601</v>
      </c>
      <c r="R96" s="66">
        <v>3363.6145014538902</v>
      </c>
      <c r="S96" s="66">
        <v>0.145228887208323</v>
      </c>
      <c r="T96" t="s">
        <v>564</v>
      </c>
      <c r="U96" t="s">
        <v>386</v>
      </c>
      <c r="V96" t="s">
        <v>385</v>
      </c>
      <c r="W96" t="s">
        <v>384</v>
      </c>
      <c r="X96" t="b">
        <v>0</v>
      </c>
      <c r="Y96" t="s">
        <v>779</v>
      </c>
      <c r="Z96">
        <v>1</v>
      </c>
    </row>
    <row r="97" spans="1:26">
      <c r="A97" t="s">
        <v>580</v>
      </c>
      <c r="B97" t="s">
        <v>583</v>
      </c>
      <c r="C97" t="s">
        <v>117</v>
      </c>
      <c r="D97" s="5">
        <v>0.37789349362234298</v>
      </c>
      <c r="E97" s="5">
        <v>0.427267506842058</v>
      </c>
      <c r="F97" s="5">
        <v>0.88444238696118305</v>
      </c>
      <c r="G97" s="5">
        <v>0.86266179358773898</v>
      </c>
      <c r="H97" s="5">
        <v>0.85597008795996699</v>
      </c>
      <c r="I97" s="5">
        <v>0.57273249315794195</v>
      </c>
      <c r="J97" s="5">
        <v>0.91649475189370799</v>
      </c>
      <c r="K97" s="66">
        <v>8784</v>
      </c>
      <c r="L97" s="66">
        <v>5030.8822198993603</v>
      </c>
      <c r="M97" s="66">
        <v>131.256944433097</v>
      </c>
      <c r="N97" s="66">
        <v>131.256944433097</v>
      </c>
      <c r="P97" s="66">
        <v>3753.1177801006402</v>
      </c>
      <c r="Q97" s="66">
        <v>433.81805443300902</v>
      </c>
      <c r="R97" s="66">
        <v>3319.41644797866</v>
      </c>
      <c r="S97" s="66">
        <v>-0.11672231103681401</v>
      </c>
      <c r="T97" t="s">
        <v>564</v>
      </c>
      <c r="U97" t="s">
        <v>386</v>
      </c>
      <c r="V97" t="s">
        <v>385</v>
      </c>
      <c r="W97" t="s">
        <v>384</v>
      </c>
      <c r="X97" t="b">
        <v>0</v>
      </c>
      <c r="Y97" t="s">
        <v>780</v>
      </c>
      <c r="Z97">
        <v>1</v>
      </c>
    </row>
    <row r="98" spans="1:26">
      <c r="A98" t="s">
        <v>580</v>
      </c>
      <c r="B98" t="s">
        <v>584</v>
      </c>
      <c r="C98" t="s">
        <v>117</v>
      </c>
      <c r="D98" s="5">
        <v>0.31265667164956001</v>
      </c>
      <c r="E98" s="5">
        <v>0.42340619332462898</v>
      </c>
      <c r="F98" s="5">
        <v>0.73843197520222303</v>
      </c>
      <c r="G98" s="5">
        <v>0.86483182641199297</v>
      </c>
      <c r="H98" s="5">
        <v>0.840807306538642</v>
      </c>
      <c r="I98" s="5">
        <v>0.57659380667537097</v>
      </c>
      <c r="J98" s="5">
        <v>0.76556085529250495</v>
      </c>
      <c r="K98" s="66">
        <v>8784</v>
      </c>
      <c r="L98" s="66">
        <v>5064.7999978364596</v>
      </c>
      <c r="M98" s="66">
        <v>131.79583333309699</v>
      </c>
      <c r="N98" s="66">
        <v>131.79583333309699</v>
      </c>
      <c r="P98" s="66">
        <v>3719.2000021635399</v>
      </c>
      <c r="Q98" s="66">
        <v>960.788607615258</v>
      </c>
      <c r="R98" s="66">
        <v>2746.3762037697302</v>
      </c>
      <c r="S98" s="66">
        <v>12.0351907785468</v>
      </c>
      <c r="T98" t="s">
        <v>564</v>
      </c>
      <c r="U98" t="s">
        <v>386</v>
      </c>
      <c r="V98" t="s">
        <v>385</v>
      </c>
      <c r="W98" t="s">
        <v>384</v>
      </c>
      <c r="X98" t="b">
        <v>0</v>
      </c>
      <c r="Y98" t="s">
        <v>781</v>
      </c>
      <c r="Z98">
        <v>1</v>
      </c>
    </row>
    <row r="99" spans="1:26">
      <c r="A99" t="s">
        <v>580</v>
      </c>
      <c r="B99" t="s">
        <v>585</v>
      </c>
      <c r="C99" t="s">
        <v>117</v>
      </c>
      <c r="D99" s="5">
        <v>0.35283457170121402</v>
      </c>
      <c r="E99" s="5">
        <v>0.41748257588937898</v>
      </c>
      <c r="F99" s="5">
        <v>0.84514801833239905</v>
      </c>
      <c r="G99" s="5">
        <v>0.85445412846279001</v>
      </c>
      <c r="H99" s="5">
        <v>0.83603319514924102</v>
      </c>
      <c r="I99" s="5">
        <v>0.58251742411062202</v>
      </c>
      <c r="J99" s="5">
        <v>0.87713171793196099</v>
      </c>
      <c r="K99" s="66">
        <v>8784</v>
      </c>
      <c r="L99" s="66">
        <v>5116.8330533876997</v>
      </c>
      <c r="M99" s="66">
        <v>133.71944441642901</v>
      </c>
      <c r="N99" s="66">
        <v>133.71944441642901</v>
      </c>
      <c r="P99" s="66">
        <v>3667.1669466122999</v>
      </c>
      <c r="Q99" s="66">
        <v>567.81166516634698</v>
      </c>
      <c r="R99" s="66">
        <v>3099.2988778234599</v>
      </c>
      <c r="S99" s="66">
        <v>5.6403622496472301E-2</v>
      </c>
      <c r="T99" t="s">
        <v>564</v>
      </c>
      <c r="U99" t="s">
        <v>386</v>
      </c>
      <c r="V99" t="s">
        <v>385</v>
      </c>
      <c r="W99" t="s">
        <v>384</v>
      </c>
      <c r="X99" t="b">
        <v>0</v>
      </c>
      <c r="Y99" t="s">
        <v>782</v>
      </c>
      <c r="Z99">
        <v>1</v>
      </c>
    </row>
    <row r="100" spans="1:26">
      <c r="A100" t="s">
        <v>607</v>
      </c>
      <c r="B100" t="s">
        <v>608</v>
      </c>
      <c r="C100" t="s">
        <v>117</v>
      </c>
      <c r="D100" s="5">
        <v>0.44350338650162202</v>
      </c>
      <c r="E100" s="5">
        <v>1</v>
      </c>
      <c r="F100" s="5">
        <v>0.44350338650162202</v>
      </c>
      <c r="G100" s="5">
        <v>0.489867495408839</v>
      </c>
      <c r="H100" s="5">
        <v>0.48986749540903801</v>
      </c>
      <c r="I100" s="5">
        <v>0</v>
      </c>
      <c r="J100" s="5">
        <v>0.44350338650162202</v>
      </c>
      <c r="K100" s="66">
        <v>8784</v>
      </c>
      <c r="L100" s="66">
        <v>0</v>
      </c>
      <c r="P100" s="66">
        <v>8784</v>
      </c>
      <c r="Q100" s="66">
        <v>3759.4280948712499</v>
      </c>
      <c r="R100" s="66">
        <v>3895.73374703025</v>
      </c>
      <c r="S100" s="66">
        <v>1128.8381580984999</v>
      </c>
      <c r="T100" t="s">
        <v>564</v>
      </c>
      <c r="U100" t="s">
        <v>386</v>
      </c>
      <c r="V100" t="s">
        <v>385</v>
      </c>
      <c r="W100" t="s">
        <v>385</v>
      </c>
      <c r="X100" t="b">
        <v>0</v>
      </c>
      <c r="Y100" t="s">
        <v>609</v>
      </c>
      <c r="Z100">
        <v>1</v>
      </c>
    </row>
    <row r="101" spans="1:26">
      <c r="A101" t="s">
        <v>607</v>
      </c>
      <c r="B101" t="s">
        <v>1055</v>
      </c>
      <c r="C101" t="s">
        <v>117</v>
      </c>
      <c r="D101" s="5">
        <v>0.17326261664287201</v>
      </c>
      <c r="E101" s="5">
        <v>0.52346627711087101</v>
      </c>
      <c r="F101" s="5">
        <v>0.330990981117537</v>
      </c>
      <c r="G101" s="5">
        <v>-9.5845218178630207E-3</v>
      </c>
      <c r="H101" s="5">
        <v>-9.5845218180211893E-3</v>
      </c>
      <c r="I101" s="5">
        <v>0.47653372288912899</v>
      </c>
      <c r="J101" s="5">
        <v>0.352666200307647</v>
      </c>
      <c r="K101" s="66">
        <v>8784</v>
      </c>
      <c r="L101" s="66">
        <v>4185.8722218581097</v>
      </c>
      <c r="M101" s="66">
        <v>282.60555553216102</v>
      </c>
      <c r="N101" s="66">
        <v>44.319444433294898</v>
      </c>
      <c r="O101" s="66">
        <v>238.286111098866</v>
      </c>
      <c r="P101" s="66">
        <v>4598.1277781418903</v>
      </c>
      <c r="Q101" s="66">
        <v>2838.0129828348799</v>
      </c>
      <c r="R101" s="66">
        <v>1521.9388245909799</v>
      </c>
      <c r="S101" s="66">
        <v>238.17597071603001</v>
      </c>
      <c r="T101" t="s">
        <v>564</v>
      </c>
      <c r="U101" t="s">
        <v>386</v>
      </c>
      <c r="V101" t="s">
        <v>385</v>
      </c>
      <c r="W101" t="s">
        <v>385</v>
      </c>
      <c r="X101" t="b">
        <v>0</v>
      </c>
      <c r="Y101" t="s">
        <v>1056</v>
      </c>
      <c r="Z101">
        <v>1</v>
      </c>
    </row>
    <row r="102" spans="1:26">
      <c r="A102" t="s">
        <v>607</v>
      </c>
      <c r="B102" t="s">
        <v>1057</v>
      </c>
      <c r="C102" t="s">
        <v>117</v>
      </c>
      <c r="D102" s="5">
        <v>8.6288381472807693E-2</v>
      </c>
      <c r="E102" s="5">
        <v>0.32069153515439802</v>
      </c>
      <c r="F102" s="5">
        <v>0.26906971969579402</v>
      </c>
      <c r="G102" s="5">
        <v>0.20041939982173501</v>
      </c>
      <c r="H102" s="5">
        <v>0.20041939982281801</v>
      </c>
      <c r="I102" s="5">
        <v>0.67930846484560203</v>
      </c>
      <c r="J102" s="5">
        <v>0.299397442169757</v>
      </c>
      <c r="K102" s="66">
        <v>8784</v>
      </c>
      <c r="L102" s="66">
        <v>5967.0455552037702</v>
      </c>
      <c r="M102" s="66">
        <v>285.34583329919201</v>
      </c>
      <c r="N102" s="66">
        <v>60.9499999832315</v>
      </c>
      <c r="O102" s="66">
        <v>224.395833315961</v>
      </c>
      <c r="P102" s="66">
        <v>2816.9544447962298</v>
      </c>
      <c r="Q102" s="66">
        <v>2051.4802768815498</v>
      </c>
      <c r="R102" s="66">
        <v>757.95714285714303</v>
      </c>
      <c r="S102" s="66">
        <v>7.5170250575403399</v>
      </c>
      <c r="T102" t="s">
        <v>564</v>
      </c>
      <c r="U102" t="s">
        <v>386</v>
      </c>
      <c r="V102" t="s">
        <v>385</v>
      </c>
      <c r="W102" t="s">
        <v>385</v>
      </c>
      <c r="X102" t="b">
        <v>0</v>
      </c>
      <c r="Y102" t="s">
        <v>1058</v>
      </c>
      <c r="Z102">
        <v>1</v>
      </c>
    </row>
    <row r="103" spans="1:26">
      <c r="A103" t="s">
        <v>607</v>
      </c>
      <c r="B103" t="s">
        <v>610</v>
      </c>
      <c r="C103" t="s">
        <v>117</v>
      </c>
      <c r="D103" s="5">
        <v>0.36268874288546998</v>
      </c>
      <c r="E103" s="5">
        <v>0.97155023021791997</v>
      </c>
      <c r="F103" s="5">
        <v>0.37330930671913698</v>
      </c>
      <c r="G103" s="5">
        <v>0.442054218268434</v>
      </c>
      <c r="H103" s="5">
        <v>0.44205421826862101</v>
      </c>
      <c r="I103" s="5">
        <v>2.8449769782079901E-2</v>
      </c>
      <c r="J103" s="5">
        <v>0.37330930671913698</v>
      </c>
      <c r="K103" s="66">
        <v>8784</v>
      </c>
      <c r="L103" s="66">
        <v>249.90277776579001</v>
      </c>
      <c r="P103" s="66">
        <v>8534.0972222342098</v>
      </c>
      <c r="Q103" s="66">
        <v>2743.5218185292001</v>
      </c>
      <c r="R103" s="66">
        <v>3185.8579175059699</v>
      </c>
      <c r="S103" s="66">
        <v>2604.7174861990402</v>
      </c>
      <c r="T103" t="s">
        <v>564</v>
      </c>
      <c r="U103" t="s">
        <v>386</v>
      </c>
      <c r="V103" t="s">
        <v>385</v>
      </c>
      <c r="W103" t="s">
        <v>385</v>
      </c>
      <c r="X103" t="b">
        <v>0</v>
      </c>
      <c r="Y103" t="s">
        <v>783</v>
      </c>
      <c r="Z103">
        <v>1</v>
      </c>
    </row>
    <row r="104" spans="1:26">
      <c r="A104" t="s">
        <v>607</v>
      </c>
      <c r="B104" t="s">
        <v>611</v>
      </c>
      <c r="C104" t="s">
        <v>117</v>
      </c>
      <c r="D104" s="5">
        <v>0.21518611923908401</v>
      </c>
      <c r="E104" s="5">
        <v>0.93537536684026701</v>
      </c>
      <c r="F104" s="5">
        <v>0.23005322447820101</v>
      </c>
      <c r="G104" s="5">
        <v>213890058.941953</v>
      </c>
      <c r="H104" s="5"/>
      <c r="I104" s="5">
        <v>6.4624633159733394E-2</v>
      </c>
      <c r="J104" s="5">
        <v>0.23005322447820101</v>
      </c>
      <c r="K104" s="66">
        <v>8784</v>
      </c>
      <c r="L104" s="66">
        <v>567.66277767509803</v>
      </c>
      <c r="P104" s="66">
        <v>8216.3372223249007</v>
      </c>
      <c r="Q104" s="66">
        <v>4281.3540585293804</v>
      </c>
      <c r="R104" s="66">
        <v>1890.1948713961101</v>
      </c>
      <c r="S104" s="66">
        <v>2044.7882923994</v>
      </c>
      <c r="T104" t="s">
        <v>564</v>
      </c>
      <c r="U104" t="s">
        <v>386</v>
      </c>
      <c r="V104" t="s">
        <v>385</v>
      </c>
      <c r="W104" t="s">
        <v>385</v>
      </c>
      <c r="X104" t="b">
        <v>0</v>
      </c>
      <c r="Y104" t="s">
        <v>784</v>
      </c>
      <c r="Z104">
        <v>1</v>
      </c>
    </row>
    <row r="105" spans="1:26">
      <c r="A105" s="19" t="s">
        <v>607</v>
      </c>
      <c r="B105" s="19" t="s">
        <v>1059</v>
      </c>
      <c r="C105" s="19" t="s">
        <v>117</v>
      </c>
      <c r="D105" s="68">
        <v>0.46462108001201602</v>
      </c>
      <c r="E105" s="68">
        <v>0.813110105522594</v>
      </c>
      <c r="F105" s="68">
        <v>0.57141225629387504</v>
      </c>
      <c r="G105" s="68">
        <v>0.37030221478738901</v>
      </c>
      <c r="H105" s="68">
        <v>0.363773310591815</v>
      </c>
      <c r="I105" s="68">
        <v>0.186889894477406</v>
      </c>
      <c r="J105" s="68">
        <v>0.65026878295895896</v>
      </c>
      <c r="K105" s="70">
        <v>8784</v>
      </c>
      <c r="L105" s="70">
        <v>1641.6408330895399</v>
      </c>
      <c r="M105" s="70">
        <v>866.13666664763196</v>
      </c>
      <c r="N105" s="70">
        <v>866.13666664763196</v>
      </c>
      <c r="O105" s="70"/>
      <c r="P105" s="70">
        <v>7142.3591669104599</v>
      </c>
      <c r="Q105" s="70">
        <v>3381.1941587114502</v>
      </c>
      <c r="R105" s="70">
        <v>4081.2315668255501</v>
      </c>
      <c r="S105" s="70">
        <v>-320.06655862653503</v>
      </c>
      <c r="T105" s="19" t="s">
        <v>564</v>
      </c>
      <c r="U105" s="19" t="s">
        <v>386</v>
      </c>
      <c r="V105" s="19" t="s">
        <v>384</v>
      </c>
      <c r="W105" s="19" t="s">
        <v>385</v>
      </c>
      <c r="X105" s="19" t="b">
        <v>0</v>
      </c>
      <c r="Y105" s="19" t="s">
        <v>1060</v>
      </c>
      <c r="Z105" s="19">
        <v>1</v>
      </c>
    </row>
    <row r="106" spans="1:26">
      <c r="A106" s="19" t="s">
        <v>607</v>
      </c>
      <c r="B106" s="19" t="s">
        <v>1061</v>
      </c>
      <c r="C106" s="19" t="s">
        <v>117</v>
      </c>
      <c r="D106" s="68">
        <v>0.137857959720152</v>
      </c>
      <c r="E106" s="68">
        <v>0.44575750103686501</v>
      </c>
      <c r="F106" s="68">
        <v>0.30926671878652501</v>
      </c>
      <c r="G106" s="68">
        <v>0</v>
      </c>
      <c r="H106" s="68">
        <v>1.4315091016942399E-2</v>
      </c>
      <c r="I106" s="68">
        <v>0.55424249896313504</v>
      </c>
      <c r="J106" s="68">
        <v>0.32961661178782498</v>
      </c>
      <c r="K106" s="70">
        <v>8784</v>
      </c>
      <c r="L106" s="70">
        <v>4868.46611089218</v>
      </c>
      <c r="M106" s="70">
        <v>241.73749998254101</v>
      </c>
      <c r="N106" s="70">
        <v>58.1958333166085</v>
      </c>
      <c r="O106" s="70">
        <v>183.54166666593201</v>
      </c>
      <c r="P106" s="70">
        <v>3915.53388910782</v>
      </c>
      <c r="Q106" s="70">
        <v>2642.36075336659</v>
      </c>
      <c r="R106" s="70">
        <v>1210.9443181818201</v>
      </c>
      <c r="S106" s="70">
        <v>62.228817559416598</v>
      </c>
      <c r="T106" s="19" t="s">
        <v>564</v>
      </c>
      <c r="U106" s="19" t="s">
        <v>386</v>
      </c>
      <c r="V106" s="19" t="s">
        <v>385</v>
      </c>
      <c r="W106" s="19" t="s">
        <v>385</v>
      </c>
      <c r="X106" s="19" t="b">
        <v>0</v>
      </c>
      <c r="Y106" s="19" t="s">
        <v>1062</v>
      </c>
      <c r="Z106" s="19">
        <v>1</v>
      </c>
    </row>
    <row r="107" spans="1:26">
      <c r="A107" s="19" t="s">
        <v>607</v>
      </c>
      <c r="B107" s="19" t="s">
        <v>612</v>
      </c>
      <c r="C107" s="19" t="s">
        <v>117</v>
      </c>
      <c r="D107" s="68">
        <v>0.178168309838831</v>
      </c>
      <c r="E107" s="68">
        <v>0.88502659507414905</v>
      </c>
      <c r="F107" s="68">
        <v>0.20131407443626401</v>
      </c>
      <c r="G107" s="68">
        <v>0.39935666622531801</v>
      </c>
      <c r="H107" s="68">
        <v>0.39935666622581201</v>
      </c>
      <c r="I107" s="68">
        <v>0.11497340492585099</v>
      </c>
      <c r="J107" s="68">
        <v>0.20131407443626401</v>
      </c>
      <c r="K107" s="70">
        <v>8784</v>
      </c>
      <c r="L107" s="70">
        <v>1009.92638886867</v>
      </c>
      <c r="M107" s="70"/>
      <c r="N107" s="70"/>
      <c r="O107" s="70"/>
      <c r="P107" s="70">
        <v>7774.0736111313299</v>
      </c>
      <c r="Q107" s="70">
        <v>6624.3863325891798</v>
      </c>
      <c r="R107" s="70">
        <v>1565.03043362429</v>
      </c>
      <c r="S107" s="70">
        <v>-415.34315508214303</v>
      </c>
      <c r="T107" s="19" t="s">
        <v>564</v>
      </c>
      <c r="U107" s="19" t="s">
        <v>386</v>
      </c>
      <c r="V107" s="19" t="s">
        <v>385</v>
      </c>
      <c r="W107" s="19" t="s">
        <v>385</v>
      </c>
      <c r="X107" s="19" t="b">
        <v>0</v>
      </c>
      <c r="Y107" s="19" t="s">
        <v>613</v>
      </c>
      <c r="Z107" s="19">
        <v>1</v>
      </c>
    </row>
    <row r="108" spans="1:26">
      <c r="A108" t="s">
        <v>280</v>
      </c>
      <c r="B108" t="s">
        <v>195</v>
      </c>
      <c r="C108" t="s">
        <v>117</v>
      </c>
      <c r="D108" s="5">
        <v>0.47231429009759102</v>
      </c>
      <c r="E108" s="5">
        <v>0.54870481081484201</v>
      </c>
      <c r="F108" s="5">
        <v>0.86078029714408799</v>
      </c>
      <c r="G108" s="5">
        <v>0.95370216981110001</v>
      </c>
      <c r="H108" s="5">
        <v>0.95370216981361799</v>
      </c>
      <c r="I108" s="5">
        <v>0.45129518918515799</v>
      </c>
      <c r="J108" s="5">
        <v>0.86784555553550702</v>
      </c>
      <c r="K108" s="66">
        <v>8784</v>
      </c>
      <c r="L108" s="66">
        <v>3964.1769418024301</v>
      </c>
      <c r="M108" s="66">
        <v>39.238888866666699</v>
      </c>
      <c r="N108" s="66">
        <v>39.238888866666699</v>
      </c>
      <c r="P108" s="66">
        <v>4819.8230581975704</v>
      </c>
      <c r="Q108" s="66">
        <v>466.20693309991202</v>
      </c>
      <c r="R108" s="66">
        <v>4148.8087242172296</v>
      </c>
      <c r="S108" s="66">
        <v>204.80740088042501</v>
      </c>
      <c r="T108" t="s">
        <v>564</v>
      </c>
      <c r="U108" t="s">
        <v>386</v>
      </c>
      <c r="V108" t="s">
        <v>385</v>
      </c>
      <c r="W108" t="s">
        <v>384</v>
      </c>
      <c r="X108" t="b">
        <v>0</v>
      </c>
      <c r="Y108" t="s">
        <v>785</v>
      </c>
      <c r="Z108">
        <v>1</v>
      </c>
    </row>
    <row r="109" spans="1:26">
      <c r="A109" t="s">
        <v>280</v>
      </c>
      <c r="B109" t="s">
        <v>196</v>
      </c>
      <c r="C109" t="s">
        <v>117</v>
      </c>
      <c r="D109" s="5">
        <v>0.43819867596783302</v>
      </c>
      <c r="E109" s="5">
        <v>0.62100084134748901</v>
      </c>
      <c r="F109" s="5">
        <v>0.70563298274604602</v>
      </c>
      <c r="G109" s="5">
        <v>0.82300234331890099</v>
      </c>
      <c r="H109" s="5">
        <v>0.82300234331954103</v>
      </c>
      <c r="I109" s="5">
        <v>0.37899915865251099</v>
      </c>
      <c r="J109" s="5">
        <v>0.70615043586428405</v>
      </c>
      <c r="K109" s="66">
        <v>8784</v>
      </c>
      <c r="L109" s="66">
        <v>3329.1286096036501</v>
      </c>
      <c r="M109" s="66">
        <v>3.9972222166666702</v>
      </c>
      <c r="N109" s="66">
        <v>3.9972222166666702</v>
      </c>
      <c r="P109" s="66">
        <v>5454.8713903963499</v>
      </c>
      <c r="Q109" s="66">
        <v>973.99186690588704</v>
      </c>
      <c r="R109" s="66">
        <v>3849.1371697014501</v>
      </c>
      <c r="S109" s="66">
        <v>631.74235378901903</v>
      </c>
      <c r="T109" t="s">
        <v>564</v>
      </c>
      <c r="U109" t="s">
        <v>386</v>
      </c>
      <c r="V109" t="s">
        <v>385</v>
      </c>
      <c r="W109" t="s">
        <v>384</v>
      </c>
      <c r="X109" t="b">
        <v>0</v>
      </c>
      <c r="Y109" t="s">
        <v>786</v>
      </c>
      <c r="Z109">
        <v>1</v>
      </c>
    </row>
    <row r="110" spans="1:26">
      <c r="A110" t="s">
        <v>280</v>
      </c>
      <c r="B110" t="s">
        <v>197</v>
      </c>
      <c r="C110" t="s">
        <v>117</v>
      </c>
      <c r="D110" s="5">
        <v>0.48109715486572102</v>
      </c>
      <c r="E110" s="5">
        <v>0.55943505247438696</v>
      </c>
      <c r="F110" s="5">
        <v>0.85996962960726697</v>
      </c>
      <c r="G110" s="5">
        <v>0.91439662513136799</v>
      </c>
      <c r="H110" s="5">
        <v>0.91439662513256603</v>
      </c>
      <c r="I110" s="5">
        <v>0.44056494752561298</v>
      </c>
      <c r="J110" s="5">
        <v>0.86650144789101402</v>
      </c>
      <c r="K110" s="66">
        <v>8784</v>
      </c>
      <c r="L110" s="66">
        <v>3869.92249906498</v>
      </c>
      <c r="M110" s="66">
        <v>37.043055549974397</v>
      </c>
      <c r="N110" s="66">
        <v>37.043055549974397</v>
      </c>
      <c r="P110" s="66">
        <v>4914.07750093502</v>
      </c>
      <c r="Q110" s="66">
        <v>539.90527061637204</v>
      </c>
      <c r="R110" s="66">
        <v>4225.9574083404896</v>
      </c>
      <c r="S110" s="66">
        <v>148.21482197815101</v>
      </c>
      <c r="T110" t="s">
        <v>564</v>
      </c>
      <c r="U110" t="s">
        <v>386</v>
      </c>
      <c r="V110" t="s">
        <v>385</v>
      </c>
      <c r="W110" t="s">
        <v>384</v>
      </c>
      <c r="X110" t="b">
        <v>0</v>
      </c>
      <c r="Y110" t="s">
        <v>787</v>
      </c>
      <c r="Z110">
        <v>1</v>
      </c>
    </row>
    <row r="111" spans="1:26">
      <c r="A111" t="s">
        <v>280</v>
      </c>
      <c r="B111" t="s">
        <v>198</v>
      </c>
      <c r="C111" t="s">
        <v>117</v>
      </c>
      <c r="D111" s="5">
        <v>0.40155832331911301</v>
      </c>
      <c r="E111" s="5">
        <v>0.48385289795642999</v>
      </c>
      <c r="F111" s="5">
        <v>0.82991819417659496</v>
      </c>
      <c r="G111" s="5">
        <v>0.93633841143026697</v>
      </c>
      <c r="H111" s="5">
        <v>0.93635414719800203</v>
      </c>
      <c r="I111" s="5">
        <v>0.51614710204356995</v>
      </c>
      <c r="J111" s="5">
        <v>0.83884081372265895</v>
      </c>
      <c r="K111" s="66">
        <v>8784</v>
      </c>
      <c r="L111" s="66">
        <v>4533.8361443507201</v>
      </c>
      <c r="M111" s="66">
        <v>45.208333299964401</v>
      </c>
      <c r="N111" s="66">
        <v>45.208333299964401</v>
      </c>
      <c r="P111" s="66">
        <v>4250.1638556492799</v>
      </c>
      <c r="Q111" s="66">
        <v>532.42619652163501</v>
      </c>
      <c r="R111" s="66">
        <v>3527.2883120350898</v>
      </c>
      <c r="S111" s="66">
        <v>190.44934709255699</v>
      </c>
      <c r="T111" t="s">
        <v>564</v>
      </c>
      <c r="U111" t="s">
        <v>386</v>
      </c>
      <c r="V111" t="s">
        <v>385</v>
      </c>
      <c r="W111" t="s">
        <v>384</v>
      </c>
      <c r="X111" t="b">
        <v>0</v>
      </c>
      <c r="Y111" t="s">
        <v>788</v>
      </c>
      <c r="Z111">
        <v>1</v>
      </c>
    </row>
    <row r="112" spans="1:26">
      <c r="A112" t="s">
        <v>281</v>
      </c>
      <c r="B112" t="s">
        <v>614</v>
      </c>
      <c r="C112" t="s">
        <v>117</v>
      </c>
      <c r="D112" s="5">
        <v>0.57138920985456199</v>
      </c>
      <c r="E112" s="5">
        <v>0.65660187086396704</v>
      </c>
      <c r="F112" s="5">
        <v>0.87022172066418202</v>
      </c>
      <c r="G112" s="5">
        <v>0.85826876586396095</v>
      </c>
      <c r="H112" s="5">
        <v>0.86935093350916604</v>
      </c>
      <c r="I112" s="5">
        <v>0.34339812913603301</v>
      </c>
      <c r="J112" s="5">
        <v>0.87043300579921701</v>
      </c>
      <c r="K112" s="66">
        <v>8784</v>
      </c>
      <c r="L112" s="66">
        <v>3016.40916633092</v>
      </c>
      <c r="M112" s="66">
        <v>1.4</v>
      </c>
      <c r="N112" s="66">
        <v>1.4</v>
      </c>
      <c r="P112" s="66">
        <v>5767.59083366908</v>
      </c>
      <c r="Q112" s="66">
        <v>749.67425485216302</v>
      </c>
      <c r="R112" s="66">
        <v>5019.0828193624702</v>
      </c>
      <c r="S112" s="66">
        <v>-1.1662405455556499</v>
      </c>
      <c r="T112" t="s">
        <v>564</v>
      </c>
      <c r="U112" t="s">
        <v>386</v>
      </c>
      <c r="V112" t="s">
        <v>385</v>
      </c>
      <c r="W112" t="s">
        <v>384</v>
      </c>
      <c r="X112" t="b">
        <v>0</v>
      </c>
      <c r="Y112" t="s">
        <v>615</v>
      </c>
      <c r="Z112">
        <v>1</v>
      </c>
    </row>
    <row r="113" spans="1:26">
      <c r="A113" t="s">
        <v>281</v>
      </c>
      <c r="B113" t="s">
        <v>616</v>
      </c>
      <c r="C113" t="s">
        <v>117</v>
      </c>
      <c r="D113" s="5">
        <v>0.552795816925856</v>
      </c>
      <c r="E113" s="5">
        <v>0.65632475716452399</v>
      </c>
      <c r="F113" s="5">
        <v>0.84225958398105005</v>
      </c>
      <c r="G113" s="5">
        <v>0.81738673532071904</v>
      </c>
      <c r="H113" s="5">
        <v>0.84117164458850102</v>
      </c>
      <c r="I113" s="5">
        <v>0.34367524283547601</v>
      </c>
      <c r="J113" s="5">
        <v>0.84251528695681099</v>
      </c>
      <c r="K113" s="66">
        <v>8784</v>
      </c>
      <c r="L113" s="66">
        <v>3018.8433330668199</v>
      </c>
      <c r="M113" s="66">
        <v>1.7497222166666699</v>
      </c>
      <c r="N113" s="66">
        <v>1.7497222166666699</v>
      </c>
      <c r="P113" s="66">
        <v>5765.1566669331796</v>
      </c>
      <c r="Q113" s="66">
        <v>908.70638143333099</v>
      </c>
      <c r="R113" s="66">
        <v>4855.7584558767103</v>
      </c>
      <c r="S113" s="66">
        <v>0.691829623135368</v>
      </c>
      <c r="T113" t="s">
        <v>564</v>
      </c>
      <c r="U113" t="s">
        <v>386</v>
      </c>
      <c r="V113" t="s">
        <v>385</v>
      </c>
      <c r="W113" t="s">
        <v>384</v>
      </c>
      <c r="X113" t="b">
        <v>0</v>
      </c>
      <c r="Y113" t="s">
        <v>617</v>
      </c>
      <c r="Z113">
        <v>1</v>
      </c>
    </row>
    <row r="114" spans="1:26">
      <c r="A114" t="s">
        <v>281</v>
      </c>
      <c r="B114" t="s">
        <v>199</v>
      </c>
      <c r="C114" t="s">
        <v>117</v>
      </c>
      <c r="D114" s="5">
        <v>0.588676714575604</v>
      </c>
      <c r="E114" s="5">
        <v>0.65536357142840396</v>
      </c>
      <c r="F114" s="5">
        <v>0.89824448632771603</v>
      </c>
      <c r="G114" s="5">
        <v>0.90654250590368302</v>
      </c>
      <c r="H114" s="5">
        <v>0.90695014177576705</v>
      </c>
      <c r="I114" s="5">
        <v>0.34463642857159599</v>
      </c>
      <c r="J114" s="5">
        <v>0.89824448632771503</v>
      </c>
      <c r="K114" s="66">
        <v>8784</v>
      </c>
      <c r="L114" s="66">
        <v>3027.2863885728998</v>
      </c>
      <c r="P114" s="66">
        <v>5756.7136114270997</v>
      </c>
      <c r="Q114" s="66">
        <v>584.33193906666395</v>
      </c>
      <c r="R114" s="66">
        <v>5170.9362608320998</v>
      </c>
      <c r="S114" s="66">
        <v>1.44541152832854</v>
      </c>
      <c r="T114" t="s">
        <v>564</v>
      </c>
      <c r="U114" t="s">
        <v>386</v>
      </c>
      <c r="V114" t="s">
        <v>385</v>
      </c>
      <c r="W114" t="s">
        <v>384</v>
      </c>
      <c r="X114" t="b">
        <v>0</v>
      </c>
      <c r="Y114" t="s">
        <v>474</v>
      </c>
      <c r="Z114">
        <v>1</v>
      </c>
    </row>
    <row r="115" spans="1:26">
      <c r="A115" t="s">
        <v>34</v>
      </c>
      <c r="B115" t="s">
        <v>35</v>
      </c>
      <c r="C115" t="s">
        <v>117</v>
      </c>
      <c r="D115" s="5">
        <v>0.65550778712662205</v>
      </c>
      <c r="E115" s="5">
        <v>0.94269204747457702</v>
      </c>
      <c r="F115" s="5">
        <v>0.69535728967131305</v>
      </c>
      <c r="G115" s="5">
        <v>0.69790907677432601</v>
      </c>
      <c r="H115" s="5">
        <v>0.69489544531532499</v>
      </c>
      <c r="I115" s="5">
        <v>5.7307952525422902E-2</v>
      </c>
      <c r="J115" s="5">
        <v>0.72572825658273199</v>
      </c>
      <c r="K115" s="66">
        <v>8784</v>
      </c>
      <c r="L115" s="66">
        <v>503.39305498331498</v>
      </c>
      <c r="M115" s="66">
        <v>346.53472184998299</v>
      </c>
      <c r="N115" s="66">
        <v>237.419444083321</v>
      </c>
      <c r="O115" s="66">
        <v>109.115277766662</v>
      </c>
      <c r="P115" s="66">
        <v>8280.6069450166906</v>
      </c>
      <c r="Q115" s="66">
        <v>2536.47981084807</v>
      </c>
      <c r="R115" s="66">
        <v>5757.9804021202499</v>
      </c>
      <c r="S115" s="66">
        <v>-13.853267951625901</v>
      </c>
      <c r="T115" t="s">
        <v>564</v>
      </c>
      <c r="U115" t="s">
        <v>386</v>
      </c>
      <c r="V115" t="s">
        <v>384</v>
      </c>
      <c r="W115" t="s">
        <v>385</v>
      </c>
      <c r="X115" t="b">
        <v>0</v>
      </c>
      <c r="Y115" t="s">
        <v>789</v>
      </c>
      <c r="Z115">
        <v>1</v>
      </c>
    </row>
    <row r="116" spans="1:26">
      <c r="A116" t="s">
        <v>34</v>
      </c>
      <c r="B116" t="s">
        <v>475</v>
      </c>
      <c r="C116" t="s">
        <v>117</v>
      </c>
      <c r="D116" s="5">
        <v>0.34876094913250599</v>
      </c>
      <c r="E116" s="5">
        <v>0.589501714065363</v>
      </c>
      <c r="F116" s="5">
        <v>0.59161990679782195</v>
      </c>
      <c r="G116" s="5">
        <v>0.70303921149322501</v>
      </c>
      <c r="H116" s="5">
        <v>0.69364504075225497</v>
      </c>
      <c r="I116" s="5">
        <v>0.410498285934638</v>
      </c>
      <c r="J116" s="5">
        <v>0.61108125593268803</v>
      </c>
      <c r="K116" s="66">
        <v>8784</v>
      </c>
      <c r="L116" s="66">
        <v>3605.8169436498601</v>
      </c>
      <c r="M116" s="66">
        <v>164.91166659999601</v>
      </c>
      <c r="N116" s="66">
        <v>159.43666659999599</v>
      </c>
      <c r="O116" s="66">
        <v>5.4749999999999996</v>
      </c>
      <c r="P116" s="66">
        <v>5178.1830563501399</v>
      </c>
      <c r="Q116" s="66">
        <v>1902.8536431744101</v>
      </c>
      <c r="R116" s="66">
        <v>3063.5161771799299</v>
      </c>
      <c r="S116" s="66">
        <v>211.81323599580901</v>
      </c>
      <c r="T116" t="s">
        <v>564</v>
      </c>
      <c r="U116" t="s">
        <v>386</v>
      </c>
      <c r="V116" t="s">
        <v>384</v>
      </c>
      <c r="W116" t="s">
        <v>385</v>
      </c>
      <c r="X116" t="b">
        <v>0</v>
      </c>
      <c r="Y116" t="s">
        <v>790</v>
      </c>
      <c r="Z116">
        <v>1</v>
      </c>
    </row>
    <row r="117" spans="1:26">
      <c r="A117" t="s">
        <v>34</v>
      </c>
      <c r="B117" t="s">
        <v>36</v>
      </c>
      <c r="C117" t="s">
        <v>117</v>
      </c>
      <c r="D117" s="5">
        <v>0.62107830422640098</v>
      </c>
      <c r="E117" s="5">
        <v>0.91103774548232297</v>
      </c>
      <c r="F117" s="5">
        <v>0.68172620432711994</v>
      </c>
      <c r="G117" s="5">
        <v>0.66843142907078501</v>
      </c>
      <c r="H117" s="5">
        <v>0.66110513052344999</v>
      </c>
      <c r="I117" s="5">
        <v>8.8962254517676601E-2</v>
      </c>
      <c r="J117" s="5">
        <v>0.70514420154330504</v>
      </c>
      <c r="K117" s="66">
        <v>8784</v>
      </c>
      <c r="L117" s="66">
        <v>781.44444368327197</v>
      </c>
      <c r="M117" s="66">
        <v>265.76666634998702</v>
      </c>
      <c r="N117" s="66">
        <v>163.17777748332</v>
      </c>
      <c r="O117" s="66">
        <v>102.58888886666701</v>
      </c>
      <c r="P117" s="66">
        <v>8002.55555631673</v>
      </c>
      <c r="Q117" s="66">
        <v>2519.1864265515001</v>
      </c>
      <c r="R117" s="66">
        <v>5455.5518243247097</v>
      </c>
      <c r="S117" s="66">
        <v>27.8173054405421</v>
      </c>
      <c r="T117" t="s">
        <v>564</v>
      </c>
      <c r="U117" t="s">
        <v>386</v>
      </c>
      <c r="V117" t="s">
        <v>384</v>
      </c>
      <c r="W117" t="s">
        <v>385</v>
      </c>
      <c r="X117" t="b">
        <v>0</v>
      </c>
      <c r="Y117" t="s">
        <v>791</v>
      </c>
      <c r="Z117">
        <v>1</v>
      </c>
    </row>
    <row r="118" spans="1:26">
      <c r="A118" t="s">
        <v>34</v>
      </c>
      <c r="B118" t="s">
        <v>37</v>
      </c>
      <c r="C118" t="s">
        <v>117</v>
      </c>
      <c r="D118" s="5">
        <v>0.637080268724181</v>
      </c>
      <c r="E118" s="5">
        <v>0.94390599708157696</v>
      </c>
      <c r="F118" s="5">
        <v>0.674940376153921</v>
      </c>
      <c r="G118" s="5">
        <v>0.64429451603564503</v>
      </c>
      <c r="H118" s="5">
        <v>0.63283770636326597</v>
      </c>
      <c r="I118" s="5">
        <v>5.6094002918423397E-2</v>
      </c>
      <c r="J118" s="5">
        <v>0.69984819098794604</v>
      </c>
      <c r="K118" s="66">
        <v>8784</v>
      </c>
      <c r="L118" s="66">
        <v>492.72972163543102</v>
      </c>
      <c r="M118" s="66">
        <v>295.088888549986</v>
      </c>
      <c r="N118" s="66">
        <v>272.08333301665198</v>
      </c>
      <c r="O118" s="66">
        <v>23.0055555333333</v>
      </c>
      <c r="P118" s="66">
        <v>8291.2702783645691</v>
      </c>
      <c r="Q118" s="66">
        <v>2650.7728099292999</v>
      </c>
      <c r="R118" s="66">
        <v>5596.1130804732202</v>
      </c>
      <c r="S118" s="66">
        <v>44.384387962087203</v>
      </c>
      <c r="T118" t="s">
        <v>564</v>
      </c>
      <c r="U118" t="s">
        <v>386</v>
      </c>
      <c r="V118" t="s">
        <v>384</v>
      </c>
      <c r="W118" t="s">
        <v>385</v>
      </c>
      <c r="X118" t="b">
        <v>0</v>
      </c>
      <c r="Y118" t="s">
        <v>792</v>
      </c>
      <c r="Z118">
        <v>1</v>
      </c>
    </row>
    <row r="119" spans="1:26">
      <c r="A119" t="s">
        <v>34</v>
      </c>
      <c r="B119" t="s">
        <v>1063</v>
      </c>
      <c r="C119" t="s">
        <v>117</v>
      </c>
      <c r="D119" s="5">
        <v>0.441006261612022</v>
      </c>
      <c r="E119" s="5">
        <v>0.78248399919740397</v>
      </c>
      <c r="F119" s="5">
        <v>0.56359780144304905</v>
      </c>
      <c r="G119" s="5"/>
      <c r="H119" s="5"/>
      <c r="I119" s="5">
        <v>0.217516000802596</v>
      </c>
      <c r="J119" s="5">
        <v>0.587546398317491</v>
      </c>
      <c r="K119" s="66">
        <v>8784</v>
      </c>
      <c r="L119" s="66">
        <v>1910.6605510500001</v>
      </c>
      <c r="M119" s="66">
        <v>280.15972204998701</v>
      </c>
      <c r="N119" s="66">
        <v>236.78472206665401</v>
      </c>
      <c r="O119" s="66">
        <v>43.374999983333304</v>
      </c>
      <c r="P119" s="66">
        <v>6873.3394489499997</v>
      </c>
      <c r="Q119" s="66">
        <v>2999.51998459981</v>
      </c>
      <c r="R119" s="66">
        <v>3873.7990020000002</v>
      </c>
      <c r="S119" s="66">
        <v>2.04623501922572E-2</v>
      </c>
      <c r="T119" t="s">
        <v>564</v>
      </c>
      <c r="U119" t="s">
        <v>386</v>
      </c>
      <c r="V119" t="s">
        <v>384</v>
      </c>
      <c r="W119" t="s">
        <v>384</v>
      </c>
      <c r="X119" t="b">
        <v>0</v>
      </c>
      <c r="Y119" t="s">
        <v>1064</v>
      </c>
      <c r="Z119">
        <v>1</v>
      </c>
    </row>
    <row r="120" spans="1:26">
      <c r="A120" t="s">
        <v>34</v>
      </c>
      <c r="B120" t="s">
        <v>1065</v>
      </c>
      <c r="C120" t="s">
        <v>117</v>
      </c>
      <c r="D120" s="5">
        <v>0.59567044053404505</v>
      </c>
      <c r="E120" s="5">
        <v>0.98855589708750802</v>
      </c>
      <c r="F120" s="5">
        <v>0.60256627095039805</v>
      </c>
      <c r="G120" s="5"/>
      <c r="H120" s="5">
        <v>0.52662759092800204</v>
      </c>
      <c r="I120" s="5">
        <v>1.1444102912491601E-2</v>
      </c>
      <c r="J120" s="5">
        <v>0.63833233002088896</v>
      </c>
      <c r="K120" s="66">
        <v>8784</v>
      </c>
      <c r="L120" s="66">
        <v>100.524999983326</v>
      </c>
      <c r="M120" s="66">
        <v>486.53916648333302</v>
      </c>
      <c r="N120" s="66">
        <v>162.91694428333301</v>
      </c>
      <c r="O120" s="66">
        <v>323.62222220000001</v>
      </c>
      <c r="P120" s="66">
        <v>8683.4750000166696</v>
      </c>
      <c r="Q120" s="66">
        <v>3380.3520410230999</v>
      </c>
      <c r="R120" s="66">
        <v>5232.3691496510601</v>
      </c>
      <c r="S120" s="66">
        <v>70.753809342524804</v>
      </c>
      <c r="T120" t="s">
        <v>564</v>
      </c>
      <c r="U120" t="s">
        <v>383</v>
      </c>
      <c r="V120" t="s">
        <v>384</v>
      </c>
      <c r="W120" t="s">
        <v>384</v>
      </c>
      <c r="X120" t="b">
        <v>0</v>
      </c>
      <c r="Y120" t="s">
        <v>1066</v>
      </c>
      <c r="Z120">
        <v>1</v>
      </c>
    </row>
    <row r="121" spans="1:26">
      <c r="A121" t="s">
        <v>34</v>
      </c>
      <c r="B121" t="s">
        <v>351</v>
      </c>
      <c r="C121" t="s">
        <v>117</v>
      </c>
      <c r="D121" s="5">
        <v>0.65359991536735995</v>
      </c>
      <c r="E121" s="5">
        <v>0.96065605394467302</v>
      </c>
      <c r="F121" s="5">
        <v>0.68036828861227705</v>
      </c>
      <c r="G121" s="5">
        <v>0.844270614940271</v>
      </c>
      <c r="H121" s="5">
        <v>0.71280434190134601</v>
      </c>
      <c r="I121" s="5">
        <v>3.9343946055326998E-2</v>
      </c>
      <c r="J121" s="5">
        <v>0.68863740058929801</v>
      </c>
      <c r="K121" s="66">
        <v>8784</v>
      </c>
      <c r="L121" s="66">
        <v>345.597222149993</v>
      </c>
      <c r="M121" s="66">
        <v>101.32777775</v>
      </c>
      <c r="N121" s="66">
        <v>10.949999983333299</v>
      </c>
      <c r="O121" s="66">
        <v>90.377777766666696</v>
      </c>
      <c r="P121" s="66">
        <v>8438.4027778500094</v>
      </c>
      <c r="Q121" s="66">
        <v>2706.62610813324</v>
      </c>
      <c r="R121" s="66">
        <v>5741.2216565868903</v>
      </c>
      <c r="S121" s="66">
        <v>-9.4449868701205997</v>
      </c>
      <c r="T121" t="s">
        <v>564</v>
      </c>
      <c r="U121" t="s">
        <v>386</v>
      </c>
      <c r="V121" t="s">
        <v>384</v>
      </c>
      <c r="W121" t="s">
        <v>385</v>
      </c>
      <c r="X121" t="b">
        <v>0</v>
      </c>
      <c r="Y121" t="s">
        <v>793</v>
      </c>
      <c r="Z121">
        <v>1</v>
      </c>
    </row>
    <row r="122" spans="1:26">
      <c r="A122" t="s">
        <v>34</v>
      </c>
      <c r="B122" t="s">
        <v>408</v>
      </c>
      <c r="C122" t="s">
        <v>117</v>
      </c>
      <c r="D122" s="5">
        <v>0.64917091938949301</v>
      </c>
      <c r="E122" s="5">
        <v>0.88527619663972601</v>
      </c>
      <c r="F122" s="5">
        <v>0.73329761023008899</v>
      </c>
      <c r="G122" s="5">
        <v>0.67874662598187796</v>
      </c>
      <c r="H122" s="5">
        <v>0.64235309655524597</v>
      </c>
      <c r="I122" s="5">
        <v>0.114723803360274</v>
      </c>
      <c r="J122" s="5">
        <v>0.73935540221378804</v>
      </c>
      <c r="K122" s="66">
        <v>8784</v>
      </c>
      <c r="L122" s="66">
        <v>1007.73388871665</v>
      </c>
      <c r="M122" s="66">
        <v>63.713611033333301</v>
      </c>
      <c r="N122" s="66">
        <v>19.780555483333298</v>
      </c>
      <c r="O122" s="66">
        <v>43.933055549999999</v>
      </c>
      <c r="P122" s="66">
        <v>7776.2661112833503</v>
      </c>
      <c r="Q122" s="66">
        <v>2023.25970521001</v>
      </c>
      <c r="R122" s="66">
        <v>5702.3173559173101</v>
      </c>
      <c r="S122" s="66">
        <v>50.689050156029502</v>
      </c>
      <c r="T122" t="s">
        <v>564</v>
      </c>
      <c r="U122" t="s">
        <v>386</v>
      </c>
      <c r="V122" t="s">
        <v>384</v>
      </c>
      <c r="W122" t="s">
        <v>385</v>
      </c>
      <c r="X122" t="b">
        <v>0</v>
      </c>
      <c r="Y122" t="s">
        <v>794</v>
      </c>
      <c r="Z122">
        <v>1</v>
      </c>
    </row>
    <row r="123" spans="1:26">
      <c r="A123" t="s">
        <v>34</v>
      </c>
      <c r="B123" t="s">
        <v>409</v>
      </c>
      <c r="C123" t="s">
        <v>117</v>
      </c>
      <c r="D123" s="5">
        <v>0.65132962592807597</v>
      </c>
      <c r="E123" s="5">
        <v>0.97093784786543702</v>
      </c>
      <c r="F123" s="5">
        <v>0.670825251441166</v>
      </c>
      <c r="G123" s="5">
        <v>0.735301590462486</v>
      </c>
      <c r="H123" s="5">
        <v>0.73530159046251098</v>
      </c>
      <c r="I123" s="5">
        <v>2.9062152134562799E-2</v>
      </c>
      <c r="J123" s="5">
        <v>0.68388503546870905</v>
      </c>
      <c r="K123" s="66">
        <v>8784</v>
      </c>
      <c r="L123" s="66">
        <v>255.28194435</v>
      </c>
      <c r="M123" s="66">
        <v>162.86833321665</v>
      </c>
      <c r="N123" s="66">
        <v>129.00722213331599</v>
      </c>
      <c r="O123" s="66">
        <v>33.861111083333299</v>
      </c>
      <c r="P123" s="66">
        <v>8528.7180556500007</v>
      </c>
      <c r="Q123" s="66">
        <v>2811.9546194264899</v>
      </c>
      <c r="R123" s="66">
        <v>5721.2794341522203</v>
      </c>
      <c r="S123" s="66">
        <v>-4.5159979287084502</v>
      </c>
      <c r="T123" t="s">
        <v>564</v>
      </c>
      <c r="U123" t="s">
        <v>386</v>
      </c>
      <c r="V123" t="s">
        <v>384</v>
      </c>
      <c r="W123" t="s">
        <v>385</v>
      </c>
      <c r="X123" t="b">
        <v>0</v>
      </c>
      <c r="Y123" t="s">
        <v>795</v>
      </c>
      <c r="Z123">
        <v>1</v>
      </c>
    </row>
    <row r="124" spans="1:26">
      <c r="A124" t="s">
        <v>34</v>
      </c>
      <c r="B124" t="s">
        <v>38</v>
      </c>
      <c r="C124" t="s">
        <v>117</v>
      </c>
      <c r="D124" s="5">
        <v>0.67255340135324204</v>
      </c>
      <c r="E124" s="5">
        <v>0.95974043719452096</v>
      </c>
      <c r="F124" s="5">
        <v>0.70076593137955701</v>
      </c>
      <c r="G124" s="5">
        <v>0.70886977683819996</v>
      </c>
      <c r="H124" s="5">
        <v>0.70886977683820396</v>
      </c>
      <c r="I124" s="5">
        <v>4.0259562805478502E-2</v>
      </c>
      <c r="J124" s="5">
        <v>0.77060517508548698</v>
      </c>
      <c r="K124" s="66">
        <v>8784</v>
      </c>
      <c r="L124" s="66">
        <v>353.63999968332303</v>
      </c>
      <c r="M124" s="66">
        <v>764.03583264999997</v>
      </c>
      <c r="N124" s="66">
        <v>760.21944380000002</v>
      </c>
      <c r="O124" s="66">
        <v>3.8163888500000001</v>
      </c>
      <c r="P124" s="66">
        <v>8430.3600003166794</v>
      </c>
      <c r="Q124" s="66">
        <v>2522.8616833853398</v>
      </c>
      <c r="R124" s="66">
        <v>5907.7090774868802</v>
      </c>
      <c r="S124" s="66">
        <v>-0.210760555569974</v>
      </c>
      <c r="T124" t="s">
        <v>564</v>
      </c>
      <c r="U124" t="s">
        <v>386</v>
      </c>
      <c r="V124" t="s">
        <v>384</v>
      </c>
      <c r="W124" t="s">
        <v>384</v>
      </c>
      <c r="X124" t="b">
        <v>0</v>
      </c>
      <c r="Y124" t="s">
        <v>796</v>
      </c>
      <c r="Z124">
        <v>1</v>
      </c>
    </row>
    <row r="125" spans="1:26">
      <c r="A125" t="s">
        <v>34</v>
      </c>
      <c r="B125" t="s">
        <v>39</v>
      </c>
      <c r="C125" t="s">
        <v>117</v>
      </c>
      <c r="D125" s="5">
        <v>0.72627152349258794</v>
      </c>
      <c r="E125" s="5">
        <v>0.96609713371850803</v>
      </c>
      <c r="F125" s="5">
        <v>0.75175828407353695</v>
      </c>
      <c r="G125" s="5">
        <v>0.83674827702940602</v>
      </c>
      <c r="H125" s="5">
        <v>0.83674827702941001</v>
      </c>
      <c r="I125" s="5">
        <v>3.39028662814925E-2</v>
      </c>
      <c r="J125" s="5">
        <v>0.75762496972955495</v>
      </c>
      <c r="K125" s="66">
        <v>8784</v>
      </c>
      <c r="L125" s="66">
        <v>297.80277741663002</v>
      </c>
      <c r="M125" s="66">
        <v>65.713055283331897</v>
      </c>
      <c r="N125" s="66">
        <v>50.4908330833333</v>
      </c>
      <c r="O125" s="66">
        <v>15.222222199998599</v>
      </c>
      <c r="P125" s="66">
        <v>8486.1972225833706</v>
      </c>
      <c r="Q125" s="66">
        <v>2106.4840491513501</v>
      </c>
      <c r="R125" s="66">
        <v>6379.5690623588898</v>
      </c>
      <c r="S125" s="66">
        <v>0.14411107314138499</v>
      </c>
      <c r="T125" t="s">
        <v>564</v>
      </c>
      <c r="U125" t="s">
        <v>386</v>
      </c>
      <c r="V125" t="s">
        <v>384</v>
      </c>
      <c r="W125" t="s">
        <v>384</v>
      </c>
      <c r="X125" t="b">
        <v>0</v>
      </c>
      <c r="Y125" t="s">
        <v>797</v>
      </c>
      <c r="Z125">
        <v>1</v>
      </c>
    </row>
    <row r="126" spans="1:26">
      <c r="A126" t="s">
        <v>34</v>
      </c>
      <c r="B126" t="s">
        <v>476</v>
      </c>
      <c r="C126" t="s">
        <v>117</v>
      </c>
      <c r="D126" s="5">
        <v>0.16957965839005501</v>
      </c>
      <c r="E126" s="5">
        <v>0.35071857292046299</v>
      </c>
      <c r="F126" s="5">
        <v>0.48352061020878101</v>
      </c>
      <c r="G126" s="5">
        <v>0.31269490681965401</v>
      </c>
      <c r="H126" s="5">
        <v>0.24686440012078001</v>
      </c>
      <c r="I126" s="5">
        <v>0.64928142707953695</v>
      </c>
      <c r="J126" s="5">
        <v>0.49440499207671801</v>
      </c>
      <c r="K126" s="66">
        <v>8784</v>
      </c>
      <c r="L126" s="66">
        <v>5703.2880554666499</v>
      </c>
      <c r="M126" s="66">
        <v>67.822222199999999</v>
      </c>
      <c r="N126" s="66">
        <v>67.822222199999999</v>
      </c>
      <c r="P126" s="66">
        <v>3080.7119445333501</v>
      </c>
      <c r="Q126" s="66">
        <v>1580.5909482867501</v>
      </c>
      <c r="R126" s="66">
        <v>1489.58771929825</v>
      </c>
      <c r="S126" s="66">
        <v>10.5332769483507</v>
      </c>
      <c r="T126" t="s">
        <v>564</v>
      </c>
      <c r="U126" t="s">
        <v>386</v>
      </c>
      <c r="V126" t="s">
        <v>384</v>
      </c>
      <c r="W126" t="s">
        <v>385</v>
      </c>
      <c r="X126" t="b">
        <v>0</v>
      </c>
      <c r="Y126" t="s">
        <v>1067</v>
      </c>
      <c r="Z126">
        <v>1</v>
      </c>
    </row>
    <row r="127" spans="1:26">
      <c r="A127" t="s">
        <v>34</v>
      </c>
      <c r="B127" t="s">
        <v>40</v>
      </c>
      <c r="C127" t="s">
        <v>117</v>
      </c>
      <c r="D127" s="5">
        <v>0.62483190124704602</v>
      </c>
      <c r="E127" s="5">
        <v>0.97169212330752996</v>
      </c>
      <c r="F127" s="5">
        <v>0.64303485256234205</v>
      </c>
      <c r="G127" s="5">
        <v>0.66943892871652799</v>
      </c>
      <c r="H127" s="5">
        <v>0.66943892871652999</v>
      </c>
      <c r="I127" s="5">
        <v>2.8307876692470299E-2</v>
      </c>
      <c r="J127" s="5">
        <v>0.69365541471845105</v>
      </c>
      <c r="K127" s="66">
        <v>8784</v>
      </c>
      <c r="L127" s="66">
        <v>248.656388866659</v>
      </c>
      <c r="M127" s="66">
        <v>622.879721866659</v>
      </c>
      <c r="N127" s="66">
        <v>220.74361081665899</v>
      </c>
      <c r="O127" s="66">
        <v>402.13611105000001</v>
      </c>
      <c r="P127" s="66">
        <v>8535.3436111333394</v>
      </c>
      <c r="Q127" s="66">
        <v>3035.75282596646</v>
      </c>
      <c r="R127" s="66">
        <v>5488.5234205540501</v>
      </c>
      <c r="S127" s="66">
        <v>11.067364612827101</v>
      </c>
      <c r="T127" t="s">
        <v>564</v>
      </c>
      <c r="U127" t="s">
        <v>386</v>
      </c>
      <c r="V127" t="s">
        <v>384</v>
      </c>
      <c r="W127" t="s">
        <v>385</v>
      </c>
      <c r="X127" t="b">
        <v>0</v>
      </c>
      <c r="Y127" t="s">
        <v>798</v>
      </c>
      <c r="Z127">
        <v>1</v>
      </c>
    </row>
    <row r="128" spans="1:26">
      <c r="A128" t="s">
        <v>34</v>
      </c>
      <c r="B128" t="s">
        <v>41</v>
      </c>
      <c r="C128" t="s">
        <v>117</v>
      </c>
      <c r="D128" s="5">
        <v>0.27263488311877698</v>
      </c>
      <c r="E128" s="5">
        <v>0.84348898250417403</v>
      </c>
      <c r="F128" s="5">
        <v>0.323222814730041</v>
      </c>
      <c r="G128" s="5">
        <v>0.50121748453599402</v>
      </c>
      <c r="H128" s="5">
        <v>0.50121748453599402</v>
      </c>
      <c r="I128" s="5">
        <v>0.15651101749582599</v>
      </c>
      <c r="J128" s="5">
        <v>0.32812129576939397</v>
      </c>
      <c r="K128" s="66">
        <v>8784</v>
      </c>
      <c r="L128" s="66">
        <v>1374.7927776833301</v>
      </c>
      <c r="M128" s="66">
        <v>110.611111083333</v>
      </c>
      <c r="N128" s="66">
        <v>110.611111083333</v>
      </c>
      <c r="P128" s="66">
        <v>7409.2072223166697</v>
      </c>
      <c r="Q128" s="66">
        <v>4917.4507097963797</v>
      </c>
      <c r="R128" s="66">
        <v>2394.8248133153402</v>
      </c>
      <c r="S128" s="66">
        <v>96.931699204940898</v>
      </c>
      <c r="T128" t="s">
        <v>564</v>
      </c>
      <c r="U128" t="s">
        <v>386</v>
      </c>
      <c r="V128" t="s">
        <v>384</v>
      </c>
      <c r="W128" t="s">
        <v>385</v>
      </c>
      <c r="X128" t="b">
        <v>0</v>
      </c>
      <c r="Y128" t="s">
        <v>1068</v>
      </c>
      <c r="Z128">
        <v>1</v>
      </c>
    </row>
    <row r="129" spans="1:26">
      <c r="A129" t="s">
        <v>34</v>
      </c>
      <c r="B129" t="s">
        <v>1069</v>
      </c>
      <c r="C129" t="s">
        <v>117</v>
      </c>
      <c r="D129" s="5">
        <v>0.29162249464153001</v>
      </c>
      <c r="E129" s="5">
        <v>0.89458045564093802</v>
      </c>
      <c r="F129" s="5">
        <v>0.32598800119391402</v>
      </c>
      <c r="G129" s="5"/>
      <c r="H129" s="5"/>
      <c r="I129" s="5">
        <v>0.10541954435906201</v>
      </c>
      <c r="J129" s="5">
        <v>0.32886725402269301</v>
      </c>
      <c r="K129" s="66">
        <v>8784</v>
      </c>
      <c r="L129" s="66">
        <v>926.00527765000004</v>
      </c>
      <c r="M129" s="66">
        <v>68.797222149999996</v>
      </c>
      <c r="N129" s="66">
        <v>67.499999933333299</v>
      </c>
      <c r="O129" s="66">
        <v>1.29722221666667</v>
      </c>
      <c r="P129" s="66">
        <v>7857.9947223500003</v>
      </c>
      <c r="Q129" s="66">
        <v>5313.6033679860602</v>
      </c>
      <c r="R129" s="66">
        <v>2561.6119929311999</v>
      </c>
      <c r="S129" s="66">
        <v>-17.220638567269901</v>
      </c>
      <c r="T129" t="s">
        <v>564</v>
      </c>
      <c r="U129" t="s">
        <v>386</v>
      </c>
      <c r="V129" t="s">
        <v>384</v>
      </c>
      <c r="W129" t="s">
        <v>384</v>
      </c>
      <c r="X129" t="b">
        <v>0</v>
      </c>
      <c r="Y129" t="s">
        <v>1070</v>
      </c>
      <c r="Z129">
        <v>1</v>
      </c>
    </row>
    <row r="130" spans="1:26">
      <c r="A130" t="s">
        <v>282</v>
      </c>
      <c r="B130" t="s">
        <v>200</v>
      </c>
      <c r="C130" t="s">
        <v>117</v>
      </c>
      <c r="D130" s="5">
        <v>0.68592937788380903</v>
      </c>
      <c r="E130" s="5">
        <v>0.75175166973581997</v>
      </c>
      <c r="F130" s="5">
        <v>0.91244144243119196</v>
      </c>
      <c r="G130" s="5">
        <v>0.76446185168760294</v>
      </c>
      <c r="H130" s="5">
        <v>0.77450981961155196</v>
      </c>
      <c r="I130" s="5">
        <v>0.24824833026418</v>
      </c>
      <c r="J130" s="5">
        <v>0.91319763249463004</v>
      </c>
      <c r="K130" s="66">
        <v>8784</v>
      </c>
      <c r="L130" s="66">
        <v>2180.6133330405501</v>
      </c>
      <c r="M130" s="66">
        <v>5.4680555499945296</v>
      </c>
      <c r="N130" s="66">
        <v>5.4680555499945296</v>
      </c>
      <c r="P130" s="66">
        <v>6603.3866669594499</v>
      </c>
      <c r="Q130" s="66">
        <v>557.169112511187</v>
      </c>
      <c r="R130" s="66">
        <v>6025.2036553313701</v>
      </c>
      <c r="S130" s="66">
        <v>21.013899116882701</v>
      </c>
      <c r="T130" t="s">
        <v>564</v>
      </c>
      <c r="U130" t="s">
        <v>383</v>
      </c>
      <c r="V130" t="s">
        <v>384</v>
      </c>
      <c r="W130" t="s">
        <v>384</v>
      </c>
      <c r="X130" t="b">
        <v>0</v>
      </c>
      <c r="Y130" t="s">
        <v>477</v>
      </c>
      <c r="Z130">
        <v>1</v>
      </c>
    </row>
    <row r="131" spans="1:26">
      <c r="A131" t="s">
        <v>282</v>
      </c>
      <c r="B131" t="s">
        <v>201</v>
      </c>
      <c r="C131" t="s">
        <v>117</v>
      </c>
      <c r="D131" s="5">
        <v>0.62543469080614</v>
      </c>
      <c r="E131" s="5">
        <v>0.82803664494004003</v>
      </c>
      <c r="F131" s="5">
        <v>0.75532247833237898</v>
      </c>
      <c r="G131" s="5">
        <v>0.77192595423361199</v>
      </c>
      <c r="H131" s="5">
        <v>0.77038716388237005</v>
      </c>
      <c r="I131" s="5">
        <v>0.17196335505995999</v>
      </c>
      <c r="J131" s="5">
        <v>0.76539951773994197</v>
      </c>
      <c r="K131" s="66">
        <v>8784</v>
      </c>
      <c r="L131" s="66">
        <v>1510.52611084668</v>
      </c>
      <c r="M131" s="66">
        <v>95.7605555165417</v>
      </c>
      <c r="N131" s="66">
        <v>95.7605555165417</v>
      </c>
      <c r="P131" s="66">
        <v>7273.4738891533098</v>
      </c>
      <c r="Q131" s="66">
        <v>1729.8037987529899</v>
      </c>
      <c r="R131" s="66">
        <v>5493.8183240411299</v>
      </c>
      <c r="S131" s="66">
        <v>49.851766359194201</v>
      </c>
      <c r="T131" t="s">
        <v>564</v>
      </c>
      <c r="U131" t="s">
        <v>383</v>
      </c>
      <c r="V131" t="s">
        <v>384</v>
      </c>
      <c r="W131" t="s">
        <v>384</v>
      </c>
      <c r="X131" t="b">
        <v>0</v>
      </c>
      <c r="Y131" t="s">
        <v>799</v>
      </c>
      <c r="Z131">
        <v>1</v>
      </c>
    </row>
    <row r="132" spans="1:26">
      <c r="A132" t="s">
        <v>282</v>
      </c>
      <c r="B132" t="s">
        <v>618</v>
      </c>
      <c r="C132" t="s">
        <v>117</v>
      </c>
      <c r="D132" s="5">
        <v>0.444365764504359</v>
      </c>
      <c r="E132" s="5">
        <v>0.602779706849497</v>
      </c>
      <c r="F132" s="5">
        <v>0.73719430076186898</v>
      </c>
      <c r="G132" s="5">
        <v>0.89253286960650802</v>
      </c>
      <c r="H132" s="5">
        <v>0.73786772169094295</v>
      </c>
      <c r="I132" s="5">
        <v>0.397220293150503</v>
      </c>
      <c r="J132" s="5">
        <v>0.74245448950593396</v>
      </c>
      <c r="K132" s="66">
        <v>8784</v>
      </c>
      <c r="L132" s="66">
        <v>3489.1830550340201</v>
      </c>
      <c r="M132" s="66">
        <v>37.5130555333171</v>
      </c>
      <c r="N132" s="66">
        <v>37.5130555333171</v>
      </c>
      <c r="P132" s="66">
        <v>5294.8169449659799</v>
      </c>
      <c r="Q132" s="66">
        <v>1360.29209286531</v>
      </c>
      <c r="R132" s="66">
        <v>3903.3088754062901</v>
      </c>
      <c r="S132" s="66">
        <v>31.2159766943814</v>
      </c>
      <c r="T132" t="s">
        <v>564</v>
      </c>
      <c r="U132" t="s">
        <v>386</v>
      </c>
      <c r="V132" t="s">
        <v>384</v>
      </c>
      <c r="W132" t="s">
        <v>384</v>
      </c>
      <c r="X132" t="b">
        <v>0</v>
      </c>
      <c r="Y132" t="s">
        <v>619</v>
      </c>
      <c r="Z132">
        <v>1</v>
      </c>
    </row>
    <row r="133" spans="1:26">
      <c r="A133" t="s">
        <v>282</v>
      </c>
      <c r="B133" t="s">
        <v>202</v>
      </c>
      <c r="C133" t="s">
        <v>117</v>
      </c>
      <c r="D133" s="5">
        <v>0.51423770478048103</v>
      </c>
      <c r="E133" s="5">
        <v>0.702431276977448</v>
      </c>
      <c r="F133" s="5">
        <v>0.73208258463836995</v>
      </c>
      <c r="G133" s="5">
        <v>0.86250464316628295</v>
      </c>
      <c r="H133" s="5">
        <v>0.87293089150349701</v>
      </c>
      <c r="I133" s="5">
        <v>0.297568723022552</v>
      </c>
      <c r="J133" s="5">
        <v>0.73645955404985597</v>
      </c>
      <c r="K133" s="66">
        <v>8784</v>
      </c>
      <c r="L133" s="66">
        <v>2613.8436630300998</v>
      </c>
      <c r="M133" s="66">
        <v>36.670833316633001</v>
      </c>
      <c r="N133" s="66">
        <v>36.670833316633001</v>
      </c>
      <c r="P133" s="66">
        <v>6170.1563369698997</v>
      </c>
      <c r="Q133" s="66">
        <v>1685.7674922019901</v>
      </c>
      <c r="R133" s="66">
        <v>4517.0639987917402</v>
      </c>
      <c r="S133" s="66">
        <v>-32.6751540238334</v>
      </c>
      <c r="T133" t="s">
        <v>564</v>
      </c>
      <c r="U133" t="s">
        <v>386</v>
      </c>
      <c r="V133" t="s">
        <v>384</v>
      </c>
      <c r="W133" t="s">
        <v>384</v>
      </c>
      <c r="X133" t="b">
        <v>0</v>
      </c>
      <c r="Y133" t="s">
        <v>800</v>
      </c>
      <c r="Z133">
        <v>1</v>
      </c>
    </row>
    <row r="134" spans="1:26">
      <c r="A134" t="s">
        <v>282</v>
      </c>
      <c r="B134" t="s">
        <v>203</v>
      </c>
      <c r="C134" t="s">
        <v>117</v>
      </c>
      <c r="D134" s="5">
        <v>0.44256087853590897</v>
      </c>
      <c r="E134" s="5">
        <v>0.60196974304247197</v>
      </c>
      <c r="F134" s="5">
        <v>0.73518791210189405</v>
      </c>
      <c r="G134" s="5">
        <v>0.79248517573155097</v>
      </c>
      <c r="H134" s="5">
        <v>0.78945064704753298</v>
      </c>
      <c r="I134" s="5">
        <v>0.39803025695752797</v>
      </c>
      <c r="J134" s="5">
        <v>0.73707950289509605</v>
      </c>
      <c r="K134" s="66">
        <v>8784</v>
      </c>
      <c r="L134" s="66">
        <v>3496.2977771149299</v>
      </c>
      <c r="M134" s="66">
        <v>13.5699999833333</v>
      </c>
      <c r="N134" s="66">
        <v>13.5699999833333</v>
      </c>
      <c r="P134" s="66">
        <v>5287.7022228850801</v>
      </c>
      <c r="Q134" s="66">
        <v>1275.38892517777</v>
      </c>
      <c r="R134" s="66">
        <v>3887.45475705942</v>
      </c>
      <c r="S134" s="66">
        <v>124.85854064788801</v>
      </c>
      <c r="T134" t="s">
        <v>564</v>
      </c>
      <c r="U134" t="s">
        <v>386</v>
      </c>
      <c r="V134" t="s">
        <v>385</v>
      </c>
      <c r="W134" t="s">
        <v>385</v>
      </c>
      <c r="X134" t="b">
        <v>0</v>
      </c>
      <c r="Y134" t="s">
        <v>478</v>
      </c>
      <c r="Z134">
        <v>1</v>
      </c>
    </row>
    <row r="135" spans="1:26">
      <c r="A135" t="s">
        <v>282</v>
      </c>
      <c r="B135" t="s">
        <v>204</v>
      </c>
      <c r="C135" t="s">
        <v>117</v>
      </c>
      <c r="D135" s="5">
        <v>0.59729955102385601</v>
      </c>
      <c r="E135" s="5">
        <v>0.860921467118414</v>
      </c>
      <c r="F135" s="5">
        <v>0.69379098307662601</v>
      </c>
      <c r="G135" s="5">
        <v>0.74733522921211504</v>
      </c>
      <c r="H135" s="5">
        <v>0.74467974994821595</v>
      </c>
      <c r="I135" s="5">
        <v>0.139078532881586</v>
      </c>
      <c r="J135" s="5">
        <v>0.71079252087810796</v>
      </c>
      <c r="K135" s="66">
        <v>8784</v>
      </c>
      <c r="L135" s="66">
        <v>1221.6658328318499</v>
      </c>
      <c r="M135" s="66">
        <v>180.88444438289099</v>
      </c>
      <c r="N135" s="66">
        <v>180.88444438289099</v>
      </c>
      <c r="P135" s="66">
        <v>7562.3341671681501</v>
      </c>
      <c r="Q135" s="66">
        <v>2183.8344282469898</v>
      </c>
      <c r="R135" s="66">
        <v>5246.6792561935499</v>
      </c>
      <c r="S135" s="66">
        <v>131.820482727605</v>
      </c>
      <c r="T135" t="s">
        <v>564</v>
      </c>
      <c r="U135" t="s">
        <v>386</v>
      </c>
      <c r="V135" t="s">
        <v>385</v>
      </c>
      <c r="W135" t="s">
        <v>385</v>
      </c>
      <c r="X135" t="b">
        <v>0</v>
      </c>
      <c r="Y135" t="s">
        <v>479</v>
      </c>
      <c r="Z135">
        <v>1</v>
      </c>
    </row>
    <row r="136" spans="1:26">
      <c r="A136" t="s">
        <v>282</v>
      </c>
      <c r="B136" t="s">
        <v>205</v>
      </c>
      <c r="C136" t="s">
        <v>117</v>
      </c>
      <c r="D136" s="5">
        <v>0.48463627007457499</v>
      </c>
      <c r="E136" s="5">
        <v>0.82843857525407805</v>
      </c>
      <c r="F136" s="5">
        <v>0.58499964215927402</v>
      </c>
      <c r="G136" s="5">
        <v>0.75959736712663195</v>
      </c>
      <c r="H136" s="5">
        <v>0.76203595737971297</v>
      </c>
      <c r="I136" s="5">
        <v>0.17156142474592201</v>
      </c>
      <c r="J136" s="5">
        <v>0.58856210187571401</v>
      </c>
      <c r="K136" s="66">
        <v>8784</v>
      </c>
      <c r="L136" s="66">
        <v>1506.9955549681799</v>
      </c>
      <c r="M136" s="66">
        <v>44.046388833325203</v>
      </c>
      <c r="N136" s="66">
        <v>44.046388833325203</v>
      </c>
      <c r="P136" s="66">
        <v>7277.0044450318201</v>
      </c>
      <c r="Q136" s="66">
        <v>2973.4357735102799</v>
      </c>
      <c r="R136" s="66">
        <v>4257.0449963350602</v>
      </c>
      <c r="S136" s="66">
        <v>46.523675186469397</v>
      </c>
      <c r="T136" t="s">
        <v>564</v>
      </c>
      <c r="U136" t="s">
        <v>386</v>
      </c>
      <c r="V136" t="s">
        <v>385</v>
      </c>
      <c r="W136" t="s">
        <v>385</v>
      </c>
      <c r="X136" t="b">
        <v>0</v>
      </c>
      <c r="Y136" t="s">
        <v>480</v>
      </c>
      <c r="Z136">
        <v>1</v>
      </c>
    </row>
    <row r="137" spans="1:26">
      <c r="A137" t="s">
        <v>283</v>
      </c>
      <c r="B137" t="s">
        <v>206</v>
      </c>
      <c r="C137" t="s">
        <v>116</v>
      </c>
      <c r="D137" s="5">
        <v>0.90359758565016302</v>
      </c>
      <c r="E137" s="5">
        <v>0.96001085870500003</v>
      </c>
      <c r="F137" s="5">
        <v>0.94123683858020701</v>
      </c>
      <c r="G137" s="5">
        <v>0.93490513006698694</v>
      </c>
      <c r="H137" s="5">
        <v>0.92902437288393602</v>
      </c>
      <c r="I137" s="5">
        <v>3.9989141295000398E-2</v>
      </c>
      <c r="J137" s="5">
        <v>0.94873528520033101</v>
      </c>
      <c r="K137" s="66">
        <v>8784</v>
      </c>
      <c r="L137" s="66">
        <v>351.264617135283</v>
      </c>
      <c r="M137" s="66">
        <v>66.649166649991997</v>
      </c>
      <c r="N137" s="66">
        <v>10.649166649992001</v>
      </c>
      <c r="O137" s="66">
        <v>56</v>
      </c>
      <c r="P137" s="66">
        <v>8432.7353828647192</v>
      </c>
      <c r="Q137" s="66">
        <v>495.216523929115</v>
      </c>
      <c r="R137" s="66">
        <v>7937.2011923510399</v>
      </c>
      <c r="S137" s="66">
        <v>0.31766658456630598</v>
      </c>
      <c r="T137" t="s">
        <v>564</v>
      </c>
      <c r="U137" t="s">
        <v>383</v>
      </c>
      <c r="V137" t="s">
        <v>384</v>
      </c>
      <c r="W137" t="s">
        <v>384</v>
      </c>
      <c r="X137" t="b">
        <v>0</v>
      </c>
      <c r="Y137" t="s">
        <v>481</v>
      </c>
      <c r="Z137">
        <v>1</v>
      </c>
    </row>
    <row r="138" spans="1:26">
      <c r="A138" t="s">
        <v>283</v>
      </c>
      <c r="B138" t="s">
        <v>207</v>
      </c>
      <c r="C138" t="s">
        <v>116</v>
      </c>
      <c r="D138" s="5">
        <v>0.87587793700066296</v>
      </c>
      <c r="E138" s="5">
        <v>0.96478304544226201</v>
      </c>
      <c r="F138" s="5">
        <v>0.90784963639069205</v>
      </c>
      <c r="G138" s="5">
        <v>0.94366419708115601</v>
      </c>
      <c r="H138" s="5">
        <v>0.93321468255429496</v>
      </c>
      <c r="I138" s="5">
        <v>3.5216954557737802E-2</v>
      </c>
      <c r="J138" s="5">
        <v>0.91592405698556101</v>
      </c>
      <c r="K138" s="66">
        <v>8784</v>
      </c>
      <c r="L138" s="66">
        <v>309.34572883516802</v>
      </c>
      <c r="M138" s="66">
        <v>74.709166616602701</v>
      </c>
      <c r="N138" s="66">
        <v>18.709166616658599</v>
      </c>
      <c r="O138" s="66">
        <v>55.999999999944002</v>
      </c>
      <c r="P138" s="66">
        <v>8474.6542711648308</v>
      </c>
      <c r="Q138" s="66">
        <v>781.26527089990395</v>
      </c>
      <c r="R138" s="66">
        <v>7693.7117986138201</v>
      </c>
      <c r="S138" s="66">
        <v>-0.32279834889093001</v>
      </c>
      <c r="T138" t="s">
        <v>564</v>
      </c>
      <c r="U138" t="s">
        <v>383</v>
      </c>
      <c r="V138" t="s">
        <v>384</v>
      </c>
      <c r="W138" t="s">
        <v>384</v>
      </c>
      <c r="X138" t="b">
        <v>0</v>
      </c>
      <c r="Y138" t="s">
        <v>482</v>
      </c>
      <c r="Z138">
        <v>1</v>
      </c>
    </row>
    <row r="139" spans="1:26">
      <c r="A139" t="s">
        <v>283</v>
      </c>
      <c r="B139" t="s">
        <v>208</v>
      </c>
      <c r="C139" t="s">
        <v>116</v>
      </c>
      <c r="D139" s="5">
        <v>0.64804270992955004</v>
      </c>
      <c r="E139" s="5">
        <v>0.66832181093854404</v>
      </c>
      <c r="F139" s="5">
        <v>0.96965668233913305</v>
      </c>
      <c r="G139" s="5">
        <v>0.98573358033173397</v>
      </c>
      <c r="H139" s="5">
        <v>0.98593095314219803</v>
      </c>
      <c r="I139" s="5">
        <v>0.33167818906145602</v>
      </c>
      <c r="J139" s="5">
        <v>0.98129847967660599</v>
      </c>
      <c r="K139" s="66">
        <v>8784</v>
      </c>
      <c r="L139" s="66">
        <v>2913.4612127158298</v>
      </c>
      <c r="M139" s="66">
        <v>69.646110983333301</v>
      </c>
      <c r="N139" s="66">
        <v>69.646110983333301</v>
      </c>
      <c r="P139" s="66">
        <v>5870.5387872841602</v>
      </c>
      <c r="Q139" s="66">
        <v>177.79805528333</v>
      </c>
      <c r="R139" s="66">
        <v>5692.4071640211596</v>
      </c>
      <c r="S139" s="66">
        <v>0.333567979675855</v>
      </c>
      <c r="T139" t="s">
        <v>564</v>
      </c>
      <c r="U139" t="s">
        <v>386</v>
      </c>
      <c r="V139" t="s">
        <v>385</v>
      </c>
      <c r="W139" t="s">
        <v>384</v>
      </c>
      <c r="X139" t="b">
        <v>0</v>
      </c>
      <c r="Y139" t="s">
        <v>483</v>
      </c>
      <c r="Z139">
        <v>1</v>
      </c>
    </row>
    <row r="140" spans="1:26">
      <c r="A140" t="s">
        <v>284</v>
      </c>
      <c r="B140" t="s">
        <v>209</v>
      </c>
      <c r="C140" t="s">
        <v>117</v>
      </c>
      <c r="D140" s="5">
        <v>0.29091516661309302</v>
      </c>
      <c r="E140" s="5">
        <v>0.39322287949155099</v>
      </c>
      <c r="F140" s="5">
        <v>0.73982258354156605</v>
      </c>
      <c r="G140" s="5">
        <v>0.62811920558777601</v>
      </c>
      <c r="H140" s="5">
        <v>0.62811920564199497</v>
      </c>
      <c r="I140" s="5">
        <v>0.60677712050844901</v>
      </c>
      <c r="J140" s="5">
        <v>0.83923814121804496</v>
      </c>
      <c r="K140" s="66">
        <v>8784</v>
      </c>
      <c r="L140" s="66">
        <v>5329.9302265462202</v>
      </c>
      <c r="M140" s="66">
        <v>409.16666666625702</v>
      </c>
      <c r="O140" s="66">
        <v>409.16666666625702</v>
      </c>
      <c r="P140" s="66">
        <v>3454.0697734537798</v>
      </c>
      <c r="Q140" s="66">
        <v>901.37055523183096</v>
      </c>
      <c r="R140" s="66">
        <v>2555.39882352941</v>
      </c>
      <c r="S140" s="66">
        <v>-2.6996053074575501</v>
      </c>
      <c r="T140" t="s">
        <v>564</v>
      </c>
      <c r="U140" t="s">
        <v>386</v>
      </c>
      <c r="V140" t="s">
        <v>385</v>
      </c>
      <c r="W140" t="s">
        <v>385</v>
      </c>
      <c r="X140" t="b">
        <v>0</v>
      </c>
      <c r="Y140" t="s">
        <v>484</v>
      </c>
      <c r="Z140">
        <v>1</v>
      </c>
    </row>
    <row r="141" spans="1:26">
      <c r="A141" t="s">
        <v>284</v>
      </c>
      <c r="B141" t="s">
        <v>210</v>
      </c>
      <c r="C141" t="s">
        <v>117</v>
      </c>
      <c r="D141" s="5">
        <v>0.46427338135267399</v>
      </c>
      <c r="E141" s="5">
        <v>0.60734292809086798</v>
      </c>
      <c r="F141" s="5">
        <v>0.76443366651535505</v>
      </c>
      <c r="G141" s="5">
        <v>0.84893827999572402</v>
      </c>
      <c r="H141" s="5">
        <v>0.848938279998533</v>
      </c>
      <c r="I141" s="5">
        <v>0.39265707190913202</v>
      </c>
      <c r="J141" s="5">
        <v>0.85341988262595703</v>
      </c>
      <c r="K141" s="66">
        <v>8784</v>
      </c>
      <c r="L141" s="66">
        <v>3449.0997196498201</v>
      </c>
      <c r="M141" s="66">
        <v>556.27083331478605</v>
      </c>
      <c r="N141" s="66">
        <v>147.495833332448</v>
      </c>
      <c r="O141" s="66">
        <v>408.77499998233799</v>
      </c>
      <c r="P141" s="66">
        <v>5334.9002803501899</v>
      </c>
      <c r="Q141" s="66">
        <v>1253.5681612296601</v>
      </c>
      <c r="R141" s="66">
        <v>4078.1773818018901</v>
      </c>
      <c r="S141" s="66">
        <v>3.1547373186322698</v>
      </c>
      <c r="T141" t="s">
        <v>564</v>
      </c>
      <c r="U141" t="s">
        <v>386</v>
      </c>
      <c r="V141" t="s">
        <v>385</v>
      </c>
      <c r="W141" t="s">
        <v>385</v>
      </c>
      <c r="X141" t="b">
        <v>0</v>
      </c>
      <c r="Y141" t="s">
        <v>485</v>
      </c>
      <c r="Z141">
        <v>1</v>
      </c>
    </row>
    <row r="142" spans="1:26">
      <c r="A142" t="s">
        <v>285</v>
      </c>
      <c r="B142" t="s">
        <v>352</v>
      </c>
      <c r="C142" t="s">
        <v>117</v>
      </c>
      <c r="D142" s="5">
        <v>0.57920930213340005</v>
      </c>
      <c r="E142" s="5">
        <v>0.89105061605164804</v>
      </c>
      <c r="F142" s="5">
        <v>0.65002962985418899</v>
      </c>
      <c r="G142" s="5">
        <v>0.73301156459781303</v>
      </c>
      <c r="H142" s="5">
        <v>0.75185219725417596</v>
      </c>
      <c r="I142" s="5">
        <v>0.108949383948352</v>
      </c>
      <c r="J142" s="5">
        <v>0.67543604059266604</v>
      </c>
      <c r="K142" s="66">
        <v>8784</v>
      </c>
      <c r="L142" s="66">
        <v>957.011388602323</v>
      </c>
      <c r="M142" s="66">
        <v>294.41083323310198</v>
      </c>
      <c r="N142" s="66">
        <v>62.877499899999997</v>
      </c>
      <c r="O142" s="66">
        <v>231.53333333310201</v>
      </c>
      <c r="P142" s="66">
        <v>7826.98861139768</v>
      </c>
      <c r="Q142" s="66">
        <v>2739.1994222824101</v>
      </c>
      <c r="R142" s="66">
        <v>5087.7745099397798</v>
      </c>
      <c r="S142" s="66">
        <v>1.4679175488518501E-2</v>
      </c>
      <c r="T142" t="s">
        <v>564</v>
      </c>
      <c r="U142" t="s">
        <v>386</v>
      </c>
      <c r="V142" t="s">
        <v>385</v>
      </c>
      <c r="W142" t="s">
        <v>385</v>
      </c>
      <c r="X142" t="b">
        <v>0</v>
      </c>
      <c r="Y142" t="s">
        <v>801</v>
      </c>
      <c r="Z142">
        <v>1</v>
      </c>
    </row>
    <row r="143" spans="1:26">
      <c r="A143" t="s">
        <v>284</v>
      </c>
      <c r="B143" t="s">
        <v>211</v>
      </c>
      <c r="C143" t="s">
        <v>117</v>
      </c>
      <c r="D143" s="5">
        <v>0.63663598942599597</v>
      </c>
      <c r="E143" s="5">
        <v>0.96159687437140895</v>
      </c>
      <c r="F143" s="5">
        <v>0.66206120921738798</v>
      </c>
      <c r="G143" s="5">
        <v>0.71818519119741497</v>
      </c>
      <c r="H143" s="5">
        <v>0.71818519119783597</v>
      </c>
      <c r="I143" s="5">
        <v>3.8403125628591002E-2</v>
      </c>
      <c r="J143" s="5">
        <v>0.68943477058836</v>
      </c>
      <c r="K143" s="66">
        <v>8784</v>
      </c>
      <c r="L143" s="66">
        <v>337.33305552154297</v>
      </c>
      <c r="M143" s="66">
        <v>335.36944443275399</v>
      </c>
      <c r="O143" s="66">
        <v>335.36944443275399</v>
      </c>
      <c r="P143" s="66">
        <v>8446.6669444784493</v>
      </c>
      <c r="Q143" s="66">
        <v>2876.3547201065398</v>
      </c>
      <c r="R143" s="66">
        <v>5592.2105311179403</v>
      </c>
      <c r="S143" s="66">
        <v>-21.898306746040198</v>
      </c>
      <c r="T143" t="s">
        <v>564</v>
      </c>
      <c r="U143" t="s">
        <v>386</v>
      </c>
      <c r="V143" t="s">
        <v>385</v>
      </c>
      <c r="W143" t="s">
        <v>385</v>
      </c>
      <c r="X143" t="b">
        <v>0</v>
      </c>
      <c r="Y143" t="s">
        <v>486</v>
      </c>
      <c r="Z143">
        <v>1</v>
      </c>
    </row>
    <row r="144" spans="1:26">
      <c r="A144" t="s">
        <v>284</v>
      </c>
      <c r="B144" t="s">
        <v>212</v>
      </c>
      <c r="C144" t="s">
        <v>117</v>
      </c>
      <c r="D144" s="5">
        <v>0.61842836483632602</v>
      </c>
      <c r="E144" s="5">
        <v>0.86393572280512798</v>
      </c>
      <c r="F144" s="5">
        <v>0.71582682427847799</v>
      </c>
      <c r="G144" s="5">
        <v>0.73304907853897405</v>
      </c>
      <c r="H144" s="5">
        <v>0.75875918160417699</v>
      </c>
      <c r="I144" s="5">
        <v>0.13606427719487199</v>
      </c>
      <c r="J144" s="5">
        <v>0.76654221869713501</v>
      </c>
      <c r="K144" s="66">
        <v>8784</v>
      </c>
      <c r="L144" s="66">
        <v>1195.1886108797601</v>
      </c>
      <c r="M144" s="66">
        <v>502.08527773222698</v>
      </c>
      <c r="N144" s="66">
        <v>163.325555549917</v>
      </c>
      <c r="O144" s="66">
        <v>338.75972218230999</v>
      </c>
      <c r="P144" s="66">
        <v>7588.8113891202402</v>
      </c>
      <c r="Q144" s="66">
        <v>2162.8680543977798</v>
      </c>
      <c r="R144" s="66">
        <v>5432.2747567222896</v>
      </c>
      <c r="S144" s="66">
        <v>-6.3314219998300398</v>
      </c>
      <c r="T144" t="s">
        <v>564</v>
      </c>
      <c r="U144" t="s">
        <v>386</v>
      </c>
      <c r="V144" t="s">
        <v>385</v>
      </c>
      <c r="W144" t="s">
        <v>385</v>
      </c>
      <c r="X144" t="b">
        <v>0</v>
      </c>
      <c r="Y144" t="s">
        <v>487</v>
      </c>
      <c r="Z144">
        <v>1</v>
      </c>
    </row>
    <row r="145" spans="1:26">
      <c r="A145" t="s">
        <v>284</v>
      </c>
      <c r="B145" t="s">
        <v>213</v>
      </c>
      <c r="C145" t="s">
        <v>117</v>
      </c>
      <c r="D145" s="5">
        <v>0.46121682250229101</v>
      </c>
      <c r="E145" s="5">
        <v>0.61315150052407896</v>
      </c>
      <c r="F145" s="5">
        <v>0.75220695392260295</v>
      </c>
      <c r="G145" s="5">
        <v>0.81027808482608099</v>
      </c>
      <c r="H145" s="5">
        <v>0.81027808483142105</v>
      </c>
      <c r="I145" s="5">
        <v>0.38684849947592098</v>
      </c>
      <c r="J145" s="5">
        <v>0.83819353008840802</v>
      </c>
      <c r="K145" s="66">
        <v>8784</v>
      </c>
      <c r="L145" s="66">
        <v>3398.0772193964899</v>
      </c>
      <c r="M145" s="66">
        <v>552.51805552430994</v>
      </c>
      <c r="O145" s="66">
        <v>552.51805552430994</v>
      </c>
      <c r="P145" s="66">
        <v>5385.9227806035096</v>
      </c>
      <c r="Q145" s="66">
        <v>1334.6547195875501</v>
      </c>
      <c r="R145" s="66">
        <v>4051.32856886012</v>
      </c>
      <c r="S145" s="66">
        <v>-6.0507844163408799E-2</v>
      </c>
      <c r="T145" t="s">
        <v>564</v>
      </c>
      <c r="U145" t="s">
        <v>386</v>
      </c>
      <c r="V145" t="s">
        <v>385</v>
      </c>
      <c r="W145" t="s">
        <v>385</v>
      </c>
      <c r="X145" t="b">
        <v>0</v>
      </c>
      <c r="Y145" t="s">
        <v>488</v>
      </c>
      <c r="Z145">
        <v>1</v>
      </c>
    </row>
    <row r="146" spans="1:26">
      <c r="A146" t="s">
        <v>284</v>
      </c>
      <c r="B146" t="s">
        <v>214</v>
      </c>
      <c r="C146" t="s">
        <v>117</v>
      </c>
      <c r="D146" s="5">
        <v>0.34717171017358001</v>
      </c>
      <c r="E146" s="5">
        <v>0.51316329576157904</v>
      </c>
      <c r="F146" s="5">
        <v>0.67653262234655098</v>
      </c>
      <c r="G146" s="5">
        <v>0.77965464811854202</v>
      </c>
      <c r="H146" s="5">
        <v>0.763190923957208</v>
      </c>
      <c r="I146" s="5">
        <v>0.48683670423842101</v>
      </c>
      <c r="J146" s="5">
        <v>0.73816446551200499</v>
      </c>
      <c r="K146" s="66">
        <v>8784</v>
      </c>
      <c r="L146" s="66">
        <v>4276.3736100302904</v>
      </c>
      <c r="M146" s="66">
        <v>376.356944413973</v>
      </c>
      <c r="N146" s="66">
        <v>44.556944416627502</v>
      </c>
      <c r="O146" s="66">
        <v>331.79999999734599</v>
      </c>
      <c r="P146" s="66">
        <v>4507.6263899697096</v>
      </c>
      <c r="Q146" s="66">
        <v>1457.1863880466601</v>
      </c>
      <c r="R146" s="66">
        <v>3049.5563021647299</v>
      </c>
      <c r="S146" s="66">
        <v>0.88369975832088798</v>
      </c>
      <c r="T146" t="s">
        <v>564</v>
      </c>
      <c r="U146" t="s">
        <v>386</v>
      </c>
      <c r="V146" t="s">
        <v>385</v>
      </c>
      <c r="W146" t="s">
        <v>385</v>
      </c>
      <c r="X146" t="b">
        <v>0</v>
      </c>
      <c r="Y146" t="s">
        <v>489</v>
      </c>
      <c r="Z146">
        <v>1</v>
      </c>
    </row>
    <row r="147" spans="1:26">
      <c r="A147" t="s">
        <v>284</v>
      </c>
      <c r="B147" t="s">
        <v>215</v>
      </c>
      <c r="C147" t="s">
        <v>117</v>
      </c>
      <c r="D147" s="5">
        <v>0.47951681135850499</v>
      </c>
      <c r="E147" s="5">
        <v>0.59812926929352805</v>
      </c>
      <c r="F147" s="5">
        <v>0.80169427576229402</v>
      </c>
      <c r="G147" s="5">
        <v>0.87964276307006295</v>
      </c>
      <c r="H147" s="5">
        <v>0.87964276307128697</v>
      </c>
      <c r="I147" s="5">
        <v>0.401870730706471</v>
      </c>
      <c r="J147" s="5">
        <v>0.858784132011154</v>
      </c>
      <c r="K147" s="66">
        <v>8784</v>
      </c>
      <c r="L147" s="66">
        <v>3530.0324985256402</v>
      </c>
      <c r="M147" s="66">
        <v>349.27083328020802</v>
      </c>
      <c r="N147" s="66">
        <v>24.179166649999999</v>
      </c>
      <c r="O147" s="66">
        <v>325.09166663020801</v>
      </c>
      <c r="P147" s="66">
        <v>5253.9675014743498</v>
      </c>
      <c r="Q147" s="66">
        <v>1044.18611014679</v>
      </c>
      <c r="R147" s="66">
        <v>4212.0756709731104</v>
      </c>
      <c r="S147" s="66">
        <v>-2.2942796455438899</v>
      </c>
      <c r="T147" t="s">
        <v>564</v>
      </c>
      <c r="U147" t="s">
        <v>386</v>
      </c>
      <c r="V147" t="s">
        <v>385</v>
      </c>
      <c r="W147" t="s">
        <v>385</v>
      </c>
      <c r="X147" t="b">
        <v>0</v>
      </c>
      <c r="Y147" t="s">
        <v>490</v>
      </c>
      <c r="Z147">
        <v>1</v>
      </c>
    </row>
    <row r="148" spans="1:26">
      <c r="A148" t="s">
        <v>284</v>
      </c>
      <c r="B148" t="s">
        <v>216</v>
      </c>
      <c r="C148" t="s">
        <v>117</v>
      </c>
      <c r="D148" s="5">
        <v>0.442868974645237</v>
      </c>
      <c r="E148" s="5">
        <v>0.52594085219494202</v>
      </c>
      <c r="F148" s="5">
        <v>0.84205091275375099</v>
      </c>
      <c r="G148" s="5">
        <v>0.86533659577931599</v>
      </c>
      <c r="H148" s="5">
        <v>0.83009048315559397</v>
      </c>
      <c r="I148" s="5">
        <v>0.47405914780505798</v>
      </c>
      <c r="J148" s="5">
        <v>0.91276577301514195</v>
      </c>
      <c r="K148" s="66">
        <v>8784</v>
      </c>
      <c r="L148" s="66">
        <v>4164.1355543196296</v>
      </c>
      <c r="M148" s="66">
        <v>357.91555551397897</v>
      </c>
      <c r="N148" s="66">
        <v>21.9155555166667</v>
      </c>
      <c r="O148" s="66">
        <v>335.99999999731199</v>
      </c>
      <c r="P148" s="66">
        <v>4619.8644456803704</v>
      </c>
      <c r="Q148" s="66">
        <v>729.64361008028698</v>
      </c>
      <c r="R148" s="66">
        <v>3890.1610732837598</v>
      </c>
      <c r="S148" s="66">
        <v>5.9762316328201899E-2</v>
      </c>
      <c r="T148" t="s">
        <v>564</v>
      </c>
      <c r="U148" t="s">
        <v>386</v>
      </c>
      <c r="V148" t="s">
        <v>385</v>
      </c>
      <c r="W148" t="s">
        <v>384</v>
      </c>
      <c r="X148" t="b">
        <v>0</v>
      </c>
      <c r="Y148" t="s">
        <v>491</v>
      </c>
      <c r="Z148">
        <v>1</v>
      </c>
    </row>
    <row r="149" spans="1:26">
      <c r="A149" t="s">
        <v>285</v>
      </c>
      <c r="B149" t="s">
        <v>217</v>
      </c>
      <c r="C149" t="s">
        <v>117</v>
      </c>
      <c r="D149" s="5">
        <v>0.69201337928087703</v>
      </c>
      <c r="E149" s="5">
        <v>0.92752267381547604</v>
      </c>
      <c r="F149" s="5">
        <v>0.74608783032138404</v>
      </c>
      <c r="G149" s="5">
        <v>0.72385786207534397</v>
      </c>
      <c r="H149" s="5">
        <v>0.74869431455941704</v>
      </c>
      <c r="I149" s="5">
        <v>7.2477326184524099E-2</v>
      </c>
      <c r="J149" s="5">
        <v>0.777620570013832</v>
      </c>
      <c r="K149" s="66">
        <v>8784</v>
      </c>
      <c r="L149" s="66">
        <v>636.64083320485997</v>
      </c>
      <c r="M149" s="66">
        <v>330.37777766458402</v>
      </c>
      <c r="N149" s="66">
        <v>98.919444333333303</v>
      </c>
      <c r="O149" s="66">
        <v>231.45833333125</v>
      </c>
      <c r="P149" s="66">
        <v>8147.3591667951396</v>
      </c>
      <c r="Q149" s="66">
        <v>2039.3952595309099</v>
      </c>
      <c r="R149" s="66">
        <v>6078.6455236032198</v>
      </c>
      <c r="S149" s="66">
        <v>29.3183836610024</v>
      </c>
      <c r="T149" t="s">
        <v>564</v>
      </c>
      <c r="U149" t="s">
        <v>386</v>
      </c>
      <c r="V149" t="s">
        <v>385</v>
      </c>
      <c r="W149" t="s">
        <v>384</v>
      </c>
      <c r="X149" t="b">
        <v>0</v>
      </c>
      <c r="Y149" t="s">
        <v>802</v>
      </c>
      <c r="Z149">
        <v>1</v>
      </c>
    </row>
    <row r="150" spans="1:26">
      <c r="A150" t="s">
        <v>286</v>
      </c>
      <c r="B150" t="s">
        <v>218</v>
      </c>
      <c r="C150" t="s">
        <v>116</v>
      </c>
      <c r="D150" s="5">
        <v>0.78086425259130399</v>
      </c>
      <c r="E150" s="5">
        <v>0.80922702464637597</v>
      </c>
      <c r="F150" s="5">
        <v>0.96495078489566399</v>
      </c>
      <c r="G150" s="5">
        <v>0.93680925749768695</v>
      </c>
      <c r="H150" s="5">
        <v>0.93194494236102698</v>
      </c>
      <c r="I150" s="5">
        <v>0.190772975353624</v>
      </c>
      <c r="J150" s="5">
        <v>0.97414377953652298</v>
      </c>
      <c r="K150" s="66">
        <v>8784</v>
      </c>
      <c r="L150" s="66">
        <v>1675.7498155062301</v>
      </c>
      <c r="M150" s="66">
        <v>67.080555483324304</v>
      </c>
      <c r="N150" s="66">
        <v>51.189722149990999</v>
      </c>
      <c r="O150" s="66">
        <v>15.890833333333299</v>
      </c>
      <c r="P150" s="66">
        <v>7108.2501844937697</v>
      </c>
      <c r="Q150" s="66">
        <v>244.80317880421299</v>
      </c>
      <c r="R150" s="66">
        <v>6859.1115947620101</v>
      </c>
      <c r="S150" s="66">
        <v>4.3354109275430499</v>
      </c>
      <c r="T150" t="s">
        <v>564</v>
      </c>
      <c r="U150" t="s">
        <v>383</v>
      </c>
      <c r="V150" t="s">
        <v>384</v>
      </c>
      <c r="W150" t="s">
        <v>384</v>
      </c>
      <c r="X150" t="b">
        <v>0</v>
      </c>
      <c r="Y150" t="s">
        <v>492</v>
      </c>
      <c r="Z150">
        <v>1</v>
      </c>
    </row>
    <row r="151" spans="1:26">
      <c r="A151" t="s">
        <v>286</v>
      </c>
      <c r="B151" t="s">
        <v>219</v>
      </c>
      <c r="C151" t="s">
        <v>116</v>
      </c>
      <c r="D151" s="5">
        <v>0.81121527408397398</v>
      </c>
      <c r="E151" s="5">
        <v>0.84462648664922302</v>
      </c>
      <c r="F151" s="5">
        <v>0.96044261801710995</v>
      </c>
      <c r="G151" s="5">
        <v>0.93981703837959196</v>
      </c>
      <c r="H151" s="5">
        <v>0.92218789750733898</v>
      </c>
      <c r="I151" s="5">
        <v>0.15537351335077701</v>
      </c>
      <c r="J151" s="5">
        <v>0.96868015333527402</v>
      </c>
      <c r="K151" s="66">
        <v>8784</v>
      </c>
      <c r="L151" s="66">
        <v>1364.8009412732199</v>
      </c>
      <c r="M151" s="66">
        <v>63.091944299990999</v>
      </c>
      <c r="N151" s="66">
        <v>43.905277666660702</v>
      </c>
      <c r="O151" s="66">
        <v>19.186666633330301</v>
      </c>
      <c r="P151" s="66">
        <v>7419.1990587267701</v>
      </c>
      <c r="Q151" s="66">
        <v>308.35510462696902</v>
      </c>
      <c r="R151" s="66">
        <v>7125.7149675536302</v>
      </c>
      <c r="S151" s="66">
        <v>-14.8710134538207</v>
      </c>
      <c r="T151" t="s">
        <v>564</v>
      </c>
      <c r="U151" t="s">
        <v>383</v>
      </c>
      <c r="V151" t="s">
        <v>384</v>
      </c>
      <c r="W151" t="s">
        <v>384</v>
      </c>
      <c r="X151" t="b">
        <v>0</v>
      </c>
      <c r="Y151" t="s">
        <v>493</v>
      </c>
      <c r="Z151">
        <v>1</v>
      </c>
    </row>
    <row r="152" spans="1:26">
      <c r="A152" t="s">
        <v>286</v>
      </c>
      <c r="B152" t="s">
        <v>1071</v>
      </c>
      <c r="C152" t="s">
        <v>117</v>
      </c>
      <c r="D152" s="5">
        <v>8.0185335357551499E-3</v>
      </c>
      <c r="E152" s="5">
        <v>0.97963231759782099</v>
      </c>
      <c r="F152" s="5">
        <v>8.1852480688035904E-3</v>
      </c>
      <c r="G152" s="5">
        <v>5.0653859005501498E-2</v>
      </c>
      <c r="H152" s="5">
        <v>5.0616867731016001E-2</v>
      </c>
      <c r="I152" s="5">
        <v>2.0367682402179101E-2</v>
      </c>
      <c r="J152" s="5">
        <v>8.1852480688035904E-3</v>
      </c>
      <c r="K152" s="66">
        <v>8784</v>
      </c>
      <c r="L152" s="66">
        <v>178.909722220742</v>
      </c>
      <c r="P152" s="66">
        <v>8605.0902777792598</v>
      </c>
      <c r="Q152" s="66">
        <v>7370.0602768573899</v>
      </c>
      <c r="R152" s="66">
        <v>70.434798578073298</v>
      </c>
      <c r="S152" s="66">
        <v>1164.5952023437901</v>
      </c>
      <c r="T152" t="s">
        <v>564</v>
      </c>
      <c r="U152" t="s">
        <v>386</v>
      </c>
      <c r="V152" t="s">
        <v>385</v>
      </c>
      <c r="W152" t="s">
        <v>385</v>
      </c>
      <c r="X152" t="b">
        <v>0</v>
      </c>
      <c r="Y152" t="s">
        <v>1072</v>
      </c>
      <c r="Z152">
        <v>1</v>
      </c>
    </row>
    <row r="153" spans="1:26">
      <c r="A153" t="s">
        <v>388</v>
      </c>
      <c r="B153" t="s">
        <v>353</v>
      </c>
      <c r="C153" t="s">
        <v>117</v>
      </c>
      <c r="D153" s="5">
        <v>0.50946781891294002</v>
      </c>
      <c r="E153" s="5">
        <v>0.58636501353006898</v>
      </c>
      <c r="F153" s="5">
        <v>0.86885780556007697</v>
      </c>
      <c r="G153" s="5">
        <v>0.85667093248732995</v>
      </c>
      <c r="H153" s="5">
        <v>0.86548062065972198</v>
      </c>
      <c r="I153" s="5">
        <v>0.41363498646993102</v>
      </c>
      <c r="J153" s="5">
        <v>0.91805173216939895</v>
      </c>
      <c r="K153" s="66">
        <v>8784</v>
      </c>
      <c r="L153" s="66">
        <v>3633.3697211518802</v>
      </c>
      <c r="M153" s="66">
        <v>275.99722221606498</v>
      </c>
      <c r="O153" s="66">
        <v>275.99722221606498</v>
      </c>
      <c r="P153" s="66">
        <v>5150.6302788481198</v>
      </c>
      <c r="Q153" s="66">
        <v>676.38712295260905</v>
      </c>
      <c r="R153" s="66">
        <v>4475.1653213312702</v>
      </c>
      <c r="S153" s="66">
        <v>-0.92216543575134702</v>
      </c>
      <c r="T153" t="s">
        <v>564</v>
      </c>
      <c r="U153" t="s">
        <v>386</v>
      </c>
      <c r="V153" t="s">
        <v>385</v>
      </c>
      <c r="W153" t="s">
        <v>384</v>
      </c>
      <c r="X153" t="b">
        <v>0</v>
      </c>
      <c r="Y153" t="s">
        <v>494</v>
      </c>
      <c r="Z153">
        <v>1</v>
      </c>
    </row>
    <row r="154" spans="1:26">
      <c r="A154" t="s">
        <v>620</v>
      </c>
      <c r="B154" t="s">
        <v>621</v>
      </c>
      <c r="C154" t="s">
        <v>116</v>
      </c>
      <c r="D154" s="5">
        <v>0.50011794786589903</v>
      </c>
      <c r="E154" s="5">
        <v>0.50600285765247899</v>
      </c>
      <c r="F154" s="5">
        <v>0.98836980918668704</v>
      </c>
      <c r="G154" s="5">
        <v>0.98254147583399698</v>
      </c>
      <c r="H154" s="5">
        <v>0.98240204115569296</v>
      </c>
      <c r="I154" s="5">
        <v>0.49399714234752101</v>
      </c>
      <c r="J154" s="5">
        <v>0.99692876677291797</v>
      </c>
      <c r="K154" s="66">
        <v>8784</v>
      </c>
      <c r="L154" s="66">
        <v>4339.2708983806297</v>
      </c>
      <c r="M154" s="66">
        <v>38.159444416666702</v>
      </c>
      <c r="N154" s="66">
        <v>6.1605555499999998</v>
      </c>
      <c r="O154" s="66">
        <v>31.9988888666667</v>
      </c>
      <c r="P154" s="66">
        <v>4444.7291016193703</v>
      </c>
      <c r="Q154" s="66">
        <v>53.526944216664297</v>
      </c>
      <c r="R154" s="66">
        <v>4393.0360540540496</v>
      </c>
      <c r="S154" s="66">
        <v>-1.8338966513457799</v>
      </c>
      <c r="T154" t="s">
        <v>564</v>
      </c>
      <c r="U154" t="s">
        <v>386</v>
      </c>
      <c r="V154" t="s">
        <v>384</v>
      </c>
      <c r="W154" t="s">
        <v>384</v>
      </c>
      <c r="X154" t="b">
        <v>0</v>
      </c>
      <c r="Y154" t="s">
        <v>622</v>
      </c>
      <c r="Z154">
        <v>1</v>
      </c>
    </row>
    <row r="155" spans="1:26">
      <c r="A155" t="s">
        <v>392</v>
      </c>
      <c r="B155" t="s">
        <v>395</v>
      </c>
      <c r="C155" t="s">
        <v>117</v>
      </c>
      <c r="D155" s="5">
        <v>0.68308907741189395</v>
      </c>
      <c r="E155" s="5">
        <v>0.90050015179682796</v>
      </c>
      <c r="F155" s="5">
        <v>0.75856631012097098</v>
      </c>
      <c r="G155" s="5">
        <v>0.89034580460858603</v>
      </c>
      <c r="H155" s="5">
        <v>0.89034580460858603</v>
      </c>
      <c r="I155" s="5">
        <v>9.9499848203172397E-2</v>
      </c>
      <c r="J155" s="5">
        <v>0.98615326241604995</v>
      </c>
      <c r="K155" s="66">
        <v>8784</v>
      </c>
      <c r="L155" s="66">
        <v>874.00666661666696</v>
      </c>
      <c r="M155" s="66">
        <v>1825.48833333333</v>
      </c>
      <c r="N155" s="66">
        <v>255.535</v>
      </c>
      <c r="O155" s="66">
        <v>1569.95333333333</v>
      </c>
      <c r="P155" s="66">
        <v>7909.9933333833396</v>
      </c>
      <c r="Q155" s="66">
        <v>1912.37519092098</v>
      </c>
      <c r="R155" s="66">
        <v>6000.2544559860798</v>
      </c>
      <c r="S155" s="66">
        <v>-2.6363135237279001</v>
      </c>
      <c r="T155" t="s">
        <v>564</v>
      </c>
      <c r="U155" t="s">
        <v>386</v>
      </c>
      <c r="V155" t="s">
        <v>385</v>
      </c>
      <c r="W155" t="s">
        <v>384</v>
      </c>
      <c r="X155" t="b">
        <v>0</v>
      </c>
      <c r="Y155" t="s">
        <v>1227</v>
      </c>
      <c r="Z155">
        <v>1</v>
      </c>
    </row>
    <row r="156" spans="1:26">
      <c r="A156" t="s">
        <v>392</v>
      </c>
      <c r="B156" t="s">
        <v>354</v>
      </c>
      <c r="C156" t="s">
        <v>117</v>
      </c>
      <c r="D156" s="5">
        <v>0.63601011961770404</v>
      </c>
      <c r="E156" s="5">
        <v>0.90156958359707096</v>
      </c>
      <c r="F156" s="5">
        <v>0.70544762288913898</v>
      </c>
      <c r="G156" s="5">
        <v>0.83808564316498002</v>
      </c>
      <c r="H156" s="5">
        <v>0.83808564316497902</v>
      </c>
      <c r="I156" s="5">
        <v>9.8430416402929599E-2</v>
      </c>
      <c r="J156" s="5">
        <v>0.92734204290426903</v>
      </c>
      <c r="K156" s="66">
        <v>8784</v>
      </c>
      <c r="L156" s="66">
        <v>864.61277768333298</v>
      </c>
      <c r="M156" s="66">
        <v>1894.9511110999999</v>
      </c>
      <c r="N156" s="66">
        <v>188.26416666666699</v>
      </c>
      <c r="O156" s="66">
        <v>1706.6869444333299</v>
      </c>
      <c r="P156" s="66">
        <v>7919.38722231667</v>
      </c>
      <c r="Q156" s="66">
        <v>2332.7108569003199</v>
      </c>
      <c r="R156" s="66">
        <v>5586.7128907219103</v>
      </c>
      <c r="S156" s="66">
        <v>-3.6525305565563902E-2</v>
      </c>
      <c r="T156" t="s">
        <v>564</v>
      </c>
      <c r="U156" t="s">
        <v>386</v>
      </c>
      <c r="V156" t="s">
        <v>385</v>
      </c>
      <c r="W156" t="s">
        <v>384</v>
      </c>
      <c r="X156" t="b">
        <v>0</v>
      </c>
      <c r="Y156" t="s">
        <v>1228</v>
      </c>
      <c r="Z156">
        <v>1</v>
      </c>
    </row>
    <row r="157" spans="1:26">
      <c r="A157" t="s">
        <v>392</v>
      </c>
      <c r="B157" t="s">
        <v>355</v>
      </c>
      <c r="C157" t="s">
        <v>117</v>
      </c>
      <c r="D157" s="5">
        <v>0.61846747571029403</v>
      </c>
      <c r="E157" s="5">
        <v>0.871674445968048</v>
      </c>
      <c r="F157" s="5">
        <v>0.70951658451275101</v>
      </c>
      <c r="G157" s="5">
        <v>0.81866723880059999</v>
      </c>
      <c r="H157" s="5">
        <v>0.81866723880059999</v>
      </c>
      <c r="I157" s="5">
        <v>0.128325554031952</v>
      </c>
      <c r="J157" s="5">
        <v>0.95681870035850303</v>
      </c>
      <c r="K157" s="66">
        <v>8784</v>
      </c>
      <c r="L157" s="66">
        <v>1127.2116666166701</v>
      </c>
      <c r="M157" s="66">
        <v>1978.9955554999999</v>
      </c>
      <c r="N157" s="66">
        <v>106.65194441666701</v>
      </c>
      <c r="O157" s="66">
        <v>1872.34361108333</v>
      </c>
      <c r="P157" s="66">
        <v>7656.7883333833297</v>
      </c>
      <c r="Q157" s="66">
        <v>2223.33765101877</v>
      </c>
      <c r="R157" s="66">
        <v>5432.6183066392296</v>
      </c>
      <c r="S157" s="66">
        <v>0.83237572533716198</v>
      </c>
      <c r="T157" t="s">
        <v>564</v>
      </c>
      <c r="U157" t="s">
        <v>386</v>
      </c>
      <c r="V157" t="s">
        <v>385</v>
      </c>
      <c r="W157" t="s">
        <v>384</v>
      </c>
      <c r="X157" t="b">
        <v>0</v>
      </c>
      <c r="Y157" t="s">
        <v>1229</v>
      </c>
      <c r="Z157">
        <v>1</v>
      </c>
    </row>
    <row r="158" spans="1:26">
      <c r="A158" t="s">
        <v>392</v>
      </c>
      <c r="B158" t="s">
        <v>356</v>
      </c>
      <c r="C158" t="s">
        <v>117</v>
      </c>
      <c r="D158" s="5">
        <v>0.58979025475760904</v>
      </c>
      <c r="E158" s="5">
        <v>0.85077612705866701</v>
      </c>
      <c r="F158" s="5">
        <v>0.69323789890138598</v>
      </c>
      <c r="G158" s="5">
        <v>0.84312496585901497</v>
      </c>
      <c r="H158" s="5">
        <v>0.84312496585901398</v>
      </c>
      <c r="I158" s="5">
        <v>0.14922387294133299</v>
      </c>
      <c r="J158" s="5">
        <v>0.92741175588449198</v>
      </c>
      <c r="K158" s="66">
        <v>8784</v>
      </c>
      <c r="L158" s="66">
        <v>1310.7824999166701</v>
      </c>
      <c r="M158" s="66">
        <v>1887.00666663333</v>
      </c>
      <c r="N158" s="66">
        <v>240.013888866667</v>
      </c>
      <c r="O158" s="66">
        <v>1646.9927777666701</v>
      </c>
      <c r="P158" s="66">
        <v>7473.2175000833304</v>
      </c>
      <c r="Q158" s="66">
        <v>2292.47497300135</v>
      </c>
      <c r="R158" s="66">
        <v>5180.71759779084</v>
      </c>
      <c r="S158" s="66">
        <v>2.4929291146194601E-2</v>
      </c>
      <c r="T158" t="s">
        <v>564</v>
      </c>
      <c r="U158" t="s">
        <v>386</v>
      </c>
      <c r="V158" t="s">
        <v>385</v>
      </c>
      <c r="W158" t="s">
        <v>384</v>
      </c>
      <c r="X158" t="b">
        <v>0</v>
      </c>
      <c r="Y158" t="s">
        <v>1230</v>
      </c>
      <c r="Z158">
        <v>1</v>
      </c>
    </row>
    <row r="159" spans="1:26">
      <c r="A159" t="s">
        <v>392</v>
      </c>
      <c r="B159" t="s">
        <v>1263</v>
      </c>
      <c r="C159" t="s">
        <v>117</v>
      </c>
      <c r="D159" s="5">
        <v>0.29552796841221401</v>
      </c>
      <c r="E159" s="5">
        <v>0.89907160745104797</v>
      </c>
      <c r="F159" s="5">
        <v>0.32870348252912102</v>
      </c>
      <c r="G159" s="5">
        <v>0.40247275158852702</v>
      </c>
      <c r="H159" s="5">
        <v>0.40247275158852702</v>
      </c>
      <c r="I159" s="5">
        <v>0.100928392548953</v>
      </c>
      <c r="J159" s="5">
        <v>0.43242392124343898</v>
      </c>
      <c r="K159" s="66">
        <v>8784</v>
      </c>
      <c r="L159" s="66">
        <v>886.55500014999996</v>
      </c>
      <c r="M159" s="66">
        <v>1894.2672222000001</v>
      </c>
      <c r="N159" s="66">
        <v>44.280555533333299</v>
      </c>
      <c r="O159" s="66">
        <v>1849.9866666666701</v>
      </c>
      <c r="P159" s="66">
        <v>7897.4449998500004</v>
      </c>
      <c r="Q159" s="66">
        <v>5302.6649917987897</v>
      </c>
      <c r="R159" s="66">
        <v>2595.91767453289</v>
      </c>
      <c r="S159" s="66">
        <v>-1.1376664816795099</v>
      </c>
      <c r="T159" t="s">
        <v>564</v>
      </c>
      <c r="U159" t="s">
        <v>386</v>
      </c>
      <c r="V159" t="s">
        <v>385</v>
      </c>
      <c r="W159" t="s">
        <v>385</v>
      </c>
      <c r="X159" t="b">
        <v>0</v>
      </c>
      <c r="Y159" t="s">
        <v>1264</v>
      </c>
      <c r="Z159">
        <v>1</v>
      </c>
    </row>
    <row r="160" spans="1:26">
      <c r="A160" t="s">
        <v>42</v>
      </c>
      <c r="B160" t="s">
        <v>43</v>
      </c>
      <c r="C160" t="s">
        <v>116</v>
      </c>
      <c r="D160" s="5">
        <v>0.43376973284760201</v>
      </c>
      <c r="E160" s="5">
        <v>0.59339909397104595</v>
      </c>
      <c r="F160" s="5">
        <v>0.73099156580236901</v>
      </c>
      <c r="G160" s="5">
        <v>0.90573743220992997</v>
      </c>
      <c r="H160" s="5">
        <v>0.90573743220992997</v>
      </c>
      <c r="I160" s="5">
        <v>0.40660090602895399</v>
      </c>
      <c r="J160" s="5">
        <v>0.88329508593517803</v>
      </c>
      <c r="K160" s="66">
        <v>8784</v>
      </c>
      <c r="L160" s="66">
        <v>3571.5823585583298</v>
      </c>
      <c r="M160" s="66">
        <v>898.75916648333305</v>
      </c>
      <c r="N160" s="66">
        <v>122.5933332</v>
      </c>
      <c r="O160" s="66">
        <v>776.16583328333297</v>
      </c>
      <c r="P160" s="66">
        <v>5212.4176414416697</v>
      </c>
      <c r="Q160" s="66">
        <v>1402.1510394670499</v>
      </c>
      <c r="R160" s="66">
        <v>3810.2333333333299</v>
      </c>
      <c r="S160" s="66">
        <v>3.32686412813595E-2</v>
      </c>
      <c r="T160" t="s">
        <v>564</v>
      </c>
      <c r="U160" t="s">
        <v>386</v>
      </c>
      <c r="V160" t="s">
        <v>385</v>
      </c>
      <c r="W160" t="s">
        <v>384</v>
      </c>
      <c r="X160" t="b">
        <v>0</v>
      </c>
      <c r="Y160" t="s">
        <v>495</v>
      </c>
      <c r="Z160">
        <v>1</v>
      </c>
    </row>
    <row r="161" spans="1:26">
      <c r="A161" t="s">
        <v>42</v>
      </c>
      <c r="B161" t="s">
        <v>44</v>
      </c>
      <c r="C161" t="s">
        <v>116</v>
      </c>
      <c r="D161" s="5">
        <v>0.49094048838797799</v>
      </c>
      <c r="E161" s="5">
        <v>0.77735119734555502</v>
      </c>
      <c r="F161" s="5">
        <v>0.631555582681814</v>
      </c>
      <c r="G161" s="5">
        <v>0.87856210702821302</v>
      </c>
      <c r="H161" s="5">
        <v>0.88313870324177102</v>
      </c>
      <c r="I161" s="5">
        <v>0.222648802654445</v>
      </c>
      <c r="J161" s="5">
        <v>0.73940916332222795</v>
      </c>
      <c r="K161" s="66">
        <v>8784</v>
      </c>
      <c r="L161" s="66">
        <v>1955.7470825166399</v>
      </c>
      <c r="M161" s="66">
        <v>996</v>
      </c>
      <c r="O161" s="66">
        <v>996</v>
      </c>
      <c r="P161" s="66">
        <v>6828.2529174833599</v>
      </c>
      <c r="Q161" s="66">
        <v>2503.4241664166102</v>
      </c>
      <c r="R161" s="66">
        <v>4312.4212499999903</v>
      </c>
      <c r="S161" s="66">
        <v>12.4075010667508</v>
      </c>
      <c r="T161" t="s">
        <v>564</v>
      </c>
      <c r="U161" t="s">
        <v>386</v>
      </c>
      <c r="V161" t="s">
        <v>385</v>
      </c>
      <c r="W161" t="s">
        <v>384</v>
      </c>
      <c r="X161" t="b">
        <v>0</v>
      </c>
      <c r="Y161" t="s">
        <v>803</v>
      </c>
      <c r="Z161">
        <v>1</v>
      </c>
    </row>
    <row r="162" spans="1:26">
      <c r="A162" t="s">
        <v>42</v>
      </c>
      <c r="B162" t="s">
        <v>45</v>
      </c>
      <c r="C162" t="s">
        <v>116</v>
      </c>
      <c r="D162" s="5">
        <v>0.397258652094718</v>
      </c>
      <c r="E162" s="5">
        <v>0.64677262139067804</v>
      </c>
      <c r="F162" s="5">
        <v>0.61421686533443498</v>
      </c>
      <c r="G162" s="5">
        <v>0.87505453950492296</v>
      </c>
      <c r="H162" s="5">
        <v>0.87505453950493095</v>
      </c>
      <c r="I162" s="5">
        <v>0.35322737860932202</v>
      </c>
      <c r="J162" s="5">
        <v>0.73997657940419803</v>
      </c>
      <c r="K162" s="66">
        <v>8784</v>
      </c>
      <c r="L162" s="66">
        <v>3102.7492937042798</v>
      </c>
      <c r="M162" s="66">
        <v>965.53388886666698</v>
      </c>
      <c r="N162" s="66">
        <v>1.39916666666667</v>
      </c>
      <c r="O162" s="66">
        <v>964.13472220000006</v>
      </c>
      <c r="P162" s="66">
        <v>5681.2507062957102</v>
      </c>
      <c r="Q162" s="66">
        <v>2191.8661111332999</v>
      </c>
      <c r="R162" s="66">
        <v>3489.52</v>
      </c>
      <c r="S162" s="66">
        <v>-0.135404837582736</v>
      </c>
      <c r="T162" t="s">
        <v>564</v>
      </c>
      <c r="U162" t="s">
        <v>386</v>
      </c>
      <c r="V162" t="s">
        <v>385</v>
      </c>
      <c r="W162" t="s">
        <v>384</v>
      </c>
      <c r="X162" t="b">
        <v>0</v>
      </c>
      <c r="Y162" t="s">
        <v>496</v>
      </c>
      <c r="Z162">
        <v>1</v>
      </c>
    </row>
    <row r="163" spans="1:26">
      <c r="A163" t="s">
        <v>804</v>
      </c>
      <c r="B163" t="s">
        <v>805</v>
      </c>
      <c r="C163" t="s">
        <v>116</v>
      </c>
      <c r="D163" s="5">
        <v>0.402146563872817</v>
      </c>
      <c r="E163" s="5">
        <v>0.45731212751973299</v>
      </c>
      <c r="F163" s="5">
        <v>0.87936999627341905</v>
      </c>
      <c r="G163" s="5">
        <v>0.40071085314077798</v>
      </c>
      <c r="H163" s="5">
        <v>0.40071085314077898</v>
      </c>
      <c r="I163" s="5">
        <v>0.54268787248026695</v>
      </c>
      <c r="J163" s="5">
        <v>0.87936999627342005</v>
      </c>
      <c r="K163" s="66">
        <v>8784</v>
      </c>
      <c r="L163" s="66">
        <v>4766.9702718666704</v>
      </c>
      <c r="P163" s="66">
        <v>4017.0297281333301</v>
      </c>
      <c r="Q163" s="66">
        <v>636.57888813264105</v>
      </c>
      <c r="R163" s="66">
        <v>3532.4554170588299</v>
      </c>
      <c r="S163" s="66">
        <v>-152.00457705813201</v>
      </c>
      <c r="T163" t="s">
        <v>564</v>
      </c>
      <c r="U163" t="s">
        <v>386</v>
      </c>
      <c r="V163" t="s">
        <v>385</v>
      </c>
      <c r="W163" t="s">
        <v>385</v>
      </c>
      <c r="X163" t="b">
        <v>1</v>
      </c>
      <c r="Y163" t="s">
        <v>806</v>
      </c>
      <c r="Z163">
        <v>1</v>
      </c>
    </row>
    <row r="164" spans="1:26">
      <c r="A164" t="s">
        <v>382</v>
      </c>
      <c r="B164" t="s">
        <v>807</v>
      </c>
      <c r="C164" t="s">
        <v>117</v>
      </c>
      <c r="D164" s="5">
        <v>0.30248750535771801</v>
      </c>
      <c r="E164" s="5">
        <v>0.98788434781232004</v>
      </c>
      <c r="F164" s="5">
        <v>0.30619728516559602</v>
      </c>
      <c r="G164" s="5">
        <v>0.41241249195896801</v>
      </c>
      <c r="H164" s="5">
        <v>0.41197614627857099</v>
      </c>
      <c r="I164" s="5">
        <v>1.21156521876799E-2</v>
      </c>
      <c r="J164" s="5">
        <v>0.31804456793476699</v>
      </c>
      <c r="K164" s="66">
        <v>8784</v>
      </c>
      <c r="L164" s="66">
        <v>106.42388881658</v>
      </c>
      <c r="M164" s="66">
        <v>323.24305554961597</v>
      </c>
      <c r="N164" s="66">
        <v>83.243055549855995</v>
      </c>
      <c r="O164" s="66">
        <v>239.99999999976001</v>
      </c>
      <c r="P164" s="66">
        <v>8677.5761111834199</v>
      </c>
      <c r="Q164" s="66">
        <v>5932.8972648135896</v>
      </c>
      <c r="R164" s="66">
        <v>2657.0502470622</v>
      </c>
      <c r="S164" s="66">
        <v>87.628599307629699</v>
      </c>
      <c r="T164" t="s">
        <v>564</v>
      </c>
      <c r="U164" t="s">
        <v>383</v>
      </c>
      <c r="V164" t="s">
        <v>384</v>
      </c>
      <c r="W164" t="s">
        <v>384</v>
      </c>
      <c r="X164" t="b">
        <v>0</v>
      </c>
      <c r="Y164" t="s">
        <v>1073</v>
      </c>
      <c r="Z164">
        <v>1</v>
      </c>
    </row>
    <row r="165" spans="1:26">
      <c r="A165" t="s">
        <v>382</v>
      </c>
      <c r="B165" t="s">
        <v>808</v>
      </c>
      <c r="C165" t="s">
        <v>117</v>
      </c>
      <c r="D165" s="5">
        <v>0.69572653562032005</v>
      </c>
      <c r="E165" s="5">
        <v>1</v>
      </c>
      <c r="F165" s="5">
        <v>0.69572653562032005</v>
      </c>
      <c r="G165" s="5">
        <v>0.71161746004540105</v>
      </c>
      <c r="H165" s="5">
        <v>0.71161746005964599</v>
      </c>
      <c r="I165" s="5">
        <v>0</v>
      </c>
      <c r="J165" s="5">
        <v>0.71614263842187498</v>
      </c>
      <c r="K165" s="66">
        <v>8784</v>
      </c>
      <c r="L165" s="66">
        <v>0</v>
      </c>
      <c r="M165" s="66">
        <v>250.41805554832999</v>
      </c>
      <c r="N165" s="66">
        <v>13.251388883323299</v>
      </c>
      <c r="O165" s="66">
        <v>237.16666666500601</v>
      </c>
      <c r="P165" s="66">
        <v>8784</v>
      </c>
      <c r="Q165" s="66">
        <v>2672.9555637185699</v>
      </c>
      <c r="R165" s="66">
        <v>6111.2618888888901</v>
      </c>
      <c r="S165" s="66">
        <v>-0.217452607458018</v>
      </c>
      <c r="T165" t="s">
        <v>564</v>
      </c>
      <c r="U165" t="s">
        <v>383</v>
      </c>
      <c r="V165" t="s">
        <v>384</v>
      </c>
      <c r="W165" t="s">
        <v>384</v>
      </c>
      <c r="X165" t="b">
        <v>0</v>
      </c>
      <c r="Y165" t="s">
        <v>1074</v>
      </c>
      <c r="Z165">
        <v>1</v>
      </c>
    </row>
    <row r="166" spans="1:26">
      <c r="A166" t="s">
        <v>382</v>
      </c>
      <c r="B166" t="s">
        <v>46</v>
      </c>
      <c r="C166" t="s">
        <v>117</v>
      </c>
      <c r="D166" s="5">
        <v>0.38202662595540698</v>
      </c>
      <c r="E166" s="5">
        <v>0.56568116299365501</v>
      </c>
      <c r="F166" s="5">
        <v>0.67533913261964595</v>
      </c>
      <c r="G166" s="5">
        <v>0.62007055741779404</v>
      </c>
      <c r="H166" s="5">
        <v>0.62007055741869399</v>
      </c>
      <c r="I166" s="5">
        <v>0.43431883700634499</v>
      </c>
      <c r="J166" s="5">
        <v>0.71342191750333495</v>
      </c>
      <c r="K166" s="66">
        <v>8784</v>
      </c>
      <c r="L166" s="66">
        <v>3815.05666426374</v>
      </c>
      <c r="M166" s="66">
        <v>265.24444443241998</v>
      </c>
      <c r="N166" s="66">
        <v>90.940277766594704</v>
      </c>
      <c r="O166" s="66">
        <v>174.30416666582499</v>
      </c>
      <c r="P166" s="66">
        <v>4968.9433357362605</v>
      </c>
      <c r="Q166" s="66">
        <v>1613.02444356862</v>
      </c>
      <c r="R166" s="66">
        <v>3355.7218823922999</v>
      </c>
      <c r="S166" s="66">
        <v>0.19700977534401501</v>
      </c>
      <c r="T166" t="s">
        <v>564</v>
      </c>
      <c r="U166" t="s">
        <v>386</v>
      </c>
      <c r="V166" t="s">
        <v>384</v>
      </c>
      <c r="W166" t="s">
        <v>384</v>
      </c>
      <c r="X166" t="b">
        <v>0</v>
      </c>
      <c r="Y166" t="s">
        <v>809</v>
      </c>
      <c r="Z166">
        <v>1</v>
      </c>
    </row>
    <row r="167" spans="1:26">
      <c r="A167" t="s">
        <v>382</v>
      </c>
      <c r="B167" t="s">
        <v>114</v>
      </c>
      <c r="C167" t="s">
        <v>117</v>
      </c>
      <c r="D167" s="5">
        <v>0.37108485586610501</v>
      </c>
      <c r="E167" s="5">
        <v>0.52676817732949299</v>
      </c>
      <c r="F167" s="5">
        <v>0.70445572044112403</v>
      </c>
      <c r="G167" s="5">
        <v>0.648568581112547</v>
      </c>
      <c r="H167" s="5">
        <v>0.64856858111341797</v>
      </c>
      <c r="I167" s="5">
        <v>0.47323182267050701</v>
      </c>
      <c r="J167" s="5">
        <v>0.75272013274855198</v>
      </c>
      <c r="K167" s="66">
        <v>8784</v>
      </c>
      <c r="L167" s="66">
        <v>4156.8683303377302</v>
      </c>
      <c r="M167" s="66">
        <v>296.69166664888201</v>
      </c>
      <c r="N167" s="66">
        <v>128.35833331639</v>
      </c>
      <c r="O167" s="66">
        <v>168.333333332492</v>
      </c>
      <c r="P167" s="66">
        <v>4627.1316696622698</v>
      </c>
      <c r="Q167" s="66">
        <v>1367.5508126483701</v>
      </c>
      <c r="R167" s="66">
        <v>3259.6093739278699</v>
      </c>
      <c r="S167" s="66">
        <v>-2.8516913972134201E-2</v>
      </c>
      <c r="T167" t="s">
        <v>564</v>
      </c>
      <c r="U167" t="s">
        <v>386</v>
      </c>
      <c r="V167" t="s">
        <v>384</v>
      </c>
      <c r="W167" t="s">
        <v>384</v>
      </c>
      <c r="X167" t="b">
        <v>0</v>
      </c>
      <c r="Y167" t="s">
        <v>810</v>
      </c>
      <c r="Z167">
        <v>1</v>
      </c>
    </row>
    <row r="168" spans="1:26">
      <c r="A168" t="s">
        <v>393</v>
      </c>
      <c r="B168" t="s">
        <v>47</v>
      </c>
      <c r="C168" t="s">
        <v>117</v>
      </c>
      <c r="D168" s="5">
        <v>0.47147227961779098</v>
      </c>
      <c r="E168" s="5">
        <v>0.97715543412267802</v>
      </c>
      <c r="F168" s="5">
        <v>0.48249466067913099</v>
      </c>
      <c r="G168" s="5">
        <v>0.49076550101760102</v>
      </c>
      <c r="H168" s="5">
        <v>0.49076550101785799</v>
      </c>
      <c r="I168" s="5">
        <v>2.2844565877321799E-2</v>
      </c>
      <c r="J168" s="5">
        <v>0.54767842517903798</v>
      </c>
      <c r="K168" s="66">
        <v>8784</v>
      </c>
      <c r="L168" s="66">
        <v>200.66666666639401</v>
      </c>
      <c r="M168" s="66">
        <v>1021.5738888040401</v>
      </c>
      <c r="N168" s="66">
        <v>437.66666664914902</v>
      </c>
      <c r="O168" s="66">
        <v>583.90722215488802</v>
      </c>
      <c r="P168" s="66">
        <v>8583.3333333335995</v>
      </c>
      <c r="Q168" s="66">
        <v>4442.0798085385304</v>
      </c>
      <c r="R168" s="66">
        <v>4141.4125041626703</v>
      </c>
      <c r="S168" s="66">
        <v>-0.15897936759523101</v>
      </c>
      <c r="T168" t="s">
        <v>564</v>
      </c>
      <c r="U168" t="s">
        <v>386</v>
      </c>
      <c r="V168" t="s">
        <v>384</v>
      </c>
      <c r="W168" t="s">
        <v>384</v>
      </c>
      <c r="X168" t="b">
        <v>0</v>
      </c>
      <c r="Y168" t="s">
        <v>1075</v>
      </c>
      <c r="Z168">
        <v>1</v>
      </c>
    </row>
    <row r="169" spans="1:26">
      <c r="A169" t="s">
        <v>393</v>
      </c>
      <c r="B169" t="s">
        <v>48</v>
      </c>
      <c r="C169" t="s">
        <v>117</v>
      </c>
      <c r="D169" s="5">
        <v>0.53604878659408595</v>
      </c>
      <c r="E169" s="5">
        <v>1</v>
      </c>
      <c r="F169" s="5">
        <v>0.53604878659408595</v>
      </c>
      <c r="G169" s="5">
        <v>0.51915294171486404</v>
      </c>
      <c r="H169" s="5">
        <v>0.51915294171486404</v>
      </c>
      <c r="I169" s="5">
        <v>0</v>
      </c>
      <c r="J169" s="5">
        <v>0.58543289409560895</v>
      </c>
      <c r="K169" s="66">
        <v>8784</v>
      </c>
      <c r="L169" s="66">
        <v>0</v>
      </c>
      <c r="M169" s="66">
        <v>740.97305544046299</v>
      </c>
      <c r="N169" s="66">
        <v>168.31388884983201</v>
      </c>
      <c r="O169" s="66">
        <v>572.659166590631</v>
      </c>
      <c r="P169" s="66">
        <v>8784</v>
      </c>
      <c r="Q169" s="66">
        <v>4097.2748726685004</v>
      </c>
      <c r="R169" s="66">
        <v>4708.6525414424495</v>
      </c>
      <c r="S169" s="66">
        <v>-21.927414110941001</v>
      </c>
      <c r="T169" t="s">
        <v>564</v>
      </c>
      <c r="U169" t="s">
        <v>383</v>
      </c>
      <c r="V169" t="s">
        <v>384</v>
      </c>
      <c r="W169" t="s">
        <v>384</v>
      </c>
      <c r="X169" t="b">
        <v>0</v>
      </c>
      <c r="Y169" t="s">
        <v>497</v>
      </c>
      <c r="Z169">
        <v>1</v>
      </c>
    </row>
    <row r="170" spans="1:26">
      <c r="A170" t="s">
        <v>393</v>
      </c>
      <c r="B170" t="s">
        <v>357</v>
      </c>
      <c r="C170" t="s">
        <v>117</v>
      </c>
      <c r="D170" s="5">
        <v>0.60144767824937795</v>
      </c>
      <c r="E170" s="5">
        <v>1</v>
      </c>
      <c r="F170" s="5">
        <v>0.60144767824937795</v>
      </c>
      <c r="G170" s="5">
        <v>0.60280467087909695</v>
      </c>
      <c r="H170" s="5">
        <v>0.60280467087909895</v>
      </c>
      <c r="I170" s="5">
        <v>0</v>
      </c>
      <c r="J170" s="5">
        <v>0.62967090268094505</v>
      </c>
      <c r="K170" s="66">
        <v>8784</v>
      </c>
      <c r="L170" s="66">
        <v>0</v>
      </c>
      <c r="M170" s="66">
        <v>393.718055497482</v>
      </c>
      <c r="N170" s="66">
        <v>71.154166633290501</v>
      </c>
      <c r="O170" s="66">
        <v>322.56388886419097</v>
      </c>
      <c r="P170" s="66">
        <v>8784</v>
      </c>
      <c r="Q170" s="66">
        <v>3521.1499593788699</v>
      </c>
      <c r="R170" s="66">
        <v>5283.1164057425403</v>
      </c>
      <c r="S170" s="66">
        <v>-20.266365121400899</v>
      </c>
      <c r="T170" t="s">
        <v>564</v>
      </c>
      <c r="U170" t="s">
        <v>386</v>
      </c>
      <c r="V170" t="s">
        <v>385</v>
      </c>
      <c r="W170" t="s">
        <v>384</v>
      </c>
      <c r="X170" t="b">
        <v>0</v>
      </c>
      <c r="Y170" t="s">
        <v>811</v>
      </c>
      <c r="Z170">
        <v>1</v>
      </c>
    </row>
    <row r="171" spans="1:26">
      <c r="A171" t="s">
        <v>49</v>
      </c>
      <c r="B171" t="s">
        <v>586</v>
      </c>
      <c r="C171" t="s">
        <v>117</v>
      </c>
      <c r="D171" s="5">
        <v>0.40986175488742199</v>
      </c>
      <c r="E171" s="5">
        <v>0.69717674814756003</v>
      </c>
      <c r="F171" s="5">
        <v>0.587887872015883</v>
      </c>
      <c r="G171" s="5">
        <v>0.71689946276208405</v>
      </c>
      <c r="H171" s="5">
        <v>0.65706471768776198</v>
      </c>
      <c r="I171" s="5">
        <v>0.30282325185244002</v>
      </c>
      <c r="J171" s="5">
        <v>0.63985628017211305</v>
      </c>
      <c r="K171" s="66">
        <v>8784</v>
      </c>
      <c r="L171" s="66">
        <v>2659.9994442718298</v>
      </c>
      <c r="M171" s="66">
        <v>497.38444443094397</v>
      </c>
      <c r="N171" s="66">
        <v>497.38444443094397</v>
      </c>
      <c r="P171" s="66">
        <v>6124.0005557281702</v>
      </c>
      <c r="Q171" s="66">
        <v>2554.3238885288001</v>
      </c>
      <c r="R171" s="66">
        <v>3600.2256549311201</v>
      </c>
      <c r="S171" s="66">
        <v>-30.548987731749399</v>
      </c>
      <c r="T171" t="s">
        <v>564</v>
      </c>
      <c r="U171" t="s">
        <v>386</v>
      </c>
      <c r="V171" t="s">
        <v>385</v>
      </c>
      <c r="W171" t="s">
        <v>384</v>
      </c>
      <c r="X171" t="b">
        <v>0</v>
      </c>
      <c r="Y171" t="s">
        <v>812</v>
      </c>
      <c r="Z171">
        <v>1</v>
      </c>
    </row>
    <row r="172" spans="1:26">
      <c r="A172" t="s">
        <v>49</v>
      </c>
      <c r="B172" t="s">
        <v>587</v>
      </c>
      <c r="C172" t="s">
        <v>117</v>
      </c>
      <c r="D172" s="5">
        <v>0.41120705275269398</v>
      </c>
      <c r="E172" s="5">
        <v>0.71872258274297596</v>
      </c>
      <c r="F172" s="5">
        <v>0.57213598490719197</v>
      </c>
      <c r="G172" s="5">
        <v>0.70988311489310096</v>
      </c>
      <c r="H172" s="5">
        <v>0.65020767071437102</v>
      </c>
      <c r="I172" s="5">
        <v>0.28127741725702299</v>
      </c>
      <c r="J172" s="5">
        <v>0.62141592977654503</v>
      </c>
      <c r="K172" s="66">
        <v>8784</v>
      </c>
      <c r="L172" s="66">
        <v>2470.74083318569</v>
      </c>
      <c r="M172" s="66">
        <v>500.65833329766201</v>
      </c>
      <c r="N172" s="66">
        <v>500.65833329766201</v>
      </c>
      <c r="P172" s="66">
        <v>6313.2591668143004</v>
      </c>
      <c r="Q172" s="66">
        <v>2821.7805550451699</v>
      </c>
      <c r="R172" s="66">
        <v>3612.0427513796599</v>
      </c>
      <c r="S172" s="66">
        <v>-120.564139610531</v>
      </c>
      <c r="T172" t="s">
        <v>564</v>
      </c>
      <c r="U172" t="s">
        <v>386</v>
      </c>
      <c r="V172" t="s">
        <v>385</v>
      </c>
      <c r="W172" t="s">
        <v>384</v>
      </c>
      <c r="X172" t="b">
        <v>0</v>
      </c>
      <c r="Y172" t="s">
        <v>813</v>
      </c>
      <c r="Z172">
        <v>1</v>
      </c>
    </row>
    <row r="173" spans="1:26">
      <c r="A173" t="s">
        <v>49</v>
      </c>
      <c r="B173" t="s">
        <v>588</v>
      </c>
      <c r="C173" t="s">
        <v>117</v>
      </c>
      <c r="D173" s="5">
        <v>0.24003585145947801</v>
      </c>
      <c r="E173" s="5">
        <v>0.63557386537864302</v>
      </c>
      <c r="F173" s="5">
        <v>0.37766790696542701</v>
      </c>
      <c r="G173" s="5">
        <v>0.41968065942900401</v>
      </c>
      <c r="H173" s="5">
        <v>0.39825486268704202</v>
      </c>
      <c r="I173" s="5">
        <v>0.36442613462135598</v>
      </c>
      <c r="J173" s="5">
        <v>0.413107691301348</v>
      </c>
      <c r="K173" s="66">
        <v>8784</v>
      </c>
      <c r="L173" s="66">
        <v>3201.11916651399</v>
      </c>
      <c r="M173" s="66">
        <v>478.94555554901598</v>
      </c>
      <c r="N173" s="66">
        <v>478.94555554901598</v>
      </c>
      <c r="P173" s="66">
        <v>5582.8808334860096</v>
      </c>
      <c r="Q173" s="66">
        <v>3509.5149996073301</v>
      </c>
      <c r="R173" s="66">
        <v>2108.4749192200602</v>
      </c>
      <c r="S173" s="66">
        <v>-35.109085341384997</v>
      </c>
      <c r="T173" t="s">
        <v>564</v>
      </c>
      <c r="U173" t="s">
        <v>386</v>
      </c>
      <c r="V173" t="s">
        <v>385</v>
      </c>
      <c r="W173" t="s">
        <v>384</v>
      </c>
      <c r="X173" t="b">
        <v>0</v>
      </c>
      <c r="Y173" t="s">
        <v>814</v>
      </c>
      <c r="Z173">
        <v>1</v>
      </c>
    </row>
    <row r="174" spans="1:26">
      <c r="A174" t="s">
        <v>49</v>
      </c>
      <c r="B174" t="s">
        <v>358</v>
      </c>
      <c r="C174" t="s">
        <v>117</v>
      </c>
      <c r="D174" s="5">
        <v>0.63596591410187597</v>
      </c>
      <c r="E174" s="5">
        <v>0.74364412569862803</v>
      </c>
      <c r="F174" s="5">
        <v>0.85520196035221496</v>
      </c>
      <c r="G174" s="5">
        <v>0.94317630491132498</v>
      </c>
      <c r="H174" s="5">
        <v>0.85839641233866104</v>
      </c>
      <c r="I174" s="5">
        <v>0.25635587430137202</v>
      </c>
      <c r="J174" s="5">
        <v>0.86352670933253795</v>
      </c>
      <c r="K174" s="66">
        <v>8784</v>
      </c>
      <c r="L174" s="66">
        <v>2251.8299998632601</v>
      </c>
      <c r="M174" s="66">
        <v>62.972777749943099</v>
      </c>
      <c r="N174" s="66">
        <v>62.972777749943099</v>
      </c>
      <c r="P174" s="66">
        <v>6532.1700001367399</v>
      </c>
      <c r="Q174" s="66">
        <v>943.49597610181604</v>
      </c>
      <c r="R174" s="66">
        <v>5586.3245894708698</v>
      </c>
      <c r="S174" s="66">
        <v>2.3494345640566898</v>
      </c>
      <c r="T174" t="s">
        <v>564</v>
      </c>
      <c r="U174" t="s">
        <v>386</v>
      </c>
      <c r="V174" t="s">
        <v>384</v>
      </c>
      <c r="W174" t="s">
        <v>384</v>
      </c>
      <c r="X174" t="b">
        <v>0</v>
      </c>
      <c r="Y174" t="s">
        <v>815</v>
      </c>
      <c r="Z174">
        <v>1</v>
      </c>
    </row>
    <row r="175" spans="1:26">
      <c r="A175" t="s">
        <v>49</v>
      </c>
      <c r="B175" t="s">
        <v>359</v>
      </c>
      <c r="C175" t="s">
        <v>117</v>
      </c>
      <c r="D175" s="5">
        <v>0.69259127763398798</v>
      </c>
      <c r="E175" s="5">
        <v>0.78065532661214798</v>
      </c>
      <c r="F175" s="5">
        <v>0.88719215001025398</v>
      </c>
      <c r="G175" s="5">
        <v>0.96721933849041797</v>
      </c>
      <c r="H175" s="5">
        <v>0.88027827435722605</v>
      </c>
      <c r="I175" s="5">
        <v>0.21934467338785199</v>
      </c>
      <c r="J175" s="5">
        <v>0.91753847508710096</v>
      </c>
      <c r="K175" s="66">
        <v>8784</v>
      </c>
      <c r="L175" s="66">
        <v>1926.7236110388901</v>
      </c>
      <c r="M175" s="66">
        <v>226.794999982364</v>
      </c>
      <c r="N175" s="66">
        <v>226.794999982364</v>
      </c>
      <c r="P175" s="66">
        <v>6857.2763889611097</v>
      </c>
      <c r="Q175" s="66">
        <v>765.60122366410701</v>
      </c>
      <c r="R175" s="66">
        <v>6083.7217827369604</v>
      </c>
      <c r="S175" s="66">
        <v>7.9533825600505397</v>
      </c>
      <c r="T175" t="s">
        <v>564</v>
      </c>
      <c r="U175" t="s">
        <v>386</v>
      </c>
      <c r="V175" t="s">
        <v>384</v>
      </c>
      <c r="W175" t="s">
        <v>384</v>
      </c>
      <c r="X175" t="b">
        <v>0</v>
      </c>
      <c r="Y175" t="s">
        <v>816</v>
      </c>
      <c r="Z175">
        <v>1</v>
      </c>
    </row>
    <row r="176" spans="1:26">
      <c r="A176" t="s">
        <v>49</v>
      </c>
      <c r="B176" t="s">
        <v>360</v>
      </c>
      <c r="C176" t="s">
        <v>117</v>
      </c>
      <c r="D176" s="5">
        <v>0.55109359998570695</v>
      </c>
      <c r="E176" s="5">
        <v>0.71066101878197796</v>
      </c>
      <c r="F176" s="5">
        <v>0.77546620036968195</v>
      </c>
      <c r="G176" s="5">
        <v>0.88401019404172199</v>
      </c>
      <c r="H176" s="5">
        <v>0.80454860356782099</v>
      </c>
      <c r="I176" s="5">
        <v>0.28933898121802198</v>
      </c>
      <c r="J176" s="5">
        <v>0.78953699970879598</v>
      </c>
      <c r="K176" s="66">
        <v>8784</v>
      </c>
      <c r="L176" s="66">
        <v>2541.5536110191101</v>
      </c>
      <c r="M176" s="66">
        <v>111.250277766499</v>
      </c>
      <c r="N176" s="66">
        <v>111.250277766499</v>
      </c>
      <c r="P176" s="66">
        <v>6242.4463889808903</v>
      </c>
      <c r="Q176" s="66">
        <v>1396.21315957248</v>
      </c>
      <c r="R176" s="66">
        <v>4840.8061822744503</v>
      </c>
      <c r="S176" s="66">
        <v>5.4270471339670197</v>
      </c>
      <c r="T176" t="s">
        <v>564</v>
      </c>
      <c r="U176" t="s">
        <v>386</v>
      </c>
      <c r="V176" t="s">
        <v>384</v>
      </c>
      <c r="W176" t="s">
        <v>384</v>
      </c>
      <c r="X176" t="b">
        <v>0</v>
      </c>
      <c r="Y176" t="s">
        <v>817</v>
      </c>
      <c r="Z176">
        <v>1</v>
      </c>
    </row>
    <row r="177" spans="1:26">
      <c r="A177" t="s">
        <v>49</v>
      </c>
      <c r="B177" t="s">
        <v>589</v>
      </c>
      <c r="C177" t="s">
        <v>117</v>
      </c>
      <c r="D177" s="5">
        <v>0.28907536681771501</v>
      </c>
      <c r="E177" s="5">
        <v>0.52572290530429899</v>
      </c>
      <c r="F177" s="5">
        <v>0.54986260613924198</v>
      </c>
      <c r="G177" s="5">
        <v>0.54891670735303599</v>
      </c>
      <c r="H177" s="5">
        <v>0.56972172394713105</v>
      </c>
      <c r="I177" s="5">
        <v>0.47427709469570101</v>
      </c>
      <c r="J177" s="5">
        <v>0.60935757073365304</v>
      </c>
      <c r="K177" s="66">
        <v>8784</v>
      </c>
      <c r="L177" s="66">
        <v>4166.04999980704</v>
      </c>
      <c r="M177" s="66">
        <v>450.87611109755397</v>
      </c>
      <c r="N177" s="66">
        <v>450.87611109755397</v>
      </c>
      <c r="P177" s="66">
        <v>4617.95000019296</v>
      </c>
      <c r="Q177" s="66">
        <v>2168.1516661627602</v>
      </c>
      <c r="R177" s="66">
        <v>2539.2380221268099</v>
      </c>
      <c r="S177" s="66">
        <v>-89.439688096610595</v>
      </c>
      <c r="T177" t="s">
        <v>564</v>
      </c>
      <c r="U177" t="s">
        <v>386</v>
      </c>
      <c r="V177" t="s">
        <v>385</v>
      </c>
      <c r="W177" t="s">
        <v>384</v>
      </c>
      <c r="X177" t="b">
        <v>0</v>
      </c>
      <c r="Y177" t="s">
        <v>818</v>
      </c>
      <c r="Z177">
        <v>1</v>
      </c>
    </row>
    <row r="178" spans="1:26">
      <c r="A178" t="s">
        <v>49</v>
      </c>
      <c r="B178" t="s">
        <v>590</v>
      </c>
      <c r="C178" t="s">
        <v>117</v>
      </c>
      <c r="D178" s="5">
        <v>0.29200163601564</v>
      </c>
      <c r="E178" s="5">
        <v>0.57143528007898303</v>
      </c>
      <c r="F178" s="5">
        <v>0.51099686385355803</v>
      </c>
      <c r="G178" s="5">
        <v>0.57939209049826601</v>
      </c>
      <c r="H178" s="5">
        <v>0.58258701070187002</v>
      </c>
      <c r="I178" s="5">
        <v>0.42856471992101702</v>
      </c>
      <c r="J178" s="5">
        <v>0.55901297511256598</v>
      </c>
      <c r="K178" s="66">
        <v>8784</v>
      </c>
      <c r="L178" s="66">
        <v>3764.5124997862099</v>
      </c>
      <c r="M178" s="66">
        <v>431.14611109864899</v>
      </c>
      <c r="N178" s="66">
        <v>431.14611109864899</v>
      </c>
      <c r="P178" s="66">
        <v>5019.4875002137796</v>
      </c>
      <c r="Q178" s="66">
        <v>2464.04362930973</v>
      </c>
      <c r="R178" s="66">
        <v>2564.9423707613801</v>
      </c>
      <c r="S178" s="66">
        <v>-9.4984998573230701</v>
      </c>
      <c r="T178" t="s">
        <v>564</v>
      </c>
      <c r="U178" t="s">
        <v>386</v>
      </c>
      <c r="V178" t="s">
        <v>385</v>
      </c>
      <c r="W178" t="s">
        <v>384</v>
      </c>
      <c r="X178" t="b">
        <v>0</v>
      </c>
      <c r="Y178" t="s">
        <v>819</v>
      </c>
      <c r="Z178">
        <v>1</v>
      </c>
    </row>
    <row r="179" spans="1:26">
      <c r="A179" t="s">
        <v>49</v>
      </c>
      <c r="B179" t="s">
        <v>591</v>
      </c>
      <c r="C179" t="s">
        <v>117</v>
      </c>
      <c r="D179" s="5">
        <v>0.407689578403027</v>
      </c>
      <c r="E179" s="5">
        <v>0.53751818333851398</v>
      </c>
      <c r="F179" s="5">
        <v>0.75846658036919801</v>
      </c>
      <c r="G179" s="5">
        <v>0.85183788909484703</v>
      </c>
      <c r="H179" s="5">
        <v>0.74167718449318698</v>
      </c>
      <c r="I179" s="5">
        <v>0.46248181666148502</v>
      </c>
      <c r="J179" s="5">
        <v>0.85248617984959396</v>
      </c>
      <c r="K179" s="66">
        <v>8784</v>
      </c>
      <c r="L179" s="66">
        <v>4062.44027755449</v>
      </c>
      <c r="M179" s="66">
        <v>520.73472218097402</v>
      </c>
      <c r="N179" s="66">
        <v>520.73472218097402</v>
      </c>
      <c r="P179" s="66">
        <v>4721.5597224455096</v>
      </c>
      <c r="Q179" s="66">
        <v>1185.4513888460301</v>
      </c>
      <c r="R179" s="66">
        <v>3581.1452566921898</v>
      </c>
      <c r="S179" s="66">
        <v>-45.036923092709202</v>
      </c>
      <c r="T179" t="s">
        <v>564</v>
      </c>
      <c r="U179" t="s">
        <v>386</v>
      </c>
      <c r="V179" t="s">
        <v>385</v>
      </c>
      <c r="W179" t="s">
        <v>384</v>
      </c>
      <c r="X179" t="b">
        <v>0</v>
      </c>
      <c r="Y179" t="s">
        <v>820</v>
      </c>
      <c r="Z179">
        <v>1</v>
      </c>
    </row>
    <row r="180" spans="1:26">
      <c r="A180" t="s">
        <v>49</v>
      </c>
      <c r="B180" t="s">
        <v>361</v>
      </c>
      <c r="C180" t="s">
        <v>117</v>
      </c>
      <c r="D180" s="5">
        <v>0.36089456760340599</v>
      </c>
      <c r="E180" s="5">
        <v>0.60330819293743199</v>
      </c>
      <c r="F180" s="5">
        <v>0.59819271779860195</v>
      </c>
      <c r="G180" s="5">
        <v>0.69381291658259303</v>
      </c>
      <c r="H180" s="5">
        <v>0.69381291663712596</v>
      </c>
      <c r="I180" s="5">
        <v>0.39669180706256701</v>
      </c>
      <c r="J180" s="5">
        <v>0.63133189127039202</v>
      </c>
      <c r="K180" s="66">
        <v>8784</v>
      </c>
      <c r="L180" s="66">
        <v>3484.54083323759</v>
      </c>
      <c r="M180" s="66">
        <v>278.17333333283199</v>
      </c>
      <c r="N180" s="66">
        <v>278.17333333283199</v>
      </c>
      <c r="P180" s="66">
        <v>5299.4591667623999</v>
      </c>
      <c r="Q180" s="66">
        <v>2129.1211106220399</v>
      </c>
      <c r="R180" s="66">
        <v>3170.0978818283202</v>
      </c>
      <c r="S180" s="66">
        <v>0.24017431205444001</v>
      </c>
      <c r="T180" t="s">
        <v>564</v>
      </c>
      <c r="U180" t="s">
        <v>386</v>
      </c>
      <c r="V180" t="s">
        <v>385</v>
      </c>
      <c r="W180" t="s">
        <v>384</v>
      </c>
      <c r="X180" t="b">
        <v>0</v>
      </c>
      <c r="Y180" t="s">
        <v>821</v>
      </c>
      <c r="Z180">
        <v>1</v>
      </c>
    </row>
    <row r="181" spans="1:26">
      <c r="A181" t="s">
        <v>49</v>
      </c>
      <c r="B181" t="s">
        <v>592</v>
      </c>
      <c r="C181" t="s">
        <v>117</v>
      </c>
      <c r="D181" s="5">
        <v>0.27716615782836701</v>
      </c>
      <c r="E181" s="5">
        <v>0.53533896860466201</v>
      </c>
      <c r="F181" s="5">
        <v>0.51773955210245304</v>
      </c>
      <c r="G181" s="5">
        <v>0.48267415741676101</v>
      </c>
      <c r="H181" s="5">
        <v>0.47183369150624999</v>
      </c>
      <c r="I181" s="5">
        <v>0.46466103139533899</v>
      </c>
      <c r="J181" s="5">
        <v>0.55106361670910198</v>
      </c>
      <c r="K181" s="66">
        <v>8784</v>
      </c>
      <c r="L181" s="66">
        <v>4081.5824997766499</v>
      </c>
      <c r="M181" s="66">
        <v>284.36583333281999</v>
      </c>
      <c r="N181" s="66">
        <v>284.36583333281999</v>
      </c>
      <c r="P181" s="66">
        <v>4702.4175002233496</v>
      </c>
      <c r="Q181" s="66">
        <v>2232.0511108302499</v>
      </c>
      <c r="R181" s="66">
        <v>2434.6275303643702</v>
      </c>
      <c r="S181" s="66">
        <v>35.738859028723901</v>
      </c>
      <c r="T181" t="s">
        <v>564</v>
      </c>
      <c r="U181" t="s">
        <v>386</v>
      </c>
      <c r="V181" t="s">
        <v>384</v>
      </c>
      <c r="W181" t="s">
        <v>384</v>
      </c>
      <c r="X181" t="b">
        <v>0</v>
      </c>
      <c r="Y181" t="s">
        <v>623</v>
      </c>
      <c r="Z181">
        <v>1</v>
      </c>
    </row>
    <row r="182" spans="1:26">
      <c r="A182" t="s">
        <v>49</v>
      </c>
      <c r="B182" t="s">
        <v>593</v>
      </c>
      <c r="C182" t="s">
        <v>117</v>
      </c>
      <c r="D182" s="5">
        <v>0.27704217458310798</v>
      </c>
      <c r="E182" s="5">
        <v>0.51403641092269103</v>
      </c>
      <c r="F182" s="5">
        <v>0.53895437890444298</v>
      </c>
      <c r="G182" s="5">
        <v>0.41742123372189899</v>
      </c>
      <c r="H182" s="5">
        <v>0.41625058123314201</v>
      </c>
      <c r="I182" s="5">
        <v>0.48596358907731002</v>
      </c>
      <c r="J182" s="5">
        <v>0.56883409430645504</v>
      </c>
      <c r="K182" s="66">
        <v>8784</v>
      </c>
      <c r="L182" s="66">
        <v>4268.7041664550898</v>
      </c>
      <c r="M182" s="66">
        <v>237.17944443309599</v>
      </c>
      <c r="N182" s="66">
        <v>237.17944443309599</v>
      </c>
      <c r="P182" s="66">
        <v>4515.2958335449102</v>
      </c>
      <c r="Q182" s="66">
        <v>2199.9263885140699</v>
      </c>
      <c r="R182" s="66">
        <v>2433.5384615380199</v>
      </c>
      <c r="S182" s="66">
        <v>-118.169016507181</v>
      </c>
      <c r="T182" t="s">
        <v>564</v>
      </c>
      <c r="U182" t="s">
        <v>386</v>
      </c>
      <c r="V182" t="s">
        <v>384</v>
      </c>
      <c r="W182" t="s">
        <v>384</v>
      </c>
      <c r="X182" t="b">
        <v>0</v>
      </c>
      <c r="Y182" t="s">
        <v>624</v>
      </c>
      <c r="Z182">
        <v>1</v>
      </c>
    </row>
    <row r="183" spans="1:26">
      <c r="A183" t="s">
        <v>49</v>
      </c>
      <c r="B183" t="s">
        <v>594</v>
      </c>
      <c r="C183" t="s">
        <v>117</v>
      </c>
      <c r="D183" s="5">
        <v>0.17653892858810899</v>
      </c>
      <c r="E183" s="5">
        <v>0.44142525554131701</v>
      </c>
      <c r="F183" s="5">
        <v>0.39992937959931701</v>
      </c>
      <c r="G183" s="5">
        <v>0.32364078021029002</v>
      </c>
      <c r="H183" s="5">
        <v>0.33232226860011499</v>
      </c>
      <c r="I183" s="5">
        <v>0.55857474445868305</v>
      </c>
      <c r="J183" s="5">
        <v>0.43633594466589798</v>
      </c>
      <c r="K183" s="66">
        <v>8784</v>
      </c>
      <c r="L183" s="66">
        <v>4906.5205553250698</v>
      </c>
      <c r="M183" s="66">
        <v>323.52527776500102</v>
      </c>
      <c r="N183" s="66">
        <v>323.52527776500102</v>
      </c>
      <c r="P183" s="66">
        <v>3877.4794446749302</v>
      </c>
      <c r="Q183" s="66">
        <v>2202.5377774289</v>
      </c>
      <c r="R183" s="66">
        <v>1550.7179487179501</v>
      </c>
      <c r="S183" s="66">
        <v>124.223718528077</v>
      </c>
      <c r="T183" t="s">
        <v>564</v>
      </c>
      <c r="U183" t="s">
        <v>386</v>
      </c>
      <c r="V183" t="s">
        <v>384</v>
      </c>
      <c r="W183" t="s">
        <v>384</v>
      </c>
      <c r="X183" t="b">
        <v>0</v>
      </c>
      <c r="Y183" t="s">
        <v>625</v>
      </c>
      <c r="Z183">
        <v>1</v>
      </c>
    </row>
    <row r="184" spans="1:26">
      <c r="A184" t="s">
        <v>49</v>
      </c>
      <c r="B184" t="s">
        <v>362</v>
      </c>
      <c r="C184" t="s">
        <v>117</v>
      </c>
      <c r="D184" s="5">
        <v>0.35096848227140498</v>
      </c>
      <c r="E184" s="5">
        <v>0.526702717079648</v>
      </c>
      <c r="F184" s="5">
        <v>0.66635024063931603</v>
      </c>
      <c r="G184" s="5">
        <v>0.72713020726475197</v>
      </c>
      <c r="H184" s="5">
        <v>0.57162513954049399</v>
      </c>
      <c r="I184" s="5">
        <v>0.473297282920353</v>
      </c>
      <c r="J184" s="5">
        <v>0.71337628752227999</v>
      </c>
      <c r="K184" s="66">
        <v>8784</v>
      </c>
      <c r="L184" s="66">
        <v>4157.4433331723803</v>
      </c>
      <c r="M184" s="66">
        <v>304.98444443197002</v>
      </c>
      <c r="N184" s="66">
        <v>304.98444443197002</v>
      </c>
      <c r="P184" s="66">
        <v>4626.5566668276197</v>
      </c>
      <c r="Q184" s="66">
        <v>1597.5183332808199</v>
      </c>
      <c r="R184" s="66">
        <v>3082.9071482720201</v>
      </c>
      <c r="S184" s="66">
        <v>-53.8688147252142</v>
      </c>
      <c r="T184" t="s">
        <v>564</v>
      </c>
      <c r="U184" t="s">
        <v>386</v>
      </c>
      <c r="V184" t="s">
        <v>385</v>
      </c>
      <c r="W184" t="s">
        <v>384</v>
      </c>
      <c r="X184" t="b">
        <v>0</v>
      </c>
      <c r="Y184" t="s">
        <v>498</v>
      </c>
      <c r="Z184">
        <v>1</v>
      </c>
    </row>
    <row r="185" spans="1:26">
      <c r="A185" t="s">
        <v>49</v>
      </c>
      <c r="B185" t="s">
        <v>363</v>
      </c>
      <c r="C185" t="s">
        <v>117</v>
      </c>
      <c r="D185" s="5">
        <v>0.36609281323016402</v>
      </c>
      <c r="E185" s="5">
        <v>0.56490807150556199</v>
      </c>
      <c r="F185" s="5">
        <v>0.64805732418457596</v>
      </c>
      <c r="G185" s="5">
        <v>0.60827002804783004</v>
      </c>
      <c r="H185" s="5">
        <v>0.50209348057155101</v>
      </c>
      <c r="I185" s="5">
        <v>0.43509192849443801</v>
      </c>
      <c r="J185" s="5">
        <v>0.69639877545978501</v>
      </c>
      <c r="K185" s="66">
        <v>8784</v>
      </c>
      <c r="L185" s="66">
        <v>3821.8474998951501</v>
      </c>
      <c r="M185" s="66">
        <v>344.45444443177303</v>
      </c>
      <c r="N185" s="66">
        <v>344.45444443177303</v>
      </c>
      <c r="P185" s="66">
        <v>4962.1525001048503</v>
      </c>
      <c r="Q185" s="66">
        <v>1898.61999976071</v>
      </c>
      <c r="R185" s="66">
        <v>3215.75927141376</v>
      </c>
      <c r="S185" s="66">
        <v>-152.22677106961299</v>
      </c>
      <c r="T185" t="s">
        <v>564</v>
      </c>
      <c r="U185" t="s">
        <v>386</v>
      </c>
      <c r="V185" t="s">
        <v>385</v>
      </c>
      <c r="W185" t="s">
        <v>384</v>
      </c>
      <c r="X185" t="b">
        <v>0</v>
      </c>
      <c r="Y185" t="s">
        <v>499</v>
      </c>
      <c r="Z185">
        <v>1</v>
      </c>
    </row>
    <row r="186" spans="1:26">
      <c r="A186" t="s">
        <v>49</v>
      </c>
      <c r="B186" t="s">
        <v>364</v>
      </c>
      <c r="C186" t="s">
        <v>117</v>
      </c>
      <c r="D186" s="5">
        <v>0.34237000705312598</v>
      </c>
      <c r="E186" s="5">
        <v>0.50687111037121202</v>
      </c>
      <c r="F186" s="5">
        <v>0.67545772494784395</v>
      </c>
      <c r="G186" s="5">
        <v>0.61539861784428596</v>
      </c>
      <c r="H186" s="5">
        <v>0.497008708168582</v>
      </c>
      <c r="I186" s="5">
        <v>0.49312888962878698</v>
      </c>
      <c r="J186" s="5">
        <v>0.73137008390258196</v>
      </c>
      <c r="K186" s="66">
        <v>8784</v>
      </c>
      <c r="L186" s="66">
        <v>4331.6441664992699</v>
      </c>
      <c r="M186" s="66">
        <v>340.377222197234</v>
      </c>
      <c r="N186" s="66">
        <v>340.377222197234</v>
      </c>
      <c r="P186" s="66">
        <v>4452.3558335007301</v>
      </c>
      <c r="Q186" s="66">
        <v>1482.49194411238</v>
      </c>
      <c r="R186" s="66">
        <v>3007.3781419546599</v>
      </c>
      <c r="S186" s="66">
        <v>-37.514252566315903</v>
      </c>
      <c r="T186" t="s">
        <v>564</v>
      </c>
      <c r="U186" t="s">
        <v>386</v>
      </c>
      <c r="V186" t="s">
        <v>385</v>
      </c>
      <c r="W186" t="s">
        <v>384</v>
      </c>
      <c r="X186" t="b">
        <v>0</v>
      </c>
      <c r="Y186" t="s">
        <v>500</v>
      </c>
      <c r="Z186">
        <v>1</v>
      </c>
    </row>
    <row r="187" spans="1:26">
      <c r="A187" t="s">
        <v>287</v>
      </c>
      <c r="B187" t="s">
        <v>220</v>
      </c>
      <c r="C187" t="s">
        <v>116</v>
      </c>
      <c r="D187" s="5">
        <v>0.49337619200685701</v>
      </c>
      <c r="E187" s="5">
        <v>0.53834112686753099</v>
      </c>
      <c r="F187" s="5">
        <v>0.91647501441639201</v>
      </c>
      <c r="G187" s="5">
        <v>0.95466208650973405</v>
      </c>
      <c r="H187" s="5">
        <v>0.95466208650976303</v>
      </c>
      <c r="I187" s="5">
        <v>0.46165887313246901</v>
      </c>
      <c r="J187" s="5">
        <v>0.94708738242308999</v>
      </c>
      <c r="K187" s="66">
        <v>8784</v>
      </c>
      <c r="L187" s="66">
        <v>4055.21154159561</v>
      </c>
      <c r="M187" s="66">
        <v>152.846944433093</v>
      </c>
      <c r="N187" s="66">
        <v>152.846944433093</v>
      </c>
      <c r="P187" s="66">
        <v>4728.7884584043904</v>
      </c>
      <c r="Q187" s="66">
        <v>378.548977445361</v>
      </c>
      <c r="R187" s="66">
        <v>4333.81647058823</v>
      </c>
      <c r="S187" s="66">
        <v>16.423010370797499</v>
      </c>
      <c r="T187" t="s">
        <v>564</v>
      </c>
      <c r="U187" t="s">
        <v>386</v>
      </c>
      <c r="V187" t="s">
        <v>385</v>
      </c>
      <c r="W187" t="s">
        <v>384</v>
      </c>
      <c r="X187" t="b">
        <v>0</v>
      </c>
      <c r="Y187" t="s">
        <v>501</v>
      </c>
      <c r="Z187">
        <v>1</v>
      </c>
    </row>
    <row r="188" spans="1:26">
      <c r="A188" t="s">
        <v>287</v>
      </c>
      <c r="B188" t="s">
        <v>221</v>
      </c>
      <c r="C188" t="s">
        <v>116</v>
      </c>
      <c r="D188" s="5">
        <v>0.59865109074480405</v>
      </c>
      <c r="E188" s="5">
        <v>0.66126929193063499</v>
      </c>
      <c r="F188" s="5">
        <v>0.90530605012216503</v>
      </c>
      <c r="G188" s="5">
        <v>0.83671299966971302</v>
      </c>
      <c r="H188" s="5">
        <v>0.83671299966973101</v>
      </c>
      <c r="I188" s="5">
        <v>0.33873070806936501</v>
      </c>
      <c r="J188" s="5">
        <v>0.90530605012216603</v>
      </c>
      <c r="K188" s="66">
        <v>8784</v>
      </c>
      <c r="L188" s="66">
        <v>2975.4105396813002</v>
      </c>
      <c r="P188" s="66">
        <v>5808.5894603186998</v>
      </c>
      <c r="Q188" s="66">
        <v>535.69348922064603</v>
      </c>
      <c r="R188" s="66">
        <v>5258.5511811023598</v>
      </c>
      <c r="S188" s="66">
        <v>14.3447899956925</v>
      </c>
      <c r="T188" t="s">
        <v>564</v>
      </c>
      <c r="U188" t="s">
        <v>386</v>
      </c>
      <c r="V188" t="s">
        <v>385</v>
      </c>
      <c r="W188" t="s">
        <v>384</v>
      </c>
      <c r="X188" t="b">
        <v>0</v>
      </c>
      <c r="Y188" t="s">
        <v>502</v>
      </c>
      <c r="Z188">
        <v>1</v>
      </c>
    </row>
    <row r="189" spans="1:26">
      <c r="A189" t="s">
        <v>287</v>
      </c>
      <c r="B189" t="s">
        <v>222</v>
      </c>
      <c r="C189" t="s">
        <v>116</v>
      </c>
      <c r="D189" s="5">
        <v>0.71750241080038601</v>
      </c>
      <c r="E189" s="5">
        <v>0.79444118156003296</v>
      </c>
      <c r="F189" s="5">
        <v>0.90315359708749798</v>
      </c>
      <c r="G189" s="5">
        <v>0.74473132103950401</v>
      </c>
      <c r="H189" s="5">
        <v>0.74473132103952</v>
      </c>
      <c r="I189" s="5">
        <v>0.20555881843996701</v>
      </c>
      <c r="J189" s="5">
        <v>0.90315359708749898</v>
      </c>
      <c r="K189" s="66">
        <v>8784</v>
      </c>
      <c r="L189" s="66">
        <v>1805.62866117667</v>
      </c>
      <c r="P189" s="66">
        <v>6978.37133882333</v>
      </c>
      <c r="Q189" s="66">
        <v>654.79818285587896</v>
      </c>
      <c r="R189" s="66">
        <v>6302.5411764705996</v>
      </c>
      <c r="S189" s="66">
        <v>19.349201730193101</v>
      </c>
      <c r="T189" t="s">
        <v>564</v>
      </c>
      <c r="U189" t="s">
        <v>386</v>
      </c>
      <c r="V189" t="s">
        <v>385</v>
      </c>
      <c r="W189" t="s">
        <v>384</v>
      </c>
      <c r="X189" t="b">
        <v>0</v>
      </c>
      <c r="Y189" t="s">
        <v>822</v>
      </c>
      <c r="Z189">
        <v>1</v>
      </c>
    </row>
    <row r="190" spans="1:26">
      <c r="A190" t="s">
        <v>288</v>
      </c>
      <c r="B190" t="s">
        <v>223</v>
      </c>
      <c r="C190" t="s">
        <v>117</v>
      </c>
      <c r="D190" s="5">
        <v>0.57534856558403102</v>
      </c>
      <c r="E190" s="5">
        <v>0.90897370219264195</v>
      </c>
      <c r="F190" s="5">
        <v>0.63296502879694405</v>
      </c>
      <c r="G190" s="5">
        <v>0.79316954843571996</v>
      </c>
      <c r="H190" s="5">
        <v>0.78730097777507102</v>
      </c>
      <c r="I190" s="5">
        <v>9.1026297807358103E-2</v>
      </c>
      <c r="J190" s="5">
        <v>0.67668112795511004</v>
      </c>
      <c r="K190" s="66">
        <v>8784</v>
      </c>
      <c r="L190" s="66">
        <v>799.57499993983299</v>
      </c>
      <c r="M190" s="66">
        <v>515.82333333037195</v>
      </c>
      <c r="N190" s="66">
        <v>511.87333333037202</v>
      </c>
      <c r="O190" s="66">
        <v>3.95</v>
      </c>
      <c r="P190" s="66">
        <v>7984.4250000601696</v>
      </c>
      <c r="Q190" s="66">
        <v>2989.1112700308699</v>
      </c>
      <c r="R190" s="66">
        <v>5053.8618000901297</v>
      </c>
      <c r="S190" s="66">
        <v>-58.548070060824898</v>
      </c>
      <c r="T190" t="s">
        <v>564</v>
      </c>
      <c r="U190" t="s">
        <v>386</v>
      </c>
      <c r="V190" t="s">
        <v>384</v>
      </c>
      <c r="W190" t="s">
        <v>385</v>
      </c>
      <c r="X190" t="b">
        <v>0</v>
      </c>
      <c r="Y190" t="s">
        <v>1076</v>
      </c>
      <c r="Z190">
        <v>1</v>
      </c>
    </row>
    <row r="191" spans="1:26">
      <c r="A191" t="s">
        <v>288</v>
      </c>
      <c r="B191" t="s">
        <v>224</v>
      </c>
      <c r="C191" t="s">
        <v>117</v>
      </c>
      <c r="D191" s="5">
        <v>0.52355366330227204</v>
      </c>
      <c r="E191" s="5">
        <v>0.78986180683266305</v>
      </c>
      <c r="F191" s="5">
        <v>0.66284210576241998</v>
      </c>
      <c r="G191" s="5">
        <v>0.79747911411060102</v>
      </c>
      <c r="H191" s="5">
        <v>0.79862550565648205</v>
      </c>
      <c r="I191" s="5">
        <v>0.21013819316733701</v>
      </c>
      <c r="J191" s="5">
        <v>0.69998283285928597</v>
      </c>
      <c r="K191" s="66">
        <v>8784</v>
      </c>
      <c r="L191" s="66">
        <v>1845.85388878189</v>
      </c>
      <c r="M191" s="66">
        <v>368.13444441534699</v>
      </c>
      <c r="N191" s="66">
        <v>363.34777774868098</v>
      </c>
      <c r="O191" s="66">
        <v>4.7866666666666697</v>
      </c>
      <c r="P191" s="66">
        <v>6938.1461112181096</v>
      </c>
      <c r="Q191" s="66">
        <v>2359.7742182409702</v>
      </c>
      <c r="R191" s="66">
        <v>4598.8953784471596</v>
      </c>
      <c r="S191" s="66">
        <v>-20.523485470018901</v>
      </c>
      <c r="T191" t="s">
        <v>564</v>
      </c>
      <c r="U191" t="s">
        <v>386</v>
      </c>
      <c r="V191" t="s">
        <v>384</v>
      </c>
      <c r="W191" t="s">
        <v>384</v>
      </c>
      <c r="X191" t="b">
        <v>0</v>
      </c>
      <c r="Y191" t="s">
        <v>823</v>
      </c>
      <c r="Z191">
        <v>1</v>
      </c>
    </row>
    <row r="192" spans="1:26">
      <c r="A192" t="s">
        <v>288</v>
      </c>
      <c r="B192" t="s">
        <v>225</v>
      </c>
      <c r="C192" t="s">
        <v>117</v>
      </c>
      <c r="D192" s="5">
        <v>0.74289202664055198</v>
      </c>
      <c r="E192" s="5">
        <v>0.99037881376366099</v>
      </c>
      <c r="F192" s="5">
        <v>0.75010896468735599</v>
      </c>
      <c r="G192" s="5">
        <v>0.83981909996972803</v>
      </c>
      <c r="H192" s="5">
        <v>0.83981909997007398</v>
      </c>
      <c r="I192" s="5">
        <v>9.6211862363385706E-3</v>
      </c>
      <c r="J192" s="5">
        <v>0.77522506307820105</v>
      </c>
      <c r="K192" s="66">
        <v>8784</v>
      </c>
      <c r="L192" s="66">
        <v>84.512499899998005</v>
      </c>
      <c r="M192" s="66">
        <v>281.84999996626601</v>
      </c>
      <c r="N192" s="66">
        <v>281.84999996626601</v>
      </c>
      <c r="P192" s="66">
        <v>8699.4875001</v>
      </c>
      <c r="Q192" s="66">
        <v>2086.5198901652798</v>
      </c>
      <c r="R192" s="66">
        <v>6525.5635620106104</v>
      </c>
      <c r="S192" s="66">
        <v>87.404047924125507</v>
      </c>
      <c r="T192" t="s">
        <v>564</v>
      </c>
      <c r="U192" t="s">
        <v>386</v>
      </c>
      <c r="V192" t="s">
        <v>384</v>
      </c>
      <c r="W192" t="s">
        <v>384</v>
      </c>
      <c r="X192" t="b">
        <v>0</v>
      </c>
      <c r="Y192" t="s">
        <v>503</v>
      </c>
      <c r="Z192">
        <v>1</v>
      </c>
    </row>
    <row r="193" spans="1:26">
      <c r="A193" t="s">
        <v>288</v>
      </c>
      <c r="B193" t="s">
        <v>226</v>
      </c>
      <c r="C193" t="s">
        <v>117</v>
      </c>
      <c r="D193" s="5">
        <v>0.671031245482682</v>
      </c>
      <c r="E193" s="5">
        <v>0.94436718910903195</v>
      </c>
      <c r="F193" s="5">
        <v>0.71056179547678999</v>
      </c>
      <c r="G193" s="5">
        <v>0.82040631312261703</v>
      </c>
      <c r="H193" s="5">
        <v>0.82049986649707796</v>
      </c>
      <c r="I193" s="5">
        <v>5.5632810890968498E-2</v>
      </c>
      <c r="J193" s="5">
        <v>0.73300564616025099</v>
      </c>
      <c r="K193" s="66">
        <v>8784</v>
      </c>
      <c r="L193" s="66">
        <v>488.67861086626698</v>
      </c>
      <c r="M193" s="66">
        <v>253.99388886609299</v>
      </c>
      <c r="N193" s="66">
        <v>104.559166649841</v>
      </c>
      <c r="O193" s="66">
        <v>149.43472221625299</v>
      </c>
      <c r="P193" s="66">
        <v>8295.3213891337291</v>
      </c>
      <c r="Q193" s="66">
        <v>2474.1480188206901</v>
      </c>
      <c r="R193" s="66">
        <v>5894.3384603198801</v>
      </c>
      <c r="S193" s="66">
        <v>-73.165090006838099</v>
      </c>
      <c r="T193" t="s">
        <v>564</v>
      </c>
      <c r="U193" t="s">
        <v>386</v>
      </c>
      <c r="V193" t="s">
        <v>384</v>
      </c>
      <c r="W193" t="s">
        <v>384</v>
      </c>
      <c r="X193" t="b">
        <v>0</v>
      </c>
      <c r="Y193" t="s">
        <v>824</v>
      </c>
      <c r="Z193">
        <v>1</v>
      </c>
    </row>
    <row r="194" spans="1:26">
      <c r="A194" t="s">
        <v>288</v>
      </c>
      <c r="B194" t="s">
        <v>227</v>
      </c>
      <c r="C194" t="s">
        <v>117</v>
      </c>
      <c r="D194" s="5">
        <v>0.60541685743412899</v>
      </c>
      <c r="E194" s="5">
        <v>0.68399454185928799</v>
      </c>
      <c r="F194" s="5">
        <v>0.88511942769080598</v>
      </c>
      <c r="G194" s="5">
        <v>0.87080653902365002</v>
      </c>
      <c r="H194" s="5">
        <v>0.87080653902440897</v>
      </c>
      <c r="I194" s="5">
        <v>0.31600545814071201</v>
      </c>
      <c r="J194" s="5">
        <v>0.88576884124464905</v>
      </c>
      <c r="K194" s="66">
        <v>8784</v>
      </c>
      <c r="L194" s="66">
        <v>2775.79194430801</v>
      </c>
      <c r="M194" s="66">
        <v>4.4050000000000002</v>
      </c>
      <c r="O194" s="66">
        <v>4.4050000000000002</v>
      </c>
      <c r="P194" s="66">
        <v>6008.20805569199</v>
      </c>
      <c r="Q194" s="66">
        <v>618.33864969967397</v>
      </c>
      <c r="R194" s="66">
        <v>5317.9816757013796</v>
      </c>
      <c r="S194" s="66">
        <v>71.887730290949193</v>
      </c>
      <c r="T194" t="s">
        <v>564</v>
      </c>
      <c r="U194" t="s">
        <v>383</v>
      </c>
      <c r="V194" t="s">
        <v>384</v>
      </c>
      <c r="W194" t="s">
        <v>384</v>
      </c>
      <c r="X194" t="b">
        <v>0</v>
      </c>
      <c r="Y194" t="s">
        <v>1077</v>
      </c>
      <c r="Z194">
        <v>1</v>
      </c>
    </row>
    <row r="195" spans="1:26">
      <c r="A195" t="s">
        <v>50</v>
      </c>
      <c r="B195" t="s">
        <v>51</v>
      </c>
      <c r="C195" t="s">
        <v>117</v>
      </c>
      <c r="D195" s="5">
        <v>0.55638132234618298</v>
      </c>
      <c r="E195" s="5">
        <v>0.94539048270402004</v>
      </c>
      <c r="F195" s="5">
        <v>0.58852012213494298</v>
      </c>
      <c r="G195" s="5">
        <v>0.52519852287109303</v>
      </c>
      <c r="H195" s="5">
        <v>0.54882011133749398</v>
      </c>
      <c r="I195" s="5">
        <v>5.4609517295980001E-2</v>
      </c>
      <c r="J195" s="5">
        <v>0.597549327393046</v>
      </c>
      <c r="K195" s="66">
        <v>8784</v>
      </c>
      <c r="L195" s="66">
        <v>479.68999992788798</v>
      </c>
      <c r="M195" s="66">
        <v>125.48138886656101</v>
      </c>
      <c r="O195" s="66">
        <v>125.48138886656101</v>
      </c>
      <c r="P195" s="66">
        <v>8304.3100000721097</v>
      </c>
      <c r="Q195" s="66">
        <v>3417.5313825325102</v>
      </c>
      <c r="R195" s="66">
        <v>4887.2535354888796</v>
      </c>
      <c r="S195" s="66">
        <v>-0.47491794927370301</v>
      </c>
      <c r="T195" t="s">
        <v>564</v>
      </c>
      <c r="U195" t="s">
        <v>386</v>
      </c>
      <c r="V195" t="s">
        <v>384</v>
      </c>
      <c r="W195" t="s">
        <v>384</v>
      </c>
      <c r="X195" t="b">
        <v>0</v>
      </c>
      <c r="Y195" t="s">
        <v>1238</v>
      </c>
      <c r="Z195">
        <v>1</v>
      </c>
    </row>
    <row r="196" spans="1:26">
      <c r="A196" t="s">
        <v>50</v>
      </c>
      <c r="B196" t="s">
        <v>52</v>
      </c>
      <c r="C196" t="s">
        <v>117</v>
      </c>
      <c r="D196" s="5">
        <v>0.54786452761676396</v>
      </c>
      <c r="E196" s="5">
        <v>0.96038140685689399</v>
      </c>
      <c r="F196" s="5">
        <v>0.57046557097538697</v>
      </c>
      <c r="G196" s="5">
        <v>0.55124745057306102</v>
      </c>
      <c r="H196" s="5">
        <v>0.56835145513464003</v>
      </c>
      <c r="I196" s="5">
        <v>3.9618593143105903E-2</v>
      </c>
      <c r="J196" s="5">
        <v>0.57872425783315296</v>
      </c>
      <c r="K196" s="66">
        <v>8784</v>
      </c>
      <c r="L196" s="66">
        <v>348.00972216904199</v>
      </c>
      <c r="M196" s="66">
        <v>120.38583331657</v>
      </c>
      <c r="O196" s="66">
        <v>120.38583331657</v>
      </c>
      <c r="P196" s="66">
        <v>8435.9902778309497</v>
      </c>
      <c r="Q196" s="66">
        <v>3619.8822145491799</v>
      </c>
      <c r="R196" s="66">
        <v>4812.4420105856498</v>
      </c>
      <c r="S196" s="66">
        <v>3.6660526961293298</v>
      </c>
      <c r="T196" t="s">
        <v>564</v>
      </c>
      <c r="U196" t="s">
        <v>386</v>
      </c>
      <c r="V196" t="s">
        <v>384</v>
      </c>
      <c r="W196" t="s">
        <v>384</v>
      </c>
      <c r="X196" t="b">
        <v>0</v>
      </c>
      <c r="Y196" t="s">
        <v>1239</v>
      </c>
      <c r="Z196">
        <v>1</v>
      </c>
    </row>
    <row r="197" spans="1:26">
      <c r="A197" t="s">
        <v>289</v>
      </c>
      <c r="B197" t="s">
        <v>228</v>
      </c>
      <c r="C197" t="s">
        <v>116</v>
      </c>
      <c r="D197" s="5">
        <v>0.88491047507440901</v>
      </c>
      <c r="E197" s="5">
        <v>0.95539171619421703</v>
      </c>
      <c r="F197" s="5">
        <v>0.92622791267170701</v>
      </c>
      <c r="G197" s="5">
        <v>0.95160115668072298</v>
      </c>
      <c r="H197" s="5">
        <v>0.95160115668072198</v>
      </c>
      <c r="I197" s="5">
        <v>4.46082838057833E-2</v>
      </c>
      <c r="J197" s="5">
        <v>0.96009374153924099</v>
      </c>
      <c r="K197" s="66">
        <v>8784</v>
      </c>
      <c r="L197" s="66">
        <v>391.83916495</v>
      </c>
      <c r="M197" s="66">
        <v>296.02055546470302</v>
      </c>
      <c r="N197" s="66">
        <v>15.548333250000001</v>
      </c>
      <c r="O197" s="66">
        <v>280.47222221470298</v>
      </c>
      <c r="P197" s="66">
        <v>8392.1608350499992</v>
      </c>
      <c r="Q197" s="66">
        <v>619.86932246633103</v>
      </c>
      <c r="R197" s="66">
        <v>7773.0536130536102</v>
      </c>
      <c r="S197" s="66">
        <v>-0.762100469942812</v>
      </c>
      <c r="T197" t="s">
        <v>564</v>
      </c>
      <c r="U197" t="s">
        <v>386</v>
      </c>
      <c r="V197" t="s">
        <v>384</v>
      </c>
      <c r="W197" t="s">
        <v>384</v>
      </c>
      <c r="X197" t="b">
        <v>0</v>
      </c>
      <c r="Y197" t="s">
        <v>1078</v>
      </c>
      <c r="Z197">
        <v>1</v>
      </c>
    </row>
    <row r="198" spans="1:26">
      <c r="A198" t="s">
        <v>289</v>
      </c>
      <c r="B198" t="s">
        <v>229</v>
      </c>
      <c r="C198" t="s">
        <v>116</v>
      </c>
      <c r="D198" s="5">
        <v>0.89939609065292103</v>
      </c>
      <c r="E198" s="5">
        <v>0.95517455994801104</v>
      </c>
      <c r="F198" s="5">
        <v>0.94160389981688197</v>
      </c>
      <c r="G198" s="5">
        <v>0.94956341108157305</v>
      </c>
      <c r="H198" s="5">
        <v>0.94956341108157205</v>
      </c>
      <c r="I198" s="5">
        <v>4.4825440051988498E-2</v>
      </c>
      <c r="J198" s="5">
        <v>0.97664541199821697</v>
      </c>
      <c r="K198" s="66">
        <v>8784</v>
      </c>
      <c r="L198" s="66">
        <v>393.74666541666699</v>
      </c>
      <c r="M198" s="66">
        <v>301.03777769943599</v>
      </c>
      <c r="N198" s="66">
        <v>19.161388816666701</v>
      </c>
      <c r="O198" s="66">
        <v>281.87638888277002</v>
      </c>
      <c r="P198" s="66">
        <v>8390.2533345833399</v>
      </c>
      <c r="Q198" s="66">
        <v>498.77654466835702</v>
      </c>
      <c r="R198" s="66">
        <v>7900.2952602952601</v>
      </c>
      <c r="S198" s="66">
        <v>-8.8184703802824593</v>
      </c>
      <c r="T198" t="s">
        <v>564</v>
      </c>
      <c r="U198" t="s">
        <v>386</v>
      </c>
      <c r="V198" t="s">
        <v>384</v>
      </c>
      <c r="W198" t="s">
        <v>384</v>
      </c>
      <c r="X198" t="b">
        <v>0</v>
      </c>
      <c r="Y198" t="s">
        <v>1079</v>
      </c>
      <c r="Z198">
        <v>1</v>
      </c>
    </row>
    <row r="199" spans="1:26">
      <c r="A199" t="s">
        <v>53</v>
      </c>
      <c r="B199" t="s">
        <v>54</v>
      </c>
      <c r="C199" t="s">
        <v>117</v>
      </c>
      <c r="D199" s="5">
        <v>0.265453836838483</v>
      </c>
      <c r="E199" s="5">
        <v>0.74860791721960096</v>
      </c>
      <c r="F199" s="5">
        <v>0.35459661958212102</v>
      </c>
      <c r="G199" s="5">
        <v>0.41388881942411498</v>
      </c>
      <c r="H199" s="5">
        <v>0.41388881942490002</v>
      </c>
      <c r="I199" s="5">
        <v>0.25139208278039898</v>
      </c>
      <c r="J199" s="5">
        <v>0.38142314806893901</v>
      </c>
      <c r="K199" s="66">
        <v>8784</v>
      </c>
      <c r="L199" s="66">
        <v>2208.2280551430299</v>
      </c>
      <c r="M199" s="66">
        <v>462.491944431332</v>
      </c>
      <c r="N199" s="66">
        <v>44.382777766622297</v>
      </c>
      <c r="O199" s="66">
        <v>418.10916666471002</v>
      </c>
      <c r="P199" s="66">
        <v>6575.7719448569696</v>
      </c>
      <c r="Q199" s="66">
        <v>4246.5763859121198</v>
      </c>
      <c r="R199" s="66">
        <v>2331.7465027892299</v>
      </c>
      <c r="S199" s="66">
        <v>-2.55094384435768</v>
      </c>
      <c r="T199" t="s">
        <v>564</v>
      </c>
      <c r="U199" t="s">
        <v>386</v>
      </c>
      <c r="V199" t="s">
        <v>385</v>
      </c>
      <c r="W199" t="s">
        <v>384</v>
      </c>
      <c r="X199" t="b">
        <v>0</v>
      </c>
      <c r="Y199" t="s">
        <v>825</v>
      </c>
      <c r="Z199">
        <v>1</v>
      </c>
    </row>
    <row r="200" spans="1:26">
      <c r="A200" t="s">
        <v>53</v>
      </c>
      <c r="B200" t="s">
        <v>55</v>
      </c>
      <c r="C200" t="s">
        <v>117</v>
      </c>
      <c r="D200" s="5">
        <v>0.23417436285239901</v>
      </c>
      <c r="E200" s="5">
        <v>0.74699535776196302</v>
      </c>
      <c r="F200" s="5">
        <v>0.313488377697551</v>
      </c>
      <c r="G200" s="5">
        <v>0.38579770556203102</v>
      </c>
      <c r="H200" s="5">
        <v>0.38579770556256399</v>
      </c>
      <c r="I200" s="5">
        <v>0.25300464223803698</v>
      </c>
      <c r="J200" s="5">
        <v>0.33764026693087801</v>
      </c>
      <c r="K200" s="66">
        <v>8784</v>
      </c>
      <c r="L200" s="66">
        <v>2222.3927774189201</v>
      </c>
      <c r="M200" s="66">
        <v>469.36111108104001</v>
      </c>
      <c r="N200" s="66">
        <v>48.7547222166179</v>
      </c>
      <c r="O200" s="66">
        <v>420.606388864422</v>
      </c>
      <c r="P200" s="66">
        <v>6561.6072225810904</v>
      </c>
      <c r="Q200" s="66">
        <v>4502.2305480950299</v>
      </c>
      <c r="R200" s="66">
        <v>2056.9876032954799</v>
      </c>
      <c r="S200" s="66">
        <v>2.3890711906098199</v>
      </c>
      <c r="T200" t="s">
        <v>564</v>
      </c>
      <c r="U200" t="s">
        <v>386</v>
      </c>
      <c r="V200" t="s">
        <v>385</v>
      </c>
      <c r="W200" t="s">
        <v>384</v>
      </c>
      <c r="X200" t="b">
        <v>0</v>
      </c>
      <c r="Y200" t="s">
        <v>826</v>
      </c>
      <c r="Z200">
        <v>1</v>
      </c>
    </row>
    <row r="201" spans="1:26">
      <c r="A201" t="s">
        <v>56</v>
      </c>
      <c r="B201" t="s">
        <v>57</v>
      </c>
      <c r="C201" t="s">
        <v>117</v>
      </c>
      <c r="D201" s="5">
        <v>0.41665413835638199</v>
      </c>
      <c r="E201" s="5">
        <v>0.63769454575922102</v>
      </c>
      <c r="F201" s="5">
        <v>0.65337572843801694</v>
      </c>
      <c r="G201" s="5">
        <v>0.73616529360501604</v>
      </c>
      <c r="H201" s="5">
        <v>0.73616529360740002</v>
      </c>
      <c r="I201" s="5">
        <v>0.36230545424077898</v>
      </c>
      <c r="J201" s="5">
        <v>0.67061548137151195</v>
      </c>
      <c r="K201" s="66">
        <v>8784</v>
      </c>
      <c r="L201" s="66">
        <v>3182.4911100509999</v>
      </c>
      <c r="M201" s="66">
        <v>144</v>
      </c>
      <c r="O201" s="66">
        <v>144</v>
      </c>
      <c r="P201" s="66">
        <v>5601.5088899490001</v>
      </c>
      <c r="Q201" s="66">
        <v>1966.2563805162999</v>
      </c>
      <c r="R201" s="66">
        <v>3659.8899513224501</v>
      </c>
      <c r="S201" s="66">
        <v>-21.1374418897515</v>
      </c>
      <c r="T201" t="s">
        <v>564</v>
      </c>
      <c r="U201" t="s">
        <v>386</v>
      </c>
      <c r="V201" t="s">
        <v>385</v>
      </c>
      <c r="W201" t="s">
        <v>384</v>
      </c>
      <c r="X201" t="b">
        <v>0</v>
      </c>
      <c r="Y201" t="s">
        <v>504</v>
      </c>
      <c r="Z201">
        <v>1</v>
      </c>
    </row>
    <row r="202" spans="1:26">
      <c r="A202" t="s">
        <v>56</v>
      </c>
      <c r="B202" t="s">
        <v>58</v>
      </c>
      <c r="C202" t="s">
        <v>117</v>
      </c>
      <c r="D202" s="5">
        <v>0.35171496691471099</v>
      </c>
      <c r="E202" s="5">
        <v>0.71917065124868396</v>
      </c>
      <c r="F202" s="5">
        <v>0.48905634052784902</v>
      </c>
      <c r="G202" s="5">
        <v>0.55516604449922702</v>
      </c>
      <c r="H202" s="5">
        <v>0.55516604450073204</v>
      </c>
      <c r="I202" s="5">
        <v>0.28082934875131699</v>
      </c>
      <c r="J202" s="5">
        <v>0.53145718818591203</v>
      </c>
      <c r="K202" s="66">
        <v>8784</v>
      </c>
      <c r="L202" s="66">
        <v>2466.8049994315702</v>
      </c>
      <c r="M202" s="66">
        <v>503.99999999940002</v>
      </c>
      <c r="N202" s="66">
        <v>167.99999999939999</v>
      </c>
      <c r="O202" s="66">
        <v>336</v>
      </c>
      <c r="P202" s="66">
        <v>6317.1950005684303</v>
      </c>
      <c r="Q202" s="66">
        <v>3228.6980492816001</v>
      </c>
      <c r="R202" s="66">
        <v>3089.4642693788201</v>
      </c>
      <c r="S202" s="66">
        <v>16.049348574666801</v>
      </c>
      <c r="T202" t="s">
        <v>564</v>
      </c>
      <c r="U202" t="s">
        <v>386</v>
      </c>
      <c r="V202" t="s">
        <v>385</v>
      </c>
      <c r="W202" t="s">
        <v>384</v>
      </c>
      <c r="X202" t="b">
        <v>0</v>
      </c>
      <c r="Y202" t="s">
        <v>505</v>
      </c>
      <c r="Z202">
        <v>1</v>
      </c>
    </row>
    <row r="203" spans="1:26">
      <c r="A203" t="s">
        <v>56</v>
      </c>
      <c r="B203" t="s">
        <v>59</v>
      </c>
      <c r="C203" t="s">
        <v>117</v>
      </c>
      <c r="D203" s="5">
        <v>0.34644807833820201</v>
      </c>
      <c r="E203" s="5">
        <v>0.742916255622872</v>
      </c>
      <c r="F203" s="5">
        <v>0.46633530457310401</v>
      </c>
      <c r="G203" s="5">
        <v>0.57708247666100299</v>
      </c>
      <c r="H203" s="5">
        <v>0.57355552894553696</v>
      </c>
      <c r="I203" s="5">
        <v>0.257083744377128</v>
      </c>
      <c r="J203" s="5">
        <v>0.50536581289933602</v>
      </c>
      <c r="K203" s="66">
        <v>8784</v>
      </c>
      <c r="L203" s="66">
        <v>2258.2236106086898</v>
      </c>
      <c r="M203" s="66">
        <v>504</v>
      </c>
      <c r="N203" s="66">
        <v>168</v>
      </c>
      <c r="O203" s="66">
        <v>336</v>
      </c>
      <c r="P203" s="66">
        <v>6525.7763893913097</v>
      </c>
      <c r="Q203" s="66">
        <v>3488.7983273981999</v>
      </c>
      <c r="R203" s="66">
        <v>3043.19992012277</v>
      </c>
      <c r="S203" s="66">
        <v>13.2781418703334</v>
      </c>
      <c r="T203" t="s">
        <v>564</v>
      </c>
      <c r="U203" t="s">
        <v>386</v>
      </c>
      <c r="V203" t="s">
        <v>385</v>
      </c>
      <c r="W203" t="s">
        <v>384</v>
      </c>
      <c r="X203" t="b">
        <v>0</v>
      </c>
      <c r="Y203" t="s">
        <v>506</v>
      </c>
      <c r="Z203">
        <v>1</v>
      </c>
    </row>
    <row r="204" spans="1:26">
      <c r="A204" t="s">
        <v>56</v>
      </c>
      <c r="B204" t="s">
        <v>60</v>
      </c>
      <c r="C204" t="s">
        <v>117</v>
      </c>
      <c r="D204" s="5">
        <v>0.33647299860843599</v>
      </c>
      <c r="E204" s="5">
        <v>0.73484232699833896</v>
      </c>
      <c r="F204" s="5">
        <v>0.45788461857232698</v>
      </c>
      <c r="G204" s="5">
        <v>0.55006877560178102</v>
      </c>
      <c r="H204" s="5">
        <v>0.55006877560451195</v>
      </c>
      <c r="I204" s="5">
        <v>0.26515767300166099</v>
      </c>
      <c r="J204" s="5">
        <v>0.49666456662126202</v>
      </c>
      <c r="K204" s="66">
        <v>8784</v>
      </c>
      <c r="L204" s="66">
        <v>2329.1449996465899</v>
      </c>
      <c r="M204" s="66">
        <v>504</v>
      </c>
      <c r="N204" s="66">
        <v>168</v>
      </c>
      <c r="O204" s="66">
        <v>336</v>
      </c>
      <c r="P204" s="66">
        <v>6454.8550003534101</v>
      </c>
      <c r="Q204" s="66">
        <v>3529.6124925489198</v>
      </c>
      <c r="R204" s="66">
        <v>2955.5788197765</v>
      </c>
      <c r="S204" s="66">
        <v>-19.026589755343501</v>
      </c>
      <c r="T204" t="s">
        <v>564</v>
      </c>
      <c r="U204" t="s">
        <v>386</v>
      </c>
      <c r="V204" t="s">
        <v>385</v>
      </c>
      <c r="W204" t="s">
        <v>384</v>
      </c>
      <c r="X204" t="b">
        <v>0</v>
      </c>
      <c r="Y204" t="s">
        <v>507</v>
      </c>
      <c r="Z204">
        <v>1</v>
      </c>
    </row>
    <row r="205" spans="1:26">
      <c r="A205" t="s">
        <v>53</v>
      </c>
      <c r="B205" t="s">
        <v>61</v>
      </c>
      <c r="C205" t="s">
        <v>117</v>
      </c>
      <c r="D205" s="5">
        <v>0.21328967748619099</v>
      </c>
      <c r="E205" s="5">
        <v>0.67230469544530003</v>
      </c>
      <c r="F205" s="5">
        <v>0.31725150654335299</v>
      </c>
      <c r="G205" s="5">
        <v>0.31543283006446898</v>
      </c>
      <c r="H205" s="5">
        <v>0.30039884464208799</v>
      </c>
      <c r="I205" s="5">
        <v>0.32769530455469997</v>
      </c>
      <c r="J205" s="5">
        <v>0.33928133865238402</v>
      </c>
      <c r="K205" s="66">
        <v>8784</v>
      </c>
      <c r="L205" s="66">
        <v>2878.4755552084898</v>
      </c>
      <c r="M205" s="66">
        <v>383.45083331515201</v>
      </c>
      <c r="N205" s="66">
        <v>24.002777766642701</v>
      </c>
      <c r="O205" s="66">
        <v>359.44805554850899</v>
      </c>
      <c r="P205" s="66">
        <v>5905.5244447915102</v>
      </c>
      <c r="Q205" s="66">
        <v>4023.6877553629001</v>
      </c>
      <c r="R205" s="66">
        <v>1873.5365270386999</v>
      </c>
      <c r="S205" s="66">
        <v>8.3001623899245498</v>
      </c>
      <c r="T205" t="s">
        <v>564</v>
      </c>
      <c r="U205" t="s">
        <v>386</v>
      </c>
      <c r="V205" t="s">
        <v>385</v>
      </c>
      <c r="W205" t="s">
        <v>385</v>
      </c>
      <c r="X205" t="b">
        <v>0</v>
      </c>
      <c r="Y205" t="s">
        <v>827</v>
      </c>
      <c r="Z205">
        <v>1</v>
      </c>
    </row>
    <row r="206" spans="1:26">
      <c r="A206" t="s">
        <v>53</v>
      </c>
      <c r="B206" t="s">
        <v>62</v>
      </c>
      <c r="C206" t="s">
        <v>117</v>
      </c>
      <c r="D206" s="5">
        <v>0.19156658835722901</v>
      </c>
      <c r="E206" s="5">
        <v>0.66875151796208399</v>
      </c>
      <c r="F206" s="5">
        <v>0.28645406135450502</v>
      </c>
      <c r="G206" s="5">
        <v>0.29648099220054303</v>
      </c>
      <c r="H206" s="5">
        <v>0.28311206772159397</v>
      </c>
      <c r="I206" s="5">
        <v>0.33124848203791601</v>
      </c>
      <c r="J206" s="5">
        <v>0.30650382741341498</v>
      </c>
      <c r="K206" s="66">
        <v>8784</v>
      </c>
      <c r="L206" s="66">
        <v>2909.68666622106</v>
      </c>
      <c r="M206" s="66">
        <v>384.26472221549</v>
      </c>
      <c r="N206" s="66">
        <v>24.0041666666427</v>
      </c>
      <c r="O206" s="66">
        <v>360.260555548848</v>
      </c>
      <c r="P206" s="66">
        <v>5874.3133337789404</v>
      </c>
      <c r="Q206" s="66">
        <v>4186.9110904292102</v>
      </c>
      <c r="R206" s="66">
        <v>1682.7209121298999</v>
      </c>
      <c r="S206" s="66">
        <v>4.6813312198449699</v>
      </c>
      <c r="T206" t="s">
        <v>564</v>
      </c>
      <c r="U206" t="s">
        <v>386</v>
      </c>
      <c r="V206" t="s">
        <v>385</v>
      </c>
      <c r="W206" t="s">
        <v>385</v>
      </c>
      <c r="X206" t="b">
        <v>0</v>
      </c>
      <c r="Y206" t="s">
        <v>828</v>
      </c>
      <c r="Z206">
        <v>1</v>
      </c>
    </row>
    <row r="207" spans="1:26">
      <c r="A207" t="s">
        <v>53</v>
      </c>
      <c r="B207" t="s">
        <v>63</v>
      </c>
      <c r="C207" t="s">
        <v>117</v>
      </c>
      <c r="D207" s="5">
        <v>0.293191434787894</v>
      </c>
      <c r="E207" s="5">
        <v>0.87752637371607101</v>
      </c>
      <c r="F207" s="5">
        <v>0.33411125131921998</v>
      </c>
      <c r="G207" s="5">
        <v>0.43479427840611901</v>
      </c>
      <c r="H207" s="5">
        <v>0.46365225674666999</v>
      </c>
      <c r="I207" s="5">
        <v>0.12247362628392799</v>
      </c>
      <c r="J207" s="5">
        <v>0.357751491825337</v>
      </c>
      <c r="K207" s="66">
        <v>8784</v>
      </c>
      <c r="L207" s="66">
        <v>1075.80833327803</v>
      </c>
      <c r="M207" s="66">
        <v>509.357777765815</v>
      </c>
      <c r="N207" s="66">
        <v>141.438333333218</v>
      </c>
      <c r="O207" s="66">
        <v>367.919444432597</v>
      </c>
      <c r="P207" s="66">
        <v>7708.1916667219703</v>
      </c>
      <c r="Q207" s="66">
        <v>5155.4491584968</v>
      </c>
      <c r="R207" s="66">
        <v>2575.39356317686</v>
      </c>
      <c r="S207" s="66">
        <v>-22.651054951696999</v>
      </c>
      <c r="T207" t="s">
        <v>564</v>
      </c>
      <c r="U207" t="s">
        <v>386</v>
      </c>
      <c r="V207" t="s">
        <v>385</v>
      </c>
      <c r="W207" t="s">
        <v>385</v>
      </c>
      <c r="X207" t="b">
        <v>0</v>
      </c>
      <c r="Y207" t="s">
        <v>829</v>
      </c>
      <c r="Z207">
        <v>1</v>
      </c>
    </row>
    <row r="208" spans="1:26">
      <c r="A208" t="s">
        <v>53</v>
      </c>
      <c r="B208" t="s">
        <v>64</v>
      </c>
      <c r="C208" t="s">
        <v>117</v>
      </c>
      <c r="D208" s="5">
        <v>0.25170361207196001</v>
      </c>
      <c r="E208" s="5">
        <v>0.86969803051989303</v>
      </c>
      <c r="F208" s="5">
        <v>0.289414950062029</v>
      </c>
      <c r="G208" s="5">
        <v>0.37656547587282702</v>
      </c>
      <c r="H208" s="5">
        <v>0.40162099486344499</v>
      </c>
      <c r="I208" s="5">
        <v>0.130301969480107</v>
      </c>
      <c r="J208" s="5">
        <v>0.31092054255349499</v>
      </c>
      <c r="K208" s="66">
        <v>8784</v>
      </c>
      <c r="L208" s="66">
        <v>1144.5724999132599</v>
      </c>
      <c r="M208" s="66">
        <v>528.39999999901897</v>
      </c>
      <c r="N208" s="66">
        <v>159.79666666650701</v>
      </c>
      <c r="O208" s="66">
        <v>368.60333333251202</v>
      </c>
      <c r="P208" s="66">
        <v>7639.4275000867401</v>
      </c>
      <c r="Q208" s="66">
        <v>5440.5669363302704</v>
      </c>
      <c r="R208" s="66">
        <v>2210.9645284400999</v>
      </c>
      <c r="S208" s="66">
        <v>-12.1039646836256</v>
      </c>
      <c r="T208" t="s">
        <v>564</v>
      </c>
      <c r="U208" t="s">
        <v>386</v>
      </c>
      <c r="V208" t="s">
        <v>385</v>
      </c>
      <c r="W208" t="s">
        <v>385</v>
      </c>
      <c r="X208" t="b">
        <v>0</v>
      </c>
      <c r="Y208" t="s">
        <v>830</v>
      </c>
      <c r="Z208">
        <v>1</v>
      </c>
    </row>
    <row r="209" spans="1:26">
      <c r="A209" t="s">
        <v>53</v>
      </c>
      <c r="B209" t="s">
        <v>65</v>
      </c>
      <c r="C209" t="s">
        <v>117</v>
      </c>
      <c r="D209" s="5">
        <v>0.39144529032800301</v>
      </c>
      <c r="E209" s="5">
        <v>0.892910563403566</v>
      </c>
      <c r="F209" s="5">
        <v>0.43839249570069599</v>
      </c>
      <c r="G209" s="5">
        <v>0.500095457293114</v>
      </c>
      <c r="H209" s="5">
        <v>0.51938537427157605</v>
      </c>
      <c r="I209" s="5">
        <v>0.107089436596434</v>
      </c>
      <c r="J209" s="5">
        <v>0.46845285819386101</v>
      </c>
      <c r="K209" s="66">
        <v>8784</v>
      </c>
      <c r="L209" s="66">
        <v>940.67361106307499</v>
      </c>
      <c r="M209" s="66">
        <v>503.30194443191101</v>
      </c>
      <c r="N209" s="66">
        <v>160.57499999980601</v>
      </c>
      <c r="O209" s="66">
        <v>342.72694443210497</v>
      </c>
      <c r="P209" s="66">
        <v>7843.32638893692</v>
      </c>
      <c r="Q209" s="66">
        <v>4400.8786008469497</v>
      </c>
      <c r="R209" s="66">
        <v>3438.4554302411798</v>
      </c>
      <c r="S209" s="66">
        <v>3.9923578487855398</v>
      </c>
      <c r="T209" t="s">
        <v>564</v>
      </c>
      <c r="U209" t="s">
        <v>386</v>
      </c>
      <c r="V209" t="s">
        <v>385</v>
      </c>
      <c r="W209" t="s">
        <v>384</v>
      </c>
      <c r="X209" t="b">
        <v>0</v>
      </c>
      <c r="Y209" t="s">
        <v>831</v>
      </c>
      <c r="Z209">
        <v>1</v>
      </c>
    </row>
    <row r="210" spans="1:26">
      <c r="A210" t="s">
        <v>53</v>
      </c>
      <c r="B210" t="s">
        <v>66</v>
      </c>
      <c r="C210" t="s">
        <v>117</v>
      </c>
      <c r="D210" s="5">
        <v>0.36510747687079398</v>
      </c>
      <c r="E210" s="5">
        <v>0.88214711724036998</v>
      </c>
      <c r="F210" s="5">
        <v>0.41388501955656098</v>
      </c>
      <c r="G210" s="5">
        <v>0.462482044474607</v>
      </c>
      <c r="H210" s="5">
        <v>0.48171382734820001</v>
      </c>
      <c r="I210" s="5">
        <v>0.11785288275963</v>
      </c>
      <c r="J210" s="5">
        <v>0.44500260075466203</v>
      </c>
      <c r="K210" s="66">
        <v>8784</v>
      </c>
      <c r="L210" s="66">
        <v>1035.21972216059</v>
      </c>
      <c r="M210" s="66">
        <v>541.84694442909301</v>
      </c>
      <c r="N210" s="66">
        <v>176.78666666644199</v>
      </c>
      <c r="O210" s="66">
        <v>365.06027776265103</v>
      </c>
      <c r="P210" s="66">
        <v>7748.7802778394098</v>
      </c>
      <c r="Q210" s="66">
        <v>4535.1033259597598</v>
      </c>
      <c r="R210" s="66">
        <v>3207.1040768330599</v>
      </c>
      <c r="S210" s="66">
        <v>6.5728750465878099</v>
      </c>
      <c r="T210" t="s">
        <v>564</v>
      </c>
      <c r="U210" t="s">
        <v>386</v>
      </c>
      <c r="V210" t="s">
        <v>385</v>
      </c>
      <c r="W210" t="s">
        <v>384</v>
      </c>
      <c r="X210" t="b">
        <v>0</v>
      </c>
      <c r="Y210" t="s">
        <v>832</v>
      </c>
      <c r="Z210">
        <v>1</v>
      </c>
    </row>
    <row r="211" spans="1:26">
      <c r="A211" t="s">
        <v>53</v>
      </c>
      <c r="B211" t="s">
        <v>67</v>
      </c>
      <c r="C211" t="s">
        <v>117</v>
      </c>
      <c r="D211" s="5">
        <v>0.38599827032587702</v>
      </c>
      <c r="E211" s="5">
        <v>0.77537334295924798</v>
      </c>
      <c r="F211" s="5">
        <v>0.49782246685538301</v>
      </c>
      <c r="G211" s="5">
        <v>0.58729423418063398</v>
      </c>
      <c r="H211" s="5">
        <v>0.55021634090948901</v>
      </c>
      <c r="I211" s="5">
        <v>0.22462665704075199</v>
      </c>
      <c r="J211" s="5">
        <v>0.52381877645452701</v>
      </c>
      <c r="K211" s="66">
        <v>8784</v>
      </c>
      <c r="L211" s="66">
        <v>1973.12055544597</v>
      </c>
      <c r="M211" s="66">
        <v>338.01333331632901</v>
      </c>
      <c r="N211" s="66">
        <v>132.416111099868</v>
      </c>
      <c r="O211" s="66">
        <v>205.59722221646101</v>
      </c>
      <c r="P211" s="66">
        <v>6810.8794445540298</v>
      </c>
      <c r="Q211" s="66">
        <v>3391.8257925636099</v>
      </c>
      <c r="R211" s="66">
        <v>3390.6088065425101</v>
      </c>
      <c r="S211" s="66">
        <v>28.444845447943401</v>
      </c>
      <c r="T211" t="s">
        <v>564</v>
      </c>
      <c r="U211" t="s">
        <v>386</v>
      </c>
      <c r="V211" t="s">
        <v>385</v>
      </c>
      <c r="W211" t="s">
        <v>384</v>
      </c>
      <c r="X211" t="b">
        <v>0</v>
      </c>
      <c r="Y211" t="s">
        <v>833</v>
      </c>
      <c r="Z211">
        <v>1</v>
      </c>
    </row>
    <row r="212" spans="1:26">
      <c r="A212" t="s">
        <v>53</v>
      </c>
      <c r="B212" t="s">
        <v>68</v>
      </c>
      <c r="C212" t="s">
        <v>117</v>
      </c>
      <c r="D212" s="5">
        <v>0.32202309863553003</v>
      </c>
      <c r="E212" s="5">
        <v>0.715328912487602</v>
      </c>
      <c r="F212" s="5">
        <v>0.45017486783202099</v>
      </c>
      <c r="G212" s="5">
        <v>0.55165007701659996</v>
      </c>
      <c r="H212" s="5">
        <v>0.55165007701832103</v>
      </c>
      <c r="I212" s="5">
        <v>0.284671087512398</v>
      </c>
      <c r="J212" s="5">
        <v>0.47234874781616398</v>
      </c>
      <c r="K212" s="66">
        <v>8784</v>
      </c>
      <c r="L212" s="66">
        <v>2500.5508327089001</v>
      </c>
      <c r="M212" s="66">
        <v>294.96944443303801</v>
      </c>
      <c r="N212" s="66">
        <v>94.969444433238394</v>
      </c>
      <c r="O212" s="66">
        <v>199.9999999998</v>
      </c>
      <c r="P212" s="66">
        <v>6283.4491672910999</v>
      </c>
      <c r="Q212" s="66">
        <v>3477.5322192282601</v>
      </c>
      <c r="R212" s="66">
        <v>2828.6508984144898</v>
      </c>
      <c r="S212" s="66">
        <v>-22.7339503516543</v>
      </c>
      <c r="T212" t="s">
        <v>564</v>
      </c>
      <c r="U212" t="s">
        <v>386</v>
      </c>
      <c r="V212" t="s">
        <v>385</v>
      </c>
      <c r="W212" t="s">
        <v>384</v>
      </c>
      <c r="X212" t="b">
        <v>0</v>
      </c>
      <c r="Y212" t="s">
        <v>508</v>
      </c>
      <c r="Z212">
        <v>1</v>
      </c>
    </row>
    <row r="213" spans="1:26">
      <c r="A213" t="s">
        <v>53</v>
      </c>
      <c r="B213" t="s">
        <v>69</v>
      </c>
      <c r="C213" t="s">
        <v>117</v>
      </c>
      <c r="D213" s="5">
        <v>0.36893957679253397</v>
      </c>
      <c r="E213" s="5">
        <v>0.69940526338740705</v>
      </c>
      <c r="F213" s="5">
        <v>0.52750471880303096</v>
      </c>
      <c r="G213" s="5">
        <v>0.57318414522130801</v>
      </c>
      <c r="H213" s="5">
        <v>0.57318414522695804</v>
      </c>
      <c r="I213" s="5">
        <v>0.30059473661259301</v>
      </c>
      <c r="J213" s="5">
        <v>0.57337731952390003</v>
      </c>
      <c r="K213" s="66">
        <v>8784</v>
      </c>
      <c r="L213" s="66">
        <v>2640.4241664050201</v>
      </c>
      <c r="M213" s="66">
        <v>491.51194443284197</v>
      </c>
      <c r="N213" s="66">
        <v>71.999999999927994</v>
      </c>
      <c r="O213" s="66">
        <v>419.51194443291399</v>
      </c>
      <c r="P213" s="66">
        <v>6143.5758335949804</v>
      </c>
      <c r="Q213" s="66">
        <v>2859.0919344468798</v>
      </c>
      <c r="R213" s="66">
        <v>3240.7652425456199</v>
      </c>
      <c r="S213" s="66">
        <v>43.718656602457898</v>
      </c>
      <c r="T213" t="s">
        <v>564</v>
      </c>
      <c r="U213" t="s">
        <v>386</v>
      </c>
      <c r="V213" t="s">
        <v>385</v>
      </c>
      <c r="W213" t="s">
        <v>385</v>
      </c>
      <c r="X213" t="b">
        <v>0</v>
      </c>
      <c r="Y213" t="s">
        <v>834</v>
      </c>
      <c r="Z213">
        <v>1</v>
      </c>
    </row>
    <row r="214" spans="1:26">
      <c r="A214" t="s">
        <v>53</v>
      </c>
      <c r="B214" t="s">
        <v>70</v>
      </c>
      <c r="C214" t="s">
        <v>117</v>
      </c>
      <c r="D214" s="5">
        <v>0.28810097241567001</v>
      </c>
      <c r="E214" s="5">
        <v>0.79881299334339695</v>
      </c>
      <c r="F214" s="5">
        <v>0.36066134979832498</v>
      </c>
      <c r="G214" s="5">
        <v>0.50013912357375701</v>
      </c>
      <c r="H214" s="5">
        <v>0.500139123574598</v>
      </c>
      <c r="I214" s="5">
        <v>0.201187006656603</v>
      </c>
      <c r="J214" s="5">
        <v>0.38785299350555402</v>
      </c>
      <c r="K214" s="66">
        <v>8784</v>
      </c>
      <c r="L214" s="66">
        <v>1767.2266664716001</v>
      </c>
      <c r="M214" s="66">
        <v>491.93277776508398</v>
      </c>
      <c r="N214" s="66">
        <v>71.999999999927994</v>
      </c>
      <c r="O214" s="66">
        <v>419.932777765156</v>
      </c>
      <c r="P214" s="66">
        <v>7016.7733335284001</v>
      </c>
      <c r="Q214" s="66">
        <v>4488.7324916789403</v>
      </c>
      <c r="R214" s="66">
        <v>2530.6789416992401</v>
      </c>
      <c r="S214" s="66">
        <v>-2.63809984980236</v>
      </c>
      <c r="T214" t="s">
        <v>564</v>
      </c>
      <c r="U214" t="s">
        <v>386</v>
      </c>
      <c r="V214" t="s">
        <v>385</v>
      </c>
      <c r="W214" t="s">
        <v>384</v>
      </c>
      <c r="X214" t="b">
        <v>0</v>
      </c>
      <c r="Y214" t="s">
        <v>835</v>
      </c>
      <c r="Z214">
        <v>1</v>
      </c>
    </row>
    <row r="215" spans="1:26">
      <c r="A215" t="s">
        <v>290</v>
      </c>
      <c r="B215" t="s">
        <v>230</v>
      </c>
      <c r="C215" t="s">
        <v>116</v>
      </c>
      <c r="D215" s="5">
        <v>0.79252907101065995</v>
      </c>
      <c r="E215" s="5">
        <v>0.81175277690310199</v>
      </c>
      <c r="F215" s="5">
        <v>0.97631827517020398</v>
      </c>
      <c r="G215" s="5">
        <v>0.93104415518902295</v>
      </c>
      <c r="H215" s="5">
        <v>0.93209520062123197</v>
      </c>
      <c r="I215" s="5">
        <v>0.18824722309689801</v>
      </c>
      <c r="J215" s="5">
        <v>0.99293400961953204</v>
      </c>
      <c r="K215" s="66">
        <v>8784</v>
      </c>
      <c r="L215" s="66">
        <v>1653.5636076831499</v>
      </c>
      <c r="M215" s="66">
        <v>119.32055549990601</v>
      </c>
      <c r="N215" s="66">
        <v>119.32055549990601</v>
      </c>
      <c r="P215" s="66">
        <v>7130.4363923168403</v>
      </c>
      <c r="Q215" s="66">
        <v>203.16888873322699</v>
      </c>
      <c r="R215" s="66">
        <v>6961.5753597576304</v>
      </c>
      <c r="S215" s="66">
        <v>-34.307856174018099</v>
      </c>
      <c r="T215" t="s">
        <v>564</v>
      </c>
      <c r="U215" t="s">
        <v>386</v>
      </c>
      <c r="V215" t="s">
        <v>385</v>
      </c>
      <c r="W215" t="s">
        <v>384</v>
      </c>
      <c r="X215" t="b">
        <v>0</v>
      </c>
      <c r="Y215" t="s">
        <v>1080</v>
      </c>
      <c r="Z215">
        <v>1</v>
      </c>
    </row>
    <row r="216" spans="1:26">
      <c r="A216" t="s">
        <v>290</v>
      </c>
      <c r="B216" t="s">
        <v>231</v>
      </c>
      <c r="C216" t="s">
        <v>116</v>
      </c>
      <c r="D216" s="5">
        <v>0.79461366032845704</v>
      </c>
      <c r="E216" s="5">
        <v>0.82540705365818801</v>
      </c>
      <c r="F216" s="5">
        <v>0.96269308192454195</v>
      </c>
      <c r="G216" s="5">
        <v>0.88611186476689696</v>
      </c>
      <c r="H216" s="5">
        <v>0.88717667625922003</v>
      </c>
      <c r="I216" s="5">
        <v>0.17459294634181199</v>
      </c>
      <c r="J216" s="5">
        <v>0.97712868034413702</v>
      </c>
      <c r="K216" s="66">
        <v>8784</v>
      </c>
      <c r="L216" s="66">
        <v>1533.62444066647</v>
      </c>
      <c r="M216" s="66">
        <v>107.113333249959</v>
      </c>
      <c r="N216" s="66">
        <v>107.113333249959</v>
      </c>
      <c r="P216" s="66">
        <v>7250.37555933353</v>
      </c>
      <c r="Q216" s="66">
        <v>318.01666638281603</v>
      </c>
      <c r="R216" s="66">
        <v>6979.8863923251602</v>
      </c>
      <c r="S216" s="66">
        <v>-47.5274993744599</v>
      </c>
      <c r="T216" t="s">
        <v>564</v>
      </c>
      <c r="U216" t="s">
        <v>386</v>
      </c>
      <c r="V216" t="s">
        <v>385</v>
      </c>
      <c r="W216" t="s">
        <v>384</v>
      </c>
      <c r="X216" t="b">
        <v>0</v>
      </c>
      <c r="Y216" t="s">
        <v>1081</v>
      </c>
      <c r="Z216">
        <v>1</v>
      </c>
    </row>
    <row r="217" spans="1:26">
      <c r="A217" t="s">
        <v>290</v>
      </c>
      <c r="B217" t="s">
        <v>232</v>
      </c>
      <c r="C217" t="s">
        <v>116</v>
      </c>
      <c r="D217" s="5">
        <v>0.795889994560804</v>
      </c>
      <c r="E217" s="5">
        <v>0.81581012239680695</v>
      </c>
      <c r="F217" s="5">
        <v>0.97558239682356596</v>
      </c>
      <c r="G217" s="5">
        <v>0.93411515517247101</v>
      </c>
      <c r="H217" s="5">
        <v>0.93513353248126097</v>
      </c>
      <c r="I217" s="5">
        <v>0.184189877603193</v>
      </c>
      <c r="J217" s="5">
        <v>0.989136135600997</v>
      </c>
      <c r="K217" s="66">
        <v>8784</v>
      </c>
      <c r="L217" s="66">
        <v>1617.92388486645</v>
      </c>
      <c r="M217" s="66">
        <v>98.193888816615399</v>
      </c>
      <c r="N217" s="66">
        <v>98.193888816615399</v>
      </c>
      <c r="P217" s="66">
        <v>7166.07611513355</v>
      </c>
      <c r="Q217" s="66">
        <v>186.90416656655</v>
      </c>
      <c r="R217" s="66">
        <v>6991.0977122221002</v>
      </c>
      <c r="S217" s="66">
        <v>-11.925763655100599</v>
      </c>
      <c r="T217" t="s">
        <v>564</v>
      </c>
      <c r="U217" t="s">
        <v>386</v>
      </c>
      <c r="V217" t="s">
        <v>385</v>
      </c>
      <c r="W217" t="s">
        <v>384</v>
      </c>
      <c r="X217" t="b">
        <v>0</v>
      </c>
      <c r="Y217" t="s">
        <v>1082</v>
      </c>
      <c r="Z217">
        <v>1</v>
      </c>
    </row>
    <row r="218" spans="1:26">
      <c r="A218" t="s">
        <v>290</v>
      </c>
      <c r="B218" t="s">
        <v>233</v>
      </c>
      <c r="C218" t="s">
        <v>116</v>
      </c>
      <c r="D218" s="5">
        <v>0.80299742847958899</v>
      </c>
      <c r="E218" s="5">
        <v>0.81586340732205198</v>
      </c>
      <c r="F218" s="5">
        <v>0.984230229316579</v>
      </c>
      <c r="G218" s="5">
        <v>0.90182241400777496</v>
      </c>
      <c r="H218" s="5">
        <v>0.902819461260287</v>
      </c>
      <c r="I218" s="5">
        <v>0.18413659267794799</v>
      </c>
      <c r="J218" s="5">
        <v>0.99734041584795596</v>
      </c>
      <c r="K218" s="66">
        <v>8784</v>
      </c>
      <c r="L218" s="66">
        <v>1617.4558300831</v>
      </c>
      <c r="M218" s="66">
        <v>94.205277716614304</v>
      </c>
      <c r="N218" s="66">
        <v>94.205277716614304</v>
      </c>
      <c r="P218" s="66">
        <v>7166.5441699168996</v>
      </c>
      <c r="Q218" s="66">
        <v>145.473333166613</v>
      </c>
      <c r="R218" s="66">
        <v>7053.5294117647099</v>
      </c>
      <c r="S218" s="66">
        <v>-32.458575014417399</v>
      </c>
      <c r="T218" t="s">
        <v>564</v>
      </c>
      <c r="U218" t="s">
        <v>386</v>
      </c>
      <c r="V218" t="s">
        <v>385</v>
      </c>
      <c r="W218" t="s">
        <v>384</v>
      </c>
      <c r="X218" t="b">
        <v>0</v>
      </c>
      <c r="Y218" t="s">
        <v>1083</v>
      </c>
      <c r="Z218">
        <v>1</v>
      </c>
    </row>
    <row r="219" spans="1:26">
      <c r="A219" t="s">
        <v>290</v>
      </c>
      <c r="B219" t="s">
        <v>234</v>
      </c>
      <c r="C219" t="s">
        <v>116</v>
      </c>
      <c r="D219" s="5">
        <v>0.72433301524650595</v>
      </c>
      <c r="E219" s="5">
        <v>0.740387913879341</v>
      </c>
      <c r="F219" s="5">
        <v>0.978315558193389</v>
      </c>
      <c r="G219" s="5">
        <v>0.91117981297599304</v>
      </c>
      <c r="H219" s="5">
        <v>0.91216909301791904</v>
      </c>
      <c r="I219" s="5">
        <v>0.259612086120659</v>
      </c>
      <c r="J219" s="5">
        <v>0.99461787650024902</v>
      </c>
      <c r="K219" s="66">
        <v>8784</v>
      </c>
      <c r="L219" s="66">
        <v>2280.43256448387</v>
      </c>
      <c r="M219" s="66">
        <v>106.59694438328501</v>
      </c>
      <c r="N219" s="66">
        <v>106.59694438328501</v>
      </c>
      <c r="P219" s="66">
        <v>6503.56743551613</v>
      </c>
      <c r="Q219" s="66">
        <v>179.548610899951</v>
      </c>
      <c r="R219" s="66">
        <v>6362.5412059253003</v>
      </c>
      <c r="S219" s="66">
        <v>-38.522381309127603</v>
      </c>
      <c r="T219" t="s">
        <v>564</v>
      </c>
      <c r="U219" t="s">
        <v>386</v>
      </c>
      <c r="V219" t="s">
        <v>385</v>
      </c>
      <c r="W219" t="s">
        <v>384</v>
      </c>
      <c r="X219" t="b">
        <v>0</v>
      </c>
      <c r="Y219" t="s">
        <v>1084</v>
      </c>
      <c r="Z219">
        <v>1</v>
      </c>
    </row>
    <row r="220" spans="1:26">
      <c r="A220" t="s">
        <v>291</v>
      </c>
      <c r="B220" t="s">
        <v>569</v>
      </c>
      <c r="C220" t="s">
        <v>117</v>
      </c>
      <c r="D220" s="5">
        <v>0.15165361977550099</v>
      </c>
      <c r="E220" s="5">
        <v>0.23624566768311001</v>
      </c>
      <c r="F220" s="5">
        <v>0.64193185535542996</v>
      </c>
      <c r="G220" s="5">
        <v>0.48667837541505798</v>
      </c>
      <c r="H220" s="5">
        <v>0.48667837541638598</v>
      </c>
      <c r="I220" s="5">
        <v>0.76375433231689005</v>
      </c>
      <c r="J220" s="5">
        <v>0.64213161211234404</v>
      </c>
      <c r="K220" s="66">
        <v>8784</v>
      </c>
      <c r="L220" s="66">
        <v>6708.8180550715597</v>
      </c>
      <c r="M220" s="66">
        <v>0.64555553333333304</v>
      </c>
      <c r="N220" s="66">
        <v>0.64555553333333304</v>
      </c>
      <c r="P220" s="66">
        <v>2075.1819449284399</v>
      </c>
      <c r="Q220" s="66">
        <v>579.98333279847498</v>
      </c>
      <c r="R220" s="66">
        <v>1332.1253961079999</v>
      </c>
      <c r="S220" s="66">
        <v>163.073216021962</v>
      </c>
      <c r="T220" t="s">
        <v>564</v>
      </c>
      <c r="U220" t="s">
        <v>386</v>
      </c>
      <c r="V220" t="s">
        <v>385</v>
      </c>
      <c r="W220" t="s">
        <v>385</v>
      </c>
      <c r="X220" t="b">
        <v>1</v>
      </c>
      <c r="Y220" t="s">
        <v>570</v>
      </c>
      <c r="Z220">
        <v>1</v>
      </c>
    </row>
    <row r="221" spans="1:26">
      <c r="A221" t="s">
        <v>291</v>
      </c>
      <c r="B221" t="s">
        <v>571</v>
      </c>
      <c r="C221" t="s">
        <v>117</v>
      </c>
      <c r="D221" s="5">
        <v>3.5241768751574899E-2</v>
      </c>
      <c r="E221" s="5">
        <v>0.12159466077926501</v>
      </c>
      <c r="F221" s="5">
        <v>0.28982990310364498</v>
      </c>
      <c r="G221" s="5">
        <v>0.402639707711545</v>
      </c>
      <c r="H221" s="5">
        <v>0.40263970771280999</v>
      </c>
      <c r="I221" s="5">
        <v>0.87840533922073505</v>
      </c>
      <c r="J221" s="5">
        <v>0.28982990310364498</v>
      </c>
      <c r="K221" s="66">
        <v>8784</v>
      </c>
      <c r="L221" s="66">
        <v>7715.9124997149402</v>
      </c>
      <c r="P221" s="66">
        <v>1068.0875002850601</v>
      </c>
      <c r="Q221" s="66">
        <v>660.76027697803499</v>
      </c>
      <c r="R221" s="66">
        <v>309.56369671383402</v>
      </c>
      <c r="S221" s="66">
        <v>97.763526593192594</v>
      </c>
      <c r="T221" t="s">
        <v>564</v>
      </c>
      <c r="U221" t="s">
        <v>386</v>
      </c>
      <c r="V221" t="s">
        <v>385</v>
      </c>
      <c r="W221" t="s">
        <v>385</v>
      </c>
      <c r="X221" t="b">
        <v>0</v>
      </c>
      <c r="Y221" t="s">
        <v>572</v>
      </c>
      <c r="Z221">
        <v>1</v>
      </c>
    </row>
    <row r="222" spans="1:26">
      <c r="A222" t="s">
        <v>291</v>
      </c>
      <c r="B222" t="s">
        <v>235</v>
      </c>
      <c r="C222" t="s">
        <v>116</v>
      </c>
      <c r="D222" s="5">
        <v>0.75476542373808297</v>
      </c>
      <c r="E222" s="5">
        <v>0.90433819335927501</v>
      </c>
      <c r="F222" s="5">
        <v>0.83460527187778599</v>
      </c>
      <c r="G222" s="5">
        <v>0.73325927076918895</v>
      </c>
      <c r="H222" s="5">
        <v>0.73325927076929798</v>
      </c>
      <c r="I222" s="5">
        <v>9.5661806640725405E-2</v>
      </c>
      <c r="J222" s="5">
        <v>0.86885172123642596</v>
      </c>
      <c r="K222" s="66">
        <v>8784</v>
      </c>
      <c r="L222" s="66">
        <v>840.29330953213196</v>
      </c>
      <c r="M222" s="66">
        <v>313.10722214817002</v>
      </c>
      <c r="N222" s="66">
        <v>1.2152777666666701</v>
      </c>
      <c r="O222" s="66">
        <v>311.89194438150298</v>
      </c>
      <c r="P222" s="66">
        <v>7943.7066904678704</v>
      </c>
      <c r="Q222" s="66">
        <v>1311.95277557798</v>
      </c>
      <c r="R222" s="66">
        <v>6629.8594821153301</v>
      </c>
      <c r="S222" s="66">
        <v>1.8944327745654299</v>
      </c>
      <c r="T222" t="s">
        <v>564</v>
      </c>
      <c r="U222" t="s">
        <v>386</v>
      </c>
      <c r="V222" t="s">
        <v>384</v>
      </c>
      <c r="W222" t="s">
        <v>384</v>
      </c>
      <c r="X222" t="b">
        <v>0</v>
      </c>
      <c r="Y222" t="s">
        <v>836</v>
      </c>
      <c r="Z222">
        <v>1</v>
      </c>
    </row>
    <row r="223" spans="1:26">
      <c r="A223" t="s">
        <v>291</v>
      </c>
      <c r="B223" t="s">
        <v>236</v>
      </c>
      <c r="C223" t="s">
        <v>116</v>
      </c>
      <c r="D223" s="5">
        <v>0.66934743535005703</v>
      </c>
      <c r="E223" s="5">
        <v>0.95888227966007</v>
      </c>
      <c r="F223" s="5">
        <v>0.69804964545527404</v>
      </c>
      <c r="G223" s="5">
        <v>0.62912034540494399</v>
      </c>
      <c r="H223" s="5">
        <v>0.62912034540504502</v>
      </c>
      <c r="I223" s="5">
        <v>4.1117720339930497E-2</v>
      </c>
      <c r="J223" s="5">
        <v>0.73058090132622799</v>
      </c>
      <c r="K223" s="66">
        <v>8784</v>
      </c>
      <c r="L223" s="66">
        <v>361.17805546595002</v>
      </c>
      <c r="M223" s="66">
        <v>375.05083329677501</v>
      </c>
      <c r="O223" s="66">
        <v>375.05083329677501</v>
      </c>
      <c r="P223" s="66">
        <v>8422.8219445340492</v>
      </c>
      <c r="Q223" s="66">
        <v>2532.98326138229</v>
      </c>
      <c r="R223" s="66">
        <v>5879.5478721149002</v>
      </c>
      <c r="S223" s="66">
        <v>10.2908110368635</v>
      </c>
      <c r="T223" t="s">
        <v>564</v>
      </c>
      <c r="U223" t="s">
        <v>386</v>
      </c>
      <c r="V223" t="s">
        <v>384</v>
      </c>
      <c r="W223" t="s">
        <v>384</v>
      </c>
      <c r="X223" t="b">
        <v>0</v>
      </c>
      <c r="Y223" t="s">
        <v>509</v>
      </c>
      <c r="Z223">
        <v>1</v>
      </c>
    </row>
    <row r="224" spans="1:26">
      <c r="A224" t="s">
        <v>291</v>
      </c>
      <c r="B224" t="s">
        <v>237</v>
      </c>
      <c r="C224" t="s">
        <v>117</v>
      </c>
      <c r="D224" s="5">
        <v>0.34323625185247397</v>
      </c>
      <c r="E224" s="5">
        <v>0.662355861713256</v>
      </c>
      <c r="F224" s="5">
        <v>0.51820520009388304</v>
      </c>
      <c r="G224" s="5">
        <v>0.52955520730677097</v>
      </c>
      <c r="H224" s="5">
        <v>0.53099470169332896</v>
      </c>
      <c r="I224" s="5">
        <v>0.337644138286744</v>
      </c>
      <c r="J224" s="5">
        <v>0.56216296039743197</v>
      </c>
      <c r="K224" s="66">
        <v>8784</v>
      </c>
      <c r="L224" s="66">
        <v>2965.86611071076</v>
      </c>
      <c r="M224" s="66">
        <v>454.94305554837899</v>
      </c>
      <c r="N224" s="66">
        <v>260.59166666640601</v>
      </c>
      <c r="O224" s="66">
        <v>194.35138888197301</v>
      </c>
      <c r="P224" s="66">
        <v>5818.13388928924</v>
      </c>
      <c r="Q224" s="66">
        <v>2766.3472311619798</v>
      </c>
      <c r="R224" s="66">
        <v>3014.9872362721298</v>
      </c>
      <c r="S224" s="66">
        <v>36.799421855123597</v>
      </c>
      <c r="T224" t="s">
        <v>564</v>
      </c>
      <c r="U224" t="s">
        <v>386</v>
      </c>
      <c r="V224" t="s">
        <v>385</v>
      </c>
      <c r="W224" t="s">
        <v>385</v>
      </c>
      <c r="X224" t="b">
        <v>0</v>
      </c>
      <c r="Y224" t="s">
        <v>837</v>
      </c>
      <c r="Z224">
        <v>1</v>
      </c>
    </row>
    <row r="225" spans="1:26">
      <c r="A225" t="s">
        <v>291</v>
      </c>
      <c r="B225" t="s">
        <v>573</v>
      </c>
      <c r="C225" t="s">
        <v>117</v>
      </c>
      <c r="D225" s="5">
        <v>0.213223432284778</v>
      </c>
      <c r="E225" s="5">
        <v>0.40681744593350799</v>
      </c>
      <c r="F225" s="5">
        <v>0.524125586097967</v>
      </c>
      <c r="G225" s="5">
        <v>0.431960093218686</v>
      </c>
      <c r="H225" s="5">
        <v>0.42101708727551701</v>
      </c>
      <c r="I225" s="5">
        <v>0.59318255406649201</v>
      </c>
      <c r="J225" s="5">
        <v>0.62076764855666799</v>
      </c>
      <c r="K225" s="66">
        <v>8784</v>
      </c>
      <c r="L225" s="66">
        <v>5210.5155549200699</v>
      </c>
      <c r="M225" s="66">
        <v>556.32555552721396</v>
      </c>
      <c r="N225" s="66">
        <v>296.03194443007698</v>
      </c>
      <c r="O225" s="66">
        <v>260.29361109713699</v>
      </c>
      <c r="P225" s="66">
        <v>3573.4844450799301</v>
      </c>
      <c r="Q225" s="66">
        <v>993.98333312589796</v>
      </c>
      <c r="R225" s="66">
        <v>1872.9546291894901</v>
      </c>
      <c r="S225" s="66">
        <v>706.54648276454895</v>
      </c>
      <c r="T225" t="s">
        <v>564</v>
      </c>
      <c r="U225" t="s">
        <v>386</v>
      </c>
      <c r="V225" t="s">
        <v>385</v>
      </c>
      <c r="W225" t="s">
        <v>385</v>
      </c>
      <c r="X225" t="b">
        <v>0</v>
      </c>
      <c r="Y225" t="s">
        <v>574</v>
      </c>
      <c r="Z225">
        <v>1</v>
      </c>
    </row>
    <row r="226" spans="1:26">
      <c r="A226" t="s">
        <v>291</v>
      </c>
      <c r="B226" t="s">
        <v>238</v>
      </c>
      <c r="C226" t="s">
        <v>117</v>
      </c>
      <c r="D226" s="5">
        <v>0.400413118874754</v>
      </c>
      <c r="E226" s="5">
        <v>0.74179708059154303</v>
      </c>
      <c r="F226" s="5">
        <v>0.53978794113808903</v>
      </c>
      <c r="G226" s="5">
        <v>0.56277651982758903</v>
      </c>
      <c r="H226" s="5">
        <v>0.56010038201728995</v>
      </c>
      <c r="I226" s="5">
        <v>0.25820291940845802</v>
      </c>
      <c r="J226" s="5">
        <v>0.58536131659951296</v>
      </c>
      <c r="K226" s="66">
        <v>8784</v>
      </c>
      <c r="L226" s="66">
        <v>2268.0544440838898</v>
      </c>
      <c r="M226" s="66">
        <v>507.29972221435298</v>
      </c>
      <c r="N226" s="66">
        <v>324.778888881385</v>
      </c>
      <c r="O226" s="66">
        <v>182.52083333296801</v>
      </c>
      <c r="P226" s="66">
        <v>6515.9455559161097</v>
      </c>
      <c r="Q226" s="66">
        <v>2924.2933344128301</v>
      </c>
      <c r="R226" s="66">
        <v>3517.2288361958399</v>
      </c>
      <c r="S226" s="66">
        <v>74.4233853074347</v>
      </c>
      <c r="T226" t="s">
        <v>564</v>
      </c>
      <c r="U226" t="s">
        <v>386</v>
      </c>
      <c r="V226" t="s">
        <v>385</v>
      </c>
      <c r="W226" t="s">
        <v>385</v>
      </c>
      <c r="X226" t="b">
        <v>0</v>
      </c>
      <c r="Y226" t="s">
        <v>510</v>
      </c>
      <c r="Z226">
        <v>1</v>
      </c>
    </row>
    <row r="227" spans="1:26">
      <c r="A227" t="s">
        <v>291</v>
      </c>
      <c r="B227" t="s">
        <v>575</v>
      </c>
      <c r="C227" t="s">
        <v>117</v>
      </c>
      <c r="D227" s="5">
        <v>0.244208360755193</v>
      </c>
      <c r="E227" s="5">
        <v>0.53491638844362099</v>
      </c>
      <c r="F227" s="5">
        <v>0.456535574589022</v>
      </c>
      <c r="G227" s="5">
        <v>0.54606008231113401</v>
      </c>
      <c r="H227" s="5">
        <v>0.54606008231355296</v>
      </c>
      <c r="I227" s="5">
        <v>0.46508361155637901</v>
      </c>
      <c r="J227" s="5">
        <v>0.48314757351475801</v>
      </c>
      <c r="K227" s="66">
        <v>8784</v>
      </c>
      <c r="L227" s="66">
        <v>4085.2944439112298</v>
      </c>
      <c r="M227" s="66">
        <v>258.80694443177998</v>
      </c>
      <c r="N227" s="66">
        <v>258.80694443177998</v>
      </c>
      <c r="P227" s="66">
        <v>4698.7055560887702</v>
      </c>
      <c r="Q227" s="66">
        <v>2522.2899994187501</v>
      </c>
      <c r="R227" s="66">
        <v>2145.1262408736202</v>
      </c>
      <c r="S227" s="66">
        <v>31.2893157964075</v>
      </c>
      <c r="T227" t="s">
        <v>564</v>
      </c>
      <c r="U227" t="s">
        <v>386</v>
      </c>
      <c r="V227" t="s">
        <v>385</v>
      </c>
      <c r="W227" t="s">
        <v>385</v>
      </c>
      <c r="X227" t="b">
        <v>0</v>
      </c>
      <c r="Y227" t="s">
        <v>576</v>
      </c>
      <c r="Z227">
        <v>1</v>
      </c>
    </row>
    <row r="228" spans="1:26">
      <c r="A228" t="s">
        <v>291</v>
      </c>
      <c r="B228" t="s">
        <v>239</v>
      </c>
      <c r="C228" t="s">
        <v>117</v>
      </c>
      <c r="D228" s="5">
        <v>0.390598004321561</v>
      </c>
      <c r="E228" s="5">
        <v>0.77220716964022995</v>
      </c>
      <c r="F228" s="5">
        <v>0.50582022503564605</v>
      </c>
      <c r="G228" s="5">
        <v>0.624709835343777</v>
      </c>
      <c r="H228" s="5">
        <v>0.62359018526758703</v>
      </c>
      <c r="I228" s="5">
        <v>0.22779283035976999</v>
      </c>
      <c r="J228" s="5">
        <v>0.53165906141837305</v>
      </c>
      <c r="K228" s="66">
        <v>8784</v>
      </c>
      <c r="L228" s="66">
        <v>2000.9322218802199</v>
      </c>
      <c r="M228" s="66">
        <v>329.65972219904398</v>
      </c>
      <c r="N228" s="66">
        <v>148.31111109940699</v>
      </c>
      <c r="O228" s="66">
        <v>181.348611099637</v>
      </c>
      <c r="P228" s="66">
        <v>6783.0677781197801</v>
      </c>
      <c r="Q228" s="66">
        <v>3370.8114933888401</v>
      </c>
      <c r="R228" s="66">
        <v>3431.0128699605898</v>
      </c>
      <c r="S228" s="66">
        <v>-18.7565852296453</v>
      </c>
      <c r="T228" t="s">
        <v>564</v>
      </c>
      <c r="U228" t="s">
        <v>386</v>
      </c>
      <c r="V228" t="s">
        <v>385</v>
      </c>
      <c r="W228" t="s">
        <v>385</v>
      </c>
      <c r="X228" t="b">
        <v>0</v>
      </c>
      <c r="Y228" t="s">
        <v>511</v>
      </c>
      <c r="Z228">
        <v>1</v>
      </c>
    </row>
    <row r="229" spans="1:26">
      <c r="A229" t="s">
        <v>291</v>
      </c>
      <c r="B229" t="s">
        <v>577</v>
      </c>
      <c r="C229" t="s">
        <v>117</v>
      </c>
      <c r="D229" s="5">
        <v>0.40521561781770399</v>
      </c>
      <c r="E229" s="5">
        <v>0.55060596299236897</v>
      </c>
      <c r="F229" s="5">
        <v>0.73594484087220202</v>
      </c>
      <c r="G229" s="5">
        <v>0.66259670126423797</v>
      </c>
      <c r="H229" s="5">
        <v>0.66259670126547698</v>
      </c>
      <c r="I229" s="5">
        <v>0.44939403700763098</v>
      </c>
      <c r="J229" s="5">
        <v>0.736775621138264</v>
      </c>
      <c r="K229" s="66">
        <v>8784</v>
      </c>
      <c r="L229" s="66">
        <v>3947.4772210750298</v>
      </c>
      <c r="M229" s="66">
        <v>5.4536110666666699</v>
      </c>
      <c r="N229" s="66">
        <v>5.4536110666666699</v>
      </c>
      <c r="P229" s="66">
        <v>4836.5227789249702</v>
      </c>
      <c r="Q229" s="66">
        <v>1307.1291556982601</v>
      </c>
      <c r="R229" s="66">
        <v>3559.4139869107198</v>
      </c>
      <c r="S229" s="66">
        <v>-30.0203636840032</v>
      </c>
      <c r="T229" t="s">
        <v>564</v>
      </c>
      <c r="U229" t="s">
        <v>386</v>
      </c>
      <c r="V229" t="s">
        <v>385</v>
      </c>
      <c r="W229" t="s">
        <v>384</v>
      </c>
      <c r="X229" t="b">
        <v>0</v>
      </c>
      <c r="Y229" t="s">
        <v>838</v>
      </c>
      <c r="Z229">
        <v>1</v>
      </c>
    </row>
    <row r="230" spans="1:26">
      <c r="A230" t="s">
        <v>291</v>
      </c>
      <c r="B230" t="s">
        <v>240</v>
      </c>
      <c r="C230" t="s">
        <v>117</v>
      </c>
      <c r="D230" s="5">
        <v>0.31500293200274299</v>
      </c>
      <c r="E230" s="5">
        <v>0.70880385428512604</v>
      </c>
      <c r="F230" s="5">
        <v>0.44441481250189202</v>
      </c>
      <c r="G230" s="5">
        <v>0.58539101003193805</v>
      </c>
      <c r="H230" s="5">
        <v>0.58147124423627095</v>
      </c>
      <c r="I230" s="5">
        <v>0.29119614571487401</v>
      </c>
      <c r="J230" s="5">
        <v>0.48078397344198198</v>
      </c>
      <c r="K230" s="66">
        <v>8784</v>
      </c>
      <c r="L230" s="66">
        <v>2557.8669439594501</v>
      </c>
      <c r="M230" s="66">
        <v>470.97916664827198</v>
      </c>
      <c r="N230" s="66">
        <v>274.53611109945098</v>
      </c>
      <c r="O230" s="66">
        <v>196.44305554882101</v>
      </c>
      <c r="P230" s="66">
        <v>6226.1330560405504</v>
      </c>
      <c r="Q230" s="66">
        <v>3426.7960433957101</v>
      </c>
      <c r="R230" s="66">
        <v>2766.9857547120901</v>
      </c>
      <c r="S230" s="66">
        <v>32.351257932751601</v>
      </c>
      <c r="T230" t="s">
        <v>564</v>
      </c>
      <c r="U230" t="s">
        <v>386</v>
      </c>
      <c r="V230" t="s">
        <v>385</v>
      </c>
      <c r="W230" t="s">
        <v>385</v>
      </c>
      <c r="X230" t="b">
        <v>0</v>
      </c>
      <c r="Y230" t="s">
        <v>512</v>
      </c>
      <c r="Z230">
        <v>1</v>
      </c>
    </row>
    <row r="231" spans="1:26">
      <c r="A231" t="s">
        <v>291</v>
      </c>
      <c r="B231" t="s">
        <v>241</v>
      </c>
      <c r="C231" t="s">
        <v>117</v>
      </c>
      <c r="D231" s="5">
        <v>0.25517701181595498</v>
      </c>
      <c r="E231" s="5">
        <v>0.54489902735378004</v>
      </c>
      <c r="F231" s="5">
        <v>0.46830146321821098</v>
      </c>
      <c r="G231" s="5">
        <v>0.57385582904989496</v>
      </c>
      <c r="H231" s="5">
        <v>0.56671261392024697</v>
      </c>
      <c r="I231" s="5">
        <v>0.45510097264622001</v>
      </c>
      <c r="J231" s="5">
        <v>0.51933929093440401</v>
      </c>
      <c r="K231" s="66">
        <v>8784</v>
      </c>
      <c r="L231" s="66">
        <v>3997.6069437244</v>
      </c>
      <c r="M231" s="66">
        <v>470.38055554905901</v>
      </c>
      <c r="N231" s="66">
        <v>199.51666666626801</v>
      </c>
      <c r="O231" s="66">
        <v>270.86388888279203</v>
      </c>
      <c r="P231" s="66">
        <v>4786.3930562756104</v>
      </c>
      <c r="Q231" s="66">
        <v>2458.2401941631902</v>
      </c>
      <c r="R231" s="66">
        <v>2241.4748717913499</v>
      </c>
      <c r="S231" s="66">
        <v>86.6779903210616</v>
      </c>
      <c r="T231" t="s">
        <v>564</v>
      </c>
      <c r="U231" t="s">
        <v>386</v>
      </c>
      <c r="V231" t="s">
        <v>385</v>
      </c>
      <c r="W231" t="s">
        <v>385</v>
      </c>
      <c r="X231" t="b">
        <v>0</v>
      </c>
      <c r="Y231" t="s">
        <v>513</v>
      </c>
      <c r="Z231">
        <v>1</v>
      </c>
    </row>
    <row r="232" spans="1:26">
      <c r="A232" t="s">
        <v>291</v>
      </c>
      <c r="B232" t="s">
        <v>242</v>
      </c>
      <c r="C232" t="s">
        <v>117</v>
      </c>
      <c r="D232" s="5">
        <v>0.40470699536509203</v>
      </c>
      <c r="E232" s="5">
        <v>0.75616019029068204</v>
      </c>
      <c r="F232" s="5">
        <v>0.53521330607144801</v>
      </c>
      <c r="G232" s="5">
        <v>0.58440528363215405</v>
      </c>
      <c r="H232" s="5">
        <v>0.57976153832715904</v>
      </c>
      <c r="I232" s="5">
        <v>0.24383980970931801</v>
      </c>
      <c r="J232" s="5">
        <v>0.54918665631486097</v>
      </c>
      <c r="K232" s="66">
        <v>8784</v>
      </c>
      <c r="L232" s="66">
        <v>2141.8888884866501</v>
      </c>
      <c r="M232" s="66">
        <v>168.99999999932399</v>
      </c>
      <c r="N232" s="66">
        <v>168.99999999932399</v>
      </c>
      <c r="P232" s="66">
        <v>6642.1111115133499</v>
      </c>
      <c r="Q232" s="66">
        <v>3079.5305502088099</v>
      </c>
      <c r="R232" s="66">
        <v>3554.94624728696</v>
      </c>
      <c r="S232" s="66">
        <v>7.6343140175781201</v>
      </c>
      <c r="T232" t="s">
        <v>564</v>
      </c>
      <c r="U232" t="s">
        <v>386</v>
      </c>
      <c r="V232" t="s">
        <v>385</v>
      </c>
      <c r="W232" t="s">
        <v>384</v>
      </c>
      <c r="X232" t="b">
        <v>0</v>
      </c>
      <c r="Y232" t="s">
        <v>839</v>
      </c>
      <c r="Z232">
        <v>1</v>
      </c>
    </row>
    <row r="233" spans="1:26">
      <c r="A233" t="s">
        <v>292</v>
      </c>
      <c r="B233" t="s">
        <v>365</v>
      </c>
      <c r="C233" t="s">
        <v>117</v>
      </c>
      <c r="D233" s="5">
        <v>0.51646861246948494</v>
      </c>
      <c r="E233" s="5">
        <v>0.82009094823163398</v>
      </c>
      <c r="F233" s="5">
        <v>0.62976992196188597</v>
      </c>
      <c r="G233" s="5">
        <v>0.550984113694305</v>
      </c>
      <c r="H233" s="5">
        <v>0.55078948843337805</v>
      </c>
      <c r="I233" s="5">
        <v>0.179909051768366</v>
      </c>
      <c r="J233" s="5">
        <v>0.70919718045298197</v>
      </c>
      <c r="K233" s="66">
        <v>8784</v>
      </c>
      <c r="L233" s="66">
        <v>1580.32111073333</v>
      </c>
      <c r="M233" s="66">
        <v>806.78333331666704</v>
      </c>
      <c r="O233" s="66">
        <v>806.78333331666704</v>
      </c>
      <c r="P233" s="66">
        <v>7203.67888926667</v>
      </c>
      <c r="Q233" s="66">
        <v>2664.8483330499998</v>
      </c>
      <c r="R233" s="66">
        <v>4536.6602919319603</v>
      </c>
      <c r="S233" s="66">
        <v>2.1702642847172502</v>
      </c>
      <c r="T233" t="s">
        <v>564</v>
      </c>
      <c r="U233" t="s">
        <v>386</v>
      </c>
      <c r="V233" t="s">
        <v>384</v>
      </c>
      <c r="W233" t="s">
        <v>384</v>
      </c>
      <c r="X233" t="b">
        <v>0</v>
      </c>
      <c r="Y233" t="s">
        <v>840</v>
      </c>
      <c r="Z233">
        <v>1</v>
      </c>
    </row>
    <row r="234" spans="1:26">
      <c r="A234" t="s">
        <v>292</v>
      </c>
      <c r="B234" t="s">
        <v>366</v>
      </c>
      <c r="C234" t="s">
        <v>116</v>
      </c>
      <c r="D234" s="5">
        <v>0.92354199565980499</v>
      </c>
      <c r="E234" s="5">
        <v>0.99022062956424906</v>
      </c>
      <c r="F234" s="5">
        <v>0.93266285117309</v>
      </c>
      <c r="G234" s="5">
        <v>0.92224356703490995</v>
      </c>
      <c r="H234" s="5">
        <v>0.91982298024479003</v>
      </c>
      <c r="I234" s="5">
        <v>9.7793704357512397E-3</v>
      </c>
      <c r="J234" s="5">
        <v>0.99084702322937901</v>
      </c>
      <c r="K234" s="66">
        <v>8784</v>
      </c>
      <c r="L234" s="66">
        <v>85.901989907638907</v>
      </c>
      <c r="M234" s="66">
        <v>510.766666616424</v>
      </c>
      <c r="O234" s="66">
        <v>510.766666616424</v>
      </c>
      <c r="P234" s="66">
        <v>8698.0980100923607</v>
      </c>
      <c r="Q234" s="66">
        <v>585.72862372336897</v>
      </c>
      <c r="R234" s="66">
        <v>8112.3928898757204</v>
      </c>
      <c r="S234" s="66">
        <v>-2.3503506732248099E-2</v>
      </c>
      <c r="T234" t="s">
        <v>564</v>
      </c>
      <c r="U234" t="s">
        <v>383</v>
      </c>
      <c r="V234" t="s">
        <v>385</v>
      </c>
      <c r="W234" t="s">
        <v>384</v>
      </c>
      <c r="X234" t="b">
        <v>0</v>
      </c>
      <c r="Y234" t="s">
        <v>514</v>
      </c>
      <c r="Z234">
        <v>1</v>
      </c>
    </row>
    <row r="235" spans="1:26">
      <c r="A235" t="s">
        <v>292</v>
      </c>
      <c r="B235" t="s">
        <v>367</v>
      </c>
      <c r="C235" t="s">
        <v>117</v>
      </c>
      <c r="D235" s="5">
        <v>0.63001986646873698</v>
      </c>
      <c r="E235" s="5">
        <v>0.803372324827337</v>
      </c>
      <c r="F235" s="5">
        <v>0.78421903144864002</v>
      </c>
      <c r="G235" s="5">
        <v>0.72797978582191403</v>
      </c>
      <c r="H235" s="5">
        <v>0.72057278805982194</v>
      </c>
      <c r="I235" s="5">
        <v>0.196627675172662</v>
      </c>
      <c r="J235" s="5">
        <v>0.85854170811563602</v>
      </c>
      <c r="K235" s="66">
        <v>8784</v>
      </c>
      <c r="L235" s="66">
        <v>1727.17749871667</v>
      </c>
      <c r="M235" s="66">
        <v>610.89861110000004</v>
      </c>
      <c r="N235" s="66">
        <v>10.8986111</v>
      </c>
      <c r="O235" s="66">
        <v>600</v>
      </c>
      <c r="P235" s="66">
        <v>7056.82250128333</v>
      </c>
      <c r="Q235" s="66">
        <v>1523.44623009619</v>
      </c>
      <c r="R235" s="66">
        <v>5534.0945070613898</v>
      </c>
      <c r="S235" s="66">
        <v>-0.71823587426836499</v>
      </c>
      <c r="T235" t="s">
        <v>564</v>
      </c>
      <c r="U235" t="s">
        <v>386</v>
      </c>
      <c r="V235" t="s">
        <v>384</v>
      </c>
      <c r="W235" t="s">
        <v>385</v>
      </c>
      <c r="X235" t="b">
        <v>0</v>
      </c>
      <c r="Y235" t="s">
        <v>841</v>
      </c>
      <c r="Z235">
        <v>1</v>
      </c>
    </row>
    <row r="236" spans="1:26">
      <c r="A236" t="s">
        <v>292</v>
      </c>
      <c r="B236" t="s">
        <v>243</v>
      </c>
      <c r="C236" t="s">
        <v>117</v>
      </c>
      <c r="D236" s="5">
        <v>0.80455023581114804</v>
      </c>
      <c r="E236" s="5">
        <v>0.92563591020226299</v>
      </c>
      <c r="F236" s="5">
        <v>0.86918649864755604</v>
      </c>
      <c r="G236" s="5">
        <v>0.83718231973927204</v>
      </c>
      <c r="H236" s="5">
        <v>0.83321170473378203</v>
      </c>
      <c r="I236" s="5">
        <v>7.4364089797737606E-2</v>
      </c>
      <c r="J236" s="5">
        <v>0.931920686387115</v>
      </c>
      <c r="K236" s="66">
        <v>8784</v>
      </c>
      <c r="L236" s="66">
        <v>653.21416478332696</v>
      </c>
      <c r="M236" s="66">
        <v>547.34083329999999</v>
      </c>
      <c r="N236" s="66">
        <v>51.532499966666698</v>
      </c>
      <c r="O236" s="66">
        <v>495.808333333333</v>
      </c>
      <c r="P236" s="66">
        <v>8130.7858352166704</v>
      </c>
      <c r="Q236" s="66">
        <v>1061.5507363582999</v>
      </c>
      <c r="R236" s="66">
        <v>7067.16927136513</v>
      </c>
      <c r="S236" s="66">
        <v>2.0658274932482699</v>
      </c>
      <c r="T236" t="s">
        <v>564</v>
      </c>
      <c r="U236" t="s">
        <v>386</v>
      </c>
      <c r="V236" t="s">
        <v>384</v>
      </c>
      <c r="W236" t="s">
        <v>384</v>
      </c>
      <c r="X236" t="b">
        <v>0</v>
      </c>
      <c r="Y236" t="s">
        <v>842</v>
      </c>
      <c r="Z236">
        <v>1</v>
      </c>
    </row>
    <row r="237" spans="1:26">
      <c r="A237" t="s">
        <v>292</v>
      </c>
      <c r="B237" t="s">
        <v>244</v>
      </c>
      <c r="C237" t="s">
        <v>117</v>
      </c>
      <c r="D237" s="5">
        <v>0.74218096086497898</v>
      </c>
      <c r="E237" s="5">
        <v>0.900307472140635</v>
      </c>
      <c r="F237" s="5">
        <v>0.82436387993128302</v>
      </c>
      <c r="G237" s="5">
        <v>0.77726181755907198</v>
      </c>
      <c r="H237" s="5">
        <v>0.77065870575443096</v>
      </c>
      <c r="I237" s="5">
        <v>9.9692527859365304E-2</v>
      </c>
      <c r="J237" s="5">
        <v>0.87653845242885697</v>
      </c>
      <c r="K237" s="66">
        <v>8784</v>
      </c>
      <c r="L237" s="66">
        <v>875.699164716665</v>
      </c>
      <c r="M237" s="66">
        <v>470.72916666666703</v>
      </c>
      <c r="O237" s="66">
        <v>470.72916666666703</v>
      </c>
      <c r="P237" s="66">
        <v>7908.3008352833403</v>
      </c>
      <c r="Q237" s="66">
        <v>1392.6955412552099</v>
      </c>
      <c r="R237" s="66">
        <v>6519.3175602379697</v>
      </c>
      <c r="S237" s="66">
        <v>-3.7122662098878401</v>
      </c>
      <c r="T237" t="s">
        <v>564</v>
      </c>
      <c r="U237" t="s">
        <v>386</v>
      </c>
      <c r="V237" t="s">
        <v>384</v>
      </c>
      <c r="W237" t="s">
        <v>384</v>
      </c>
      <c r="X237" t="b">
        <v>0</v>
      </c>
      <c r="Y237" t="s">
        <v>843</v>
      </c>
      <c r="Z237">
        <v>1</v>
      </c>
    </row>
    <row r="238" spans="1:26">
      <c r="A238" t="s">
        <v>292</v>
      </c>
      <c r="B238" t="s">
        <v>515</v>
      </c>
      <c r="C238" t="s">
        <v>117</v>
      </c>
      <c r="D238" s="5">
        <v>0.69239509770331098</v>
      </c>
      <c r="E238" s="5">
        <v>0.88131207632817399</v>
      </c>
      <c r="F238" s="5">
        <v>0.78564122324074903</v>
      </c>
      <c r="G238" s="5">
        <v>0.73113759901136999</v>
      </c>
      <c r="H238" s="5">
        <v>0.73109664157590404</v>
      </c>
      <c r="I238" s="5">
        <v>0.118687923671826</v>
      </c>
      <c r="J238" s="5">
        <v>0.85542435217882895</v>
      </c>
      <c r="K238" s="66">
        <v>8784</v>
      </c>
      <c r="L238" s="66">
        <v>1042.5547215333199</v>
      </c>
      <c r="M238" s="66">
        <v>631.52547932303105</v>
      </c>
      <c r="N238" s="66">
        <v>36.211035006364497</v>
      </c>
      <c r="O238" s="66">
        <v>595.31444431666705</v>
      </c>
      <c r="P238" s="66">
        <v>7741.4452784666801</v>
      </c>
      <c r="Q238" s="66">
        <v>1657.6338640382901</v>
      </c>
      <c r="R238" s="66">
        <v>6081.9985382258801</v>
      </c>
      <c r="S238" s="66">
        <v>1.8128762025009999</v>
      </c>
      <c r="T238" t="s">
        <v>564</v>
      </c>
      <c r="U238" t="s">
        <v>383</v>
      </c>
      <c r="V238" t="s">
        <v>385</v>
      </c>
      <c r="W238" t="s">
        <v>384</v>
      </c>
      <c r="X238" t="b">
        <v>0</v>
      </c>
      <c r="Y238" t="s">
        <v>844</v>
      </c>
      <c r="Z238">
        <v>1</v>
      </c>
    </row>
    <row r="239" spans="1:26">
      <c r="A239" t="s">
        <v>292</v>
      </c>
      <c r="B239" t="s">
        <v>245</v>
      </c>
      <c r="C239" t="s">
        <v>117</v>
      </c>
      <c r="D239" s="5">
        <v>0.85823981146200501</v>
      </c>
      <c r="E239" s="5">
        <v>0.94879316566864003</v>
      </c>
      <c r="F239" s="5">
        <v>0.90455943667888905</v>
      </c>
      <c r="G239" s="5">
        <v>0.876737795555663</v>
      </c>
      <c r="H239" s="5">
        <v>0.87206911148047495</v>
      </c>
      <c r="I239" s="5">
        <v>5.1206834331360002E-2</v>
      </c>
      <c r="J239" s="5">
        <v>0.95993227221073696</v>
      </c>
      <c r="K239" s="66">
        <v>8784</v>
      </c>
      <c r="L239" s="66">
        <v>449.80083276666699</v>
      </c>
      <c r="M239" s="66">
        <v>480.75083330000001</v>
      </c>
      <c r="N239" s="66">
        <v>26.473055533333302</v>
      </c>
      <c r="O239" s="66">
        <v>454.27777776666699</v>
      </c>
      <c r="P239" s="66">
        <v>8334.1991672333297</v>
      </c>
      <c r="Q239" s="66">
        <v>793.71722338333302</v>
      </c>
      <c r="R239" s="66">
        <v>7538.7785038822503</v>
      </c>
      <c r="S239" s="66">
        <v>1.70343996774428</v>
      </c>
      <c r="T239" t="s">
        <v>564</v>
      </c>
      <c r="U239" t="s">
        <v>383</v>
      </c>
      <c r="V239" t="s">
        <v>385</v>
      </c>
      <c r="W239" t="s">
        <v>384</v>
      </c>
      <c r="X239" t="b">
        <v>0</v>
      </c>
      <c r="Y239" t="s">
        <v>516</v>
      </c>
      <c r="Z239">
        <v>1</v>
      </c>
    </row>
    <row r="240" spans="1:26">
      <c r="A240" t="s">
        <v>293</v>
      </c>
      <c r="B240" t="s">
        <v>246</v>
      </c>
      <c r="C240" t="s">
        <v>117</v>
      </c>
      <c r="D240" s="5">
        <v>0.74923187382977696</v>
      </c>
      <c r="E240" s="5">
        <v>0.84434631782622305</v>
      </c>
      <c r="F240" s="5">
        <v>0.887351384155593</v>
      </c>
      <c r="G240" s="5">
        <v>0.88092816528344398</v>
      </c>
      <c r="H240" s="5">
        <v>0.87624505687547705</v>
      </c>
      <c r="I240" s="5">
        <v>0.15565368217377701</v>
      </c>
      <c r="J240" s="5">
        <v>0.936387935020079</v>
      </c>
      <c r="K240" s="66">
        <v>8784</v>
      </c>
      <c r="L240" s="66">
        <v>1367.2619442144601</v>
      </c>
      <c r="M240" s="66">
        <v>388.39805524971302</v>
      </c>
      <c r="N240" s="66">
        <v>40.682221933333302</v>
      </c>
      <c r="O240" s="66">
        <v>347.71583331637999</v>
      </c>
      <c r="P240" s="66">
        <v>7416.7380557855404</v>
      </c>
      <c r="Q240" s="66">
        <v>835.55645340672197</v>
      </c>
      <c r="R240" s="66">
        <v>6581.2527797207604</v>
      </c>
      <c r="S240" s="66">
        <v>-7.11773419419785E-2</v>
      </c>
      <c r="T240" t="s">
        <v>564</v>
      </c>
      <c r="U240" t="s">
        <v>383</v>
      </c>
      <c r="V240" t="s">
        <v>385</v>
      </c>
      <c r="W240" t="s">
        <v>384</v>
      </c>
      <c r="X240" t="b">
        <v>0</v>
      </c>
      <c r="Y240" t="s">
        <v>517</v>
      </c>
      <c r="Z240">
        <v>1</v>
      </c>
    </row>
    <row r="241" spans="1:26">
      <c r="A241" t="s">
        <v>296</v>
      </c>
      <c r="B241" t="s">
        <v>368</v>
      </c>
      <c r="C241" t="s">
        <v>117</v>
      </c>
      <c r="D241" s="5">
        <v>0.47457400982985098</v>
      </c>
      <c r="E241" s="5">
        <v>0.511629066936096</v>
      </c>
      <c r="F241" s="5">
        <v>0.927574370767967</v>
      </c>
      <c r="G241" s="5">
        <v>0.92794115116238796</v>
      </c>
      <c r="H241" s="5">
        <v>0.88817224468400002</v>
      </c>
      <c r="I241" s="5">
        <v>0.488370933063904</v>
      </c>
      <c r="J241" s="5">
        <v>0.95367149297354603</v>
      </c>
      <c r="K241" s="66">
        <v>8784</v>
      </c>
      <c r="L241" s="66">
        <v>4289.8502760333304</v>
      </c>
      <c r="M241" s="66">
        <v>122.981944433333</v>
      </c>
      <c r="N241" s="66">
        <v>2.98194443333333</v>
      </c>
      <c r="O241" s="66">
        <v>120</v>
      </c>
      <c r="P241" s="66">
        <v>4494.1497239666696</v>
      </c>
      <c r="Q241" s="66">
        <v>323.31805576666699</v>
      </c>
      <c r="R241" s="66">
        <v>4168.65810234542</v>
      </c>
      <c r="S241" s="66">
        <v>2.17356585458421</v>
      </c>
      <c r="T241" t="s">
        <v>564</v>
      </c>
      <c r="U241" t="s">
        <v>386</v>
      </c>
      <c r="V241" t="s">
        <v>385</v>
      </c>
      <c r="W241" t="s">
        <v>384</v>
      </c>
      <c r="X241" t="b">
        <v>0</v>
      </c>
      <c r="Y241" t="s">
        <v>518</v>
      </c>
      <c r="Z241">
        <v>1</v>
      </c>
    </row>
    <row r="242" spans="1:26">
      <c r="A242" t="s">
        <v>294</v>
      </c>
      <c r="B242" t="s">
        <v>247</v>
      </c>
      <c r="C242" t="s">
        <v>116</v>
      </c>
      <c r="D242" s="5">
        <v>0.95550250698672201</v>
      </c>
      <c r="E242" s="5">
        <v>1</v>
      </c>
      <c r="F242" s="5">
        <v>0.95550250698672201</v>
      </c>
      <c r="G242" s="5">
        <v>0.96641135705688297</v>
      </c>
      <c r="H242" s="5">
        <v>0.96227268136928501</v>
      </c>
      <c r="I242" s="5">
        <v>0</v>
      </c>
      <c r="J242" s="5">
        <v>0.99098893891981399</v>
      </c>
      <c r="K242" s="66">
        <v>8784</v>
      </c>
      <c r="L242" s="66">
        <v>0</v>
      </c>
      <c r="M242" s="66">
        <v>314.54722233332598</v>
      </c>
      <c r="N242" s="66">
        <v>-4.808611</v>
      </c>
      <c r="O242" s="66">
        <v>319.35583333332602</v>
      </c>
      <c r="P242" s="66">
        <v>8784</v>
      </c>
      <c r="Q242" s="66">
        <v>393.02137869833803</v>
      </c>
      <c r="R242" s="66">
        <v>8393.1340213713702</v>
      </c>
      <c r="S242" s="66">
        <v>-2.1554000697083802</v>
      </c>
      <c r="T242" t="s">
        <v>564</v>
      </c>
      <c r="U242" t="s">
        <v>383</v>
      </c>
      <c r="V242" t="s">
        <v>385</v>
      </c>
      <c r="W242" t="s">
        <v>384</v>
      </c>
      <c r="X242" t="b">
        <v>0</v>
      </c>
      <c r="Y242" t="s">
        <v>519</v>
      </c>
      <c r="Z242">
        <v>1</v>
      </c>
    </row>
    <row r="243" spans="1:26">
      <c r="A243" t="s">
        <v>294</v>
      </c>
      <c r="B243" t="s">
        <v>248</v>
      </c>
      <c r="C243" t="s">
        <v>116</v>
      </c>
      <c r="D243" s="5">
        <v>0.84060817652525299</v>
      </c>
      <c r="E243" s="5">
        <v>0.87534819124046603</v>
      </c>
      <c r="F243" s="5">
        <v>0.96031291883292502</v>
      </c>
      <c r="G243" s="5">
        <v>0.91963192828090601</v>
      </c>
      <c r="H243" s="5">
        <v>0.91963192828090601</v>
      </c>
      <c r="I243" s="5">
        <v>0.12465180875953399</v>
      </c>
      <c r="J243" s="5">
        <v>0.99352993330699302</v>
      </c>
      <c r="K243" s="66">
        <v>8784</v>
      </c>
      <c r="L243" s="66">
        <v>1094.9414881437499</v>
      </c>
      <c r="M243" s="66">
        <v>257.07083331666701</v>
      </c>
      <c r="O243" s="66">
        <v>257.07083331666701</v>
      </c>
      <c r="P243" s="66">
        <v>7689.0585118562403</v>
      </c>
      <c r="Q243" s="66">
        <v>305.21976148637202</v>
      </c>
      <c r="R243" s="66">
        <v>7383.9022225978197</v>
      </c>
      <c r="S243" s="66">
        <v>-6.3472227941495901E-2</v>
      </c>
      <c r="T243" t="s">
        <v>564</v>
      </c>
      <c r="U243" t="s">
        <v>386</v>
      </c>
      <c r="V243" t="s">
        <v>384</v>
      </c>
      <c r="W243" t="s">
        <v>384</v>
      </c>
      <c r="X243" t="b">
        <v>0</v>
      </c>
      <c r="Y243" t="s">
        <v>1085</v>
      </c>
      <c r="Z243">
        <v>1</v>
      </c>
    </row>
    <row r="244" spans="1:26">
      <c r="A244" t="s">
        <v>295</v>
      </c>
      <c r="B244" t="s">
        <v>249</v>
      </c>
      <c r="C244" t="s">
        <v>117</v>
      </c>
      <c r="D244" s="5">
        <v>0.74916090571606397</v>
      </c>
      <c r="E244" s="5">
        <v>0.91088399363995098</v>
      </c>
      <c r="F244" s="5">
        <v>0.82245479220945406</v>
      </c>
      <c r="G244" s="5">
        <v>0.85285464770200403</v>
      </c>
      <c r="H244" s="5">
        <v>0.80353324738255105</v>
      </c>
      <c r="I244" s="5">
        <v>8.91160063600486E-2</v>
      </c>
      <c r="J244" s="5">
        <v>0.84420467740720195</v>
      </c>
      <c r="K244" s="66">
        <v>8784</v>
      </c>
      <c r="L244" s="66">
        <v>782.79499986666701</v>
      </c>
      <c r="M244" s="66">
        <v>206.14111109999999</v>
      </c>
      <c r="O244" s="66">
        <v>206.14111109999999</v>
      </c>
      <c r="P244" s="66">
        <v>8001.20500013333</v>
      </c>
      <c r="Q244" s="66">
        <v>1420.4116609094799</v>
      </c>
      <c r="R244" s="66">
        <v>6580.6293958099104</v>
      </c>
      <c r="S244" s="66">
        <v>0.16394341394880099</v>
      </c>
      <c r="T244" t="s">
        <v>564</v>
      </c>
      <c r="U244" t="s">
        <v>383</v>
      </c>
      <c r="V244" t="s">
        <v>385</v>
      </c>
      <c r="W244" t="s">
        <v>384</v>
      </c>
      <c r="X244" t="b">
        <v>0</v>
      </c>
      <c r="Y244" t="s">
        <v>1243</v>
      </c>
      <c r="Z244">
        <v>1</v>
      </c>
    </row>
    <row r="245" spans="1:26">
      <c r="A245" t="s">
        <v>294</v>
      </c>
      <c r="B245" t="s">
        <v>250</v>
      </c>
      <c r="C245" t="s">
        <v>116</v>
      </c>
      <c r="D245" s="5">
        <v>0.93868393505532699</v>
      </c>
      <c r="E245" s="5">
        <v>0.97429446770216699</v>
      </c>
      <c r="F245" s="5">
        <v>0.96344992830470899</v>
      </c>
      <c r="G245" s="5">
        <v>0.96060238068263204</v>
      </c>
      <c r="H245" s="5">
        <v>0.96060238068263204</v>
      </c>
      <c r="I245" s="5">
        <v>2.5705532297833199E-2</v>
      </c>
      <c r="J245" s="5">
        <v>0.99492888035511495</v>
      </c>
      <c r="K245" s="66">
        <v>8784</v>
      </c>
      <c r="L245" s="66">
        <v>225.797395704167</v>
      </c>
      <c r="M245" s="66">
        <v>270.77638888332899</v>
      </c>
      <c r="O245" s="66">
        <v>270.77638888332899</v>
      </c>
      <c r="P245" s="66">
        <v>8558.2026042958296</v>
      </c>
      <c r="Q245" s="66">
        <v>312.96881257319899</v>
      </c>
      <c r="R245" s="66">
        <v>8245.3996855259902</v>
      </c>
      <c r="S245" s="66">
        <v>-0.16589380335866299</v>
      </c>
      <c r="T245" t="s">
        <v>564</v>
      </c>
      <c r="U245" t="s">
        <v>386</v>
      </c>
      <c r="V245" t="s">
        <v>384</v>
      </c>
      <c r="W245" t="s">
        <v>384</v>
      </c>
      <c r="X245" t="b">
        <v>0</v>
      </c>
      <c r="Y245" t="s">
        <v>1244</v>
      </c>
      <c r="Z245">
        <v>1</v>
      </c>
    </row>
    <row r="246" spans="1:26">
      <c r="A246" t="s">
        <v>296</v>
      </c>
      <c r="B246" t="s">
        <v>251</v>
      </c>
      <c r="C246" t="s">
        <v>117</v>
      </c>
      <c r="D246" s="5">
        <v>0.65231207016988901</v>
      </c>
      <c r="E246" s="5">
        <v>0.80635729740816597</v>
      </c>
      <c r="F246" s="5">
        <v>0.80896157604895902</v>
      </c>
      <c r="G246" s="5">
        <v>0.72521827705724995</v>
      </c>
      <c r="H246" s="5">
        <v>0.72521827705725195</v>
      </c>
      <c r="I246" s="5">
        <v>0.193642702591834</v>
      </c>
      <c r="J246" s="5">
        <v>0.88932951019665096</v>
      </c>
      <c r="K246" s="66">
        <v>8784</v>
      </c>
      <c r="L246" s="66">
        <v>1700.9574995666701</v>
      </c>
      <c r="M246" s="66">
        <v>640.08838873935304</v>
      </c>
      <c r="N246" s="66">
        <v>640.08838873935304</v>
      </c>
      <c r="P246" s="66">
        <v>7083.0425004333301</v>
      </c>
      <c r="Q246" s="66">
        <v>1352.8483237518301</v>
      </c>
      <c r="R246" s="66">
        <v>5729.9092243723098</v>
      </c>
      <c r="S246" s="66">
        <v>0.28495230919661702</v>
      </c>
      <c r="T246" t="s">
        <v>564</v>
      </c>
      <c r="U246" t="s">
        <v>383</v>
      </c>
      <c r="V246" t="s">
        <v>385</v>
      </c>
      <c r="W246" t="s">
        <v>384</v>
      </c>
      <c r="X246" t="b">
        <v>0</v>
      </c>
      <c r="Y246" t="s">
        <v>520</v>
      </c>
      <c r="Z246">
        <v>1</v>
      </c>
    </row>
    <row r="247" spans="1:26">
      <c r="A247" t="s">
        <v>296</v>
      </c>
      <c r="B247" t="s">
        <v>252</v>
      </c>
      <c r="C247" t="s">
        <v>117</v>
      </c>
      <c r="D247" s="5">
        <v>0.93041754682943101</v>
      </c>
      <c r="E247" s="5">
        <v>0.998584547662416</v>
      </c>
      <c r="F247" s="5">
        <v>0.93173637525980402</v>
      </c>
      <c r="G247" s="5">
        <v>0.84785941609544602</v>
      </c>
      <c r="H247" s="5">
        <v>0.84785941609544702</v>
      </c>
      <c r="I247" s="5">
        <v>1.41545233758349E-3</v>
      </c>
      <c r="J247" s="5">
        <v>0.98244942594068796</v>
      </c>
      <c r="K247" s="66">
        <v>8784</v>
      </c>
      <c r="L247" s="66">
        <v>12.4333333333333</v>
      </c>
      <c r="M247" s="66">
        <v>452.77944408333298</v>
      </c>
      <c r="N247" s="66">
        <v>114.831110783333</v>
      </c>
      <c r="O247" s="66">
        <v>337.9483333</v>
      </c>
      <c r="P247" s="66">
        <v>8771.5666666666693</v>
      </c>
      <c r="Q247" s="66">
        <v>598.22462772764004</v>
      </c>
      <c r="R247" s="66">
        <v>8172.7877313497202</v>
      </c>
      <c r="S247" s="66">
        <v>0.554307589301131</v>
      </c>
      <c r="T247" t="s">
        <v>564</v>
      </c>
      <c r="U247" t="s">
        <v>383</v>
      </c>
      <c r="V247" t="s">
        <v>385</v>
      </c>
      <c r="W247" t="s">
        <v>384</v>
      </c>
      <c r="X247" t="b">
        <v>0</v>
      </c>
      <c r="Y247" t="s">
        <v>1086</v>
      </c>
      <c r="Z247">
        <v>1</v>
      </c>
    </row>
    <row r="248" spans="1:26">
      <c r="A248" t="s">
        <v>297</v>
      </c>
      <c r="B248" t="s">
        <v>253</v>
      </c>
      <c r="C248" t="s">
        <v>116</v>
      </c>
      <c r="D248" s="5">
        <v>0.83617101194383003</v>
      </c>
      <c r="E248" s="5">
        <v>0.89754999627921905</v>
      </c>
      <c r="F248" s="5">
        <v>0.93161496898241203</v>
      </c>
      <c r="G248" s="5">
        <v>0.92588969820802702</v>
      </c>
      <c r="H248" s="5">
        <v>0.92582750724954699</v>
      </c>
      <c r="I248" s="5">
        <v>0.10245000372078</v>
      </c>
      <c r="J248" s="5">
        <v>0.99761618588658496</v>
      </c>
      <c r="K248" s="66">
        <v>8784</v>
      </c>
      <c r="L248" s="66">
        <v>899.92083268333295</v>
      </c>
      <c r="M248" s="66">
        <v>521.60222194999994</v>
      </c>
      <c r="N248" s="66">
        <v>21.795277516666701</v>
      </c>
      <c r="O248" s="66">
        <v>499.806944433333</v>
      </c>
      <c r="P248" s="66">
        <v>7884.0791673166596</v>
      </c>
      <c r="Q248" s="66">
        <v>537.49305486666697</v>
      </c>
      <c r="R248" s="66">
        <v>7344.9261689146097</v>
      </c>
      <c r="S248" s="66">
        <v>1.6599435354005501</v>
      </c>
      <c r="T248" t="s">
        <v>564</v>
      </c>
      <c r="U248" t="s">
        <v>386</v>
      </c>
      <c r="V248" t="s">
        <v>384</v>
      </c>
      <c r="W248" t="s">
        <v>384</v>
      </c>
      <c r="X248" t="b">
        <v>0</v>
      </c>
      <c r="Y248" t="s">
        <v>1245</v>
      </c>
      <c r="Z248">
        <v>1</v>
      </c>
    </row>
    <row r="249" spans="1:26">
      <c r="A249" t="s">
        <v>396</v>
      </c>
      <c r="B249" t="s">
        <v>71</v>
      </c>
      <c r="C249" t="s">
        <v>116</v>
      </c>
      <c r="D249" s="5">
        <v>0.50919540097764504</v>
      </c>
      <c r="E249" s="5">
        <v>0.64789043287107395</v>
      </c>
      <c r="F249" s="5">
        <v>0.78592826061836796</v>
      </c>
      <c r="G249" s="5">
        <v>0.70608632321895803</v>
      </c>
      <c r="H249" s="5">
        <v>0.70608632323057596</v>
      </c>
      <c r="I249" s="5">
        <v>0.35210956712892599</v>
      </c>
      <c r="J249" s="5">
        <v>0.83006829928832004</v>
      </c>
      <c r="K249" s="66">
        <v>8784</v>
      </c>
      <c r="L249" s="66">
        <v>3092.93043766048</v>
      </c>
      <c r="M249" s="66">
        <v>302.63055554636799</v>
      </c>
      <c r="O249" s="66">
        <v>302.63055554636799</v>
      </c>
      <c r="P249" s="66">
        <v>5691.0695623395204</v>
      </c>
      <c r="Q249" s="66">
        <v>1284.75861092131</v>
      </c>
      <c r="R249" s="66">
        <v>4472.7724021876302</v>
      </c>
      <c r="S249" s="66">
        <v>-66.461450769425795</v>
      </c>
      <c r="T249" t="s">
        <v>564</v>
      </c>
      <c r="U249" t="s">
        <v>383</v>
      </c>
      <c r="V249" t="s">
        <v>384</v>
      </c>
      <c r="W249" t="s">
        <v>384</v>
      </c>
      <c r="X249" t="b">
        <v>1</v>
      </c>
      <c r="Y249" t="s">
        <v>521</v>
      </c>
      <c r="Z249">
        <v>1</v>
      </c>
    </row>
    <row r="250" spans="1:26">
      <c r="A250" t="s">
        <v>396</v>
      </c>
      <c r="B250" t="s">
        <v>72</v>
      </c>
      <c r="C250" t="s">
        <v>116</v>
      </c>
      <c r="D250" s="5">
        <v>0.50667591915046195</v>
      </c>
      <c r="E250" s="5">
        <v>0.56242149047742995</v>
      </c>
      <c r="F250" s="5">
        <v>0.90088292806939696</v>
      </c>
      <c r="G250" s="5">
        <v>0.85446796943418002</v>
      </c>
      <c r="H250" s="5">
        <v>0.85446796943419501</v>
      </c>
      <c r="I250" s="5">
        <v>0.43757850952256999</v>
      </c>
      <c r="J250" s="5">
        <v>0.978713677361705</v>
      </c>
      <c r="K250" s="66">
        <v>8784</v>
      </c>
      <c r="L250" s="66">
        <v>3843.6896276462599</v>
      </c>
      <c r="M250" s="66">
        <v>392.87083333030102</v>
      </c>
      <c r="N250" s="66">
        <v>71.999999999856001</v>
      </c>
      <c r="O250" s="66">
        <v>320.87083333044501</v>
      </c>
      <c r="P250" s="66">
        <v>4940.3103723537497</v>
      </c>
      <c r="Q250" s="66">
        <v>533.93611096356699</v>
      </c>
      <c r="R250" s="66">
        <v>4450.6412738176596</v>
      </c>
      <c r="S250" s="66">
        <v>-44.2670124274781</v>
      </c>
      <c r="T250" t="s">
        <v>564</v>
      </c>
      <c r="U250" t="s">
        <v>383</v>
      </c>
      <c r="V250" t="s">
        <v>384</v>
      </c>
      <c r="W250" t="s">
        <v>384</v>
      </c>
      <c r="X250" t="b">
        <v>1</v>
      </c>
      <c r="Y250" t="s">
        <v>522</v>
      </c>
      <c r="Z250">
        <v>1</v>
      </c>
    </row>
    <row r="251" spans="1:26">
      <c r="A251" t="s">
        <v>73</v>
      </c>
      <c r="B251" t="s">
        <v>74</v>
      </c>
      <c r="C251" t="s">
        <v>117</v>
      </c>
      <c r="D251" s="5">
        <v>0.56409092445071196</v>
      </c>
      <c r="E251" s="5">
        <v>0.99197037550660305</v>
      </c>
      <c r="F251" s="5">
        <v>0.56865702684178299</v>
      </c>
      <c r="G251" s="5">
        <v>0.55279696822145497</v>
      </c>
      <c r="H251" s="5">
        <v>0.54914450892371902</v>
      </c>
      <c r="I251" s="5">
        <v>8.0296244933970896E-3</v>
      </c>
      <c r="J251" s="5">
        <v>0.62534781504524095</v>
      </c>
      <c r="K251" s="66">
        <v>8784</v>
      </c>
      <c r="L251" s="66">
        <v>70.532221550000003</v>
      </c>
      <c r="M251" s="66">
        <v>789.91777769308601</v>
      </c>
      <c r="N251" s="66">
        <v>348.251111030836</v>
      </c>
      <c r="O251" s="66">
        <v>441.66666666225001</v>
      </c>
      <c r="P251" s="66">
        <v>8713.46777845</v>
      </c>
      <c r="Q251" s="66">
        <v>3758.1235534331399</v>
      </c>
      <c r="R251" s="66">
        <v>4954.9746803750604</v>
      </c>
      <c r="S251" s="66">
        <v>0.36954464179923102</v>
      </c>
      <c r="T251" t="s">
        <v>564</v>
      </c>
      <c r="U251" t="s">
        <v>386</v>
      </c>
      <c r="V251" t="s">
        <v>384</v>
      </c>
      <c r="W251" t="s">
        <v>384</v>
      </c>
      <c r="X251" t="b">
        <v>0</v>
      </c>
      <c r="Y251" t="s">
        <v>845</v>
      </c>
      <c r="Z251">
        <v>1</v>
      </c>
    </row>
    <row r="252" spans="1:26">
      <c r="A252" t="s">
        <v>73</v>
      </c>
      <c r="B252" t="s">
        <v>75</v>
      </c>
      <c r="C252" t="s">
        <v>117</v>
      </c>
      <c r="D252" s="5">
        <v>0.60023878355225802</v>
      </c>
      <c r="E252" s="5">
        <v>0.95379560060734603</v>
      </c>
      <c r="F252" s="5">
        <v>0.62931594900421595</v>
      </c>
      <c r="G252" s="5">
        <v>0.69758449307483394</v>
      </c>
      <c r="H252" s="5">
        <v>0.65876769344259201</v>
      </c>
      <c r="I252" s="5">
        <v>4.6204399392654E-2</v>
      </c>
      <c r="J252" s="5">
        <v>0.65953510304305496</v>
      </c>
      <c r="K252" s="66">
        <v>8784</v>
      </c>
      <c r="L252" s="66">
        <v>405.859444265072</v>
      </c>
      <c r="M252" s="66">
        <v>383.87694429703402</v>
      </c>
      <c r="N252" s="66">
        <v>55.071388749992998</v>
      </c>
      <c r="O252" s="66">
        <v>328.80555554704102</v>
      </c>
      <c r="P252" s="66">
        <v>8378.1405557349299</v>
      </c>
      <c r="Q252" s="66">
        <v>3103.8652307042198</v>
      </c>
      <c r="R252" s="66">
        <v>5272.4974747230299</v>
      </c>
      <c r="S252" s="66">
        <v>1.7778503076685299</v>
      </c>
      <c r="T252" t="s">
        <v>564</v>
      </c>
      <c r="U252" t="s">
        <v>386</v>
      </c>
      <c r="V252" t="s">
        <v>384</v>
      </c>
      <c r="W252" t="s">
        <v>384</v>
      </c>
      <c r="X252" t="b">
        <v>0</v>
      </c>
      <c r="Y252" t="s">
        <v>846</v>
      </c>
      <c r="Z252">
        <v>1</v>
      </c>
    </row>
    <row r="253" spans="1:26">
      <c r="A253" t="s">
        <v>73</v>
      </c>
      <c r="B253" t="s">
        <v>76</v>
      </c>
      <c r="C253" t="s">
        <v>117</v>
      </c>
      <c r="D253" s="5">
        <v>0.59284107793664698</v>
      </c>
      <c r="E253" s="5">
        <v>0.95723860303674202</v>
      </c>
      <c r="F253" s="5">
        <v>0.61932424795230701</v>
      </c>
      <c r="G253" s="5">
        <v>0.68164327398040303</v>
      </c>
      <c r="H253" s="5">
        <v>0.65259579075625895</v>
      </c>
      <c r="I253" s="5">
        <v>4.2761396963257703E-2</v>
      </c>
      <c r="J253" s="5">
        <v>0.65347004359972305</v>
      </c>
      <c r="K253" s="66">
        <v>8784</v>
      </c>
      <c r="L253" s="66">
        <v>375.61611092525499</v>
      </c>
      <c r="M253" s="66">
        <v>439.363610946552</v>
      </c>
      <c r="N253" s="66">
        <v>57.006944283326298</v>
      </c>
      <c r="O253" s="66">
        <v>382.35666666322498</v>
      </c>
      <c r="P253" s="66">
        <v>8408.3838890747393</v>
      </c>
      <c r="Q253" s="66">
        <v>3200.2860701035202</v>
      </c>
      <c r="R253" s="66">
        <v>5207.5160285955099</v>
      </c>
      <c r="S253" s="66">
        <v>0.58179037572196601</v>
      </c>
      <c r="T253" t="s">
        <v>564</v>
      </c>
      <c r="U253" t="s">
        <v>386</v>
      </c>
      <c r="V253" t="s">
        <v>384</v>
      </c>
      <c r="W253" t="s">
        <v>384</v>
      </c>
      <c r="X253" t="b">
        <v>0</v>
      </c>
      <c r="Y253" t="s">
        <v>847</v>
      </c>
      <c r="Z253">
        <v>1</v>
      </c>
    </row>
    <row r="254" spans="1:26">
      <c r="A254" t="s">
        <v>73</v>
      </c>
      <c r="B254" t="s">
        <v>77</v>
      </c>
      <c r="C254" t="s">
        <v>117</v>
      </c>
      <c r="D254" s="5">
        <v>0.60531621871721997</v>
      </c>
      <c r="E254" s="5">
        <v>0.93546549283701796</v>
      </c>
      <c r="F254" s="5">
        <v>0.64707487700209698</v>
      </c>
      <c r="G254" s="5">
        <v>0.62626137031693097</v>
      </c>
      <c r="H254" s="5">
        <v>0.64495258511506803</v>
      </c>
      <c r="I254" s="5">
        <v>6.45345071629818E-2</v>
      </c>
      <c r="J254" s="5">
        <v>0.67783390463876003</v>
      </c>
      <c r="K254" s="66">
        <v>8784</v>
      </c>
      <c r="L254" s="66">
        <v>566.87111091963197</v>
      </c>
      <c r="M254" s="66">
        <v>372.88027769568799</v>
      </c>
      <c r="N254" s="66">
        <v>41.373333266663899</v>
      </c>
      <c r="O254" s="66">
        <v>331.50694442902397</v>
      </c>
      <c r="P254" s="66">
        <v>8217.1288890803808</v>
      </c>
      <c r="Q254" s="66">
        <v>2902.2224476558399</v>
      </c>
      <c r="R254" s="66">
        <v>5317.0976652120598</v>
      </c>
      <c r="S254" s="66">
        <v>-2.1912237875315999</v>
      </c>
      <c r="T254" t="s">
        <v>564</v>
      </c>
      <c r="U254" t="s">
        <v>386</v>
      </c>
      <c r="V254" t="s">
        <v>384</v>
      </c>
      <c r="W254" t="s">
        <v>384</v>
      </c>
      <c r="X254" t="b">
        <v>0</v>
      </c>
      <c r="Y254" t="s">
        <v>848</v>
      </c>
      <c r="Z254">
        <v>1</v>
      </c>
    </row>
    <row r="255" spans="1:26">
      <c r="A255" t="s">
        <v>73</v>
      </c>
      <c r="B255" t="s">
        <v>78</v>
      </c>
      <c r="C255" t="s">
        <v>117</v>
      </c>
      <c r="D255" s="5">
        <v>0.61493974947421104</v>
      </c>
      <c r="E255" s="5">
        <v>0.95700269437804697</v>
      </c>
      <c r="F255" s="5">
        <v>0.64256846201865603</v>
      </c>
      <c r="G255" s="5">
        <v>0.61613863072721997</v>
      </c>
      <c r="H255" s="5">
        <v>0.62540441599891805</v>
      </c>
      <c r="I255" s="5">
        <v>4.2997305621953197E-2</v>
      </c>
      <c r="J255" s="5">
        <v>0.67652586565134498</v>
      </c>
      <c r="K255" s="66">
        <v>8784</v>
      </c>
      <c r="L255" s="66">
        <v>377.68833258323701</v>
      </c>
      <c r="M255" s="66">
        <v>421.94472206591001</v>
      </c>
      <c r="N255" s="66">
        <v>47.024444299993</v>
      </c>
      <c r="O255" s="66">
        <v>374.92027776591698</v>
      </c>
      <c r="P255" s="66">
        <v>8406.3116674167595</v>
      </c>
      <c r="Q255" s="66">
        <v>3006.78155300969</v>
      </c>
      <c r="R255" s="66">
        <v>5401.6307593814699</v>
      </c>
      <c r="S255" s="66">
        <v>-2.10064497440329</v>
      </c>
      <c r="T255" t="s">
        <v>564</v>
      </c>
      <c r="U255" t="s">
        <v>386</v>
      </c>
      <c r="V255" t="s">
        <v>384</v>
      </c>
      <c r="W255" t="s">
        <v>384</v>
      </c>
      <c r="X255" t="b">
        <v>0</v>
      </c>
      <c r="Y255" t="s">
        <v>849</v>
      </c>
      <c r="Z255">
        <v>1</v>
      </c>
    </row>
    <row r="256" spans="1:26">
      <c r="A256" s="19" t="s">
        <v>298</v>
      </c>
      <c r="B256" s="19" t="s">
        <v>254</v>
      </c>
      <c r="C256" s="19" t="s">
        <v>116</v>
      </c>
      <c r="D256" s="68">
        <v>0.201563402008961</v>
      </c>
      <c r="E256" s="68">
        <v>0.26124385674523898</v>
      </c>
      <c r="F256" s="68">
        <v>0.77155269609085197</v>
      </c>
      <c r="G256" s="68">
        <v>0.97295191493393796</v>
      </c>
      <c r="H256" s="68">
        <v>0.97295191494750899</v>
      </c>
      <c r="I256" s="68">
        <v>0.73875614325476102</v>
      </c>
      <c r="J256" s="68">
        <v>0.97763119155786804</v>
      </c>
      <c r="K256" s="70">
        <v>8784</v>
      </c>
      <c r="L256" s="70">
        <v>6489.2339623498201</v>
      </c>
      <c r="M256" s="70">
        <v>483.72222221569899</v>
      </c>
      <c r="N256" s="70"/>
      <c r="O256" s="70">
        <v>483.72222221569899</v>
      </c>
      <c r="P256" s="70">
        <v>2294.7660376501799</v>
      </c>
      <c r="Q256" s="70">
        <v>507.97249986567903</v>
      </c>
      <c r="R256" s="70">
        <v>1770.53292324672</v>
      </c>
      <c r="S256" s="70">
        <v>16.260614537784399</v>
      </c>
      <c r="T256" s="70" t="s">
        <v>564</v>
      </c>
      <c r="U256" s="351" t="s">
        <v>386</v>
      </c>
      <c r="V256" s="351" t="s">
        <v>385</v>
      </c>
      <c r="W256" s="351" t="s">
        <v>384</v>
      </c>
      <c r="X256" s="19" t="b">
        <v>0</v>
      </c>
      <c r="Y256" s="19" t="s">
        <v>523</v>
      </c>
      <c r="Z256" s="19">
        <v>1</v>
      </c>
    </row>
    <row r="257" spans="1:26">
      <c r="A257" t="s">
        <v>299</v>
      </c>
      <c r="B257" t="s">
        <v>255</v>
      </c>
      <c r="C257" t="s">
        <v>117</v>
      </c>
      <c r="D257" s="5">
        <v>0.73167620134447198</v>
      </c>
      <c r="E257" s="5">
        <v>0.83246280105617498</v>
      </c>
      <c r="F257" s="5">
        <v>0.87892960552251498</v>
      </c>
      <c r="G257" s="5">
        <v>0.86050675079913397</v>
      </c>
      <c r="H257" s="5">
        <v>0.86050675079961503</v>
      </c>
      <c r="I257" s="5">
        <v>0.16753719894382499</v>
      </c>
      <c r="J257" s="5">
        <v>0.88054924655400002</v>
      </c>
      <c r="K257" s="66">
        <v>8784</v>
      </c>
      <c r="L257" s="66">
        <v>1471.6467555225599</v>
      </c>
      <c r="M257" s="66">
        <v>13.4499999833223</v>
      </c>
      <c r="N257" s="66">
        <v>13.4499999833223</v>
      </c>
      <c r="P257" s="66">
        <v>7312.3532444774401</v>
      </c>
      <c r="Q257" s="66">
        <v>810.208600215969</v>
      </c>
      <c r="R257" s="66">
        <v>6427.0437526098403</v>
      </c>
      <c r="S257" s="66">
        <v>75.100891651630306</v>
      </c>
      <c r="T257" t="s">
        <v>564</v>
      </c>
      <c r="U257" t="s">
        <v>386</v>
      </c>
      <c r="V257" t="s">
        <v>385</v>
      </c>
      <c r="W257" t="s">
        <v>384</v>
      </c>
      <c r="X257" t="b">
        <v>0</v>
      </c>
      <c r="Y257" t="s">
        <v>1087</v>
      </c>
      <c r="Z257">
        <v>1</v>
      </c>
    </row>
    <row r="258" spans="1:26">
      <c r="A258" t="s">
        <v>299</v>
      </c>
      <c r="B258" t="s">
        <v>256</v>
      </c>
      <c r="C258" t="s">
        <v>117</v>
      </c>
      <c r="D258" s="5">
        <v>0.71100444053356704</v>
      </c>
      <c r="E258" s="5">
        <v>0.81950484467862394</v>
      </c>
      <c r="F258" s="5">
        <v>0.86760248600164702</v>
      </c>
      <c r="G258" s="5">
        <v>0.84811156190579995</v>
      </c>
      <c r="H258" s="5">
        <v>0.848111561906287</v>
      </c>
      <c r="I258" s="5">
        <v>0.180495155321376</v>
      </c>
      <c r="J258" s="5">
        <v>0.87554082288675295</v>
      </c>
      <c r="K258" s="66">
        <v>8784</v>
      </c>
      <c r="L258" s="66">
        <v>1585.4694443429701</v>
      </c>
      <c r="M258" s="66">
        <v>65.267499966631902</v>
      </c>
      <c r="N258" s="66">
        <v>65.267499966631902</v>
      </c>
      <c r="P258" s="66">
        <v>7198.5305556570302</v>
      </c>
      <c r="Q258" s="66">
        <v>879.136190259979</v>
      </c>
      <c r="R258" s="66">
        <v>6245.4630056468504</v>
      </c>
      <c r="S258" s="66">
        <v>73.931359750198993</v>
      </c>
      <c r="T258" t="s">
        <v>564</v>
      </c>
      <c r="U258" t="s">
        <v>386</v>
      </c>
      <c r="V258" t="s">
        <v>385</v>
      </c>
      <c r="W258" t="s">
        <v>384</v>
      </c>
      <c r="X258" t="b">
        <v>0</v>
      </c>
      <c r="Y258" t="s">
        <v>1088</v>
      </c>
      <c r="Z258">
        <v>1</v>
      </c>
    </row>
    <row r="259" spans="1:26">
      <c r="A259" s="78" t="s">
        <v>79</v>
      </c>
      <c r="B259" s="78" t="s">
        <v>1166</v>
      </c>
      <c r="C259" t="s">
        <v>117</v>
      </c>
      <c r="D259" s="5">
        <v>0.81944444444444442</v>
      </c>
      <c r="E259" s="5">
        <v>0.85667122040072863</v>
      </c>
      <c r="F259" s="5">
        <v>0.95654485049833882</v>
      </c>
      <c r="G259" s="5"/>
      <c r="H259" s="5"/>
      <c r="I259" s="5">
        <v>0.14332877959927137</v>
      </c>
      <c r="J259" s="5">
        <v>0.95654485049833882</v>
      </c>
      <c r="K259" s="66">
        <v>8784</v>
      </c>
      <c r="L259" s="66">
        <v>1259</v>
      </c>
      <c r="P259" s="66">
        <v>7525</v>
      </c>
      <c r="Q259" s="66">
        <v>327</v>
      </c>
      <c r="R259" s="66">
        <v>7198</v>
      </c>
      <c r="T259" t="s">
        <v>564</v>
      </c>
      <c r="U259" t="s">
        <v>386</v>
      </c>
      <c r="V259" t="s">
        <v>385</v>
      </c>
      <c r="W259" t="s">
        <v>384</v>
      </c>
      <c r="X259" t="b">
        <v>0</v>
      </c>
      <c r="Y259" t="s">
        <v>1166</v>
      </c>
      <c r="Z259">
        <v>1</v>
      </c>
    </row>
    <row r="260" spans="1:26">
      <c r="A260" s="19" t="s">
        <v>79</v>
      </c>
      <c r="B260" s="19" t="s">
        <v>80</v>
      </c>
      <c r="C260" s="19" t="s">
        <v>116</v>
      </c>
      <c r="D260" s="68">
        <v>0.75602272500203904</v>
      </c>
      <c r="E260" s="68">
        <v>0.77774559386378594</v>
      </c>
      <c r="F260" s="68">
        <v>0.97206944143028895</v>
      </c>
      <c r="G260" s="68">
        <v>0.91374462259278</v>
      </c>
      <c r="H260" s="68">
        <v>0.913744622593052</v>
      </c>
      <c r="I260" s="68">
        <v>0.222254406136214</v>
      </c>
      <c r="J260" s="68">
        <v>0.97206944143028995</v>
      </c>
      <c r="K260" s="70">
        <v>8784</v>
      </c>
      <c r="L260" s="70">
        <v>1952.2827035005</v>
      </c>
      <c r="M260" s="70"/>
      <c r="N260" s="70"/>
      <c r="O260" s="70"/>
      <c r="P260" s="70">
        <v>6831.7172964994998</v>
      </c>
      <c r="Q260" s="70">
        <v>187.283889287405</v>
      </c>
      <c r="R260" s="70">
        <v>6640.9036164179197</v>
      </c>
      <c r="S260" s="70">
        <v>3.52979079417974</v>
      </c>
      <c r="T260" s="70" t="s">
        <v>564</v>
      </c>
      <c r="U260" s="351" t="s">
        <v>386</v>
      </c>
      <c r="V260" s="351" t="s">
        <v>385</v>
      </c>
      <c r="W260" s="351" t="s">
        <v>384</v>
      </c>
      <c r="X260" s="19" t="b">
        <v>0</v>
      </c>
      <c r="Y260" s="19" t="s">
        <v>850</v>
      </c>
      <c r="Z260" s="19">
        <v>1</v>
      </c>
    </row>
    <row r="261" spans="1:26">
      <c r="A261" s="19" t="s">
        <v>1089</v>
      </c>
      <c r="B261" s="19" t="s">
        <v>1090</v>
      </c>
      <c r="C261" s="19" t="s">
        <v>116</v>
      </c>
      <c r="D261" s="68">
        <v>0.90993009695359595</v>
      </c>
      <c r="E261" s="68">
        <v>1.00005115037643</v>
      </c>
      <c r="F261" s="68">
        <v>0.90988355606719795</v>
      </c>
      <c r="G261" s="68"/>
      <c r="H261" s="68"/>
      <c r="I261" s="68">
        <v>-5.1150376427829699E-5</v>
      </c>
      <c r="J261" s="68">
        <v>0.92238754951493296</v>
      </c>
      <c r="K261" s="70">
        <v>2568</v>
      </c>
      <c r="L261" s="70">
        <v>-0.13135416666666699</v>
      </c>
      <c r="M261" s="70">
        <v>34.813888849985197</v>
      </c>
      <c r="N261" s="70">
        <v>34.813888849985197</v>
      </c>
      <c r="O261" s="70"/>
      <c r="P261" s="70">
        <v>2568.13135416667</v>
      </c>
      <c r="Q261" s="70">
        <v>227.716666416463</v>
      </c>
      <c r="R261" s="70">
        <v>2336.70048897683</v>
      </c>
      <c r="S261" s="70">
        <v>3.7141987733692701</v>
      </c>
      <c r="T261" s="70" t="s">
        <v>564</v>
      </c>
      <c r="U261" s="351" t="s">
        <v>386</v>
      </c>
      <c r="V261" s="351" t="s">
        <v>385</v>
      </c>
      <c r="W261" s="351" t="s">
        <v>385</v>
      </c>
      <c r="X261" s="19" t="b">
        <v>0</v>
      </c>
      <c r="Y261" s="19" t="s">
        <v>1091</v>
      </c>
      <c r="Z261" s="19">
        <v>1</v>
      </c>
    </row>
    <row r="262" spans="1:26">
      <c r="A262" t="s">
        <v>1089</v>
      </c>
      <c r="B262" t="s">
        <v>1092</v>
      </c>
      <c r="C262" t="s">
        <v>116</v>
      </c>
      <c r="D262" s="5">
        <v>0.77787422614952495</v>
      </c>
      <c r="E262" s="5">
        <v>1</v>
      </c>
      <c r="F262" s="5">
        <v>0.77787422614952495</v>
      </c>
      <c r="G262" s="5"/>
      <c r="H262" s="5"/>
      <c r="I262" s="5">
        <v>0</v>
      </c>
      <c r="J262" s="5">
        <v>0.90626322679357996</v>
      </c>
      <c r="K262" s="66">
        <v>2208</v>
      </c>
      <c r="L262" s="66">
        <v>0</v>
      </c>
      <c r="M262" s="66">
        <v>312.80416664930101</v>
      </c>
      <c r="N262" s="66">
        <v>312.80416664930101</v>
      </c>
      <c r="P262" s="66">
        <v>2208</v>
      </c>
      <c r="Q262" s="66">
        <v>493.729166532492</v>
      </c>
      <c r="R262" s="66">
        <v>1717.54629133815</v>
      </c>
      <c r="S262" s="66">
        <v>-3.2754578706445501</v>
      </c>
      <c r="T262" t="s">
        <v>564</v>
      </c>
      <c r="U262" t="s">
        <v>386</v>
      </c>
      <c r="V262" t="s">
        <v>385</v>
      </c>
      <c r="W262" t="s">
        <v>385</v>
      </c>
      <c r="X262" t="b">
        <v>0</v>
      </c>
      <c r="Y262" t="s">
        <v>1093</v>
      </c>
      <c r="Z262">
        <v>1</v>
      </c>
    </row>
    <row r="263" spans="1:26">
      <c r="A263" t="s">
        <v>1089</v>
      </c>
      <c r="B263" t="s">
        <v>1094</v>
      </c>
      <c r="C263" t="s">
        <v>116</v>
      </c>
      <c r="D263" s="5">
        <v>0.727988294850622</v>
      </c>
      <c r="E263" s="5">
        <v>0.92412260292989801</v>
      </c>
      <c r="F263" s="5">
        <v>0.78776159412459001</v>
      </c>
      <c r="G263" s="5"/>
      <c r="H263" s="5"/>
      <c r="I263" s="5">
        <v>7.5877397070102007E-2</v>
      </c>
      <c r="J263" s="5">
        <v>0.78776159412459001</v>
      </c>
      <c r="K263" s="66">
        <v>2568</v>
      </c>
      <c r="L263" s="66">
        <v>194.853155676022</v>
      </c>
      <c r="P263" s="66">
        <v>2373.1468443239801</v>
      </c>
      <c r="Q263" s="66">
        <v>501.70527753302099</v>
      </c>
      <c r="R263" s="66">
        <v>1869.4739411764001</v>
      </c>
      <c r="S263" s="66">
        <v>1.9676256145590001</v>
      </c>
      <c r="T263" t="s">
        <v>564</v>
      </c>
      <c r="U263" t="s">
        <v>386</v>
      </c>
      <c r="V263" t="s">
        <v>385</v>
      </c>
      <c r="W263" t="s">
        <v>385</v>
      </c>
      <c r="X263" t="b">
        <v>0</v>
      </c>
      <c r="Y263" t="s">
        <v>1095</v>
      </c>
      <c r="Z263">
        <v>1</v>
      </c>
    </row>
    <row r="264" spans="1:26" s="19" customFormat="1">
      <c r="A264" t="s">
        <v>1089</v>
      </c>
      <c r="B264" t="s">
        <v>1096</v>
      </c>
      <c r="C264" t="s">
        <v>116</v>
      </c>
      <c r="D264" s="5">
        <v>0.48959047245270598</v>
      </c>
      <c r="E264" s="5">
        <v>0.71906117251822399</v>
      </c>
      <c r="F264" s="5">
        <v>0.68087457808090401</v>
      </c>
      <c r="G264" s="5"/>
      <c r="H264" s="5"/>
      <c r="I264" s="5">
        <v>0.28093882748177601</v>
      </c>
      <c r="J264" s="5">
        <v>0.84692841540770003</v>
      </c>
      <c r="K264" s="66">
        <v>744</v>
      </c>
      <c r="L264" s="66">
        <v>209.018487646442</v>
      </c>
      <c r="M264" s="66">
        <v>104.89166664981499</v>
      </c>
      <c r="N264" s="66">
        <v>104.89166664981499</v>
      </c>
      <c r="O264" s="66"/>
      <c r="P264" s="66">
        <v>534.98151235355897</v>
      </c>
      <c r="Q264" s="66">
        <v>169.83333323311999</v>
      </c>
      <c r="R264" s="66">
        <v>364.25531150481299</v>
      </c>
      <c r="S264" s="66">
        <v>0.89286761562558803</v>
      </c>
      <c r="T264" t="s">
        <v>564</v>
      </c>
      <c r="U264" t="s">
        <v>386</v>
      </c>
      <c r="V264" t="s">
        <v>385</v>
      </c>
      <c r="W264" t="s">
        <v>385</v>
      </c>
      <c r="X264" t="b">
        <v>0</v>
      </c>
      <c r="Y264" t="s">
        <v>1097</v>
      </c>
      <c r="Z264">
        <v>1</v>
      </c>
    </row>
    <row r="265" spans="1:26">
      <c r="A265" t="s">
        <v>81</v>
      </c>
      <c r="B265" t="s">
        <v>82</v>
      </c>
      <c r="C265" t="s">
        <v>116</v>
      </c>
      <c r="D265" s="5">
        <v>0.599276021366558</v>
      </c>
      <c r="E265" s="5">
        <v>0.69718857654155197</v>
      </c>
      <c r="F265" s="5">
        <v>0.85956087281192295</v>
      </c>
      <c r="G265" s="5">
        <v>0.86939324588897005</v>
      </c>
      <c r="H265" s="5">
        <v>0.86563384710685698</v>
      </c>
      <c r="I265" s="5">
        <v>0.30281142345844803</v>
      </c>
      <c r="J265" s="5">
        <v>0.92102257380585895</v>
      </c>
      <c r="K265" s="66">
        <v>8784</v>
      </c>
      <c r="L265" s="66">
        <v>2659.8955436590099</v>
      </c>
      <c r="M265" s="66">
        <v>408.673888844999</v>
      </c>
      <c r="N265" s="66">
        <v>21.036111083312299</v>
      </c>
      <c r="O265" s="66">
        <v>387.637777761687</v>
      </c>
      <c r="P265" s="66">
        <v>6124.1044563409996</v>
      </c>
      <c r="Q265" s="66">
        <v>889.165832994639</v>
      </c>
      <c r="R265" s="66">
        <v>5264.0405716838404</v>
      </c>
      <c r="S265" s="66">
        <v>-29.101948337491699</v>
      </c>
      <c r="T265" t="s">
        <v>564</v>
      </c>
      <c r="U265" t="s">
        <v>383</v>
      </c>
      <c r="V265" t="s">
        <v>384</v>
      </c>
      <c r="W265" t="s">
        <v>384</v>
      </c>
      <c r="X265" t="b">
        <v>0</v>
      </c>
      <c r="Y265" t="s">
        <v>524</v>
      </c>
      <c r="Z265">
        <v>1</v>
      </c>
    </row>
    <row r="266" spans="1:26">
      <c r="A266" t="s">
        <v>12</v>
      </c>
      <c r="B266" t="s">
        <v>326</v>
      </c>
      <c r="C266" t="s">
        <v>117</v>
      </c>
      <c r="D266" s="5">
        <v>0.38538489098443501</v>
      </c>
      <c r="E266" s="5">
        <v>0.51617334553612104</v>
      </c>
      <c r="F266" s="5">
        <v>0.74661912382197204</v>
      </c>
      <c r="G266" s="5">
        <v>0.65778307889087395</v>
      </c>
      <c r="H266" s="5">
        <v>0.65803058497663702</v>
      </c>
      <c r="I266" s="5">
        <v>0.48382665446387901</v>
      </c>
      <c r="J266" s="5">
        <v>0.77534795972008597</v>
      </c>
      <c r="K266" s="66">
        <v>8784</v>
      </c>
      <c r="L266" s="66">
        <v>4249.9333328107105</v>
      </c>
      <c r="M266" s="66">
        <v>167.99999999976001</v>
      </c>
      <c r="O266" s="66">
        <v>167.99999999976001</v>
      </c>
      <c r="P266" s="66">
        <v>4534.0666671892895</v>
      </c>
      <c r="Q266" s="66">
        <v>1242.4523428103</v>
      </c>
      <c r="R266" s="66">
        <v>3385.22088240727</v>
      </c>
      <c r="S266" s="66">
        <v>-93.606558028292696</v>
      </c>
      <c r="T266" t="s">
        <v>564</v>
      </c>
      <c r="U266" t="s">
        <v>386</v>
      </c>
      <c r="V266" t="s">
        <v>385</v>
      </c>
      <c r="W266" t="s">
        <v>385</v>
      </c>
      <c r="X266" t="b">
        <v>0</v>
      </c>
      <c r="Y266" t="s">
        <v>525</v>
      </c>
      <c r="Z266">
        <v>1</v>
      </c>
    </row>
    <row r="267" spans="1:26" s="19" customFormat="1">
      <c r="A267" t="s">
        <v>12</v>
      </c>
      <c r="B267" t="s">
        <v>83</v>
      </c>
      <c r="C267" t="s">
        <v>117</v>
      </c>
      <c r="D267" s="5">
        <v>0.40048154719954399</v>
      </c>
      <c r="E267" s="5">
        <v>0.75865364444168104</v>
      </c>
      <c r="F267" s="5">
        <v>0.52788456251900295</v>
      </c>
      <c r="G267" s="5">
        <v>0.48515278233049802</v>
      </c>
      <c r="H267" s="5">
        <v>0.48493843353085903</v>
      </c>
      <c r="I267" s="5">
        <v>0.24134635555831799</v>
      </c>
      <c r="J267" s="5">
        <v>0.57046972263133899</v>
      </c>
      <c r="K267" s="66">
        <v>8784</v>
      </c>
      <c r="L267" s="66">
        <v>2119.9863872242699</v>
      </c>
      <c r="M267" s="66">
        <v>497.46388884907702</v>
      </c>
      <c r="N267" s="66">
        <v>334.21805551621202</v>
      </c>
      <c r="O267" s="66">
        <v>163.245833332865</v>
      </c>
      <c r="P267" s="66">
        <v>6664.0136127757296</v>
      </c>
      <c r="Q267" s="66">
        <v>3134.7275285676901</v>
      </c>
      <c r="R267" s="66">
        <v>3517.8299106007998</v>
      </c>
      <c r="S267" s="66">
        <v>11.456173607240901</v>
      </c>
      <c r="T267" t="s">
        <v>564</v>
      </c>
      <c r="U267" t="s">
        <v>386</v>
      </c>
      <c r="V267" t="s">
        <v>385</v>
      </c>
      <c r="W267" t="s">
        <v>385</v>
      </c>
      <c r="X267" t="b">
        <v>0</v>
      </c>
      <c r="Y267" t="s">
        <v>851</v>
      </c>
      <c r="Z267">
        <v>1</v>
      </c>
    </row>
    <row r="268" spans="1:26" s="19" customFormat="1">
      <c r="A268" t="s">
        <v>12</v>
      </c>
      <c r="B268" t="s">
        <v>84</v>
      </c>
      <c r="C268" t="s">
        <v>117</v>
      </c>
      <c r="D268" s="5">
        <v>0.40560629634767598</v>
      </c>
      <c r="E268" s="5">
        <v>0.78001157419147604</v>
      </c>
      <c r="F268" s="5">
        <v>0.52000035610767603</v>
      </c>
      <c r="G268" s="5">
        <v>0.54031052338739605</v>
      </c>
      <c r="H268" s="5">
        <v>0.55900717170508796</v>
      </c>
      <c r="I268" s="5">
        <v>0.21998842580852401</v>
      </c>
      <c r="J268" s="5">
        <v>0.56178661308488298</v>
      </c>
      <c r="K268" s="66">
        <v>8784</v>
      </c>
      <c r="L268" s="66">
        <v>1932.37833230208</v>
      </c>
      <c r="M268" s="66">
        <v>509.63055553223501</v>
      </c>
      <c r="N268" s="66">
        <v>332.32638886605798</v>
      </c>
      <c r="O268" s="66">
        <v>177.304166666177</v>
      </c>
      <c r="P268" s="66">
        <v>6851.6216676979202</v>
      </c>
      <c r="Q268" s="66">
        <v>3298.9385314767401</v>
      </c>
      <c r="R268" s="66">
        <v>3562.8457071179901</v>
      </c>
      <c r="S268" s="66">
        <v>-10.162570896805599</v>
      </c>
      <c r="T268" t="s">
        <v>564</v>
      </c>
      <c r="U268" t="s">
        <v>386</v>
      </c>
      <c r="V268" t="s">
        <v>385</v>
      </c>
      <c r="W268" t="s">
        <v>385</v>
      </c>
      <c r="X268" t="b">
        <v>0</v>
      </c>
      <c r="Y268" t="s">
        <v>852</v>
      </c>
      <c r="Z268">
        <v>1</v>
      </c>
    </row>
    <row r="269" spans="1:26">
      <c r="A269" t="s">
        <v>12</v>
      </c>
      <c r="B269" t="s">
        <v>85</v>
      </c>
      <c r="C269" t="s">
        <v>117</v>
      </c>
      <c r="D269" s="5">
        <v>0.41878147309668601</v>
      </c>
      <c r="E269" s="5">
        <v>0.86802956138117504</v>
      </c>
      <c r="F269" s="5">
        <v>0.48245070413309199</v>
      </c>
      <c r="G269" s="5">
        <v>0.43037061636612101</v>
      </c>
      <c r="H269" s="5">
        <v>0.43522706219775498</v>
      </c>
      <c r="I269" s="5">
        <v>0.13197043861882499</v>
      </c>
      <c r="J269" s="5">
        <v>0.51657856196677299</v>
      </c>
      <c r="K269" s="66">
        <v>8784</v>
      </c>
      <c r="L269" s="66">
        <v>1159.2283328277599</v>
      </c>
      <c r="M269" s="66">
        <v>503.73194443224799</v>
      </c>
      <c r="N269" s="66">
        <v>343.80277776604999</v>
      </c>
      <c r="O269" s="66">
        <v>159.929166666198</v>
      </c>
      <c r="P269" s="66">
        <v>7624.7716671722401</v>
      </c>
      <c r="Q269" s="66">
        <v>3910.0686417422298</v>
      </c>
      <c r="R269" s="66">
        <v>3678.5764596812901</v>
      </c>
      <c r="S269" s="66">
        <v>36.126565748710597</v>
      </c>
      <c r="T269" t="s">
        <v>564</v>
      </c>
      <c r="U269" t="s">
        <v>386</v>
      </c>
      <c r="V269" t="s">
        <v>385</v>
      </c>
      <c r="W269" t="s">
        <v>385</v>
      </c>
      <c r="X269" t="b">
        <v>0</v>
      </c>
      <c r="Y269" t="s">
        <v>853</v>
      </c>
      <c r="Z269">
        <v>1</v>
      </c>
    </row>
    <row r="270" spans="1:26">
      <c r="A270" t="s">
        <v>12</v>
      </c>
      <c r="B270" t="s">
        <v>86</v>
      </c>
      <c r="C270" t="s">
        <v>117</v>
      </c>
      <c r="D270" s="5">
        <v>0.33068522709915099</v>
      </c>
      <c r="E270" s="5">
        <v>0.56439821146453695</v>
      </c>
      <c r="F270" s="5">
        <v>0.58590764531494199</v>
      </c>
      <c r="G270" s="5">
        <v>0.59441451817705204</v>
      </c>
      <c r="H270" s="5">
        <v>0.616028813542983</v>
      </c>
      <c r="I270" s="5">
        <v>0.435601788535463</v>
      </c>
      <c r="J270" s="5">
        <v>0.62239199052980398</v>
      </c>
      <c r="K270" s="66">
        <v>8784</v>
      </c>
      <c r="L270" s="66">
        <v>3826.32611049551</v>
      </c>
      <c r="M270" s="66">
        <v>290.61666666599899</v>
      </c>
      <c r="N270" s="66">
        <v>49.516666666567602</v>
      </c>
      <c r="O270" s="66">
        <v>241.09999999943199</v>
      </c>
      <c r="P270" s="66">
        <v>4957.67388950449</v>
      </c>
      <c r="Q270" s="66">
        <v>2037.87546818137</v>
      </c>
      <c r="R270" s="66">
        <v>2904.7390348389399</v>
      </c>
      <c r="S270" s="66">
        <v>15.0593864841751</v>
      </c>
      <c r="T270" t="s">
        <v>564</v>
      </c>
      <c r="U270" t="s">
        <v>386</v>
      </c>
      <c r="V270" t="s">
        <v>384</v>
      </c>
      <c r="W270" t="s">
        <v>385</v>
      </c>
      <c r="X270" t="b">
        <v>0</v>
      </c>
      <c r="Y270" t="s">
        <v>854</v>
      </c>
      <c r="Z270">
        <v>1</v>
      </c>
    </row>
    <row r="271" spans="1:26">
      <c r="A271" t="s">
        <v>12</v>
      </c>
      <c r="B271" t="s">
        <v>87</v>
      </c>
      <c r="C271" t="s">
        <v>117</v>
      </c>
      <c r="D271" s="5">
        <v>0.14763745407668999</v>
      </c>
      <c r="E271" s="5">
        <v>0.26283511058605702</v>
      </c>
      <c r="F271" s="5">
        <v>0.56171130922156898</v>
      </c>
      <c r="G271" s="5">
        <v>0.66495997825906195</v>
      </c>
      <c r="H271" s="5">
        <v>0.66610483163339895</v>
      </c>
      <c r="I271" s="5">
        <v>0.73716488941394298</v>
      </c>
      <c r="J271" s="5">
        <v>0.64009789159499297</v>
      </c>
      <c r="K271" s="66">
        <v>8784</v>
      </c>
      <c r="L271" s="66">
        <v>6475.2563886120797</v>
      </c>
      <c r="M271" s="66">
        <v>282.729444432668</v>
      </c>
      <c r="N271" s="66">
        <v>36.666388883313303</v>
      </c>
      <c r="O271" s="66">
        <v>246.063055549355</v>
      </c>
      <c r="P271" s="66">
        <v>2308.7436113879298</v>
      </c>
      <c r="Q271" s="66">
        <v>1008.10666551575</v>
      </c>
      <c r="R271" s="66">
        <v>1296.8473966096501</v>
      </c>
      <c r="S271" s="66">
        <v>3.7895492625302598</v>
      </c>
      <c r="T271" t="s">
        <v>564</v>
      </c>
      <c r="U271" t="s">
        <v>386</v>
      </c>
      <c r="V271" t="s">
        <v>385</v>
      </c>
      <c r="W271" t="s">
        <v>385</v>
      </c>
      <c r="X271" t="b">
        <v>0</v>
      </c>
      <c r="Y271" t="s">
        <v>526</v>
      </c>
      <c r="Z271">
        <v>1</v>
      </c>
    </row>
    <row r="272" spans="1:26">
      <c r="A272" t="s">
        <v>12</v>
      </c>
      <c r="B272" t="s">
        <v>327</v>
      </c>
      <c r="C272" t="s">
        <v>117</v>
      </c>
      <c r="D272" s="5">
        <v>0.36876932000823898</v>
      </c>
      <c r="E272" s="5">
        <v>0.48155680795751699</v>
      </c>
      <c r="F272" s="5">
        <v>0.76578570568308202</v>
      </c>
      <c r="G272" s="5">
        <v>0.83964281749146596</v>
      </c>
      <c r="H272" s="5">
        <v>0.84101291992067895</v>
      </c>
      <c r="I272" s="5">
        <v>0.51844319204248301</v>
      </c>
      <c r="J272" s="5">
        <v>0.80182137422609501</v>
      </c>
      <c r="K272" s="66">
        <v>8784</v>
      </c>
      <c r="L272" s="66">
        <v>4554.0049989011704</v>
      </c>
      <c r="M272" s="66">
        <v>190.105555548859</v>
      </c>
      <c r="O272" s="66">
        <v>190.105555548859</v>
      </c>
      <c r="P272" s="66">
        <v>4229.9950010988296</v>
      </c>
      <c r="Q272" s="66">
        <v>975.45632651781</v>
      </c>
      <c r="R272" s="66">
        <v>3239.2697069523701</v>
      </c>
      <c r="S272" s="66">
        <v>15.268967628644999</v>
      </c>
      <c r="T272" t="s">
        <v>564</v>
      </c>
      <c r="U272" t="s">
        <v>386</v>
      </c>
      <c r="V272" t="s">
        <v>385</v>
      </c>
      <c r="W272" t="s">
        <v>385</v>
      </c>
      <c r="X272" t="b">
        <v>0</v>
      </c>
      <c r="Y272" t="s">
        <v>855</v>
      </c>
      <c r="Z272">
        <v>1</v>
      </c>
    </row>
    <row r="273" spans="1:26">
      <c r="A273" t="s">
        <v>12</v>
      </c>
      <c r="B273" t="s">
        <v>88</v>
      </c>
      <c r="C273" t="s">
        <v>117</v>
      </c>
      <c r="D273" s="5">
        <v>0.41200363232185699</v>
      </c>
      <c r="E273" s="5">
        <v>0.50095081347106996</v>
      </c>
      <c r="F273" s="5">
        <v>0.82244328433583902</v>
      </c>
      <c r="G273" s="5">
        <v>0.78442632706929105</v>
      </c>
      <c r="H273" s="5">
        <v>0.815866077841917</v>
      </c>
      <c r="I273" s="5">
        <v>0.49904918652892999</v>
      </c>
      <c r="J273" s="5">
        <v>0.85685111013750204</v>
      </c>
      <c r="K273" s="66">
        <v>8784</v>
      </c>
      <c r="L273" s="66">
        <v>4383.6480544701199</v>
      </c>
      <c r="M273" s="66">
        <v>176.70111109911701</v>
      </c>
      <c r="O273" s="66">
        <v>176.70111109911701</v>
      </c>
      <c r="P273" s="66">
        <v>4400.3519455298901</v>
      </c>
      <c r="Q273" s="66">
        <v>772.23407900407699</v>
      </c>
      <c r="R273" s="66">
        <v>3619.0399063151899</v>
      </c>
      <c r="S273" s="66">
        <v>9.0779602106094703</v>
      </c>
      <c r="T273" t="s">
        <v>564</v>
      </c>
      <c r="U273" t="s">
        <v>386</v>
      </c>
      <c r="V273" t="s">
        <v>385</v>
      </c>
      <c r="W273" t="s">
        <v>385</v>
      </c>
      <c r="X273" t="b">
        <v>0</v>
      </c>
      <c r="Y273" t="s">
        <v>527</v>
      </c>
      <c r="Z273">
        <v>1</v>
      </c>
    </row>
    <row r="274" spans="1:26">
      <c r="A274" t="s">
        <v>300</v>
      </c>
      <c r="B274" t="s">
        <v>257</v>
      </c>
      <c r="C274" t="s">
        <v>117</v>
      </c>
      <c r="D274" s="5">
        <v>0.372063797889503</v>
      </c>
      <c r="E274" s="5">
        <v>0.64767253593340002</v>
      </c>
      <c r="F274" s="5">
        <v>0.57446282997518106</v>
      </c>
      <c r="G274" s="5">
        <v>0.54628919101781404</v>
      </c>
      <c r="H274" s="5">
        <v>0.54628919103631102</v>
      </c>
      <c r="I274" s="5">
        <v>0.35232746406659998</v>
      </c>
      <c r="J274" s="5">
        <v>0.60473836958095395</v>
      </c>
      <c r="K274" s="66">
        <v>8784</v>
      </c>
      <c r="L274" s="66">
        <v>3094.8444443610201</v>
      </c>
      <c r="M274" s="66">
        <v>284.82111109885</v>
      </c>
      <c r="N274" s="66">
        <v>284.82111109885</v>
      </c>
      <c r="P274" s="66">
        <v>5689.1555556389803</v>
      </c>
      <c r="Q274" s="66">
        <v>2441.5263882978802</v>
      </c>
      <c r="R274" s="66">
        <v>3268.20840066139</v>
      </c>
      <c r="S274" s="66">
        <v>-20.579233320287599</v>
      </c>
      <c r="T274" t="s">
        <v>564</v>
      </c>
      <c r="U274" t="s">
        <v>386</v>
      </c>
      <c r="V274" t="s">
        <v>385</v>
      </c>
      <c r="W274" t="s">
        <v>385</v>
      </c>
      <c r="X274" t="b">
        <v>0</v>
      </c>
      <c r="Y274" t="s">
        <v>528</v>
      </c>
      <c r="Z274">
        <v>1</v>
      </c>
    </row>
    <row r="275" spans="1:26">
      <c r="A275" t="s">
        <v>300</v>
      </c>
      <c r="B275" t="s">
        <v>258</v>
      </c>
      <c r="C275" t="s">
        <v>117</v>
      </c>
      <c r="D275" s="5">
        <v>0.27418082451194498</v>
      </c>
      <c r="E275" s="5">
        <v>0.77014208286903696</v>
      </c>
      <c r="F275" s="5">
        <v>0.35601330015693999</v>
      </c>
      <c r="G275" s="5">
        <v>0.42516374305646898</v>
      </c>
      <c r="H275" s="5">
        <v>0.42516374306082699</v>
      </c>
      <c r="I275" s="5">
        <v>0.22985791713096301</v>
      </c>
      <c r="J275" s="5">
        <v>0.36474553962476902</v>
      </c>
      <c r="K275" s="66">
        <v>8784</v>
      </c>
      <c r="L275" s="66">
        <v>2019.0719440783801</v>
      </c>
      <c r="M275" s="66">
        <v>161.95666663315799</v>
      </c>
      <c r="N275" s="66">
        <v>161.95666663315799</v>
      </c>
      <c r="P275" s="66">
        <v>6764.9280559216204</v>
      </c>
      <c r="Q275" s="66">
        <v>4344.97416375394</v>
      </c>
      <c r="R275" s="66">
        <v>2408.4043625129302</v>
      </c>
      <c r="S275" s="66">
        <v>11.549529654759899</v>
      </c>
      <c r="T275" t="s">
        <v>564</v>
      </c>
      <c r="U275" t="s">
        <v>386</v>
      </c>
      <c r="V275" t="s">
        <v>385</v>
      </c>
      <c r="W275" t="s">
        <v>384</v>
      </c>
      <c r="X275" t="b">
        <v>0</v>
      </c>
      <c r="Y275" t="s">
        <v>529</v>
      </c>
      <c r="Z275">
        <v>1</v>
      </c>
    </row>
    <row r="276" spans="1:26">
      <c r="A276" t="s">
        <v>300</v>
      </c>
      <c r="B276" t="s">
        <v>259</v>
      </c>
      <c r="C276" t="s">
        <v>117</v>
      </c>
      <c r="D276" s="5">
        <v>0.27368079604906498</v>
      </c>
      <c r="E276" s="5">
        <v>0.63785762627034903</v>
      </c>
      <c r="F276" s="5">
        <v>0.42906251297694498</v>
      </c>
      <c r="G276" s="5">
        <v>0.36060935282124901</v>
      </c>
      <c r="H276" s="5">
        <v>0.36060935282452</v>
      </c>
      <c r="I276" s="5">
        <v>0.36214237372965102</v>
      </c>
      <c r="J276" s="5">
        <v>0.45704395722448199</v>
      </c>
      <c r="K276" s="66">
        <v>8784</v>
      </c>
      <c r="L276" s="66">
        <v>3181.0586108412499</v>
      </c>
      <c r="M276" s="66">
        <v>343.026944399483</v>
      </c>
      <c r="N276" s="66">
        <v>343.026944399483</v>
      </c>
      <c r="P276" s="66">
        <v>5602.9413891587501</v>
      </c>
      <c r="Q276" s="66">
        <v>3196.3157059138198</v>
      </c>
      <c r="R276" s="66">
        <v>2404.0121124949901</v>
      </c>
      <c r="S276" s="66">
        <v>2.61357074993809</v>
      </c>
      <c r="T276" t="s">
        <v>564</v>
      </c>
      <c r="U276" t="s">
        <v>386</v>
      </c>
      <c r="V276" t="s">
        <v>385</v>
      </c>
      <c r="W276" t="s">
        <v>385</v>
      </c>
      <c r="X276" t="b">
        <v>0</v>
      </c>
      <c r="Y276" t="s">
        <v>530</v>
      </c>
      <c r="Z276">
        <v>1</v>
      </c>
    </row>
    <row r="277" spans="1:26">
      <c r="A277" t="s">
        <v>300</v>
      </c>
      <c r="B277" t="s">
        <v>260</v>
      </c>
      <c r="C277" t="s">
        <v>117</v>
      </c>
      <c r="D277" s="5">
        <v>0.152878476366822</v>
      </c>
      <c r="E277" s="5">
        <v>0.39605912267247101</v>
      </c>
      <c r="F277" s="5">
        <v>0.38599912895643101</v>
      </c>
      <c r="G277" s="5">
        <v>0.57215807143726005</v>
      </c>
      <c r="H277" s="5">
        <v>0.58118152488697705</v>
      </c>
      <c r="I277" s="5">
        <v>0.60394087732752899</v>
      </c>
      <c r="J277" s="5">
        <v>0.407744018066792</v>
      </c>
      <c r="K277" s="66">
        <v>8784</v>
      </c>
      <c r="L277" s="66">
        <v>5305.0166664450098</v>
      </c>
      <c r="M277" s="66">
        <v>185.53333329970599</v>
      </c>
      <c r="N277" s="66">
        <v>185.53333329970599</v>
      </c>
      <c r="P277" s="66">
        <v>3478.9833335549902</v>
      </c>
      <c r="Q277" s="66">
        <v>2136.2105552472399</v>
      </c>
      <c r="R277" s="66">
        <v>1342.8845364061699</v>
      </c>
      <c r="S277" s="66">
        <v>-0.111758098419816</v>
      </c>
      <c r="T277" t="s">
        <v>564</v>
      </c>
      <c r="U277" t="s">
        <v>386</v>
      </c>
      <c r="V277" t="s">
        <v>385</v>
      </c>
      <c r="W277" t="s">
        <v>385</v>
      </c>
      <c r="X277" t="b">
        <v>0</v>
      </c>
      <c r="Y277" t="s">
        <v>531</v>
      </c>
      <c r="Z277">
        <v>1</v>
      </c>
    </row>
    <row r="278" spans="1:26">
      <c r="A278" t="s">
        <v>300</v>
      </c>
      <c r="B278" t="s">
        <v>261</v>
      </c>
      <c r="C278" t="s">
        <v>117</v>
      </c>
      <c r="D278" s="5">
        <v>0.567292725687087</v>
      </c>
      <c r="E278" s="5">
        <v>0.78933199253757202</v>
      </c>
      <c r="F278" s="5">
        <v>0.71869977531676399</v>
      </c>
      <c r="G278" s="5">
        <v>0.81246314904675099</v>
      </c>
      <c r="H278" s="5">
        <v>0.81606598439750999</v>
      </c>
      <c r="I278" s="5">
        <v>0.210668007462428</v>
      </c>
      <c r="J278" s="5">
        <v>0.73094743255588401</v>
      </c>
      <c r="K278" s="66">
        <v>8784</v>
      </c>
      <c r="L278" s="66">
        <v>1850.5077775499601</v>
      </c>
      <c r="M278" s="66">
        <v>116.17666664994</v>
      </c>
      <c r="N278" s="66">
        <v>116.17666664994</v>
      </c>
      <c r="P278" s="66">
        <v>6933.4922224500397</v>
      </c>
      <c r="Q278" s="66">
        <v>1957.7065391536401</v>
      </c>
      <c r="R278" s="66">
        <v>4983.0993024353702</v>
      </c>
      <c r="S278" s="66">
        <v>-7.3136191389779004</v>
      </c>
      <c r="T278" t="s">
        <v>564</v>
      </c>
      <c r="U278" t="s">
        <v>386</v>
      </c>
      <c r="V278" t="s">
        <v>385</v>
      </c>
      <c r="W278" t="s">
        <v>384</v>
      </c>
      <c r="X278" t="b">
        <v>0</v>
      </c>
      <c r="Y278" t="s">
        <v>532</v>
      </c>
      <c r="Z278">
        <v>1</v>
      </c>
    </row>
    <row r="279" spans="1:26">
      <c r="A279" t="s">
        <v>300</v>
      </c>
      <c r="B279" t="s">
        <v>262</v>
      </c>
      <c r="C279" t="s">
        <v>117</v>
      </c>
      <c r="D279" s="5">
        <v>0.46311608460013998</v>
      </c>
      <c r="E279" s="5">
        <v>0.84825482463128798</v>
      </c>
      <c r="F279" s="5">
        <v>0.54596339584799103</v>
      </c>
      <c r="G279" s="5">
        <v>0.69624957667718701</v>
      </c>
      <c r="H279" s="5">
        <v>0.60737159880829195</v>
      </c>
      <c r="I279" s="5">
        <v>0.15174517536871199</v>
      </c>
      <c r="J279" s="5">
        <v>0.56661919057166799</v>
      </c>
      <c r="K279" s="66">
        <v>8784</v>
      </c>
      <c r="L279" s="66">
        <v>1332.9296204387599</v>
      </c>
      <c r="M279" s="66">
        <v>271.62472219940298</v>
      </c>
      <c r="N279" s="66">
        <v>271.62472219940298</v>
      </c>
      <c r="P279" s="66">
        <v>7451.0703795612399</v>
      </c>
      <c r="Q279" s="66">
        <v>3319.2991659313702</v>
      </c>
      <c r="R279" s="66">
        <v>4068.01168712764</v>
      </c>
      <c r="S279" s="66">
        <v>63.759526502227097</v>
      </c>
      <c r="T279" t="s">
        <v>564</v>
      </c>
      <c r="U279" t="s">
        <v>386</v>
      </c>
      <c r="V279" t="s">
        <v>385</v>
      </c>
      <c r="W279" t="s">
        <v>385</v>
      </c>
      <c r="X279" t="b">
        <v>0</v>
      </c>
      <c r="Y279" t="s">
        <v>533</v>
      </c>
      <c r="Z279">
        <v>1</v>
      </c>
    </row>
    <row r="280" spans="1:26">
      <c r="A280" t="s">
        <v>300</v>
      </c>
      <c r="B280" t="s">
        <v>263</v>
      </c>
      <c r="C280" t="s">
        <v>117</v>
      </c>
      <c r="D280" s="5">
        <v>0.57602649935276296</v>
      </c>
      <c r="E280" s="5">
        <v>0.88734855673727797</v>
      </c>
      <c r="F280" s="5">
        <v>0.64915471488540399</v>
      </c>
      <c r="G280" s="5">
        <v>0.74610467755241605</v>
      </c>
      <c r="H280" s="5">
        <v>0.74337762315399802</v>
      </c>
      <c r="I280" s="5">
        <v>0.112651443262722</v>
      </c>
      <c r="J280" s="5">
        <v>0.65832451690286498</v>
      </c>
      <c r="K280" s="66">
        <v>8784</v>
      </c>
      <c r="L280" s="66">
        <v>989.53027761975</v>
      </c>
      <c r="M280" s="66">
        <v>108.56916664987099</v>
      </c>
      <c r="N280" s="66">
        <v>108.56916664987099</v>
      </c>
      <c r="P280" s="66">
        <v>7794.4697223802496</v>
      </c>
      <c r="Q280" s="66">
        <v>2739.3394285985701</v>
      </c>
      <c r="R280" s="66">
        <v>5059.8167703146701</v>
      </c>
      <c r="S280" s="66">
        <v>-4.6864765329865099</v>
      </c>
      <c r="T280" t="s">
        <v>564</v>
      </c>
      <c r="U280" t="s">
        <v>386</v>
      </c>
      <c r="V280" t="s">
        <v>385</v>
      </c>
      <c r="W280" t="s">
        <v>384</v>
      </c>
      <c r="X280" t="b">
        <v>0</v>
      </c>
      <c r="Y280" t="s">
        <v>534</v>
      </c>
      <c r="Z280">
        <v>1</v>
      </c>
    </row>
    <row r="281" spans="1:26">
      <c r="A281" t="s">
        <v>595</v>
      </c>
      <c r="B281" t="s">
        <v>626</v>
      </c>
      <c r="C281" t="s">
        <v>116</v>
      </c>
      <c r="D281" s="5">
        <v>0.68196912356504402</v>
      </c>
      <c r="E281" s="5">
        <v>0.82566737069920304</v>
      </c>
      <c r="F281" s="5">
        <v>0.82596109252510397</v>
      </c>
      <c r="G281" s="5">
        <v>0.81589727717752303</v>
      </c>
      <c r="H281" s="5">
        <v>0.81589727717756599</v>
      </c>
      <c r="I281" s="5">
        <v>0.17433262930079699</v>
      </c>
      <c r="J281" s="5">
        <v>0.87116063623791296</v>
      </c>
      <c r="K281" s="66">
        <v>8784</v>
      </c>
      <c r="L281" s="66">
        <v>1531.3378157781999</v>
      </c>
      <c r="M281" s="66">
        <v>376.29916664466901</v>
      </c>
      <c r="N281" s="66">
        <v>366.04361111133602</v>
      </c>
      <c r="O281" s="66">
        <v>10.2555555333333</v>
      </c>
      <c r="P281" s="66">
        <v>7252.6621842218001</v>
      </c>
      <c r="Q281" s="66">
        <v>1214.28694383022</v>
      </c>
      <c r="R281" s="66">
        <v>5990.41678139535</v>
      </c>
      <c r="S281" s="66">
        <v>47.958458996234398</v>
      </c>
      <c r="T281" t="s">
        <v>564</v>
      </c>
      <c r="U281" t="s">
        <v>386</v>
      </c>
      <c r="V281" t="s">
        <v>385</v>
      </c>
      <c r="W281" t="s">
        <v>384</v>
      </c>
      <c r="X281" t="b">
        <v>0</v>
      </c>
      <c r="Y281" t="s">
        <v>627</v>
      </c>
      <c r="Z281">
        <v>1</v>
      </c>
    </row>
    <row r="282" spans="1:26">
      <c r="A282" t="s">
        <v>595</v>
      </c>
      <c r="B282" t="s">
        <v>596</v>
      </c>
      <c r="C282" t="s">
        <v>116</v>
      </c>
      <c r="D282" s="5">
        <v>0.50482817243472999</v>
      </c>
      <c r="E282" s="5">
        <v>0.82444109253250897</v>
      </c>
      <c r="F282" s="5">
        <v>0.61232776605543104</v>
      </c>
      <c r="G282" s="5">
        <v>0.73262165322469597</v>
      </c>
      <c r="H282" s="5">
        <v>0.73262165322469697</v>
      </c>
      <c r="I282" s="5">
        <v>0.175558907467491</v>
      </c>
      <c r="J282" s="5">
        <v>0.71836548362975505</v>
      </c>
      <c r="K282" s="66">
        <v>8784</v>
      </c>
      <c r="L282" s="66">
        <v>1542.10944319444</v>
      </c>
      <c r="M282" s="66">
        <v>1068.9733333046599</v>
      </c>
      <c r="N282" s="66">
        <v>473.940833314683</v>
      </c>
      <c r="O282" s="66">
        <v>595.03249998997399</v>
      </c>
      <c r="P282" s="66">
        <v>7241.8905568055598</v>
      </c>
      <c r="Q282" s="66">
        <v>2796.6097217966599</v>
      </c>
      <c r="R282" s="66">
        <v>4434.4106666666703</v>
      </c>
      <c r="S282" s="66">
        <v>10.8701683422287</v>
      </c>
      <c r="T282" t="s">
        <v>564</v>
      </c>
      <c r="U282" t="s">
        <v>386</v>
      </c>
      <c r="V282" t="s">
        <v>385</v>
      </c>
      <c r="W282" t="s">
        <v>384</v>
      </c>
      <c r="X282" t="b">
        <v>0</v>
      </c>
      <c r="Y282" t="s">
        <v>628</v>
      </c>
      <c r="Z282">
        <v>1</v>
      </c>
    </row>
    <row r="283" spans="1:26">
      <c r="A283" t="s">
        <v>595</v>
      </c>
      <c r="B283" t="s">
        <v>597</v>
      </c>
      <c r="C283" t="s">
        <v>117</v>
      </c>
      <c r="D283" s="5">
        <v>0.473512998840868</v>
      </c>
      <c r="E283" s="5">
        <v>0.80521849508196697</v>
      </c>
      <c r="F283" s="5">
        <v>0.58805529397665701</v>
      </c>
      <c r="G283" s="5">
        <v>0.70542396507715699</v>
      </c>
      <c r="H283" s="5">
        <v>0.70422259263731302</v>
      </c>
      <c r="I283" s="5">
        <v>0.194781504918033</v>
      </c>
      <c r="J283" s="5">
        <v>0.69156224552262402</v>
      </c>
      <c r="K283" s="66">
        <v>8784</v>
      </c>
      <c r="L283" s="66">
        <v>1710.9607392</v>
      </c>
      <c r="M283" s="66">
        <v>1058.6302777374499</v>
      </c>
      <c r="N283" s="66">
        <v>1053.3477777374501</v>
      </c>
      <c r="O283" s="66">
        <v>5.2824999999999998</v>
      </c>
      <c r="P283" s="66">
        <v>7073.0392608000002</v>
      </c>
      <c r="Q283" s="66">
        <v>2904.1349069522498</v>
      </c>
      <c r="R283" s="66">
        <v>4159.3381818181797</v>
      </c>
      <c r="S283" s="66">
        <v>9.5661720295654007</v>
      </c>
      <c r="T283" t="s">
        <v>564</v>
      </c>
      <c r="U283" t="s">
        <v>386</v>
      </c>
      <c r="V283" t="s">
        <v>385</v>
      </c>
      <c r="W283" t="s">
        <v>384</v>
      </c>
      <c r="X283" t="b">
        <v>0</v>
      </c>
      <c r="Y283" t="s">
        <v>856</v>
      </c>
      <c r="Z283">
        <v>1</v>
      </c>
    </row>
    <row r="284" spans="1:26">
      <c r="A284" t="s">
        <v>89</v>
      </c>
      <c r="B284" t="s">
        <v>90</v>
      </c>
      <c r="C284" t="s">
        <v>116</v>
      </c>
      <c r="D284" s="5">
        <v>0.89900106426167004</v>
      </c>
      <c r="E284" s="5">
        <v>1</v>
      </c>
      <c r="F284" s="5">
        <v>0.89900106426167004</v>
      </c>
      <c r="G284" s="5">
        <v>0.85778261090253205</v>
      </c>
      <c r="H284" s="5">
        <v>0.85778261090253205</v>
      </c>
      <c r="I284" s="5">
        <v>0</v>
      </c>
      <c r="J284" s="5">
        <v>0.94175539018577004</v>
      </c>
      <c r="K284" s="66">
        <v>8784</v>
      </c>
      <c r="L284" s="66">
        <v>0</v>
      </c>
      <c r="M284" s="66">
        <v>398.78083293286602</v>
      </c>
      <c r="N284" s="66">
        <v>226.28166641632501</v>
      </c>
      <c r="O284" s="66">
        <v>172.49916651654101</v>
      </c>
      <c r="P284" s="66">
        <v>8784</v>
      </c>
      <c r="Q284" s="66">
        <v>891.55569083696696</v>
      </c>
      <c r="R284" s="66">
        <v>7896.8253484745101</v>
      </c>
      <c r="S284" s="66">
        <v>-4.3810393114765098</v>
      </c>
      <c r="T284" t="s">
        <v>564</v>
      </c>
      <c r="U284" t="s">
        <v>383</v>
      </c>
      <c r="V284" t="s">
        <v>384</v>
      </c>
      <c r="W284" t="s">
        <v>384</v>
      </c>
      <c r="X284" t="b">
        <v>0</v>
      </c>
      <c r="Y284" t="s">
        <v>535</v>
      </c>
      <c r="Z284">
        <v>1</v>
      </c>
    </row>
    <row r="285" spans="1:26">
      <c r="A285" t="s">
        <v>89</v>
      </c>
      <c r="B285" t="s">
        <v>91</v>
      </c>
      <c r="C285" t="s">
        <v>116</v>
      </c>
      <c r="D285" s="5">
        <v>0.898296102229316</v>
      </c>
      <c r="E285" s="5">
        <v>1</v>
      </c>
      <c r="F285" s="5">
        <v>0.898296102229316</v>
      </c>
      <c r="G285" s="5">
        <v>0.87990407484011002</v>
      </c>
      <c r="H285" s="5">
        <v>0.87990407484011002</v>
      </c>
      <c r="I285" s="5">
        <v>0</v>
      </c>
      <c r="J285" s="5">
        <v>0.937284751767684</v>
      </c>
      <c r="K285" s="66">
        <v>8784</v>
      </c>
      <c r="L285" s="66">
        <v>0</v>
      </c>
      <c r="M285" s="66">
        <v>365.39194401608199</v>
      </c>
      <c r="N285" s="66">
        <v>207.26305523312399</v>
      </c>
      <c r="O285" s="66">
        <v>158.128888782958</v>
      </c>
      <c r="P285" s="66">
        <v>8784</v>
      </c>
      <c r="Q285" s="66">
        <v>897.32646452067399</v>
      </c>
      <c r="R285" s="66">
        <v>7890.63296198231</v>
      </c>
      <c r="S285" s="66">
        <v>-3.9594265029896998</v>
      </c>
      <c r="T285" t="s">
        <v>564</v>
      </c>
      <c r="U285" t="s">
        <v>383</v>
      </c>
      <c r="V285" t="s">
        <v>384</v>
      </c>
      <c r="W285" t="s">
        <v>384</v>
      </c>
      <c r="X285" t="b">
        <v>0</v>
      </c>
      <c r="Y285" t="s">
        <v>536</v>
      </c>
      <c r="Z285">
        <v>1</v>
      </c>
    </row>
    <row r="286" spans="1:26">
      <c r="A286" t="s">
        <v>89</v>
      </c>
      <c r="B286" t="s">
        <v>92</v>
      </c>
      <c r="C286" t="s">
        <v>117</v>
      </c>
      <c r="D286" s="5">
        <v>0.29090483609147799</v>
      </c>
      <c r="E286" s="5">
        <v>0.56441101881947797</v>
      </c>
      <c r="F286" s="5">
        <v>0.51541310568304399</v>
      </c>
      <c r="G286" s="5">
        <v>0.42816527677966199</v>
      </c>
      <c r="H286" s="5">
        <v>0.43403131567153302</v>
      </c>
      <c r="I286" s="5">
        <v>0.43558898118052197</v>
      </c>
      <c r="J286" s="5">
        <v>0.52721909456125604</v>
      </c>
      <c r="K286" s="66">
        <v>8784</v>
      </c>
      <c r="L286" s="66">
        <v>3826.2136106897001</v>
      </c>
      <c r="M286" s="66">
        <v>111.019444433164</v>
      </c>
      <c r="N286" s="66">
        <v>39.019444433307797</v>
      </c>
      <c r="O286" s="66">
        <v>71.999999999856001</v>
      </c>
      <c r="P286" s="66">
        <v>4957.7863893103004</v>
      </c>
      <c r="Q286" s="66">
        <v>2402.9127968009102</v>
      </c>
      <c r="R286" s="66">
        <v>2555.3080802275499</v>
      </c>
      <c r="S286" s="66">
        <v>-0.43448771813732601</v>
      </c>
      <c r="T286" t="s">
        <v>564</v>
      </c>
      <c r="U286" t="s">
        <v>386</v>
      </c>
      <c r="V286" t="s">
        <v>385</v>
      </c>
      <c r="W286" t="s">
        <v>385</v>
      </c>
      <c r="X286" t="b">
        <v>0</v>
      </c>
      <c r="Y286" t="s">
        <v>537</v>
      </c>
      <c r="Z286">
        <v>1</v>
      </c>
    </row>
    <row r="287" spans="1:26">
      <c r="A287" t="s">
        <v>89</v>
      </c>
      <c r="B287" t="s">
        <v>93</v>
      </c>
      <c r="C287" t="s">
        <v>117</v>
      </c>
      <c r="D287" s="5">
        <v>0.63112180888118696</v>
      </c>
      <c r="E287" s="5">
        <v>0.79173177147505802</v>
      </c>
      <c r="F287" s="5">
        <v>0.79714094042905204</v>
      </c>
      <c r="G287" s="5">
        <v>0.68082546880154104</v>
      </c>
      <c r="H287" s="5">
        <v>0.70201264495809501</v>
      </c>
      <c r="I287" s="5">
        <v>0.20826822852494201</v>
      </c>
      <c r="J287" s="5">
        <v>0.81956541178506304</v>
      </c>
      <c r="K287" s="66">
        <v>8784</v>
      </c>
      <c r="L287" s="66">
        <v>1829.42811936309</v>
      </c>
      <c r="M287" s="66">
        <v>190.28694438311001</v>
      </c>
      <c r="N287" s="66">
        <v>88.495277716646996</v>
      </c>
      <c r="O287" s="66">
        <v>101.791666666463</v>
      </c>
      <c r="P287" s="66">
        <v>6954.5718806369096</v>
      </c>
      <c r="Q287" s="66">
        <v>1421.2030760545399</v>
      </c>
      <c r="R287" s="66">
        <v>5543.7739692123396</v>
      </c>
      <c r="S287" s="66">
        <v>-10.4051646299755</v>
      </c>
      <c r="T287" t="s">
        <v>564</v>
      </c>
      <c r="U287" t="s">
        <v>386</v>
      </c>
      <c r="V287" t="s">
        <v>384</v>
      </c>
      <c r="W287" t="s">
        <v>385</v>
      </c>
      <c r="X287" t="b">
        <v>0</v>
      </c>
      <c r="Y287" t="s">
        <v>1098</v>
      </c>
      <c r="Z287">
        <v>1</v>
      </c>
    </row>
    <row r="288" spans="1:26">
      <c r="A288" t="s">
        <v>89</v>
      </c>
      <c r="B288" t="s">
        <v>94</v>
      </c>
      <c r="C288" t="s">
        <v>117</v>
      </c>
      <c r="D288" s="5">
        <v>0.53117688181870504</v>
      </c>
      <c r="E288" s="5">
        <v>0.77050281939827603</v>
      </c>
      <c r="F288" s="5">
        <v>0.68938992622185002</v>
      </c>
      <c r="G288" s="5">
        <v>0.78450156950697203</v>
      </c>
      <c r="H288" s="5">
        <v>0.72267539149738802</v>
      </c>
      <c r="I288" s="5">
        <v>0.229497180601724</v>
      </c>
      <c r="J288" s="5">
        <v>0.70810213410134504</v>
      </c>
      <c r="K288" s="66">
        <v>8784</v>
      </c>
      <c r="L288" s="66">
        <v>2015.9032344055399</v>
      </c>
      <c r="M288" s="66">
        <v>178.852777766402</v>
      </c>
      <c r="N288" s="66">
        <v>76.322222216607202</v>
      </c>
      <c r="O288" s="66">
        <v>102.530555549795</v>
      </c>
      <c r="P288" s="66">
        <v>6768.0967655944596</v>
      </c>
      <c r="Q288" s="66">
        <v>2054.2490344917001</v>
      </c>
      <c r="R288" s="66">
        <v>4665.8577298955097</v>
      </c>
      <c r="S288" s="66">
        <v>47.9900012072587</v>
      </c>
      <c r="T288" t="s">
        <v>564</v>
      </c>
      <c r="U288" t="s">
        <v>386</v>
      </c>
      <c r="V288" t="s">
        <v>384</v>
      </c>
      <c r="W288" t="s">
        <v>385</v>
      </c>
      <c r="X288" t="b">
        <v>0</v>
      </c>
      <c r="Y288" t="s">
        <v>1099</v>
      </c>
      <c r="Z288">
        <v>1</v>
      </c>
    </row>
    <row r="289" spans="1:26">
      <c r="A289" t="s">
        <v>89</v>
      </c>
      <c r="B289" t="s">
        <v>95</v>
      </c>
      <c r="C289" t="s">
        <v>117</v>
      </c>
      <c r="D289" s="5">
        <v>0.63375854313278801</v>
      </c>
      <c r="E289" s="5">
        <v>0.90052519735521297</v>
      </c>
      <c r="F289" s="5">
        <v>0.703765474851895</v>
      </c>
      <c r="G289" s="5">
        <v>0.77799612583219002</v>
      </c>
      <c r="H289" s="5">
        <v>0.75757140999584605</v>
      </c>
      <c r="I289" s="5">
        <v>9.94748026447871E-2</v>
      </c>
      <c r="J289" s="5">
        <v>0.72167264107400297</v>
      </c>
      <c r="K289" s="66">
        <v>8784</v>
      </c>
      <c r="L289" s="66">
        <v>873.78666643180998</v>
      </c>
      <c r="M289" s="66">
        <v>196.27944438316399</v>
      </c>
      <c r="N289" s="66">
        <v>98.0377777165955</v>
      </c>
      <c r="O289" s="66">
        <v>98.241666666568406</v>
      </c>
      <c r="P289" s="66">
        <v>7910.2133335681901</v>
      </c>
      <c r="Q289" s="66">
        <v>2351.4643842293999</v>
      </c>
      <c r="R289" s="66">
        <v>5566.9350428784101</v>
      </c>
      <c r="S289" s="66">
        <v>-8.1860935396136405</v>
      </c>
      <c r="T289" t="s">
        <v>564</v>
      </c>
      <c r="U289" t="s">
        <v>383</v>
      </c>
      <c r="V289" t="s">
        <v>384</v>
      </c>
      <c r="W289" t="s">
        <v>384</v>
      </c>
      <c r="X289" t="b">
        <v>0</v>
      </c>
      <c r="Y289" t="s">
        <v>538</v>
      </c>
      <c r="Z289">
        <v>1</v>
      </c>
    </row>
    <row r="290" spans="1:26">
      <c r="A290" t="s">
        <v>89</v>
      </c>
      <c r="B290" t="s">
        <v>96</v>
      </c>
      <c r="C290" t="s">
        <v>117</v>
      </c>
      <c r="D290" s="5">
        <v>0.60300198386567305</v>
      </c>
      <c r="E290" s="5">
        <v>0.89510376010489201</v>
      </c>
      <c r="F290" s="5">
        <v>0.67366713306512105</v>
      </c>
      <c r="G290" s="5">
        <v>0.751957526112772</v>
      </c>
      <c r="H290" s="5">
        <v>0.751154711287919</v>
      </c>
      <c r="I290" s="5">
        <v>0.104896239895108</v>
      </c>
      <c r="J290" s="5">
        <v>0.70424202798964297</v>
      </c>
      <c r="K290" s="66">
        <v>8784</v>
      </c>
      <c r="L290" s="66">
        <v>921.40857123862702</v>
      </c>
      <c r="M290" s="66">
        <v>341.35694436622902</v>
      </c>
      <c r="N290" s="66">
        <v>243.71249993309101</v>
      </c>
      <c r="O290" s="66">
        <v>97.644444433138005</v>
      </c>
      <c r="P290" s="66">
        <v>7862.5914287613696</v>
      </c>
      <c r="Q290" s="66">
        <v>2561.1251431705</v>
      </c>
      <c r="R290" s="66">
        <v>5296.7694262760797</v>
      </c>
      <c r="S290" s="66">
        <v>4.6968593148007001</v>
      </c>
      <c r="T290" t="s">
        <v>564</v>
      </c>
      <c r="U290" t="s">
        <v>383</v>
      </c>
      <c r="V290" t="s">
        <v>384</v>
      </c>
      <c r="W290" t="s">
        <v>384</v>
      </c>
      <c r="X290" t="b">
        <v>0</v>
      </c>
      <c r="Y290" t="s">
        <v>539</v>
      </c>
      <c r="Z290">
        <v>1</v>
      </c>
    </row>
    <row r="291" spans="1:26">
      <c r="A291" t="s">
        <v>89</v>
      </c>
      <c r="B291" t="s">
        <v>653</v>
      </c>
      <c r="C291" t="s">
        <v>117</v>
      </c>
      <c r="D291" s="5">
        <v>0.22576387801272599</v>
      </c>
      <c r="E291" s="5">
        <v>0.49440896330739098</v>
      </c>
      <c r="F291" s="5">
        <v>0.456633869463974</v>
      </c>
      <c r="G291" s="5">
        <v>0.62507976125985298</v>
      </c>
      <c r="H291" s="5">
        <v>0.625079761260938</v>
      </c>
      <c r="I291" s="5">
        <v>0.50559103669260996</v>
      </c>
      <c r="J291" s="5">
        <v>0.46713563832938099</v>
      </c>
      <c r="K291" s="66">
        <v>8784</v>
      </c>
      <c r="L291" s="66">
        <v>4441.1116663078801</v>
      </c>
      <c r="M291" s="66">
        <v>97.633333332942797</v>
      </c>
      <c r="O291" s="66">
        <v>97.633333332942797</v>
      </c>
      <c r="P291" s="66">
        <v>4342.8883336921199</v>
      </c>
      <c r="Q291" s="66">
        <v>1440.7133316525401</v>
      </c>
      <c r="R291" s="66">
        <v>1983.1099044637799</v>
      </c>
      <c r="S291" s="66">
        <v>919.06509757579499</v>
      </c>
      <c r="T291" t="s">
        <v>564</v>
      </c>
      <c r="U291" t="s">
        <v>386</v>
      </c>
      <c r="V291" t="s">
        <v>385</v>
      </c>
      <c r="W291" t="s">
        <v>385</v>
      </c>
      <c r="X291" t="b">
        <v>0</v>
      </c>
      <c r="Y291" t="s">
        <v>857</v>
      </c>
      <c r="Z291">
        <v>1</v>
      </c>
    </row>
    <row r="292" spans="1:26">
      <c r="A292" s="19" t="s">
        <v>89</v>
      </c>
      <c r="B292" s="19" t="s">
        <v>650</v>
      </c>
      <c r="C292" s="19" t="s">
        <v>117</v>
      </c>
      <c r="D292" s="68">
        <v>0.13511065916156501</v>
      </c>
      <c r="E292" s="68">
        <v>0.22486253419372501</v>
      </c>
      <c r="F292" s="68">
        <v>0.60085891874350195</v>
      </c>
      <c r="G292" s="68">
        <v>0.72685452014840701</v>
      </c>
      <c r="H292" s="68">
        <v>0.72685452015257501</v>
      </c>
      <c r="I292" s="68">
        <v>0.77513746580627596</v>
      </c>
      <c r="J292" s="68">
        <v>0.60096033676337401</v>
      </c>
      <c r="K292" s="70">
        <v>8784</v>
      </c>
      <c r="L292" s="70">
        <v>6808.8074996423302</v>
      </c>
      <c r="M292" s="70">
        <v>0.33333333333333298</v>
      </c>
      <c r="N292" s="70">
        <v>0.33333333333333298</v>
      </c>
      <c r="O292" s="70"/>
      <c r="P292" s="70">
        <v>1975.19250035768</v>
      </c>
      <c r="Q292" s="70">
        <v>561.950999622871</v>
      </c>
      <c r="R292" s="70">
        <v>1186.81203007519</v>
      </c>
      <c r="S292" s="70">
        <v>226.429470659618</v>
      </c>
      <c r="T292" s="70" t="s">
        <v>564</v>
      </c>
      <c r="U292" s="351" t="s">
        <v>386</v>
      </c>
      <c r="V292" s="351" t="s">
        <v>385</v>
      </c>
      <c r="W292" s="351" t="s">
        <v>385</v>
      </c>
      <c r="X292" s="19" t="b">
        <v>0</v>
      </c>
      <c r="Y292" s="19" t="s">
        <v>858</v>
      </c>
      <c r="Z292" s="19">
        <v>1</v>
      </c>
    </row>
    <row r="293" spans="1:26">
      <c r="A293" t="s">
        <v>89</v>
      </c>
      <c r="B293" t="s">
        <v>651</v>
      </c>
      <c r="C293" t="s">
        <v>117</v>
      </c>
      <c r="D293" s="5">
        <v>0.27116767009149301</v>
      </c>
      <c r="E293" s="5">
        <v>0.61289428413199698</v>
      </c>
      <c r="F293" s="5">
        <v>0.44243791647613501</v>
      </c>
      <c r="G293" s="5">
        <v>0.70503453635358804</v>
      </c>
      <c r="H293" s="5">
        <v>0.705034536354606</v>
      </c>
      <c r="I293" s="5">
        <v>0.38710571586800302</v>
      </c>
      <c r="J293" s="5">
        <v>0.44813639132793698</v>
      </c>
      <c r="K293" s="66">
        <v>8784</v>
      </c>
      <c r="L293" s="66">
        <v>3400.3366081845402</v>
      </c>
      <c r="M293" s="66">
        <v>68.4583333165982</v>
      </c>
      <c r="O293" s="66">
        <v>68.4583333165982</v>
      </c>
      <c r="P293" s="66">
        <v>5383.6633918154603</v>
      </c>
      <c r="Q293" s="66">
        <v>1718.64888211064</v>
      </c>
      <c r="R293" s="66">
        <v>2381.93681408368</v>
      </c>
      <c r="S293" s="66">
        <v>1283.07769562115</v>
      </c>
      <c r="T293" t="s">
        <v>564</v>
      </c>
      <c r="U293" t="s">
        <v>386</v>
      </c>
      <c r="V293" t="s">
        <v>385</v>
      </c>
      <c r="W293" t="s">
        <v>385</v>
      </c>
      <c r="X293" t="b">
        <v>0</v>
      </c>
      <c r="Y293" t="s">
        <v>859</v>
      </c>
      <c r="Z293">
        <v>1</v>
      </c>
    </row>
    <row r="294" spans="1:26">
      <c r="A294" t="s">
        <v>89</v>
      </c>
      <c r="B294" t="s">
        <v>652</v>
      </c>
      <c r="C294" t="s">
        <v>117</v>
      </c>
      <c r="D294" s="5">
        <v>0.46139758686410298</v>
      </c>
      <c r="E294" s="5">
        <v>0.68731753444242305</v>
      </c>
      <c r="F294" s="5">
        <v>0.67130192922897802</v>
      </c>
      <c r="G294" s="5">
        <v>0.76629848895919495</v>
      </c>
      <c r="H294" s="5">
        <v>0.76629848896049102</v>
      </c>
      <c r="I294" s="5">
        <v>0.31268246555757701</v>
      </c>
      <c r="J294" s="5">
        <v>0.68154169126532604</v>
      </c>
      <c r="K294" s="66">
        <v>8784</v>
      </c>
      <c r="L294" s="66">
        <v>2746.6027774577601</v>
      </c>
      <c r="M294" s="66">
        <v>90.7083332832661</v>
      </c>
      <c r="N294" s="66">
        <v>31.649999966649201</v>
      </c>
      <c r="O294" s="66">
        <v>59.058333316616903</v>
      </c>
      <c r="P294" s="66">
        <v>6037.3972225422403</v>
      </c>
      <c r="Q294" s="66">
        <v>1429.85833169902</v>
      </c>
      <c r="R294" s="66">
        <v>4052.9164030142902</v>
      </c>
      <c r="S294" s="66">
        <v>554.62248782894198</v>
      </c>
      <c r="T294" s="66" t="s">
        <v>564</v>
      </c>
      <c r="U294" s="18" t="s">
        <v>386</v>
      </c>
      <c r="V294" s="18" t="s">
        <v>385</v>
      </c>
      <c r="W294" s="18" t="s">
        <v>385</v>
      </c>
      <c r="X294" t="b">
        <v>0</v>
      </c>
      <c r="Y294" t="s">
        <v>860</v>
      </c>
      <c r="Z294">
        <v>1</v>
      </c>
    </row>
    <row r="295" spans="1:26">
      <c r="A295" t="s">
        <v>89</v>
      </c>
      <c r="B295" t="s">
        <v>97</v>
      </c>
      <c r="C295" t="s">
        <v>117</v>
      </c>
      <c r="D295" s="5">
        <v>8.03870434985402E-2</v>
      </c>
      <c r="E295" s="5">
        <v>0.34643331498490498</v>
      </c>
      <c r="F295" s="5">
        <v>0.23204189672705899</v>
      </c>
      <c r="G295" s="5">
        <v>0.29563189410688501</v>
      </c>
      <c r="H295" s="5">
        <v>0.29563189410777502</v>
      </c>
      <c r="I295" s="5">
        <v>0.65356668501509496</v>
      </c>
      <c r="J295" s="5">
        <v>0.237665128499226</v>
      </c>
      <c r="K295" s="66">
        <v>8784</v>
      </c>
      <c r="L295" s="66">
        <v>5740.9297611725897</v>
      </c>
      <c r="M295" s="66">
        <v>71.999999999856001</v>
      </c>
      <c r="O295" s="66">
        <v>71.999999999856001</v>
      </c>
      <c r="P295" s="66">
        <v>3043.0702388274099</v>
      </c>
      <c r="Q295" s="66">
        <v>2038.76020027402</v>
      </c>
      <c r="R295" s="66">
        <v>706.11979009117704</v>
      </c>
      <c r="S295" s="66">
        <v>298.19024846221703</v>
      </c>
      <c r="T295" s="66" t="s">
        <v>564</v>
      </c>
      <c r="U295" s="18" t="s">
        <v>386</v>
      </c>
      <c r="V295" s="18" t="s">
        <v>385</v>
      </c>
      <c r="W295" s="18" t="s">
        <v>385</v>
      </c>
      <c r="X295" t="b">
        <v>0</v>
      </c>
      <c r="Y295" t="s">
        <v>540</v>
      </c>
      <c r="Z295">
        <v>1</v>
      </c>
    </row>
    <row r="296" spans="1:26">
      <c r="A296" t="s">
        <v>89</v>
      </c>
      <c r="B296" t="s">
        <v>401</v>
      </c>
      <c r="C296" t="s">
        <v>117</v>
      </c>
      <c r="D296" s="5">
        <v>0.37341781927398798</v>
      </c>
      <c r="E296" s="5">
        <v>0.45466795694530099</v>
      </c>
      <c r="F296" s="5">
        <v>0.82129785829378799</v>
      </c>
      <c r="G296" s="5">
        <v>0.640552271388376</v>
      </c>
      <c r="H296" s="5">
        <v>0.67355703547104995</v>
      </c>
      <c r="I296" s="5">
        <v>0.54533204305469896</v>
      </c>
      <c r="J296" s="5">
        <v>0.87792877463993502</v>
      </c>
      <c r="K296" s="66">
        <v>8784</v>
      </c>
      <c r="L296" s="66">
        <v>4790.1966661924698</v>
      </c>
      <c r="M296" s="66">
        <v>257.62083329888799</v>
      </c>
      <c r="N296" s="66">
        <v>86.505833299915096</v>
      </c>
      <c r="O296" s="66">
        <v>171.11499999897299</v>
      </c>
      <c r="P296" s="66">
        <v>3993.8033338075302</v>
      </c>
      <c r="Q296" s="66">
        <v>711.99004923476502</v>
      </c>
      <c r="R296" s="66">
        <v>3280.10212450272</v>
      </c>
      <c r="S296" s="66">
        <v>1.7111600700498899</v>
      </c>
      <c r="T296" s="66" t="s">
        <v>564</v>
      </c>
      <c r="U296" s="18" t="s">
        <v>386</v>
      </c>
      <c r="V296" s="18" t="s">
        <v>385</v>
      </c>
      <c r="W296" s="18" t="s">
        <v>385</v>
      </c>
      <c r="X296" t="b">
        <v>0</v>
      </c>
      <c r="Y296" t="s">
        <v>861</v>
      </c>
      <c r="Z296">
        <v>1</v>
      </c>
    </row>
    <row r="297" spans="1:26">
      <c r="A297" s="367" t="s">
        <v>89</v>
      </c>
      <c r="B297" s="366" t="s">
        <v>1171</v>
      </c>
      <c r="C297" t="s">
        <v>117</v>
      </c>
      <c r="D297" s="5">
        <v>0.34660658808171796</v>
      </c>
      <c r="E297" s="5">
        <v>0.40775056927445219</v>
      </c>
      <c r="F297" s="5">
        <v>0.85004562641927561</v>
      </c>
      <c r="G297" s="5">
        <v>0.640552271388376</v>
      </c>
      <c r="H297" s="5">
        <v>0.67355703547104995</v>
      </c>
      <c r="I297" s="5">
        <v>0.59224943072554781</v>
      </c>
      <c r="J297" s="5">
        <v>0.92068395241413858</v>
      </c>
      <c r="K297" s="66">
        <v>7320</v>
      </c>
      <c r="L297" s="66">
        <v>4335.26583291101</v>
      </c>
      <c r="M297" s="66">
        <v>229.06888886558352</v>
      </c>
      <c r="N297" s="66">
        <v>58</v>
      </c>
      <c r="O297" s="66">
        <v>171</v>
      </c>
      <c r="P297" s="66">
        <v>2984.73416708899</v>
      </c>
      <c r="Q297" s="66">
        <v>447.57394233081442</v>
      </c>
      <c r="R297" s="66">
        <v>2537.1602247581754</v>
      </c>
      <c r="S297" s="66">
        <v>1.635046092736302</v>
      </c>
      <c r="T297" s="66" t="s">
        <v>564</v>
      </c>
      <c r="U297" s="18" t="s">
        <v>386</v>
      </c>
      <c r="V297" s="18" t="s">
        <v>385</v>
      </c>
      <c r="W297" s="18" t="s">
        <v>385</v>
      </c>
      <c r="X297" t="b">
        <v>0</v>
      </c>
      <c r="Y297" t="s">
        <v>861</v>
      </c>
      <c r="Z297">
        <v>1</v>
      </c>
    </row>
    <row r="298" spans="1:26">
      <c r="A298" t="s">
        <v>89</v>
      </c>
      <c r="B298" t="s">
        <v>402</v>
      </c>
      <c r="C298" t="s">
        <v>117</v>
      </c>
      <c r="D298" s="5">
        <v>0.32187219415676099</v>
      </c>
      <c r="E298" s="5">
        <v>0.48371499323848199</v>
      </c>
      <c r="F298" s="5">
        <v>0.66541702997837704</v>
      </c>
      <c r="G298" s="5">
        <v>0.67431800110604301</v>
      </c>
      <c r="H298" s="5">
        <v>0.734392420750418</v>
      </c>
      <c r="I298" s="5">
        <v>0.51628500676151801</v>
      </c>
      <c r="J298" s="5">
        <v>0.72815870210472</v>
      </c>
      <c r="K298" s="66">
        <v>8784</v>
      </c>
      <c r="L298" s="66">
        <v>4535.0474993931703</v>
      </c>
      <c r="M298" s="66">
        <v>366.11027774977703</v>
      </c>
      <c r="N298" s="66">
        <v>206.53333331660301</v>
      </c>
      <c r="O298" s="66">
        <v>159.57694443317399</v>
      </c>
      <c r="P298" s="66">
        <v>4248.9525006068197</v>
      </c>
      <c r="Q298" s="66">
        <v>1410.39158595401</v>
      </c>
      <c r="R298" s="66">
        <v>2827.3253534729902</v>
      </c>
      <c r="S298" s="66">
        <v>11.2355611798202</v>
      </c>
      <c r="T298" s="66" t="s">
        <v>564</v>
      </c>
      <c r="U298" s="18" t="s">
        <v>386</v>
      </c>
      <c r="V298" s="18" t="s">
        <v>385</v>
      </c>
      <c r="W298" s="18" t="s">
        <v>385</v>
      </c>
      <c r="X298" t="b">
        <v>0</v>
      </c>
      <c r="Y298" t="s">
        <v>862</v>
      </c>
      <c r="Z298">
        <v>1</v>
      </c>
    </row>
    <row r="299" spans="1:26" s="19" customFormat="1">
      <c r="A299" s="367" t="s">
        <v>89</v>
      </c>
      <c r="B299" s="366" t="s">
        <v>1172</v>
      </c>
      <c r="C299" t="s">
        <v>117</v>
      </c>
      <c r="D299" s="5">
        <v>0.29887215763484226</v>
      </c>
      <c r="E299" s="5">
        <v>0.46357741354797127</v>
      </c>
      <c r="F299" s="5">
        <v>0.64470819522339551</v>
      </c>
      <c r="G299" s="5">
        <v>0.67431800110604301</v>
      </c>
      <c r="H299" s="5">
        <v>0.734392420750418</v>
      </c>
      <c r="I299" s="5">
        <v>0.53642258645202867</v>
      </c>
      <c r="J299" s="5">
        <v>0.7104480308401141</v>
      </c>
      <c r="K299" s="66">
        <v>7320</v>
      </c>
      <c r="L299" s="66">
        <v>3926.6133328288502</v>
      </c>
      <c r="M299" s="66">
        <v>313.90249998315596</v>
      </c>
      <c r="N299" s="66">
        <v>154</v>
      </c>
      <c r="O299" s="66">
        <v>160</v>
      </c>
      <c r="P299" s="66">
        <v>3393.3866671711498</v>
      </c>
      <c r="Q299" s="66">
        <v>1205.642473284104</v>
      </c>
      <c r="R299" s="66">
        <v>2187.7441938870452</v>
      </c>
      <c r="S299" s="66">
        <v>11.156045628745403</v>
      </c>
      <c r="T299" s="66" t="s">
        <v>564</v>
      </c>
      <c r="U299" s="18" t="s">
        <v>386</v>
      </c>
      <c r="V299" s="18" t="s">
        <v>385</v>
      </c>
      <c r="W299" s="18" t="s">
        <v>385</v>
      </c>
      <c r="X299" t="b">
        <v>0</v>
      </c>
      <c r="Y299" t="s">
        <v>862</v>
      </c>
      <c r="Z299">
        <v>1</v>
      </c>
    </row>
    <row r="300" spans="1:26">
      <c r="A300" t="s">
        <v>89</v>
      </c>
      <c r="B300" t="s">
        <v>403</v>
      </c>
      <c r="C300" t="s">
        <v>117</v>
      </c>
      <c r="D300" s="5">
        <v>0.56792263754822003</v>
      </c>
      <c r="E300" s="5">
        <v>0.67299866138421405</v>
      </c>
      <c r="F300" s="5">
        <v>0.84386889623245998</v>
      </c>
      <c r="G300" s="5">
        <v>0.796138629733805</v>
      </c>
      <c r="H300" s="5">
        <v>0.78408650509205002</v>
      </c>
      <c r="I300" s="5">
        <v>0.32700133861578601</v>
      </c>
      <c r="J300" s="5">
        <v>0.895480216729588</v>
      </c>
      <c r="K300" s="66">
        <v>8784</v>
      </c>
      <c r="L300" s="66">
        <v>2872.3797584010699</v>
      </c>
      <c r="M300" s="66">
        <v>340.71833329914898</v>
      </c>
      <c r="N300" s="66">
        <v>171.54416664948701</v>
      </c>
      <c r="O300" s="66">
        <v>169.174166649662</v>
      </c>
      <c r="P300" s="66">
        <v>5911.6202415989301</v>
      </c>
      <c r="Q300" s="66">
        <v>916.98074281738695</v>
      </c>
      <c r="R300" s="66">
        <v>4988.6324482235595</v>
      </c>
      <c r="S300" s="66">
        <v>6.0070505579824296</v>
      </c>
      <c r="T300" t="s">
        <v>564</v>
      </c>
      <c r="U300" t="s">
        <v>383</v>
      </c>
      <c r="V300" t="s">
        <v>384</v>
      </c>
      <c r="W300" t="s">
        <v>384</v>
      </c>
      <c r="X300" t="b">
        <v>0</v>
      </c>
      <c r="Y300" t="s">
        <v>1100</v>
      </c>
      <c r="Z300">
        <v>1</v>
      </c>
    </row>
    <row r="301" spans="1:26">
      <c r="A301" s="367" t="s">
        <v>89</v>
      </c>
      <c r="B301" s="366" t="s">
        <v>1173</v>
      </c>
      <c r="C301" t="s">
        <v>117</v>
      </c>
      <c r="D301" s="5">
        <v>0.57877157711535743</v>
      </c>
      <c r="E301" s="5">
        <v>0.76918373354813219</v>
      </c>
      <c r="F301" s="5">
        <v>0.75244905979169463</v>
      </c>
      <c r="G301" s="5">
        <v>0.796138629733805</v>
      </c>
      <c r="H301" s="5">
        <v>0.78408650509205002</v>
      </c>
      <c r="I301" s="5">
        <v>0.23081626645186781</v>
      </c>
      <c r="J301" s="5">
        <v>0.80095813834094132</v>
      </c>
      <c r="K301" s="66">
        <v>7320</v>
      </c>
      <c r="L301" s="66">
        <v>1689.575070427672</v>
      </c>
      <c r="M301" s="66">
        <v>340.71833329914864</v>
      </c>
      <c r="N301" s="66">
        <v>172</v>
      </c>
      <c r="O301" s="66">
        <v>169</v>
      </c>
      <c r="P301" s="66">
        <v>5630.4249295723275</v>
      </c>
      <c r="Q301" s="66">
        <v>1393.8169850879119</v>
      </c>
      <c r="R301" s="66">
        <v>4236.6079444844163</v>
      </c>
      <c r="S301" s="66">
        <v>15.352282754558267</v>
      </c>
      <c r="T301" s="66" t="s">
        <v>564</v>
      </c>
      <c r="U301" s="18" t="s">
        <v>383</v>
      </c>
      <c r="V301" s="18" t="s">
        <v>384</v>
      </c>
      <c r="W301" s="18" t="s">
        <v>384</v>
      </c>
      <c r="X301" t="b">
        <v>0</v>
      </c>
      <c r="Y301" t="s">
        <v>1100</v>
      </c>
      <c r="Z301">
        <v>1</v>
      </c>
    </row>
    <row r="302" spans="1:26">
      <c r="A302" t="s">
        <v>89</v>
      </c>
      <c r="B302" t="s">
        <v>404</v>
      </c>
      <c r="C302" t="s">
        <v>117</v>
      </c>
      <c r="D302" s="5">
        <v>0.57942175769270798</v>
      </c>
      <c r="E302" s="5">
        <v>0.74924936152027699</v>
      </c>
      <c r="F302" s="5">
        <v>0.77333633827464698</v>
      </c>
      <c r="G302" s="5">
        <v>0.80485713149348903</v>
      </c>
      <c r="H302" s="5">
        <v>0.76050787352807503</v>
      </c>
      <c r="I302" s="5">
        <v>0.25075063847972401</v>
      </c>
      <c r="J302" s="5">
        <v>0.81514748196999998</v>
      </c>
      <c r="K302" s="66">
        <v>8784</v>
      </c>
      <c r="L302" s="66">
        <v>2202.5936084058899</v>
      </c>
      <c r="M302" s="66">
        <v>337.57833329917702</v>
      </c>
      <c r="N302" s="66">
        <v>173.812499966335</v>
      </c>
      <c r="O302" s="66">
        <v>163.76583333284199</v>
      </c>
      <c r="P302" s="66">
        <v>6581.4063915941097</v>
      </c>
      <c r="Q302" s="66">
        <v>1490.70365429967</v>
      </c>
      <c r="R302" s="66">
        <v>5089.6407195727497</v>
      </c>
      <c r="S302" s="66">
        <v>1.06201772168549</v>
      </c>
      <c r="T302" t="s">
        <v>564</v>
      </c>
      <c r="U302" t="s">
        <v>383</v>
      </c>
      <c r="V302" t="s">
        <v>384</v>
      </c>
      <c r="W302" t="s">
        <v>384</v>
      </c>
      <c r="X302" t="b">
        <v>0</v>
      </c>
      <c r="Y302" t="s">
        <v>1101</v>
      </c>
      <c r="Z302">
        <v>1</v>
      </c>
    </row>
    <row r="303" spans="1:26">
      <c r="A303" s="367" t="s">
        <v>89</v>
      </c>
      <c r="B303" s="366" t="s">
        <v>1174</v>
      </c>
      <c r="C303" t="s">
        <v>117</v>
      </c>
      <c r="D303" s="5">
        <v>0.57686473907225377</v>
      </c>
      <c r="E303" s="5">
        <v>0.76898064698455371</v>
      </c>
      <c r="F303" s="5">
        <v>0.75016808463820939</v>
      </c>
      <c r="G303" s="5">
        <v>0.80485713149348903</v>
      </c>
      <c r="H303" s="5">
        <v>0.76050787352807503</v>
      </c>
      <c r="I303" s="5">
        <v>0.23101935301544629</v>
      </c>
      <c r="J303" s="5">
        <v>0.79523520290970895</v>
      </c>
      <c r="K303" s="66">
        <v>7320</v>
      </c>
      <c r="L303" s="66">
        <v>1691.0616640730668</v>
      </c>
      <c r="M303" s="66">
        <v>318.27444441585629</v>
      </c>
      <c r="N303" s="66">
        <v>155</v>
      </c>
      <c r="O303" s="66">
        <v>164</v>
      </c>
      <c r="P303" s="66">
        <v>5628.9383359269332</v>
      </c>
      <c r="Q303" s="66">
        <v>1406.2884459180359</v>
      </c>
      <c r="R303" s="66">
        <v>4222.6498900088973</v>
      </c>
      <c r="S303" s="66">
        <v>1.6286297294621326</v>
      </c>
      <c r="T303" s="66" t="s">
        <v>564</v>
      </c>
      <c r="U303" s="18" t="s">
        <v>383</v>
      </c>
      <c r="V303" s="18" t="s">
        <v>384</v>
      </c>
      <c r="W303" s="18" t="s">
        <v>384</v>
      </c>
      <c r="X303" t="b">
        <v>0</v>
      </c>
      <c r="Y303" t="s">
        <v>1101</v>
      </c>
      <c r="Z303">
        <v>1</v>
      </c>
    </row>
    <row r="304" spans="1:26">
      <c r="A304" t="s">
        <v>89</v>
      </c>
      <c r="B304" t="s">
        <v>405</v>
      </c>
      <c r="C304" t="s">
        <v>117</v>
      </c>
      <c r="D304" s="5">
        <v>0.67682691151909202</v>
      </c>
      <c r="E304" s="5">
        <v>0.85181988090751803</v>
      </c>
      <c r="F304" s="5">
        <v>0.79456576054318995</v>
      </c>
      <c r="G304" s="5">
        <v>0.80730499588897098</v>
      </c>
      <c r="H304" s="5">
        <v>0.81111499226706796</v>
      </c>
      <c r="I304" s="5">
        <v>0.14818011909248099</v>
      </c>
      <c r="J304" s="5">
        <v>0.83784047546667695</v>
      </c>
      <c r="K304" s="66">
        <v>8784</v>
      </c>
      <c r="L304" s="66">
        <v>1301.61416610836</v>
      </c>
      <c r="M304" s="66">
        <v>386.46749994842298</v>
      </c>
      <c r="N304" s="66">
        <v>197.77777773307699</v>
      </c>
      <c r="O304" s="66">
        <v>188.68972221534599</v>
      </c>
      <c r="P304" s="66">
        <v>7482.3858338916398</v>
      </c>
      <c r="Q304" s="66">
        <v>1529.8570434062201</v>
      </c>
      <c r="R304" s="66">
        <v>5945.2475907836997</v>
      </c>
      <c r="S304" s="66">
        <v>7.28119970172588</v>
      </c>
      <c r="T304" t="s">
        <v>564</v>
      </c>
      <c r="U304" t="s">
        <v>386</v>
      </c>
      <c r="V304" t="s">
        <v>385</v>
      </c>
      <c r="W304" t="s">
        <v>385</v>
      </c>
      <c r="X304" t="b">
        <v>0</v>
      </c>
      <c r="Y304" t="s">
        <v>863</v>
      </c>
      <c r="Z304">
        <v>1</v>
      </c>
    </row>
    <row r="305" spans="1:26">
      <c r="A305" s="367" t="s">
        <v>89</v>
      </c>
      <c r="B305" s="366" t="s">
        <v>1175</v>
      </c>
      <c r="C305" t="s">
        <v>117</v>
      </c>
      <c r="D305" s="5">
        <v>0.6741609179730591</v>
      </c>
      <c r="E305" s="5">
        <v>0.85403650582989288</v>
      </c>
      <c r="F305" s="5">
        <v>0.78938185121016191</v>
      </c>
      <c r="G305" s="5">
        <v>0.80730499588896998</v>
      </c>
      <c r="H305" s="5">
        <v>0.81111499226706796</v>
      </c>
      <c r="I305" s="5">
        <v>0.14596349417010712</v>
      </c>
      <c r="J305" s="5">
        <v>0.84004055674538247</v>
      </c>
      <c r="K305" s="66">
        <v>7320</v>
      </c>
      <c r="L305" s="66">
        <v>1068.4527773251839</v>
      </c>
      <c r="M305" s="66">
        <v>377.42361106508997</v>
      </c>
      <c r="N305" s="66">
        <v>188</v>
      </c>
      <c r="O305" s="66">
        <v>189</v>
      </c>
      <c r="P305" s="66">
        <v>6251.5472226748161</v>
      </c>
      <c r="Q305" s="66">
        <v>1316.6893031120251</v>
      </c>
      <c r="R305" s="66">
        <v>4934.8579195627926</v>
      </c>
      <c r="S305" s="66">
        <v>7.4561098960526664</v>
      </c>
      <c r="T305" s="66" t="s">
        <v>564</v>
      </c>
      <c r="U305" s="18" t="s">
        <v>386</v>
      </c>
      <c r="V305" s="18" t="s">
        <v>385</v>
      </c>
      <c r="W305" s="18" t="s">
        <v>385</v>
      </c>
      <c r="X305" t="b">
        <v>0</v>
      </c>
      <c r="Y305" t="s">
        <v>863</v>
      </c>
      <c r="Z305">
        <v>1</v>
      </c>
    </row>
    <row r="306" spans="1:26">
      <c r="A306" t="s">
        <v>89</v>
      </c>
      <c r="B306" t="s">
        <v>406</v>
      </c>
      <c r="C306" t="s">
        <v>117</v>
      </c>
      <c r="D306" s="5">
        <v>0.73041764215329597</v>
      </c>
      <c r="E306" s="5">
        <v>0.84820516475629704</v>
      </c>
      <c r="F306" s="5">
        <v>0.86113321694186695</v>
      </c>
      <c r="G306" s="5">
        <v>0.82363558787654301</v>
      </c>
      <c r="H306" s="5">
        <v>0.81648411703774804</v>
      </c>
      <c r="I306" s="5">
        <v>0.15179483524370299</v>
      </c>
      <c r="J306" s="5">
        <v>0.893661112006358</v>
      </c>
      <c r="K306" s="66">
        <v>8784</v>
      </c>
      <c r="L306" s="66">
        <v>1333.36583278069</v>
      </c>
      <c r="M306" s="66">
        <v>271.19166661634699</v>
      </c>
      <c r="N306" s="66">
        <v>100.44722218326901</v>
      </c>
      <c r="O306" s="66">
        <v>170.744444433078</v>
      </c>
      <c r="P306" s="66">
        <v>7450.6341672193103</v>
      </c>
      <c r="Q306" s="66">
        <v>1025.7486033995399</v>
      </c>
      <c r="R306" s="66">
        <v>6415.9885686745502</v>
      </c>
      <c r="S306" s="66">
        <v>8.8969951452202896</v>
      </c>
      <c r="T306" t="s">
        <v>564</v>
      </c>
      <c r="U306" t="s">
        <v>383</v>
      </c>
      <c r="V306" t="s">
        <v>384</v>
      </c>
      <c r="W306" t="s">
        <v>384</v>
      </c>
      <c r="X306" t="b">
        <v>0</v>
      </c>
      <c r="Y306" t="s">
        <v>1102</v>
      </c>
      <c r="Z306">
        <v>1</v>
      </c>
    </row>
    <row r="307" spans="1:26">
      <c r="A307" s="367" t="s">
        <v>89</v>
      </c>
      <c r="B307" s="366" t="s">
        <v>1176</v>
      </c>
      <c r="C307" t="s">
        <v>117</v>
      </c>
      <c r="D307" s="5">
        <v>0.72953354362764122</v>
      </c>
      <c r="E307" s="5">
        <v>0.86482902658368743</v>
      </c>
      <c r="F307" s="5">
        <v>0.84355811519127599</v>
      </c>
      <c r="G307" s="5">
        <v>0.82363558787654401</v>
      </c>
      <c r="H307" s="5">
        <v>0.81648411703774804</v>
      </c>
      <c r="I307" s="5">
        <v>0.13517097341631257</v>
      </c>
      <c r="J307" s="5">
        <v>0.88200524969183358</v>
      </c>
      <c r="K307" s="66">
        <v>7056</v>
      </c>
      <c r="L307" s="66">
        <v>953.7663884255021</v>
      </c>
      <c r="M307" s="66">
        <v>265.40249994968053</v>
      </c>
      <c r="N307" s="66">
        <v>95</v>
      </c>
      <c r="O307" s="66">
        <v>171</v>
      </c>
      <c r="P307" s="66">
        <v>6102.2336115744984</v>
      </c>
      <c r="Q307" s="66">
        <v>954.64492773786299</v>
      </c>
      <c r="R307" s="66">
        <v>5147.5886838366368</v>
      </c>
      <c r="S307" s="66">
        <v>9.2661360514552822</v>
      </c>
      <c r="T307" s="66" t="s">
        <v>564</v>
      </c>
      <c r="U307" s="18" t="s">
        <v>383</v>
      </c>
      <c r="V307" s="18" t="s">
        <v>384</v>
      </c>
      <c r="W307" s="18" t="s">
        <v>384</v>
      </c>
      <c r="X307" t="b">
        <v>0</v>
      </c>
      <c r="Y307" t="s">
        <v>1102</v>
      </c>
      <c r="Z307">
        <v>1</v>
      </c>
    </row>
    <row r="308" spans="1:26">
      <c r="A308" t="s">
        <v>89</v>
      </c>
      <c r="B308" t="s">
        <v>407</v>
      </c>
      <c r="C308" t="s">
        <v>117</v>
      </c>
      <c r="D308" s="5">
        <v>0.648416801640603</v>
      </c>
      <c r="E308" s="5">
        <v>0.79719550076164802</v>
      </c>
      <c r="F308" s="5">
        <v>0.81337237982539901</v>
      </c>
      <c r="G308" s="5">
        <v>0.73728841003443801</v>
      </c>
      <c r="H308" s="5">
        <v>0.73135481683575299</v>
      </c>
      <c r="I308" s="5">
        <v>0.202804499238352</v>
      </c>
      <c r="J308" s="5">
        <v>0.85365380375403199</v>
      </c>
      <c r="K308" s="66">
        <v>8784</v>
      </c>
      <c r="L308" s="66">
        <v>1781.4347213096801</v>
      </c>
      <c r="M308" s="66">
        <v>330.43055549965601</v>
      </c>
      <c r="N308" s="66">
        <v>170.716666633138</v>
      </c>
      <c r="O308" s="66">
        <v>159.713888866518</v>
      </c>
      <c r="P308" s="66">
        <v>7002.5652786903202</v>
      </c>
      <c r="Q308" s="66">
        <v>1268.5375137379101</v>
      </c>
      <c r="R308" s="66">
        <v>5695.6931856110596</v>
      </c>
      <c r="S308" s="66">
        <v>38.334579341352303</v>
      </c>
      <c r="T308" t="s">
        <v>564</v>
      </c>
      <c r="U308" t="s">
        <v>386</v>
      </c>
      <c r="V308" t="s">
        <v>385</v>
      </c>
      <c r="W308" t="s">
        <v>385</v>
      </c>
      <c r="X308" t="b">
        <v>0</v>
      </c>
      <c r="Y308" t="s">
        <v>864</v>
      </c>
      <c r="Z308">
        <v>1</v>
      </c>
    </row>
    <row r="309" spans="1:26">
      <c r="A309" s="367" t="s">
        <v>89</v>
      </c>
      <c r="B309" s="366" t="s">
        <v>1177</v>
      </c>
      <c r="C309" t="s">
        <v>117</v>
      </c>
      <c r="D309" s="5">
        <v>0.65725019100067938</v>
      </c>
      <c r="E309" s="5">
        <v>0.84297910374554885</v>
      </c>
      <c r="F309" s="5">
        <v>0.77967554365270331</v>
      </c>
      <c r="G309" s="5">
        <v>0.73728841003443701</v>
      </c>
      <c r="H309" s="5">
        <v>0.73135481683575299</v>
      </c>
      <c r="I309" s="5">
        <v>0.15702089625445115</v>
      </c>
      <c r="J309" s="5">
        <v>0.82444576400702851</v>
      </c>
      <c r="K309" s="66">
        <v>7056</v>
      </c>
      <c r="L309" s="66">
        <v>1107.9394439714069</v>
      </c>
      <c r="M309" s="66">
        <v>322.43888883298928</v>
      </c>
      <c r="N309" s="66">
        <v>163</v>
      </c>
      <c r="O309" s="66">
        <v>160</v>
      </c>
      <c r="P309" s="66">
        <v>5948.0605560285931</v>
      </c>
      <c r="Q309" s="66">
        <v>1310.503208327802</v>
      </c>
      <c r="R309" s="66">
        <v>4637.5573477007938</v>
      </c>
      <c r="S309" s="66">
        <v>70.044883622001777</v>
      </c>
      <c r="T309" s="66" t="s">
        <v>564</v>
      </c>
      <c r="U309" s="18" t="s">
        <v>386</v>
      </c>
      <c r="V309" s="18" t="s">
        <v>385</v>
      </c>
      <c r="W309" s="18" t="s">
        <v>385</v>
      </c>
      <c r="X309" t="b">
        <v>0</v>
      </c>
      <c r="Y309" t="s">
        <v>864</v>
      </c>
      <c r="Z309">
        <v>1</v>
      </c>
    </row>
    <row r="310" spans="1:26">
      <c r="A310" t="s">
        <v>89</v>
      </c>
      <c r="B310" t="s">
        <v>98</v>
      </c>
      <c r="C310" t="s">
        <v>117</v>
      </c>
      <c r="D310" s="5">
        <v>0.48281973771528303</v>
      </c>
      <c r="E310" s="5">
        <v>0.70590063312647799</v>
      </c>
      <c r="F310" s="5">
        <v>0.68397691552824402</v>
      </c>
      <c r="G310" s="5">
        <v>0.78344419920625097</v>
      </c>
      <c r="H310" s="5">
        <v>0.79672778107148101</v>
      </c>
      <c r="I310" s="5">
        <v>0.29409936687352201</v>
      </c>
      <c r="J310" s="5">
        <v>0.70969534835396797</v>
      </c>
      <c r="K310" s="66">
        <v>8784</v>
      </c>
      <c r="L310" s="66">
        <v>2583.3688386170202</v>
      </c>
      <c r="M310" s="66">
        <v>224.70277756644299</v>
      </c>
      <c r="N310" s="66">
        <v>152.702777566587</v>
      </c>
      <c r="O310" s="66">
        <v>71.999999999856001</v>
      </c>
      <c r="P310" s="66">
        <v>6200.6311613829803</v>
      </c>
      <c r="Q310" s="66">
        <v>1908.0219087699199</v>
      </c>
      <c r="R310" s="66">
        <v>4241.0885760910396</v>
      </c>
      <c r="S310" s="66">
        <v>51.520676522012799</v>
      </c>
      <c r="T310" t="s">
        <v>564</v>
      </c>
      <c r="U310" t="s">
        <v>386</v>
      </c>
      <c r="V310" t="s">
        <v>385</v>
      </c>
      <c r="W310" t="s">
        <v>385</v>
      </c>
      <c r="X310" t="b">
        <v>0</v>
      </c>
      <c r="Y310" t="s">
        <v>541</v>
      </c>
      <c r="Z310">
        <v>1</v>
      </c>
    </row>
    <row r="311" spans="1:26">
      <c r="A311" t="s">
        <v>99</v>
      </c>
      <c r="B311" t="s">
        <v>369</v>
      </c>
      <c r="C311" t="s">
        <v>117</v>
      </c>
      <c r="D311" s="5">
        <v>0.58762325416025896</v>
      </c>
      <c r="E311" s="5">
        <v>0.74061219264299405</v>
      </c>
      <c r="F311" s="5">
        <v>0.79342908474572904</v>
      </c>
      <c r="G311" s="5">
        <v>0.793769887728208</v>
      </c>
      <c r="H311" s="5">
        <v>0.80171003287172304</v>
      </c>
      <c r="I311" s="5">
        <v>0.25938780735700601</v>
      </c>
      <c r="J311" s="5">
        <v>0.80763199841050204</v>
      </c>
      <c r="K311" s="66">
        <v>8784</v>
      </c>
      <c r="L311" s="66">
        <v>2278.4624998239401</v>
      </c>
      <c r="M311" s="66">
        <v>114.40555554978999</v>
      </c>
      <c r="O311" s="66">
        <v>114.40555554978999</v>
      </c>
      <c r="P311" s="66">
        <v>6505.5375001760603</v>
      </c>
      <c r="Q311" s="66">
        <v>1318.1602679955399</v>
      </c>
      <c r="R311" s="66">
        <v>5161.6826645437104</v>
      </c>
      <c r="S311" s="66">
        <v>25.694567636808099</v>
      </c>
      <c r="T311" t="s">
        <v>564</v>
      </c>
      <c r="U311" t="s">
        <v>386</v>
      </c>
      <c r="V311" t="s">
        <v>385</v>
      </c>
      <c r="W311" t="s">
        <v>384</v>
      </c>
      <c r="X311" t="b">
        <v>0</v>
      </c>
      <c r="Y311" t="s">
        <v>542</v>
      </c>
      <c r="Z311">
        <v>1</v>
      </c>
    </row>
    <row r="312" spans="1:26">
      <c r="A312" t="s">
        <v>100</v>
      </c>
      <c r="B312" t="s">
        <v>101</v>
      </c>
      <c r="C312" t="s">
        <v>116</v>
      </c>
      <c r="D312" s="5">
        <v>0.74205516523549298</v>
      </c>
      <c r="E312" s="5">
        <v>0.81201702979659995</v>
      </c>
      <c r="F312" s="5">
        <v>0.91384187523920402</v>
      </c>
      <c r="G312" s="5">
        <v>0.81707320732051103</v>
      </c>
      <c r="H312" s="5">
        <v>0.81707320732051403</v>
      </c>
      <c r="I312" s="5">
        <v>0.18798297020339999</v>
      </c>
      <c r="J312" s="5">
        <v>0.95668613320556295</v>
      </c>
      <c r="K312" s="66">
        <v>8784</v>
      </c>
      <c r="L312" s="66">
        <v>1651.24241026667</v>
      </c>
      <c r="M312" s="66">
        <v>319.43361106538498</v>
      </c>
      <c r="N312" s="66">
        <v>1.73194443333333</v>
      </c>
      <c r="O312" s="66">
        <v>317.70166663205202</v>
      </c>
      <c r="P312" s="66">
        <v>7132.75758973333</v>
      </c>
      <c r="Q312" s="66">
        <v>650.42083149871598</v>
      </c>
      <c r="R312" s="66">
        <v>6518.2125714285703</v>
      </c>
      <c r="S312" s="66">
        <v>-35.875813193955103</v>
      </c>
      <c r="T312" t="s">
        <v>564</v>
      </c>
      <c r="U312" t="s">
        <v>383</v>
      </c>
      <c r="V312" t="s">
        <v>384</v>
      </c>
      <c r="W312" t="s">
        <v>384</v>
      </c>
      <c r="X312" t="b">
        <v>0</v>
      </c>
      <c r="Y312" t="s">
        <v>543</v>
      </c>
      <c r="Z312">
        <v>1</v>
      </c>
    </row>
    <row r="313" spans="1:26">
      <c r="A313" t="s">
        <v>99</v>
      </c>
      <c r="B313" t="s">
        <v>102</v>
      </c>
      <c r="C313" t="s">
        <v>117</v>
      </c>
      <c r="D313" s="5">
        <v>0.48959350351688202</v>
      </c>
      <c r="E313" s="5">
        <v>0.74775004431030501</v>
      </c>
      <c r="F313" s="5">
        <v>0.65475556603739604</v>
      </c>
      <c r="G313" s="5">
        <v>0.62328353051799301</v>
      </c>
      <c r="H313" s="5">
        <v>0.62260539290553296</v>
      </c>
      <c r="I313" s="5">
        <v>0.25224995568969499</v>
      </c>
      <c r="J313" s="5">
        <v>0.67254917134626602</v>
      </c>
      <c r="K313" s="66">
        <v>8784</v>
      </c>
      <c r="L313" s="66">
        <v>2215.7636107782801</v>
      </c>
      <c r="M313" s="66">
        <v>173.77555554967401</v>
      </c>
      <c r="N313" s="66">
        <v>5.09222221666667</v>
      </c>
      <c r="O313" s="66">
        <v>168.683333333007</v>
      </c>
      <c r="P313" s="66">
        <v>6568.2363892217199</v>
      </c>
      <c r="Q313" s="66">
        <v>2259.1091792975899</v>
      </c>
      <c r="R313" s="66">
        <v>4300.58933489229</v>
      </c>
      <c r="S313" s="66">
        <v>8.53787503183921</v>
      </c>
      <c r="T313" t="s">
        <v>564</v>
      </c>
      <c r="U313" t="s">
        <v>386</v>
      </c>
      <c r="V313" t="s">
        <v>385</v>
      </c>
      <c r="W313" t="s">
        <v>384</v>
      </c>
      <c r="X313" t="b">
        <v>0</v>
      </c>
      <c r="Y313" t="s">
        <v>865</v>
      </c>
      <c r="Z313">
        <v>1</v>
      </c>
    </row>
    <row r="314" spans="1:26">
      <c r="A314" t="s">
        <v>99</v>
      </c>
      <c r="B314" t="s">
        <v>103</v>
      </c>
      <c r="C314" t="s">
        <v>117</v>
      </c>
      <c r="D314" s="5">
        <v>0.397540655129837</v>
      </c>
      <c r="E314" s="5">
        <v>0.65711454544204995</v>
      </c>
      <c r="F314" s="5">
        <v>0.60497923518403596</v>
      </c>
      <c r="G314" s="5">
        <v>0.56636922346237695</v>
      </c>
      <c r="H314" s="5">
        <v>0.56957360104411303</v>
      </c>
      <c r="I314" s="5">
        <v>0.34288545455795</v>
      </c>
      <c r="J314" s="5">
        <v>0.62438794472126702</v>
      </c>
      <c r="K314" s="66">
        <v>8784</v>
      </c>
      <c r="L314" s="66">
        <v>3011.9058328370302</v>
      </c>
      <c r="M314" s="66">
        <v>179.42194441633799</v>
      </c>
      <c r="O314" s="66">
        <v>179.42194441633799</v>
      </c>
      <c r="P314" s="66">
        <v>5772.0941671629698</v>
      </c>
      <c r="Q314" s="66">
        <v>2267.2148114301099</v>
      </c>
      <c r="R314" s="66">
        <v>3491.9971146604898</v>
      </c>
      <c r="S314" s="66">
        <v>12.8822410723654</v>
      </c>
      <c r="T314" s="66" t="s">
        <v>564</v>
      </c>
      <c r="U314" s="18" t="s">
        <v>386</v>
      </c>
      <c r="V314" s="18" t="s">
        <v>385</v>
      </c>
      <c r="W314" s="18" t="s">
        <v>384</v>
      </c>
      <c r="X314" t="b">
        <v>0</v>
      </c>
      <c r="Y314" t="s">
        <v>866</v>
      </c>
      <c r="Z314">
        <v>1</v>
      </c>
    </row>
    <row r="315" spans="1:26">
      <c r="A315" t="s">
        <v>99</v>
      </c>
      <c r="B315" t="s">
        <v>104</v>
      </c>
      <c r="C315" t="s">
        <v>117</v>
      </c>
      <c r="D315" s="5">
        <v>0.41638504320810499</v>
      </c>
      <c r="E315" s="5">
        <v>0.70902970684145405</v>
      </c>
      <c r="F315" s="5">
        <v>0.58726036326883102</v>
      </c>
      <c r="G315" s="5">
        <v>0.55436721090394603</v>
      </c>
      <c r="H315" s="5">
        <v>0.55586253639067396</v>
      </c>
      <c r="I315" s="5">
        <v>0.290970293158546</v>
      </c>
      <c r="J315" s="5">
        <v>0.60715413946900898</v>
      </c>
      <c r="K315" s="66">
        <v>8784</v>
      </c>
      <c r="L315" s="66">
        <v>2555.8830551046699</v>
      </c>
      <c r="M315" s="66">
        <v>204.06805553305401</v>
      </c>
      <c r="N315" s="66">
        <v>13</v>
      </c>
      <c r="O315" s="66">
        <v>191.06805553305401</v>
      </c>
      <c r="P315" s="66">
        <v>6228.1169448953297</v>
      </c>
      <c r="Q315" s="66">
        <v>2575.61520133772</v>
      </c>
      <c r="R315" s="66">
        <v>3657.5262195400001</v>
      </c>
      <c r="S315" s="66">
        <v>-5.0244759823744198</v>
      </c>
      <c r="T315" t="s">
        <v>564</v>
      </c>
      <c r="U315" t="s">
        <v>386</v>
      </c>
      <c r="V315" t="s">
        <v>385</v>
      </c>
      <c r="W315" t="s">
        <v>384</v>
      </c>
      <c r="X315" t="b">
        <v>0</v>
      </c>
      <c r="Y315" t="s">
        <v>867</v>
      </c>
      <c r="Z315">
        <v>1</v>
      </c>
    </row>
    <row r="316" spans="1:26">
      <c r="A316" t="s">
        <v>99</v>
      </c>
      <c r="B316" t="s">
        <v>105</v>
      </c>
      <c r="C316" t="s">
        <v>117</v>
      </c>
      <c r="D316" s="5">
        <v>0.497026625212594</v>
      </c>
      <c r="E316" s="5">
        <v>0.80477193385546797</v>
      </c>
      <c r="F316" s="5">
        <v>0.61759935244195097</v>
      </c>
      <c r="G316" s="5">
        <v>0.54879582402612404</v>
      </c>
      <c r="H316" s="5">
        <v>0.55467924625201204</v>
      </c>
      <c r="I316" s="5">
        <v>0.195228066144532</v>
      </c>
      <c r="J316" s="5">
        <v>0.63359813596568104</v>
      </c>
      <c r="K316" s="66">
        <v>8784</v>
      </c>
      <c r="L316" s="66">
        <v>1714.8833330135701</v>
      </c>
      <c r="M316" s="66">
        <v>178.499999982997</v>
      </c>
      <c r="N316" s="66">
        <v>6.67222221666667</v>
      </c>
      <c r="O316" s="66">
        <v>171.827777766331</v>
      </c>
      <c r="P316" s="66">
        <v>7069.1166669864197</v>
      </c>
      <c r="Q316" s="66">
        <v>2691.3116520659401</v>
      </c>
      <c r="R316" s="66">
        <v>4365.8818758674197</v>
      </c>
      <c r="S316" s="66">
        <v>11.9231390530684</v>
      </c>
      <c r="T316" t="s">
        <v>564</v>
      </c>
      <c r="U316" t="s">
        <v>386</v>
      </c>
      <c r="V316" t="s">
        <v>385</v>
      </c>
      <c r="W316" t="s">
        <v>384</v>
      </c>
      <c r="X316" t="b">
        <v>0</v>
      </c>
      <c r="Y316" t="s">
        <v>868</v>
      </c>
      <c r="Z316">
        <v>1</v>
      </c>
    </row>
    <row r="317" spans="1:26">
      <c r="A317" t="s">
        <v>100</v>
      </c>
      <c r="B317" t="s">
        <v>106</v>
      </c>
      <c r="C317" t="s">
        <v>116</v>
      </c>
      <c r="D317" s="5">
        <v>0.87840380236794202</v>
      </c>
      <c r="E317" s="5">
        <v>0.92771518748417603</v>
      </c>
      <c r="F317" s="5">
        <v>0.94684641818793602</v>
      </c>
      <c r="G317" s="5">
        <v>0.78452009785017196</v>
      </c>
      <c r="H317" s="5">
        <v>0.79056415208785702</v>
      </c>
      <c r="I317" s="5">
        <v>7.2284812515824207E-2</v>
      </c>
      <c r="J317" s="5">
        <v>0.94690839078542899</v>
      </c>
      <c r="K317" s="66">
        <v>8784</v>
      </c>
      <c r="L317" s="66">
        <v>634.94979313899898</v>
      </c>
      <c r="M317" s="66">
        <v>0.53333333333333299</v>
      </c>
      <c r="N317" s="66">
        <v>0.53333333333333299</v>
      </c>
      <c r="P317" s="66">
        <v>8149.0502068610003</v>
      </c>
      <c r="Q317" s="66">
        <v>432.58348599998698</v>
      </c>
      <c r="R317" s="66">
        <v>7715.8990000000003</v>
      </c>
      <c r="S317" s="66">
        <v>0.56772086101247998</v>
      </c>
      <c r="T317" t="s">
        <v>564</v>
      </c>
      <c r="U317" t="s">
        <v>383</v>
      </c>
      <c r="V317" t="s">
        <v>384</v>
      </c>
      <c r="W317" t="s">
        <v>384</v>
      </c>
      <c r="X317" t="b">
        <v>0</v>
      </c>
      <c r="Y317" t="s">
        <v>544</v>
      </c>
      <c r="Z317">
        <v>1</v>
      </c>
    </row>
    <row r="318" spans="1:26">
      <c r="A318" t="s">
        <v>100</v>
      </c>
      <c r="B318" t="s">
        <v>107</v>
      </c>
      <c r="C318" t="s">
        <v>116</v>
      </c>
      <c r="D318" s="5">
        <v>0.86696278536336002</v>
      </c>
      <c r="E318" s="5">
        <v>0.983576130094727</v>
      </c>
      <c r="F318" s="5">
        <v>0.88143943192263496</v>
      </c>
      <c r="G318" s="5">
        <v>0.78384814364025401</v>
      </c>
      <c r="H318" s="5">
        <v>0.78384814364025501</v>
      </c>
      <c r="I318" s="5">
        <v>1.6423869905272798E-2</v>
      </c>
      <c r="J318" s="5">
        <v>0.91990911293152999</v>
      </c>
      <c r="K318" s="66">
        <v>8784</v>
      </c>
      <c r="L318" s="66">
        <v>144.26727324791699</v>
      </c>
      <c r="M318" s="66">
        <v>361.30499994841</v>
      </c>
      <c r="N318" s="66">
        <v>11.1922222</v>
      </c>
      <c r="O318" s="66">
        <v>350.11277774841</v>
      </c>
      <c r="P318" s="66">
        <v>8639.7327267520905</v>
      </c>
      <c r="Q318" s="66">
        <v>1006.63359189827</v>
      </c>
      <c r="R318" s="66">
        <v>7615.4011066317498</v>
      </c>
      <c r="S318" s="66">
        <v>17.698028222055299</v>
      </c>
      <c r="T318" t="s">
        <v>564</v>
      </c>
      <c r="U318" t="s">
        <v>383</v>
      </c>
      <c r="V318" t="s">
        <v>384</v>
      </c>
      <c r="W318" t="s">
        <v>384</v>
      </c>
      <c r="X318" t="b">
        <v>0</v>
      </c>
      <c r="Y318" t="s">
        <v>545</v>
      </c>
      <c r="Z318">
        <v>1</v>
      </c>
    </row>
    <row r="319" spans="1:26">
      <c r="A319" t="s">
        <v>99</v>
      </c>
      <c r="B319" t="s">
        <v>370</v>
      </c>
      <c r="C319" t="s">
        <v>117</v>
      </c>
      <c r="D319" s="5">
        <v>0.57605484372584803</v>
      </c>
      <c r="E319" s="5">
        <v>0.841530908497376</v>
      </c>
      <c r="F319" s="5">
        <v>0.68453200935238701</v>
      </c>
      <c r="G319" s="5">
        <v>0.70645698384201705</v>
      </c>
      <c r="H319" s="5">
        <v>0.67986486275014701</v>
      </c>
      <c r="I319" s="5">
        <v>0.158469091502624</v>
      </c>
      <c r="J319" s="5">
        <v>0.69391943811366796</v>
      </c>
      <c r="K319" s="66">
        <v>8784</v>
      </c>
      <c r="L319" s="66">
        <v>1391.9924997590499</v>
      </c>
      <c r="M319" s="66">
        <v>100</v>
      </c>
      <c r="O319" s="66">
        <v>100</v>
      </c>
      <c r="P319" s="66">
        <v>7392.0075002409503</v>
      </c>
      <c r="Q319" s="66">
        <v>2314.5033192494002</v>
      </c>
      <c r="R319" s="66">
        <v>5060.0657472878502</v>
      </c>
      <c r="S319" s="66">
        <v>17.438433703698198</v>
      </c>
      <c r="T319" t="s">
        <v>564</v>
      </c>
      <c r="U319" t="s">
        <v>386</v>
      </c>
      <c r="V319" t="s">
        <v>385</v>
      </c>
      <c r="W319" t="s">
        <v>384</v>
      </c>
      <c r="X319" t="b">
        <v>0</v>
      </c>
      <c r="Y319" t="s">
        <v>546</v>
      </c>
      <c r="Z319">
        <v>1</v>
      </c>
    </row>
    <row r="320" spans="1:26">
      <c r="A320" t="s">
        <v>869</v>
      </c>
      <c r="B320" t="s">
        <v>870</v>
      </c>
      <c r="C320" t="s">
        <v>117</v>
      </c>
      <c r="D320" s="5">
        <v>0.40891128698016499</v>
      </c>
      <c r="E320" s="5">
        <v>0.465840606711451</v>
      </c>
      <c r="F320" s="5">
        <v>0.87779227720577502</v>
      </c>
      <c r="G320" s="5">
        <v>0.76194527802850498</v>
      </c>
      <c r="H320" s="5">
        <v>0.76194527803336798</v>
      </c>
      <c r="I320" s="5">
        <v>0.534159393288549</v>
      </c>
      <c r="J320" s="5">
        <v>0.96246804649912499</v>
      </c>
      <c r="K320" s="66">
        <v>8784</v>
      </c>
      <c r="L320" s="66">
        <v>4692.0561106466103</v>
      </c>
      <c r="M320" s="66">
        <v>359.99999999639999</v>
      </c>
      <c r="O320" s="66">
        <v>359.99999999639999</v>
      </c>
      <c r="P320" s="66">
        <v>4091.9438893533902</v>
      </c>
      <c r="Q320" s="66">
        <v>497.95055737825999</v>
      </c>
      <c r="R320" s="66">
        <v>3591.8767448337699</v>
      </c>
      <c r="S320" s="66">
        <v>2.11658714136132</v>
      </c>
      <c r="T320" t="s">
        <v>564</v>
      </c>
      <c r="U320" t="s">
        <v>386</v>
      </c>
      <c r="V320" t="s">
        <v>385</v>
      </c>
      <c r="W320" t="s">
        <v>384</v>
      </c>
      <c r="X320" t="b">
        <v>0</v>
      </c>
      <c r="Y320" t="s">
        <v>871</v>
      </c>
      <c r="Z320">
        <v>1</v>
      </c>
    </row>
    <row r="321" spans="1:26">
      <c r="A321" t="s">
        <v>301</v>
      </c>
      <c r="B321" t="s">
        <v>264</v>
      </c>
      <c r="C321" t="s">
        <v>117</v>
      </c>
      <c r="D321" s="5">
        <v>0.66576349991962203</v>
      </c>
      <c r="E321" s="5">
        <v>0.698661739799598</v>
      </c>
      <c r="F321" s="5">
        <v>0.95291249254694699</v>
      </c>
      <c r="G321" s="5">
        <v>0.94367080468866105</v>
      </c>
      <c r="H321" s="5">
        <v>0.94560424743600802</v>
      </c>
      <c r="I321" s="5">
        <v>0.301338260200402</v>
      </c>
      <c r="J321" s="5">
        <v>0.95291249254694699</v>
      </c>
      <c r="K321" s="66">
        <v>8784</v>
      </c>
      <c r="L321" s="66">
        <v>2646.9552776003302</v>
      </c>
      <c r="P321" s="66">
        <v>6137.0447223996698</v>
      </c>
      <c r="Q321" s="66">
        <v>287.03131850065103</v>
      </c>
      <c r="R321" s="66">
        <v>5848.0665832939603</v>
      </c>
      <c r="S321" s="66">
        <v>1.94682060506758</v>
      </c>
      <c r="T321" t="s">
        <v>564</v>
      </c>
      <c r="U321" t="s">
        <v>386</v>
      </c>
      <c r="V321" t="s">
        <v>385</v>
      </c>
      <c r="W321" t="s">
        <v>384</v>
      </c>
      <c r="X321" t="b">
        <v>0</v>
      </c>
      <c r="Y321" t="s">
        <v>547</v>
      </c>
      <c r="Z321">
        <v>1</v>
      </c>
    </row>
    <row r="322" spans="1:26">
      <c r="A322" t="s">
        <v>301</v>
      </c>
      <c r="B322" t="s">
        <v>265</v>
      </c>
      <c r="C322" t="s">
        <v>117</v>
      </c>
      <c r="D322" s="5">
        <v>0.59608320086664401</v>
      </c>
      <c r="E322" s="5">
        <v>0.62800707728809102</v>
      </c>
      <c r="F322" s="5">
        <v>0.94916637474962295</v>
      </c>
      <c r="G322" s="5">
        <v>0.94399237018472804</v>
      </c>
      <c r="H322" s="5">
        <v>0.94424214035982301</v>
      </c>
      <c r="I322" s="5">
        <v>0.37199292271190898</v>
      </c>
      <c r="J322" s="5">
        <v>0.94916637474962295</v>
      </c>
      <c r="K322" s="66">
        <v>8784</v>
      </c>
      <c r="L322" s="66">
        <v>3267.5858331014101</v>
      </c>
      <c r="P322" s="66">
        <v>5516.4141668985903</v>
      </c>
      <c r="Q322" s="66">
        <v>279.32169469517601</v>
      </c>
      <c r="R322" s="66">
        <v>5235.9948364126003</v>
      </c>
      <c r="S322" s="66">
        <v>1.0976357908186101</v>
      </c>
      <c r="T322" t="s">
        <v>564</v>
      </c>
      <c r="U322" t="s">
        <v>386</v>
      </c>
      <c r="V322" t="s">
        <v>385</v>
      </c>
      <c r="W322" t="s">
        <v>384</v>
      </c>
      <c r="X322" t="b">
        <v>0</v>
      </c>
      <c r="Y322" t="s">
        <v>548</v>
      </c>
      <c r="Z322">
        <v>1</v>
      </c>
    </row>
    <row r="323" spans="1:26">
      <c r="A323" t="s">
        <v>301</v>
      </c>
      <c r="B323" t="s">
        <v>266</v>
      </c>
      <c r="C323" t="s">
        <v>117</v>
      </c>
      <c r="D323" s="5">
        <v>0.71047569540970401</v>
      </c>
      <c r="E323" s="5">
        <v>0.73937813070984204</v>
      </c>
      <c r="F323" s="5">
        <v>0.96090980501088097</v>
      </c>
      <c r="G323" s="5">
        <v>0.956107350123512</v>
      </c>
      <c r="H323" s="5">
        <v>0.95610735012489001</v>
      </c>
      <c r="I323" s="5">
        <v>0.26062186929015801</v>
      </c>
      <c r="J323" s="5">
        <v>0.96090980501088197</v>
      </c>
      <c r="K323" s="66">
        <v>8784</v>
      </c>
      <c r="L323" s="66">
        <v>2289.3024998447499</v>
      </c>
      <c r="P323" s="66">
        <v>6494.6975001552501</v>
      </c>
      <c r="Q323" s="66">
        <v>250.78965380929799</v>
      </c>
      <c r="R323" s="66">
        <v>6240.8185084788402</v>
      </c>
      <c r="S323" s="66">
        <v>3.08933786711561</v>
      </c>
      <c r="T323" t="s">
        <v>564</v>
      </c>
      <c r="U323" t="s">
        <v>386</v>
      </c>
      <c r="V323" t="s">
        <v>385</v>
      </c>
      <c r="W323" t="s">
        <v>384</v>
      </c>
      <c r="X323" t="b">
        <v>0</v>
      </c>
      <c r="Y323" t="s">
        <v>549</v>
      </c>
      <c r="Z323">
        <v>1</v>
      </c>
    </row>
    <row r="324" spans="1:26">
      <c r="A324" t="s">
        <v>301</v>
      </c>
      <c r="B324" t="s">
        <v>629</v>
      </c>
      <c r="C324" t="s">
        <v>117</v>
      </c>
      <c r="D324" s="5">
        <v>0.83046444379998596</v>
      </c>
      <c r="E324" s="5">
        <v>0.86176779752591104</v>
      </c>
      <c r="F324" s="5">
        <v>0.96367541950883395</v>
      </c>
      <c r="G324" s="5">
        <v>0.95230513419947305</v>
      </c>
      <c r="H324" s="5">
        <v>0.95799581173728798</v>
      </c>
      <c r="I324" s="5">
        <v>0.13823220247408899</v>
      </c>
      <c r="J324" s="5">
        <v>0.96384625173655603</v>
      </c>
      <c r="K324" s="66">
        <v>8784</v>
      </c>
      <c r="L324" s="66">
        <v>1214.2316665323999</v>
      </c>
      <c r="M324" s="66">
        <v>1.3416666666666699</v>
      </c>
      <c r="N324" s="66">
        <v>1.3416666666666699</v>
      </c>
      <c r="P324" s="66">
        <v>7569.7683334676003</v>
      </c>
      <c r="Q324" s="66">
        <v>272.888209341677</v>
      </c>
      <c r="R324" s="66">
        <v>7294.7996743390804</v>
      </c>
      <c r="S324" s="66">
        <v>2.0804497868533001</v>
      </c>
      <c r="T324" t="s">
        <v>564</v>
      </c>
      <c r="U324" t="s">
        <v>386</v>
      </c>
      <c r="V324" t="s">
        <v>384</v>
      </c>
      <c r="W324" t="s">
        <v>384</v>
      </c>
      <c r="X324" t="b">
        <v>0</v>
      </c>
      <c r="Y324" t="s">
        <v>630</v>
      </c>
      <c r="Z324">
        <v>1</v>
      </c>
    </row>
    <row r="325" spans="1:26">
      <c r="A325" t="s">
        <v>301</v>
      </c>
      <c r="B325" t="s">
        <v>267</v>
      </c>
      <c r="C325" t="s">
        <v>117</v>
      </c>
      <c r="D325" s="5">
        <v>0.82462314015351901</v>
      </c>
      <c r="E325" s="5">
        <v>0.85176491981526603</v>
      </c>
      <c r="F325" s="5">
        <v>0.96813465895304296</v>
      </c>
      <c r="G325" s="5">
        <v>0.932768490700981</v>
      </c>
      <c r="H325" s="5">
        <v>0.96324381828830896</v>
      </c>
      <c r="I325" s="5">
        <v>0.148235080184734</v>
      </c>
      <c r="J325" s="5">
        <v>0.96813465895304296</v>
      </c>
      <c r="K325" s="66">
        <v>8784</v>
      </c>
      <c r="L325" s="66">
        <v>1302.0969443427</v>
      </c>
      <c r="P325" s="66">
        <v>7481.9030556572998</v>
      </c>
      <c r="Q325" s="66">
        <v>241.34745364698301</v>
      </c>
      <c r="R325" s="66">
        <v>7243.4896631085103</v>
      </c>
      <c r="S325" s="66">
        <v>-2.93406109819303</v>
      </c>
      <c r="T325" t="s">
        <v>564</v>
      </c>
      <c r="U325" t="s">
        <v>386</v>
      </c>
      <c r="V325" t="s">
        <v>384</v>
      </c>
      <c r="W325" t="s">
        <v>384</v>
      </c>
      <c r="X325" t="b">
        <v>0</v>
      </c>
      <c r="Y325" t="s">
        <v>550</v>
      </c>
      <c r="Z325">
        <v>1</v>
      </c>
    </row>
    <row r="326" spans="1:26">
      <c r="A326" t="s">
        <v>302</v>
      </c>
      <c r="B326" t="s">
        <v>268</v>
      </c>
      <c r="C326" t="s">
        <v>116</v>
      </c>
      <c r="D326" s="5">
        <v>0.92132579282697402</v>
      </c>
      <c r="E326" s="5">
        <v>0.95455557233111299</v>
      </c>
      <c r="F326" s="5">
        <v>0.96518821903371299</v>
      </c>
      <c r="G326" s="5">
        <v>0.92814766649165503</v>
      </c>
      <c r="H326" s="5">
        <v>0.92814766649178004</v>
      </c>
      <c r="I326" s="5">
        <v>4.5444427668886699E-2</v>
      </c>
      <c r="J326" s="5">
        <v>0.97961453248962005</v>
      </c>
      <c r="K326" s="66">
        <v>8784</v>
      </c>
      <c r="L326" s="66">
        <v>399.18385264350098</v>
      </c>
      <c r="M326" s="66">
        <v>123.479166549824</v>
      </c>
      <c r="N326" s="66">
        <v>35.188888783333297</v>
      </c>
      <c r="O326" s="66">
        <v>88.290277766490703</v>
      </c>
      <c r="P326" s="66">
        <v>8384.8161473564996</v>
      </c>
      <c r="Q326" s="66">
        <v>290.68472161644002</v>
      </c>
      <c r="R326" s="66">
        <v>8092.9257641921404</v>
      </c>
      <c r="S326" s="66">
        <v>1.20566154791928</v>
      </c>
      <c r="T326" t="s">
        <v>564</v>
      </c>
      <c r="U326" t="s">
        <v>383</v>
      </c>
      <c r="V326" t="s">
        <v>384</v>
      </c>
      <c r="W326" t="s">
        <v>384</v>
      </c>
      <c r="X326" t="b">
        <v>0</v>
      </c>
      <c r="Y326" t="s">
        <v>551</v>
      </c>
      <c r="Z326">
        <v>1</v>
      </c>
    </row>
    <row r="327" spans="1:26">
      <c r="A327" t="s">
        <v>302</v>
      </c>
      <c r="B327" t="s">
        <v>269</v>
      </c>
      <c r="C327" t="s">
        <v>116</v>
      </c>
      <c r="D327" s="5">
        <v>0.92989582493406797</v>
      </c>
      <c r="E327" s="5">
        <v>0.96317363649630905</v>
      </c>
      <c r="F327" s="5">
        <v>0.96544983136862506</v>
      </c>
      <c r="G327" s="5">
        <v>0.96301199381343505</v>
      </c>
      <c r="H327" s="5">
        <v>0.96246492757534297</v>
      </c>
      <c r="I327" s="5">
        <v>3.68263635036905E-2</v>
      </c>
      <c r="J327" s="5">
        <v>0.98053147039366595</v>
      </c>
      <c r="K327" s="66">
        <v>8784</v>
      </c>
      <c r="L327" s="66">
        <v>323.48277701641803</v>
      </c>
      <c r="M327" s="66">
        <v>130.13194433315701</v>
      </c>
      <c r="N327" s="66">
        <v>41.841666566666703</v>
      </c>
      <c r="O327" s="66">
        <v>88.290277766490703</v>
      </c>
      <c r="P327" s="66">
        <v>8460.5172229835807</v>
      </c>
      <c r="Q327" s="66">
        <v>295.610902239361</v>
      </c>
      <c r="R327" s="66">
        <v>8168.2049262208502</v>
      </c>
      <c r="S327" s="66">
        <v>-3.2986054766310802</v>
      </c>
      <c r="T327" t="s">
        <v>564</v>
      </c>
      <c r="U327" t="s">
        <v>383</v>
      </c>
      <c r="V327" t="s">
        <v>384</v>
      </c>
      <c r="W327" t="s">
        <v>384</v>
      </c>
      <c r="X327" t="b">
        <v>0</v>
      </c>
      <c r="Y327" t="s">
        <v>552</v>
      </c>
      <c r="Z327">
        <v>1</v>
      </c>
    </row>
    <row r="328" spans="1:26">
      <c r="A328" t="s">
        <v>302</v>
      </c>
      <c r="B328" t="s">
        <v>270</v>
      </c>
      <c r="C328" t="s">
        <v>116</v>
      </c>
      <c r="D328" s="5">
        <v>0.73491469338190596</v>
      </c>
      <c r="E328" s="5">
        <v>0.74788083128258998</v>
      </c>
      <c r="F328" s="5">
        <v>0.98266282894502399</v>
      </c>
      <c r="G328" s="5">
        <v>0.97463759555769702</v>
      </c>
      <c r="H328" s="5">
        <v>0.974633123508588</v>
      </c>
      <c r="I328" s="5">
        <v>0.25211916871741002</v>
      </c>
      <c r="J328" s="5">
        <v>0.99294356115238902</v>
      </c>
      <c r="K328" s="66">
        <v>8784</v>
      </c>
      <c r="L328" s="66">
        <v>2214.6147780137298</v>
      </c>
      <c r="M328" s="66">
        <v>68.018055483309297</v>
      </c>
      <c r="N328" s="66">
        <v>44.018055483333299</v>
      </c>
      <c r="O328" s="66">
        <v>23.999999999976001</v>
      </c>
      <c r="P328" s="66">
        <v>6569.3852219862702</v>
      </c>
      <c r="Q328" s="66">
        <v>115.14999986662301</v>
      </c>
      <c r="R328" s="66">
        <v>6455.4906666666602</v>
      </c>
      <c r="S328" s="66">
        <v>-1.2554445470198199</v>
      </c>
      <c r="T328" t="s">
        <v>564</v>
      </c>
      <c r="U328" t="s">
        <v>386</v>
      </c>
      <c r="V328" t="s">
        <v>385</v>
      </c>
      <c r="W328" t="s">
        <v>384</v>
      </c>
      <c r="X328" t="b">
        <v>0</v>
      </c>
      <c r="Y328" t="s">
        <v>553</v>
      </c>
      <c r="Z328">
        <v>1</v>
      </c>
    </row>
    <row r="329" spans="1:26">
      <c r="A329" t="s">
        <v>391</v>
      </c>
      <c r="B329" t="s">
        <v>371</v>
      </c>
      <c r="C329" t="s">
        <v>116</v>
      </c>
      <c r="D329" s="5">
        <v>0.62191695951942505</v>
      </c>
      <c r="E329" s="5">
        <v>0.63686858858792295</v>
      </c>
      <c r="F329" s="5">
        <v>0.97652321163829303</v>
      </c>
      <c r="G329" s="5">
        <v>0.96293218854792695</v>
      </c>
      <c r="H329" s="5">
        <v>0.96293218854822504</v>
      </c>
      <c r="I329" s="5">
        <v>0.363131411412077</v>
      </c>
      <c r="J329" s="5">
        <v>0.98583077002311703</v>
      </c>
      <c r="K329" s="66">
        <v>8784</v>
      </c>
      <c r="L329" s="66">
        <v>3189.7463178436901</v>
      </c>
      <c r="M329" s="66">
        <v>52.817222133333303</v>
      </c>
      <c r="N329" s="66">
        <v>52.817222133333303</v>
      </c>
      <c r="P329" s="66">
        <v>5594.2536821563099</v>
      </c>
      <c r="Q329" s="66">
        <v>129.99166634999801</v>
      </c>
      <c r="R329" s="66">
        <v>5462.91857241863</v>
      </c>
      <c r="S329" s="66">
        <v>1.3434433876843801</v>
      </c>
      <c r="T329" t="s">
        <v>564</v>
      </c>
      <c r="U329" t="s">
        <v>386</v>
      </c>
      <c r="V329" t="s">
        <v>384</v>
      </c>
      <c r="W329" t="s">
        <v>384</v>
      </c>
      <c r="X329" t="b">
        <v>0</v>
      </c>
      <c r="Y329" t="s">
        <v>554</v>
      </c>
      <c r="Z329">
        <v>1</v>
      </c>
    </row>
    <row r="330" spans="1:26">
      <c r="A330" t="s">
        <v>391</v>
      </c>
      <c r="B330" t="s">
        <v>372</v>
      </c>
      <c r="C330" t="s">
        <v>116</v>
      </c>
      <c r="D330" s="5">
        <v>0.82266570753642998</v>
      </c>
      <c r="E330" s="5">
        <v>0.83185395291298403</v>
      </c>
      <c r="F330" s="5">
        <v>0.988954496946995</v>
      </c>
      <c r="G330" s="5">
        <v>0.97632419496465805</v>
      </c>
      <c r="H330" s="5">
        <v>0.97600575004364598</v>
      </c>
      <c r="I330" s="5">
        <v>0.168146047087016</v>
      </c>
      <c r="J330" s="5">
        <v>0.99458918258391005</v>
      </c>
      <c r="K330" s="66">
        <v>8784</v>
      </c>
      <c r="L330" s="66">
        <v>1476.9948776123399</v>
      </c>
      <c r="M330" s="66">
        <v>41.3966666166667</v>
      </c>
      <c r="N330" s="66">
        <v>41.3966666166667</v>
      </c>
      <c r="P330" s="66">
        <v>7307.0051223876499</v>
      </c>
      <c r="Q330" s="66">
        <v>80.677222099997195</v>
      </c>
      <c r="R330" s="66">
        <v>7226.2955750000101</v>
      </c>
      <c r="S330" s="66">
        <v>3.2325287657940002E-2</v>
      </c>
      <c r="T330" t="s">
        <v>564</v>
      </c>
      <c r="U330" t="s">
        <v>386</v>
      </c>
      <c r="V330" t="s">
        <v>384</v>
      </c>
      <c r="W330" t="s">
        <v>384</v>
      </c>
      <c r="X330" t="b">
        <v>0</v>
      </c>
      <c r="Y330" t="s">
        <v>555</v>
      </c>
      <c r="Z330">
        <v>1</v>
      </c>
    </row>
    <row r="331" spans="1:26">
      <c r="A331" t="s">
        <v>598</v>
      </c>
      <c r="B331" t="s">
        <v>599</v>
      </c>
      <c r="C331" t="s">
        <v>117</v>
      </c>
      <c r="D331" s="5">
        <v>0.65981584663130199</v>
      </c>
      <c r="E331" s="5">
        <v>0.89176416085538801</v>
      </c>
      <c r="F331" s="5">
        <v>0.73989948867018995</v>
      </c>
      <c r="G331" s="5">
        <v>0.69465971038927199</v>
      </c>
      <c r="H331" s="5">
        <v>0.66682739192858997</v>
      </c>
      <c r="I331" s="5">
        <v>0.108235839144612</v>
      </c>
      <c r="J331" s="5">
        <v>0.78099580870933005</v>
      </c>
      <c r="K331" s="66">
        <v>8784</v>
      </c>
      <c r="L331" s="66">
        <v>950.74361104627599</v>
      </c>
      <c r="M331" s="66">
        <v>412.189166598827</v>
      </c>
      <c r="N331" s="66">
        <v>151.05222216653399</v>
      </c>
      <c r="O331" s="66">
        <v>261.13694443229201</v>
      </c>
      <c r="P331" s="66">
        <v>7833.2563889537196</v>
      </c>
      <c r="Q331" s="66">
        <v>2056.5678728213802</v>
      </c>
      <c r="R331" s="66">
        <v>5795.8223968093598</v>
      </c>
      <c r="S331" s="66">
        <v>-19.1338806770056</v>
      </c>
      <c r="T331" t="s">
        <v>564</v>
      </c>
      <c r="U331" t="s">
        <v>386</v>
      </c>
      <c r="V331" t="s">
        <v>385</v>
      </c>
      <c r="W331" t="s">
        <v>384</v>
      </c>
      <c r="X331" t="b">
        <v>0</v>
      </c>
      <c r="Y331" t="s">
        <v>631</v>
      </c>
      <c r="Z331">
        <v>1</v>
      </c>
    </row>
    <row r="332" spans="1:26">
      <c r="A332" t="s">
        <v>598</v>
      </c>
      <c r="B332" t="s">
        <v>600</v>
      </c>
      <c r="C332" t="s">
        <v>117</v>
      </c>
      <c r="D332" s="5">
        <v>0.63276078223865495</v>
      </c>
      <c r="E332" s="5">
        <v>0.82804897796992705</v>
      </c>
      <c r="F332" s="5">
        <v>0.764158641666285</v>
      </c>
      <c r="G332" s="5">
        <v>0.76213094034576401</v>
      </c>
      <c r="H332" s="5">
        <v>0.69372903820137299</v>
      </c>
      <c r="I332" s="5">
        <v>0.17195102203007301</v>
      </c>
      <c r="J332" s="5">
        <v>0.80350004416859799</v>
      </c>
      <c r="K332" s="66">
        <v>8784</v>
      </c>
      <c r="L332" s="66">
        <v>1510.41777751216</v>
      </c>
      <c r="M332" s="66">
        <v>356.13305553037702</v>
      </c>
      <c r="N332" s="66">
        <v>89.239999983225104</v>
      </c>
      <c r="O332" s="66">
        <v>266.89305554715202</v>
      </c>
      <c r="P332" s="66">
        <v>7273.5822224878402</v>
      </c>
      <c r="Q332" s="66">
        <v>1715.3917706518801</v>
      </c>
      <c r="R332" s="66">
        <v>5558.1707111843498</v>
      </c>
      <c r="S332" s="66">
        <v>1.9740651611219299E-2</v>
      </c>
      <c r="T332" t="s">
        <v>564</v>
      </c>
      <c r="U332" t="s">
        <v>383</v>
      </c>
      <c r="V332" t="s">
        <v>385</v>
      </c>
      <c r="W332" t="s">
        <v>384</v>
      </c>
      <c r="X332" t="b">
        <v>0</v>
      </c>
      <c r="Y332" t="s">
        <v>1103</v>
      </c>
      <c r="Z332">
        <v>1</v>
      </c>
    </row>
    <row r="333" spans="1:26">
      <c r="A333" t="s">
        <v>598</v>
      </c>
      <c r="B333" t="s">
        <v>601</v>
      </c>
      <c r="C333" t="s">
        <v>117</v>
      </c>
      <c r="D333" s="5">
        <v>0.65776757354847504</v>
      </c>
      <c r="E333" s="5">
        <v>0.85563338017061996</v>
      </c>
      <c r="F333" s="5">
        <v>0.76874931342359598</v>
      </c>
      <c r="G333" s="5">
        <v>0.79408985697191803</v>
      </c>
      <c r="H333" s="5">
        <v>0.70404321223927502</v>
      </c>
      <c r="I333" s="5">
        <v>0.14436661982938001</v>
      </c>
      <c r="J333" s="5">
        <v>0.80658060310816804</v>
      </c>
      <c r="K333" s="66">
        <v>8784</v>
      </c>
      <c r="L333" s="66">
        <v>1268.11638858127</v>
      </c>
      <c r="M333" s="66">
        <v>352.51972219938699</v>
      </c>
      <c r="N333" s="66">
        <v>94.315555533225194</v>
      </c>
      <c r="O333" s="66">
        <v>258.204166666162</v>
      </c>
      <c r="P333" s="66">
        <v>7515.8836114187297</v>
      </c>
      <c r="Q333" s="66">
        <v>1741.09133155576</v>
      </c>
      <c r="R333" s="66">
        <v>5777.8303660498104</v>
      </c>
      <c r="S333" s="66">
        <v>-3.0380861868463902</v>
      </c>
      <c r="T333" s="66" t="s">
        <v>564</v>
      </c>
      <c r="U333" s="18" t="s">
        <v>383</v>
      </c>
      <c r="V333" s="18" t="s">
        <v>385</v>
      </c>
      <c r="W333" s="18" t="s">
        <v>384</v>
      </c>
      <c r="X333" t="b">
        <v>0</v>
      </c>
      <c r="Y333" t="s">
        <v>1104</v>
      </c>
      <c r="Z333">
        <v>1</v>
      </c>
    </row>
    <row r="334" spans="1:26">
      <c r="A334" t="s">
        <v>598</v>
      </c>
      <c r="B334" t="s">
        <v>602</v>
      </c>
      <c r="C334" t="s">
        <v>117</v>
      </c>
      <c r="D334" s="5">
        <v>0.62552411154871002</v>
      </c>
      <c r="E334" s="5">
        <v>0.75666941875402205</v>
      </c>
      <c r="F334" s="5">
        <v>0.82668084112443097</v>
      </c>
      <c r="G334" s="5">
        <v>0.84945680780956101</v>
      </c>
      <c r="H334" s="5">
        <v>0.82355822779938803</v>
      </c>
      <c r="I334" s="5">
        <v>0.24333058124597701</v>
      </c>
      <c r="J334" s="5">
        <v>0.870056464974439</v>
      </c>
      <c r="K334" s="66">
        <v>8784</v>
      </c>
      <c r="L334" s="66">
        <v>2137.4158256646701</v>
      </c>
      <c r="M334" s="66">
        <v>331.35749993174397</v>
      </c>
      <c r="N334" s="66">
        <v>48.684722183302199</v>
      </c>
      <c r="O334" s="66">
        <v>282.672777748442</v>
      </c>
      <c r="P334" s="66">
        <v>6646.5841743353303</v>
      </c>
      <c r="Q334" s="66">
        <v>1152.1684483727099</v>
      </c>
      <c r="R334" s="66">
        <v>5494.6037958438701</v>
      </c>
      <c r="S334" s="66">
        <v>-0.18806988123363499</v>
      </c>
      <c r="T334" s="66" t="s">
        <v>564</v>
      </c>
      <c r="U334" s="18" t="s">
        <v>386</v>
      </c>
      <c r="V334" s="18" t="s">
        <v>385</v>
      </c>
      <c r="W334" s="18" t="s">
        <v>385</v>
      </c>
      <c r="X334" t="b">
        <v>0</v>
      </c>
      <c r="Y334" t="s">
        <v>632</v>
      </c>
      <c r="Z334">
        <v>1</v>
      </c>
    </row>
    <row r="335" spans="1:26">
      <c r="A335" t="s">
        <v>598</v>
      </c>
      <c r="B335" t="s">
        <v>603</v>
      </c>
      <c r="C335" t="s">
        <v>117</v>
      </c>
      <c r="D335" s="5">
        <v>0.291535696458184</v>
      </c>
      <c r="E335" s="5">
        <v>0.47622017999848099</v>
      </c>
      <c r="F335" s="5">
        <v>0.61218677557745305</v>
      </c>
      <c r="G335" s="5">
        <v>0.79091198415511099</v>
      </c>
      <c r="H335" s="5">
        <v>0.790911984163019</v>
      </c>
      <c r="I335" s="5">
        <v>0.52377982000151901</v>
      </c>
      <c r="J335" s="5">
        <v>0.89722672078319399</v>
      </c>
      <c r="K335" s="66">
        <v>8784</v>
      </c>
      <c r="L335" s="66">
        <v>4600.8819388933498</v>
      </c>
      <c r="M335" s="66">
        <v>1328.9347221917101</v>
      </c>
      <c r="N335" s="66">
        <v>1328.9347221917101</v>
      </c>
      <c r="P335" s="66">
        <v>4183.1180611066502</v>
      </c>
      <c r="Q335" s="66">
        <v>1621.9505562916499</v>
      </c>
      <c r="R335" s="66">
        <v>2560.8495576886899</v>
      </c>
      <c r="S335" s="66">
        <v>0.317947126318253</v>
      </c>
      <c r="T335" s="66" t="s">
        <v>564</v>
      </c>
      <c r="U335" s="18" t="s">
        <v>386</v>
      </c>
      <c r="V335" s="18" t="s">
        <v>385</v>
      </c>
      <c r="W335" s="18" t="s">
        <v>385</v>
      </c>
      <c r="X335" t="b">
        <v>0</v>
      </c>
      <c r="Y335" t="s">
        <v>633</v>
      </c>
      <c r="Z335">
        <v>1</v>
      </c>
    </row>
    <row r="336" spans="1:26">
      <c r="A336" t="s">
        <v>390</v>
      </c>
      <c r="B336" t="s">
        <v>373</v>
      </c>
      <c r="C336" t="s">
        <v>116</v>
      </c>
      <c r="D336" s="5">
        <v>0.87747035329386702</v>
      </c>
      <c r="E336" s="5">
        <v>0.91318238804644802</v>
      </c>
      <c r="F336" s="5">
        <v>0.96089276882685104</v>
      </c>
      <c r="G336" s="5">
        <v>0.94747187930726795</v>
      </c>
      <c r="H336" s="5">
        <v>0.94747187930773702</v>
      </c>
      <c r="I336" s="5">
        <v>8.6817611953551893E-2</v>
      </c>
      <c r="J336" s="5">
        <v>0.97466960007516401</v>
      </c>
      <c r="K336" s="66">
        <v>8784</v>
      </c>
      <c r="L336" s="66">
        <v>762.60590339999999</v>
      </c>
      <c r="M336" s="66">
        <v>113.38138876657</v>
      </c>
      <c r="N336" s="66">
        <v>113.38138876657</v>
      </c>
      <c r="P336" s="66">
        <v>8021.3940966</v>
      </c>
      <c r="Q336" s="66">
        <v>305.46729306241701</v>
      </c>
      <c r="R336" s="66">
        <v>7707.6995833333303</v>
      </c>
      <c r="S336" s="66">
        <v>8.2272202042504308</v>
      </c>
      <c r="T336" s="66" t="s">
        <v>564</v>
      </c>
      <c r="U336" s="18" t="s">
        <v>383</v>
      </c>
      <c r="V336" s="18" t="s">
        <v>385</v>
      </c>
      <c r="W336" s="18" t="s">
        <v>384</v>
      </c>
      <c r="X336" t="b">
        <v>0</v>
      </c>
      <c r="Y336" t="s">
        <v>1254</v>
      </c>
      <c r="Z336">
        <v>1</v>
      </c>
    </row>
    <row r="337" spans="1:26">
      <c r="A337" t="s">
        <v>108</v>
      </c>
      <c r="B337" t="s">
        <v>109</v>
      </c>
      <c r="C337" t="s">
        <v>117</v>
      </c>
      <c r="D337" s="5">
        <v>0.569747646510815</v>
      </c>
      <c r="E337" s="5">
        <v>0.75400981584414495</v>
      </c>
      <c r="F337" s="5">
        <v>0.75562364645473401</v>
      </c>
      <c r="G337" s="5">
        <v>0.81540836217391899</v>
      </c>
      <c r="H337" s="5">
        <v>0.81540836217739499</v>
      </c>
      <c r="I337" s="5">
        <v>0.245990184155856</v>
      </c>
      <c r="J337" s="5">
        <v>0.75716044373421798</v>
      </c>
      <c r="K337" s="66">
        <v>8784</v>
      </c>
      <c r="L337" s="66">
        <v>2160.77777762504</v>
      </c>
      <c r="M337" s="66">
        <v>13.4430555333333</v>
      </c>
      <c r="N337" s="66">
        <v>13.4430555333333</v>
      </c>
      <c r="P337" s="66">
        <v>6623.2222223749604</v>
      </c>
      <c r="Q337" s="66">
        <v>1622.56631333882</v>
      </c>
      <c r="R337" s="66">
        <v>5004.6633269510003</v>
      </c>
      <c r="S337" s="66">
        <v>-4.00741791485168</v>
      </c>
      <c r="T337" s="66" t="s">
        <v>564</v>
      </c>
      <c r="U337" s="18" t="s">
        <v>386</v>
      </c>
      <c r="V337" s="18" t="s">
        <v>385</v>
      </c>
      <c r="W337" s="18" t="s">
        <v>384</v>
      </c>
      <c r="X337" t="b">
        <v>0</v>
      </c>
      <c r="Y337" t="s">
        <v>556</v>
      </c>
      <c r="Z337">
        <v>1</v>
      </c>
    </row>
    <row r="338" spans="1:26">
      <c r="A338" t="s">
        <v>108</v>
      </c>
      <c r="B338" t="s">
        <v>110</v>
      </c>
      <c r="C338" t="s">
        <v>117</v>
      </c>
      <c r="D338" s="5">
        <v>0.73501537161445996</v>
      </c>
      <c r="E338" s="5">
        <v>0.88720353294659104</v>
      </c>
      <c r="F338" s="5">
        <v>0.82846308013823899</v>
      </c>
      <c r="G338" s="5">
        <v>0.845109663955534</v>
      </c>
      <c r="H338" s="5">
        <v>0.85001149399327103</v>
      </c>
      <c r="I338" s="5">
        <v>0.112796467053409</v>
      </c>
      <c r="J338" s="5">
        <v>0.82972975937025295</v>
      </c>
      <c r="K338" s="66">
        <v>8784</v>
      </c>
      <c r="L338" s="66">
        <v>990.80416659714695</v>
      </c>
      <c r="M338" s="66">
        <v>11.8972222</v>
      </c>
      <c r="N338" s="66">
        <v>11.8972222</v>
      </c>
      <c r="P338" s="66">
        <v>7793.1958334028504</v>
      </c>
      <c r="Q338" s="66">
        <v>1387.7297872373999</v>
      </c>
      <c r="R338" s="66">
        <v>6456.3750242614296</v>
      </c>
      <c r="S338" s="66">
        <v>-50.908978095970298</v>
      </c>
      <c r="T338" s="66" t="s">
        <v>564</v>
      </c>
      <c r="U338" s="18" t="s">
        <v>386</v>
      </c>
      <c r="V338" s="18" t="s">
        <v>385</v>
      </c>
      <c r="W338" s="18" t="s">
        <v>384</v>
      </c>
      <c r="X338" t="b">
        <v>0</v>
      </c>
      <c r="Y338" t="s">
        <v>557</v>
      </c>
      <c r="Z338">
        <v>1</v>
      </c>
    </row>
    <row r="339" spans="1:26">
      <c r="A339" t="s">
        <v>108</v>
      </c>
      <c r="B339" t="s">
        <v>111</v>
      </c>
      <c r="C339" t="s">
        <v>117</v>
      </c>
      <c r="D339" s="5">
        <v>0.72228729800047997</v>
      </c>
      <c r="E339" s="5">
        <v>0.93885091339781301</v>
      </c>
      <c r="F339" s="5">
        <v>0.769331198056181</v>
      </c>
      <c r="G339" s="5">
        <v>0.80915705375839697</v>
      </c>
      <c r="H339" s="5">
        <v>0.80915705375856795</v>
      </c>
      <c r="I339" s="5">
        <v>6.1149086602186799E-2</v>
      </c>
      <c r="J339" s="5">
        <v>0.77069431372877095</v>
      </c>
      <c r="K339" s="66">
        <v>8784</v>
      </c>
      <c r="L339" s="66">
        <v>537.13357671360905</v>
      </c>
      <c r="M339" s="66">
        <v>14.5861110833333</v>
      </c>
      <c r="N339" s="66">
        <v>14.5861110833333</v>
      </c>
      <c r="P339" s="66">
        <v>8246.8664232863903</v>
      </c>
      <c r="Q339" s="66">
        <v>1886.10737518678</v>
      </c>
      <c r="R339" s="66">
        <v>6344.5716256362102</v>
      </c>
      <c r="S339" s="66">
        <v>16.187422463395301</v>
      </c>
      <c r="T339" s="66" t="s">
        <v>564</v>
      </c>
      <c r="U339" s="18" t="s">
        <v>386</v>
      </c>
      <c r="V339" s="18" t="s">
        <v>385</v>
      </c>
      <c r="W339" s="18" t="s">
        <v>384</v>
      </c>
      <c r="X339" t="b">
        <v>0</v>
      </c>
      <c r="Y339" t="s">
        <v>558</v>
      </c>
      <c r="Z339">
        <v>1</v>
      </c>
    </row>
    <row r="340" spans="1:26">
      <c r="A340" t="s">
        <v>108</v>
      </c>
      <c r="B340" t="s">
        <v>112</v>
      </c>
      <c r="C340" t="s">
        <v>117</v>
      </c>
      <c r="D340" s="5">
        <v>0.70580740158349398</v>
      </c>
      <c r="E340" s="5">
        <v>0.92239535900252301</v>
      </c>
      <c r="F340" s="5">
        <v>0.76518967132136595</v>
      </c>
      <c r="G340" s="5">
        <v>0.84854870062185395</v>
      </c>
      <c r="H340" s="5">
        <v>0.76406482851875202</v>
      </c>
      <c r="I340" s="5">
        <v>7.7604640997477006E-2</v>
      </c>
      <c r="J340" s="5">
        <v>0.76647056658236901</v>
      </c>
      <c r="K340" s="66">
        <v>8784</v>
      </c>
      <c r="L340" s="66">
        <v>681.67916652183806</v>
      </c>
      <c r="M340" s="66">
        <v>13.54027775</v>
      </c>
      <c r="N340" s="66">
        <v>13.54027775</v>
      </c>
      <c r="P340" s="66">
        <v>8102.3208334781602</v>
      </c>
      <c r="Q340" s="66">
        <v>1916.04566617654</v>
      </c>
      <c r="R340" s="66">
        <v>6199.8122155094097</v>
      </c>
      <c r="S340" s="66">
        <v>-13.537048207797501</v>
      </c>
      <c r="T340" s="66" t="s">
        <v>564</v>
      </c>
      <c r="U340" s="18" t="s">
        <v>386</v>
      </c>
      <c r="V340" s="18" t="s">
        <v>385</v>
      </c>
      <c r="W340" s="18" t="s">
        <v>384</v>
      </c>
      <c r="X340" t="b">
        <v>0</v>
      </c>
      <c r="Y340" t="s">
        <v>559</v>
      </c>
      <c r="Z340">
        <v>1</v>
      </c>
    </row>
    <row r="341" spans="1:26">
      <c r="A341" t="s">
        <v>387</v>
      </c>
      <c r="B341" t="s">
        <v>881</v>
      </c>
      <c r="C341" t="s">
        <v>117</v>
      </c>
      <c r="D341" s="5">
        <v>0.52246564487508296</v>
      </c>
      <c r="E341" s="5">
        <v>0.899941939894081</v>
      </c>
      <c r="F341" s="5">
        <v>0.58055483550036002</v>
      </c>
      <c r="G341" s="5">
        <v>0.52986702188916401</v>
      </c>
      <c r="H341" s="5">
        <v>0.54961611028728397</v>
      </c>
      <c r="I341" s="5">
        <v>0.100058060105919</v>
      </c>
      <c r="J341" s="5">
        <v>0.60406723430534903</v>
      </c>
      <c r="K341" s="66">
        <v>8784</v>
      </c>
      <c r="L341" s="66">
        <v>878.90999997039398</v>
      </c>
      <c r="M341" s="66">
        <v>307.69361109905299</v>
      </c>
      <c r="N341" s="66">
        <v>143.99999999987199</v>
      </c>
      <c r="O341" s="66">
        <v>163.69361109918199</v>
      </c>
      <c r="P341" s="66">
        <v>7905.0900000296097</v>
      </c>
      <c r="Q341" s="66">
        <v>3313.4961036644399</v>
      </c>
      <c r="R341" s="66">
        <v>4589.3382245827297</v>
      </c>
      <c r="S341" s="66">
        <v>2.2556717824413499</v>
      </c>
      <c r="T341" s="66" t="s">
        <v>564</v>
      </c>
      <c r="U341" s="18" t="s">
        <v>386</v>
      </c>
      <c r="V341" s="18" t="s">
        <v>384</v>
      </c>
      <c r="W341" s="18" t="s">
        <v>384</v>
      </c>
      <c r="X341" t="b">
        <v>0</v>
      </c>
      <c r="Y341" t="s">
        <v>1105</v>
      </c>
      <c r="Z341">
        <v>1</v>
      </c>
    </row>
    <row r="342" spans="1:26">
      <c r="A342" t="s">
        <v>387</v>
      </c>
      <c r="B342" t="s">
        <v>882</v>
      </c>
      <c r="C342" t="s">
        <v>117</v>
      </c>
      <c r="D342" s="5">
        <v>0.532941954620618</v>
      </c>
      <c r="E342" s="5">
        <v>0.89942180227078505</v>
      </c>
      <c r="F342" s="5">
        <v>0.59253839886368198</v>
      </c>
      <c r="G342" s="5">
        <v>0.49875598734163301</v>
      </c>
      <c r="H342" s="5">
        <v>0.52362826005353602</v>
      </c>
      <c r="I342" s="5">
        <v>0.100578197729215</v>
      </c>
      <c r="J342" s="5">
        <v>0.61677345984857201</v>
      </c>
      <c r="K342" s="66">
        <v>8784</v>
      </c>
      <c r="L342" s="66">
        <v>883.47888885342195</v>
      </c>
      <c r="M342" s="66">
        <v>310.437499998889</v>
      </c>
      <c r="N342" s="66">
        <v>143.99999999988799</v>
      </c>
      <c r="O342" s="66">
        <v>166.43749999900101</v>
      </c>
      <c r="P342" s="66">
        <v>7900.5211111465796</v>
      </c>
      <c r="Q342" s="66">
        <v>3218.8599928978601</v>
      </c>
      <c r="R342" s="66">
        <v>4681.3621293875103</v>
      </c>
      <c r="S342" s="66">
        <v>0.298988861206401</v>
      </c>
      <c r="T342" s="66" t="s">
        <v>564</v>
      </c>
      <c r="U342" s="18" t="s">
        <v>386</v>
      </c>
      <c r="V342" s="18" t="s">
        <v>384</v>
      </c>
      <c r="W342" s="18" t="s">
        <v>384</v>
      </c>
      <c r="X342" t="b">
        <v>0</v>
      </c>
      <c r="Y342" t="s">
        <v>1106</v>
      </c>
      <c r="Z342">
        <v>1</v>
      </c>
    </row>
    <row r="343" spans="1:26">
      <c r="A343" t="s">
        <v>387</v>
      </c>
      <c r="B343" t="s">
        <v>634</v>
      </c>
      <c r="C343" t="s">
        <v>117</v>
      </c>
      <c r="D343" s="5">
        <v>0.249608794759513</v>
      </c>
      <c r="E343" s="5">
        <v>0.48512023123137099</v>
      </c>
      <c r="F343" s="5">
        <v>0.51452975714068905</v>
      </c>
      <c r="G343" s="5">
        <v>0.49444073197613903</v>
      </c>
      <c r="H343" s="5">
        <v>0.49444073197652499</v>
      </c>
      <c r="I343" s="5">
        <v>0.51487976876862895</v>
      </c>
      <c r="J343" s="5">
        <v>0.52638842345577097</v>
      </c>
      <c r="K343" s="66">
        <v>8784</v>
      </c>
      <c r="L343" s="66">
        <v>4522.7038888636298</v>
      </c>
      <c r="M343" s="66">
        <v>95.999999999935199</v>
      </c>
      <c r="N343" s="66">
        <v>63.999999999944002</v>
      </c>
      <c r="O343" s="66">
        <v>31.9999999999912</v>
      </c>
      <c r="P343" s="66">
        <v>4261.2961111363602</v>
      </c>
      <c r="Q343" s="66">
        <v>2067.6347150327701</v>
      </c>
      <c r="R343" s="66">
        <v>2192.56365316756</v>
      </c>
      <c r="S343" s="66">
        <v>1.0977429360350099</v>
      </c>
      <c r="T343" s="66" t="s">
        <v>564</v>
      </c>
      <c r="U343" s="18" t="s">
        <v>386</v>
      </c>
      <c r="V343" s="18" t="s">
        <v>385</v>
      </c>
      <c r="W343" s="18" t="s">
        <v>385</v>
      </c>
      <c r="X343" t="b">
        <v>0</v>
      </c>
      <c r="Y343" t="s">
        <v>635</v>
      </c>
      <c r="Z343">
        <v>1</v>
      </c>
    </row>
  </sheetData>
  <phoneticPr fontId="5" type="noConversion"/>
  <hyperlinks>
    <hyperlink ref="A1" r:id="rId1" xr:uid="{DFEA93CA-C24C-4272-B903-DE7E35E80CA3}"/>
  </hyperlinks>
  <pageMargins left="0.7" right="0.7" top="0.75" bottom="0.75" header="0.3" footer="0.3"/>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3F2B5-5667-4846-BF71-FC3BECCF18DC}">
  <sheetPr codeName="Sheet9">
    <tabColor theme="7"/>
  </sheetPr>
  <dimension ref="A1:G323"/>
  <sheetViews>
    <sheetView zoomScaleNormal="100" workbookViewId="0">
      <pane xSplit="2" ySplit="2" topLeftCell="C3" activePane="bottomRight" state="frozen"/>
      <selection pane="topRight" activeCell="C1" sqref="C1"/>
      <selection pane="bottomLeft" activeCell="A2" sqref="A2"/>
      <selection pane="bottomRight" activeCell="A328" sqref="A328:G344"/>
    </sheetView>
  </sheetViews>
  <sheetFormatPr defaultRowHeight="12.75"/>
  <cols>
    <col min="1" max="1" width="25.5703125" bestFit="1" customWidth="1"/>
    <col min="2" max="2" width="43.85546875" bestFit="1" customWidth="1"/>
    <col min="3" max="3" width="13.42578125" bestFit="1" customWidth="1"/>
    <col min="4" max="4" width="34.140625" bestFit="1" customWidth="1"/>
    <col min="5" max="5" width="27.140625" customWidth="1"/>
    <col min="6" max="6" width="32.5703125" style="5" customWidth="1"/>
    <col min="7" max="7" width="17.5703125" style="5" customWidth="1"/>
  </cols>
  <sheetData>
    <row r="1" spans="1:7">
      <c r="A1" s="157" t="s">
        <v>1108</v>
      </c>
      <c r="B1" s="271" t="s">
        <v>1109</v>
      </c>
    </row>
    <row r="2" spans="1:7" s="19" customFormat="1">
      <c r="A2" t="s">
        <v>19</v>
      </c>
      <c r="B2" t="s">
        <v>9</v>
      </c>
      <c r="C2" t="s">
        <v>139</v>
      </c>
      <c r="D2" t="s">
        <v>560</v>
      </c>
      <c r="E2" t="s">
        <v>562</v>
      </c>
      <c r="F2" s="5" t="s">
        <v>563</v>
      </c>
      <c r="G2" s="68" t="s">
        <v>638</v>
      </c>
    </row>
    <row r="3" spans="1:7" s="19" customFormat="1">
      <c r="A3" s="329" t="s">
        <v>329</v>
      </c>
      <c r="B3" s="329" t="s">
        <v>329</v>
      </c>
      <c r="C3" s="329"/>
      <c r="D3" s="330">
        <v>1</v>
      </c>
      <c r="E3" s="330">
        <v>1</v>
      </c>
      <c r="F3" s="330">
        <v>1</v>
      </c>
      <c r="G3" s="330">
        <v>1</v>
      </c>
    </row>
    <row r="4" spans="1:7" s="19" customFormat="1">
      <c r="A4" t="s">
        <v>394</v>
      </c>
      <c r="B4" t="s">
        <v>334</v>
      </c>
      <c r="C4" t="s">
        <v>117</v>
      </c>
      <c r="D4" s="227">
        <v>0.78970436090360896</v>
      </c>
      <c r="E4" s="227">
        <v>0.77598814732462995</v>
      </c>
      <c r="F4" s="5">
        <v>0.98263120446329499</v>
      </c>
      <c r="G4" s="5">
        <v>0.78970436090360896</v>
      </c>
    </row>
    <row r="5" spans="1:7">
      <c r="A5" t="s">
        <v>394</v>
      </c>
      <c r="B5" t="s">
        <v>335</v>
      </c>
      <c r="C5" t="s">
        <v>117</v>
      </c>
      <c r="D5" s="227">
        <v>0.54428629349249502</v>
      </c>
      <c r="E5" s="227">
        <v>0.44763063901417599</v>
      </c>
      <c r="F5" s="5">
        <v>0.82241762169296295</v>
      </c>
      <c r="G5" s="5">
        <v>0.54428629349249502</v>
      </c>
    </row>
    <row r="6" spans="1:7">
      <c r="A6" t="s">
        <v>394</v>
      </c>
      <c r="B6" t="s">
        <v>336</v>
      </c>
      <c r="C6" t="s">
        <v>117</v>
      </c>
      <c r="D6" s="227">
        <v>0.59763227660149798</v>
      </c>
      <c r="E6" s="227">
        <v>0.47199431384820101</v>
      </c>
      <c r="F6" s="5">
        <v>0.78977379958835003</v>
      </c>
      <c r="G6" s="5">
        <v>0.59763227660149798</v>
      </c>
    </row>
    <row r="7" spans="1:7">
      <c r="A7" t="s">
        <v>394</v>
      </c>
      <c r="B7" t="s">
        <v>337</v>
      </c>
      <c r="C7" t="s">
        <v>117</v>
      </c>
      <c r="D7" s="227">
        <v>0.627017272452569</v>
      </c>
      <c r="E7" s="227">
        <v>0.50428627128844505</v>
      </c>
      <c r="F7" s="5">
        <v>0.80426216859375599</v>
      </c>
      <c r="G7" s="5">
        <v>0.627017272452569</v>
      </c>
    </row>
    <row r="8" spans="1:7">
      <c r="A8" t="s">
        <v>394</v>
      </c>
      <c r="B8" t="s">
        <v>338</v>
      </c>
      <c r="C8" t="s">
        <v>117</v>
      </c>
      <c r="D8" s="227">
        <v>0.76764421144081096</v>
      </c>
      <c r="E8" s="227">
        <v>0.712608274544836</v>
      </c>
      <c r="F8" s="5">
        <v>0.92830541014218504</v>
      </c>
      <c r="G8" s="5">
        <v>0.76764421144081096</v>
      </c>
    </row>
    <row r="9" spans="1:7">
      <c r="A9" t="s">
        <v>20</v>
      </c>
      <c r="B9" t="s">
        <v>21</v>
      </c>
      <c r="C9" t="s">
        <v>116</v>
      </c>
      <c r="D9" s="227">
        <v>0.71111190748423703</v>
      </c>
      <c r="E9" s="227">
        <v>0.62128707249190096</v>
      </c>
      <c r="F9" s="5">
        <v>0.87368396725331599</v>
      </c>
      <c r="G9" s="5">
        <v>0.71111190748423703</v>
      </c>
    </row>
    <row r="10" spans="1:7">
      <c r="A10" t="s">
        <v>20</v>
      </c>
      <c r="B10" t="s">
        <v>22</v>
      </c>
      <c r="C10" t="s">
        <v>116</v>
      </c>
      <c r="D10" s="227">
        <v>0.84942412853202498</v>
      </c>
      <c r="E10" s="227">
        <v>0.76147560372985101</v>
      </c>
      <c r="F10" s="5">
        <v>0.89646100004933205</v>
      </c>
      <c r="G10" s="5">
        <v>0.84942412853202498</v>
      </c>
    </row>
    <row r="11" spans="1:7">
      <c r="A11" t="s">
        <v>23</v>
      </c>
      <c r="B11" t="s">
        <v>24</v>
      </c>
      <c r="C11" t="s">
        <v>116</v>
      </c>
      <c r="D11" s="227">
        <v>0.93594385367967703</v>
      </c>
      <c r="E11" s="227">
        <v>0.93107814376374998</v>
      </c>
      <c r="F11" s="5">
        <v>0.99480128012295099</v>
      </c>
      <c r="G11" s="5">
        <v>0.93594385367967703</v>
      </c>
    </row>
    <row r="12" spans="1:7">
      <c r="A12" t="s">
        <v>23</v>
      </c>
      <c r="B12" t="s">
        <v>25</v>
      </c>
      <c r="C12" t="s">
        <v>116</v>
      </c>
      <c r="D12" s="227">
        <v>0.94710287389720804</v>
      </c>
      <c r="E12" s="227">
        <v>0.93925542528086803</v>
      </c>
      <c r="F12" s="5">
        <v>0.991714259524894</v>
      </c>
      <c r="G12" s="5">
        <v>0.94710287389720804</v>
      </c>
    </row>
    <row r="13" spans="1:7">
      <c r="A13" t="s">
        <v>23</v>
      </c>
      <c r="B13" t="s">
        <v>26</v>
      </c>
      <c r="C13" t="s">
        <v>116</v>
      </c>
      <c r="D13" s="227">
        <v>0.93833558338824496</v>
      </c>
      <c r="E13" s="227">
        <v>0.93767034150294903</v>
      </c>
      <c r="F13" s="5">
        <v>0.999291040543412</v>
      </c>
      <c r="G13" s="5">
        <v>0.93833558338824496</v>
      </c>
    </row>
    <row r="14" spans="1:7">
      <c r="A14" t="s">
        <v>23</v>
      </c>
      <c r="B14" t="s">
        <v>27</v>
      </c>
      <c r="C14" t="s">
        <v>116</v>
      </c>
      <c r="D14" s="227">
        <v>0.82836139519586505</v>
      </c>
      <c r="E14" s="227">
        <v>0.78005862608559695</v>
      </c>
      <c r="F14" s="5">
        <v>0.94168877329339196</v>
      </c>
      <c r="G14" s="5">
        <v>0.82836139519586505</v>
      </c>
    </row>
    <row r="15" spans="1:7">
      <c r="A15" t="s">
        <v>23</v>
      </c>
      <c r="B15" t="s">
        <v>28</v>
      </c>
      <c r="C15" t="s">
        <v>116</v>
      </c>
      <c r="D15" s="227">
        <v>0.92238557613390004</v>
      </c>
      <c r="E15" s="227">
        <v>0.88095331062259596</v>
      </c>
      <c r="F15" s="5">
        <v>0.95508140350051496</v>
      </c>
      <c r="G15" s="5">
        <v>0.92238557613390004</v>
      </c>
    </row>
    <row r="16" spans="1:7">
      <c r="A16" t="s">
        <v>271</v>
      </c>
      <c r="B16" t="s">
        <v>143</v>
      </c>
      <c r="C16" t="s">
        <v>117</v>
      </c>
      <c r="D16" s="227">
        <v>0.752703860430469</v>
      </c>
      <c r="E16" s="227">
        <v>0.65828804095950699</v>
      </c>
      <c r="F16" s="5">
        <v>0.87456445431677998</v>
      </c>
      <c r="G16" s="5">
        <v>0.752703860430469</v>
      </c>
    </row>
    <row r="17" spans="1:7">
      <c r="A17" t="s">
        <v>271</v>
      </c>
      <c r="B17" t="s">
        <v>144</v>
      </c>
      <c r="C17" t="s">
        <v>117</v>
      </c>
      <c r="D17" s="227">
        <v>0.744267708997704</v>
      </c>
      <c r="E17" s="227">
        <v>0.65036694039388598</v>
      </c>
      <c r="F17" s="5">
        <v>0.87383468680876497</v>
      </c>
      <c r="G17" s="5">
        <v>0.744267708997704</v>
      </c>
    </row>
    <row r="18" spans="1:7">
      <c r="A18" t="s">
        <v>271</v>
      </c>
      <c r="B18" t="s">
        <v>145</v>
      </c>
      <c r="C18" t="s">
        <v>117</v>
      </c>
      <c r="D18" s="227">
        <v>0.43480566837385098</v>
      </c>
      <c r="E18" s="227">
        <v>0.407381784208385</v>
      </c>
      <c r="F18" s="5">
        <v>0.93692841156365403</v>
      </c>
      <c r="G18" s="5">
        <v>0.43480566837385098</v>
      </c>
    </row>
    <row r="19" spans="1:7">
      <c r="A19" t="s">
        <v>271</v>
      </c>
      <c r="B19" t="s">
        <v>146</v>
      </c>
      <c r="C19" t="s">
        <v>117</v>
      </c>
      <c r="D19" s="227">
        <v>0.59505348570317396</v>
      </c>
      <c r="E19" s="227">
        <v>0.45950447387948801</v>
      </c>
      <c r="F19" s="5">
        <v>0.77220701150333104</v>
      </c>
      <c r="G19" s="5">
        <v>0.59505348570317396</v>
      </c>
    </row>
    <row r="20" spans="1:7">
      <c r="A20" t="s">
        <v>271</v>
      </c>
      <c r="B20" t="s">
        <v>147</v>
      </c>
      <c r="C20" t="s">
        <v>117</v>
      </c>
      <c r="D20" s="227">
        <v>0.59738510608334405</v>
      </c>
      <c r="E20" s="227">
        <v>0.46070418952099201</v>
      </c>
      <c r="F20" s="5">
        <v>0.77120133198753904</v>
      </c>
      <c r="G20" s="5">
        <v>0.59738510608334405</v>
      </c>
    </row>
    <row r="21" spans="1:7">
      <c r="A21" t="s">
        <v>271</v>
      </c>
      <c r="B21" t="s">
        <v>148</v>
      </c>
      <c r="C21" t="s">
        <v>117</v>
      </c>
      <c r="D21" s="227">
        <v>0.53913231962549202</v>
      </c>
      <c r="E21" s="227">
        <v>0.43083308517351299</v>
      </c>
      <c r="F21" s="5">
        <v>0.79912308999169401</v>
      </c>
      <c r="G21" s="5">
        <v>0.53913231962549202</v>
      </c>
    </row>
    <row r="22" spans="1:7">
      <c r="A22" t="s">
        <v>271</v>
      </c>
      <c r="B22" t="s">
        <v>149</v>
      </c>
      <c r="C22" t="s">
        <v>117</v>
      </c>
      <c r="D22" s="227">
        <v>0.581460743420392</v>
      </c>
      <c r="E22" s="227">
        <v>0.489606388171757</v>
      </c>
      <c r="F22" s="5">
        <v>0.84202827742366704</v>
      </c>
      <c r="G22" s="5">
        <v>0.581460743420391</v>
      </c>
    </row>
    <row r="23" spans="1:7">
      <c r="A23" t="s">
        <v>271</v>
      </c>
      <c r="B23" t="s">
        <v>150</v>
      </c>
      <c r="C23" t="s">
        <v>117</v>
      </c>
      <c r="D23" s="227">
        <v>0.58925977554675302</v>
      </c>
      <c r="E23" s="227">
        <v>0.49368013081950202</v>
      </c>
      <c r="F23" s="5">
        <v>0.83779709952445702</v>
      </c>
      <c r="G23" s="5">
        <v>0.58925977554675302</v>
      </c>
    </row>
    <row r="24" spans="1:7">
      <c r="A24" t="s">
        <v>271</v>
      </c>
      <c r="B24" t="s">
        <v>151</v>
      </c>
      <c r="C24" t="s">
        <v>117</v>
      </c>
      <c r="D24" s="227">
        <v>0.50540566511628104</v>
      </c>
      <c r="E24" s="227">
        <v>0.40348065501470798</v>
      </c>
      <c r="F24" s="5">
        <v>0.79833029754796503</v>
      </c>
      <c r="G24" s="5">
        <v>0.50540566511628005</v>
      </c>
    </row>
    <row r="25" spans="1:7">
      <c r="A25" t="s">
        <v>271</v>
      </c>
      <c r="B25" t="s">
        <v>152</v>
      </c>
      <c r="C25" t="s">
        <v>117</v>
      </c>
      <c r="D25" s="227">
        <v>0.94136251322048403</v>
      </c>
      <c r="E25" s="227">
        <v>0.37339590743670598</v>
      </c>
      <c r="F25" s="5">
        <v>0.39665474479038398</v>
      </c>
      <c r="G25" s="5">
        <v>0.94136251322048303</v>
      </c>
    </row>
    <row r="26" spans="1:7">
      <c r="A26" t="s">
        <v>271</v>
      </c>
      <c r="B26" t="s">
        <v>153</v>
      </c>
      <c r="C26" t="s">
        <v>117</v>
      </c>
      <c r="D26" s="227">
        <v>0.59402372536739401</v>
      </c>
      <c r="E26" s="227">
        <v>0.54594579420843603</v>
      </c>
      <c r="F26" s="5">
        <v>0.91906395467752999</v>
      </c>
      <c r="G26" s="5">
        <v>0.59402372536739401</v>
      </c>
    </row>
    <row r="27" spans="1:7">
      <c r="A27" t="s">
        <v>271</v>
      </c>
      <c r="B27" t="s">
        <v>154</v>
      </c>
      <c r="C27" t="s">
        <v>117</v>
      </c>
      <c r="D27" s="227">
        <v>0.45553648511872102</v>
      </c>
      <c r="E27" s="227">
        <v>0.42884911501272299</v>
      </c>
      <c r="F27" s="5">
        <v>0.94141551560015602</v>
      </c>
      <c r="G27" s="5">
        <v>0.45553648511872002</v>
      </c>
    </row>
    <row r="28" spans="1:7">
      <c r="A28" t="s">
        <v>272</v>
      </c>
      <c r="B28" t="s">
        <v>339</v>
      </c>
      <c r="C28" t="s">
        <v>117</v>
      </c>
      <c r="D28" s="227">
        <v>0.67984814113389402</v>
      </c>
      <c r="E28" s="227">
        <v>0.64457186027234203</v>
      </c>
      <c r="F28" s="5">
        <v>0.94811152855001501</v>
      </c>
      <c r="G28" s="5">
        <v>0.67984814113389402</v>
      </c>
    </row>
    <row r="29" spans="1:7">
      <c r="A29" t="s">
        <v>272</v>
      </c>
      <c r="B29" t="s">
        <v>340</v>
      </c>
      <c r="C29" t="s">
        <v>117</v>
      </c>
      <c r="D29" s="227">
        <v>0.59505434275537605</v>
      </c>
      <c r="E29" s="227">
        <v>0.56883777158175297</v>
      </c>
      <c r="F29" s="5">
        <v>0.95594255971273501</v>
      </c>
      <c r="G29" s="5">
        <v>0.59505434275537605</v>
      </c>
    </row>
    <row r="30" spans="1:7">
      <c r="A30" t="s">
        <v>272</v>
      </c>
      <c r="B30" t="s">
        <v>341</v>
      </c>
      <c r="C30" t="s">
        <v>117</v>
      </c>
      <c r="D30" s="227">
        <v>0.58994954957927204</v>
      </c>
      <c r="E30" s="227">
        <v>0.56340258475209404</v>
      </c>
      <c r="F30" s="5">
        <v>0.95500129655813604</v>
      </c>
      <c r="G30" s="5">
        <v>0.58994954957927304</v>
      </c>
    </row>
    <row r="31" spans="1:7">
      <c r="A31" t="s">
        <v>272</v>
      </c>
      <c r="B31" t="s">
        <v>155</v>
      </c>
      <c r="C31" t="s">
        <v>117</v>
      </c>
      <c r="D31" s="227">
        <v>0.59701852466322103</v>
      </c>
      <c r="E31" s="227">
        <v>0.57096985714015902</v>
      </c>
      <c r="F31" s="5">
        <v>0.95636874494345803</v>
      </c>
      <c r="G31" s="5">
        <v>0.59701852466322103</v>
      </c>
    </row>
    <row r="32" spans="1:7">
      <c r="A32" t="s">
        <v>272</v>
      </c>
      <c r="B32" t="s">
        <v>156</v>
      </c>
      <c r="C32" t="s">
        <v>117</v>
      </c>
      <c r="D32" s="227">
        <v>0.69116933627949095</v>
      </c>
      <c r="E32" s="227">
        <v>0.52223965053237098</v>
      </c>
      <c r="F32" s="5">
        <v>0.75558857015206304</v>
      </c>
      <c r="G32" s="5">
        <v>0.69116933627949095</v>
      </c>
    </row>
    <row r="33" spans="1:7">
      <c r="A33" t="s">
        <v>272</v>
      </c>
      <c r="B33" t="s">
        <v>157</v>
      </c>
      <c r="C33" t="s">
        <v>117</v>
      </c>
      <c r="D33" s="227">
        <v>0.69816749476727402</v>
      </c>
      <c r="E33" s="227">
        <v>0.33063326194374099</v>
      </c>
      <c r="F33" s="5">
        <v>0.47357298130007303</v>
      </c>
      <c r="G33" s="5">
        <v>0.69816749476727402</v>
      </c>
    </row>
    <row r="34" spans="1:7">
      <c r="A34" t="s">
        <v>272</v>
      </c>
      <c r="B34" t="s">
        <v>158</v>
      </c>
      <c r="C34" t="s">
        <v>117</v>
      </c>
      <c r="D34" s="227">
        <v>0.72887150122974798</v>
      </c>
      <c r="E34" s="227">
        <v>0.35126510641898401</v>
      </c>
      <c r="F34" s="5">
        <v>0.48193008757556299</v>
      </c>
      <c r="G34" s="5">
        <v>0.72887150122974798</v>
      </c>
    </row>
    <row r="35" spans="1:7">
      <c r="A35" t="s">
        <v>272</v>
      </c>
      <c r="B35" t="s">
        <v>159</v>
      </c>
      <c r="C35" t="s">
        <v>117</v>
      </c>
      <c r="D35" s="227">
        <v>0.71470871284520399</v>
      </c>
      <c r="E35" s="227">
        <v>0.328852468564861</v>
      </c>
      <c r="F35" s="5">
        <v>0.46012097327836399</v>
      </c>
      <c r="G35" s="5">
        <v>0.71470871284520299</v>
      </c>
    </row>
    <row r="36" spans="1:7">
      <c r="A36" t="s">
        <v>29</v>
      </c>
      <c r="B36" t="s">
        <v>30</v>
      </c>
      <c r="C36" t="s">
        <v>117</v>
      </c>
      <c r="D36" s="227">
        <v>0.70963596304151</v>
      </c>
      <c r="E36" s="227">
        <v>0.70590421644837498</v>
      </c>
      <c r="F36" s="5">
        <v>0.99474132261118697</v>
      </c>
      <c r="G36" s="5">
        <v>0.70963596304151</v>
      </c>
    </row>
    <row r="37" spans="1:7">
      <c r="A37" t="s">
        <v>29</v>
      </c>
      <c r="B37" t="s">
        <v>31</v>
      </c>
      <c r="C37" t="s">
        <v>116</v>
      </c>
      <c r="D37" s="227">
        <v>0.87623788866000196</v>
      </c>
      <c r="E37" s="227">
        <v>0.760161632114846</v>
      </c>
      <c r="F37" s="5">
        <v>0.86752883201311104</v>
      </c>
      <c r="G37" s="5">
        <v>0.87623788866000096</v>
      </c>
    </row>
    <row r="38" spans="1:7">
      <c r="A38" t="s">
        <v>29</v>
      </c>
      <c r="B38" t="s">
        <v>32</v>
      </c>
      <c r="C38" t="s">
        <v>117</v>
      </c>
      <c r="D38" s="227">
        <v>0.63621993731589299</v>
      </c>
      <c r="E38" s="227">
        <v>0.59361136521589197</v>
      </c>
      <c r="F38" s="5">
        <v>0.93302854940421998</v>
      </c>
      <c r="G38" s="5">
        <v>0.63621993731589299</v>
      </c>
    </row>
    <row r="39" spans="1:7">
      <c r="A39" t="s">
        <v>29</v>
      </c>
      <c r="B39" t="s">
        <v>33</v>
      </c>
      <c r="C39" t="s">
        <v>117</v>
      </c>
      <c r="D39" s="227">
        <v>0.56154261015746199</v>
      </c>
      <c r="E39" s="227">
        <v>0.52325750926626402</v>
      </c>
      <c r="F39" s="5">
        <v>0.93182155690649704</v>
      </c>
      <c r="G39" s="5">
        <v>0.56154261015746199</v>
      </c>
    </row>
    <row r="40" spans="1:7">
      <c r="A40" t="s">
        <v>273</v>
      </c>
      <c r="B40" t="s">
        <v>160</v>
      </c>
      <c r="C40" t="s">
        <v>117</v>
      </c>
      <c r="D40" s="227">
        <v>0.72771430688192895</v>
      </c>
      <c r="E40" s="227">
        <v>0.56067231855369104</v>
      </c>
      <c r="F40" s="5">
        <v>0.770456638342085</v>
      </c>
      <c r="G40" s="5">
        <v>0.72771430688192895</v>
      </c>
    </row>
    <row r="41" spans="1:7">
      <c r="A41" t="s">
        <v>273</v>
      </c>
      <c r="B41" t="s">
        <v>161</v>
      </c>
      <c r="C41" t="s">
        <v>117</v>
      </c>
      <c r="D41" s="227">
        <v>0.72359661965394295</v>
      </c>
      <c r="E41" s="227">
        <v>0.31961459297116401</v>
      </c>
      <c r="F41" s="5">
        <v>0.44170271708015701</v>
      </c>
      <c r="G41" s="5">
        <v>0.72359661965394295</v>
      </c>
    </row>
    <row r="42" spans="1:7">
      <c r="A42" t="s">
        <v>273</v>
      </c>
      <c r="B42" t="s">
        <v>162</v>
      </c>
      <c r="C42" t="s">
        <v>117</v>
      </c>
      <c r="D42" s="227">
        <v>0.68612654570473097</v>
      </c>
      <c r="E42" s="227">
        <v>0.37086068014762702</v>
      </c>
      <c r="F42" s="5">
        <v>0.54051352839979405</v>
      </c>
      <c r="G42" s="5">
        <v>0.68612654570473097</v>
      </c>
    </row>
    <row r="43" spans="1:7">
      <c r="A43" t="s">
        <v>273</v>
      </c>
      <c r="B43" t="s">
        <v>163</v>
      </c>
      <c r="C43" t="s">
        <v>117</v>
      </c>
      <c r="D43" s="227">
        <v>0.72577391967443905</v>
      </c>
      <c r="E43" s="227">
        <v>0.48720445562148201</v>
      </c>
      <c r="F43" s="5">
        <v>0.67128956058386202</v>
      </c>
      <c r="G43" s="5">
        <v>0.72577391967443905</v>
      </c>
    </row>
    <row r="44" spans="1:7">
      <c r="A44" t="s">
        <v>273</v>
      </c>
      <c r="B44" t="s">
        <v>1042</v>
      </c>
      <c r="C44" t="s">
        <v>117</v>
      </c>
      <c r="D44" s="227">
        <v>0.69024163238325198</v>
      </c>
      <c r="E44" s="227">
        <v>0.45547886799804699</v>
      </c>
      <c r="F44" s="5">
        <v>0.65988321571589303</v>
      </c>
      <c r="G44" s="5">
        <v>0.69024163238325198</v>
      </c>
    </row>
    <row r="45" spans="1:7">
      <c r="A45" t="s">
        <v>273</v>
      </c>
      <c r="B45" t="s">
        <v>164</v>
      </c>
      <c r="C45" t="s">
        <v>117</v>
      </c>
      <c r="D45" s="227">
        <v>0.72785693667033202</v>
      </c>
      <c r="E45" s="227">
        <v>0.65494568455455604</v>
      </c>
      <c r="F45" s="5">
        <v>0.89982749570359599</v>
      </c>
      <c r="G45" s="5">
        <v>0.72785693667033202</v>
      </c>
    </row>
    <row r="46" spans="1:7">
      <c r="A46" t="s">
        <v>273</v>
      </c>
      <c r="B46" t="s">
        <v>165</v>
      </c>
      <c r="C46" t="s">
        <v>117</v>
      </c>
      <c r="D46" s="227">
        <v>0.60865729109700595</v>
      </c>
      <c r="E46" s="227">
        <v>0.34303694648150401</v>
      </c>
      <c r="F46" s="5">
        <v>0.56359621662172998</v>
      </c>
      <c r="G46" s="5">
        <v>0.60865729109700595</v>
      </c>
    </row>
    <row r="47" spans="1:7">
      <c r="A47" t="s">
        <v>273</v>
      </c>
      <c r="B47" t="s">
        <v>166</v>
      </c>
      <c r="C47" t="s">
        <v>117</v>
      </c>
      <c r="D47" s="227">
        <v>0.585721491859306</v>
      </c>
      <c r="E47" s="227">
        <v>0.31865550375882301</v>
      </c>
      <c r="F47" s="5">
        <v>0.54403928861699602</v>
      </c>
      <c r="G47" s="5">
        <v>0.585721491859306</v>
      </c>
    </row>
    <row r="48" spans="1:7">
      <c r="A48" t="s">
        <v>274</v>
      </c>
      <c r="B48" t="s">
        <v>167</v>
      </c>
      <c r="C48" t="s">
        <v>116</v>
      </c>
      <c r="D48" s="227">
        <v>0.74908565566824004</v>
      </c>
      <c r="E48" s="227">
        <v>0.74796450499760303</v>
      </c>
      <c r="F48" s="5">
        <v>0.99850330778309104</v>
      </c>
      <c r="G48" s="5">
        <v>0.74908565566824004</v>
      </c>
    </row>
    <row r="49" spans="1:7">
      <c r="A49" t="s">
        <v>274</v>
      </c>
      <c r="B49" t="s">
        <v>168</v>
      </c>
      <c r="C49" t="s">
        <v>116</v>
      </c>
      <c r="D49" s="227">
        <v>0.64220433778022501</v>
      </c>
      <c r="E49" s="227">
        <v>0.63992523374117305</v>
      </c>
      <c r="F49" s="5">
        <v>0.99645112325629903</v>
      </c>
      <c r="G49" s="5">
        <v>0.64220433778022501</v>
      </c>
    </row>
    <row r="50" spans="1:7">
      <c r="A50" t="s">
        <v>274</v>
      </c>
      <c r="B50" t="s">
        <v>169</v>
      </c>
      <c r="C50" t="s">
        <v>116</v>
      </c>
      <c r="D50" s="227">
        <v>0.60195564795198198</v>
      </c>
      <c r="E50" s="227">
        <v>0.59816359615751802</v>
      </c>
      <c r="F50" s="5">
        <v>0.99370044652398304</v>
      </c>
      <c r="G50" s="5">
        <v>0.60195564795198198</v>
      </c>
    </row>
    <row r="51" spans="1:7">
      <c r="A51" t="s">
        <v>274</v>
      </c>
      <c r="B51" t="s">
        <v>170</v>
      </c>
      <c r="C51" t="s">
        <v>116</v>
      </c>
      <c r="D51" s="227">
        <v>0.53587964721174497</v>
      </c>
      <c r="E51" s="227">
        <v>0.53525380694770996</v>
      </c>
      <c r="F51" s="5">
        <v>0.99883212533394095</v>
      </c>
      <c r="G51" s="5">
        <v>0.53587964721174497</v>
      </c>
    </row>
    <row r="52" spans="1:7">
      <c r="A52" t="s">
        <v>274</v>
      </c>
      <c r="B52" t="s">
        <v>171</v>
      </c>
      <c r="C52" t="s">
        <v>116</v>
      </c>
      <c r="D52" s="227">
        <v>0.69451021460528095</v>
      </c>
      <c r="E52" s="227">
        <v>0.67837778229317403</v>
      </c>
      <c r="F52" s="5">
        <v>0.97677149741955105</v>
      </c>
      <c r="G52" s="5">
        <v>0.69451021460528095</v>
      </c>
    </row>
    <row r="53" spans="1:7">
      <c r="A53" t="s">
        <v>274</v>
      </c>
      <c r="B53" t="s">
        <v>172</v>
      </c>
      <c r="C53" t="s">
        <v>116</v>
      </c>
      <c r="D53" s="227">
        <v>0.66778993282173804</v>
      </c>
      <c r="E53" s="227">
        <v>0.65700963951279201</v>
      </c>
      <c r="F53" s="5">
        <v>0.98385675976965703</v>
      </c>
      <c r="G53" s="5">
        <v>0.66778993282173804</v>
      </c>
    </row>
    <row r="54" spans="1:7">
      <c r="A54" t="s">
        <v>275</v>
      </c>
      <c r="B54" t="s">
        <v>173</v>
      </c>
      <c r="C54" t="s">
        <v>116</v>
      </c>
      <c r="D54" s="227">
        <v>0.86141734808384496</v>
      </c>
      <c r="E54" s="227">
        <v>0.86141734808384496</v>
      </c>
      <c r="F54" s="5">
        <v>1</v>
      </c>
      <c r="G54" s="5">
        <v>0.86141734808384496</v>
      </c>
    </row>
    <row r="55" spans="1:7">
      <c r="A55" t="s">
        <v>276</v>
      </c>
      <c r="B55" t="s">
        <v>174</v>
      </c>
      <c r="C55" t="s">
        <v>117</v>
      </c>
      <c r="D55" s="227">
        <v>0.76959070120100503</v>
      </c>
      <c r="E55" s="227">
        <v>0.45455330721272003</v>
      </c>
      <c r="F55" s="5">
        <v>0.590642930720648</v>
      </c>
      <c r="G55" s="5">
        <v>0.76959070120100503</v>
      </c>
    </row>
    <row r="56" spans="1:7">
      <c r="A56" t="s">
        <v>276</v>
      </c>
      <c r="B56" t="s">
        <v>175</v>
      </c>
      <c r="C56" t="s">
        <v>117</v>
      </c>
      <c r="D56" s="227">
        <v>0.85607721665527003</v>
      </c>
      <c r="E56" s="227">
        <v>0.31936815205241698</v>
      </c>
      <c r="F56" s="5">
        <v>0.37305998318726702</v>
      </c>
      <c r="G56" s="5">
        <v>0.85607721665527003</v>
      </c>
    </row>
    <row r="57" spans="1:7">
      <c r="A57" t="s">
        <v>276</v>
      </c>
      <c r="B57" t="s">
        <v>176</v>
      </c>
      <c r="C57" t="s">
        <v>117</v>
      </c>
      <c r="D57" s="227">
        <v>0.77386636431328604</v>
      </c>
      <c r="E57" s="227">
        <v>0.364269673576125</v>
      </c>
      <c r="F57" s="5">
        <v>0.47071392474768098</v>
      </c>
      <c r="G57" s="5">
        <v>0.77386636431328604</v>
      </c>
    </row>
    <row r="58" spans="1:7">
      <c r="A58" t="s">
        <v>276</v>
      </c>
      <c r="B58" t="s">
        <v>177</v>
      </c>
      <c r="C58" t="s">
        <v>117</v>
      </c>
      <c r="D58" s="227">
        <v>0.88117349339973505</v>
      </c>
      <c r="E58" s="227">
        <v>0.14897788019573299</v>
      </c>
      <c r="F58" s="5">
        <v>0.16906759146935699</v>
      </c>
      <c r="G58" s="5">
        <v>0.88117349339973505</v>
      </c>
    </row>
    <row r="59" spans="1:7">
      <c r="A59" t="s">
        <v>276</v>
      </c>
      <c r="B59" t="s">
        <v>178</v>
      </c>
      <c r="C59" t="s">
        <v>117</v>
      </c>
      <c r="D59" s="227">
        <v>0.93129727690565201</v>
      </c>
      <c r="E59" s="227">
        <v>0.413619282889437</v>
      </c>
      <c r="F59" s="5">
        <v>0.44413238731217802</v>
      </c>
      <c r="G59" s="5">
        <v>0.93129727690565201</v>
      </c>
    </row>
    <row r="60" spans="1:7">
      <c r="A60" t="s">
        <v>276</v>
      </c>
      <c r="B60" t="s">
        <v>179</v>
      </c>
      <c r="C60" t="s">
        <v>117</v>
      </c>
      <c r="D60" s="227">
        <v>0.906741331426133</v>
      </c>
      <c r="E60" s="227">
        <v>0.28552548310250497</v>
      </c>
      <c r="F60" s="5">
        <v>0.31489188063527102</v>
      </c>
      <c r="G60" s="5">
        <v>0.906741331426134</v>
      </c>
    </row>
    <row r="61" spans="1:7">
      <c r="A61" t="s">
        <v>276</v>
      </c>
      <c r="B61" t="s">
        <v>180</v>
      </c>
      <c r="C61" t="s">
        <v>117</v>
      </c>
      <c r="D61" s="227">
        <v>0.85378355626580205</v>
      </c>
      <c r="E61" s="227">
        <v>0.15147152332078301</v>
      </c>
      <c r="F61" s="5">
        <v>0.17741208788709201</v>
      </c>
      <c r="G61" s="5">
        <v>0.85378355626580205</v>
      </c>
    </row>
    <row r="62" spans="1:7">
      <c r="A62" t="s">
        <v>276</v>
      </c>
      <c r="B62" t="s">
        <v>181</v>
      </c>
      <c r="C62" t="s">
        <v>117</v>
      </c>
      <c r="D62" s="227">
        <v>0.67526021894697597</v>
      </c>
      <c r="E62" s="227">
        <v>0.32238565499502397</v>
      </c>
      <c r="F62" s="5">
        <v>0.47742432613276597</v>
      </c>
      <c r="G62" s="5">
        <v>0.67526021894697597</v>
      </c>
    </row>
    <row r="63" spans="1:7">
      <c r="A63" t="s">
        <v>277</v>
      </c>
      <c r="B63" t="s">
        <v>342</v>
      </c>
      <c r="C63" t="s">
        <v>117</v>
      </c>
      <c r="D63" s="227">
        <v>0.53475190593608501</v>
      </c>
      <c r="E63" s="227">
        <v>0.50879826643744597</v>
      </c>
      <c r="F63" s="5">
        <v>0.95146601777284401</v>
      </c>
      <c r="G63" s="5">
        <v>0.53475190593608501</v>
      </c>
    </row>
    <row r="64" spans="1:7">
      <c r="A64" t="s">
        <v>277</v>
      </c>
      <c r="B64" t="s">
        <v>182</v>
      </c>
      <c r="C64" t="s">
        <v>117</v>
      </c>
      <c r="D64" s="227">
        <v>0.56436561830115295</v>
      </c>
      <c r="E64" s="227">
        <v>0.27475803569833601</v>
      </c>
      <c r="F64" s="5">
        <v>0.486844036540372</v>
      </c>
      <c r="G64" s="5">
        <v>0.56436561830115295</v>
      </c>
    </row>
    <row r="65" spans="1:7">
      <c r="A65" t="s">
        <v>277</v>
      </c>
      <c r="B65" t="s">
        <v>183</v>
      </c>
      <c r="C65" t="s">
        <v>117</v>
      </c>
      <c r="D65" s="227">
        <v>0.52912892612524198</v>
      </c>
      <c r="E65" s="227">
        <v>0.34496706450574799</v>
      </c>
      <c r="F65" s="5">
        <v>0.65195276136556701</v>
      </c>
      <c r="G65" s="5">
        <v>0.52912892612524198</v>
      </c>
    </row>
    <row r="66" spans="1:7">
      <c r="A66" t="s">
        <v>277</v>
      </c>
      <c r="B66" t="s">
        <v>343</v>
      </c>
      <c r="C66" t="s">
        <v>117</v>
      </c>
      <c r="D66" s="227">
        <v>0.52453357176587401</v>
      </c>
      <c r="E66" s="227">
        <v>0.52453357176587401</v>
      </c>
      <c r="F66" s="5">
        <v>1</v>
      </c>
      <c r="G66" s="5">
        <v>0.52453357176587401</v>
      </c>
    </row>
    <row r="67" spans="1:7">
      <c r="A67" t="s">
        <v>277</v>
      </c>
      <c r="B67" t="s">
        <v>184</v>
      </c>
      <c r="C67" t="s">
        <v>117</v>
      </c>
      <c r="D67" s="227">
        <v>0.72727907875212905</v>
      </c>
      <c r="E67" s="227">
        <v>0.54222718760447697</v>
      </c>
      <c r="F67" s="5">
        <v>0.74555587180485605</v>
      </c>
      <c r="G67" s="5">
        <v>0.72727907875213005</v>
      </c>
    </row>
    <row r="68" spans="1:7">
      <c r="A68" t="s">
        <v>277</v>
      </c>
      <c r="B68" t="s">
        <v>185</v>
      </c>
      <c r="C68" t="s">
        <v>117</v>
      </c>
      <c r="D68" s="227">
        <v>0.67087035741944301</v>
      </c>
      <c r="E68" s="227">
        <v>0.50950307201905598</v>
      </c>
      <c r="F68" s="5">
        <v>0.75946576918214204</v>
      </c>
      <c r="G68" s="5">
        <v>0.67087035741944301</v>
      </c>
    </row>
    <row r="69" spans="1:7">
      <c r="A69" t="s">
        <v>277</v>
      </c>
      <c r="B69" t="s">
        <v>344</v>
      </c>
      <c r="C69" t="s">
        <v>117</v>
      </c>
      <c r="D69" s="227">
        <v>0.72176166426667998</v>
      </c>
      <c r="E69" s="227">
        <v>0.61707362974617797</v>
      </c>
      <c r="F69" s="5">
        <v>0.85495484215434603</v>
      </c>
      <c r="G69" s="5">
        <v>0.72176166426667998</v>
      </c>
    </row>
    <row r="70" spans="1:7">
      <c r="A70" t="s">
        <v>277</v>
      </c>
      <c r="B70" t="s">
        <v>345</v>
      </c>
      <c r="C70" t="s">
        <v>117</v>
      </c>
      <c r="D70" s="227">
        <v>0.20149603303092101</v>
      </c>
      <c r="E70" s="227">
        <v>0.18102985900945201</v>
      </c>
      <c r="F70" s="5">
        <v>0.898428898506762</v>
      </c>
      <c r="G70" s="5">
        <v>0.20149603303092101</v>
      </c>
    </row>
    <row r="71" spans="1:7">
      <c r="A71" t="s">
        <v>277</v>
      </c>
      <c r="B71" t="s">
        <v>186</v>
      </c>
      <c r="C71" t="s">
        <v>117</v>
      </c>
      <c r="D71" s="227">
        <v>1.35620510005716</v>
      </c>
      <c r="E71" s="227">
        <v>0.79181566264951597</v>
      </c>
      <c r="F71" s="5">
        <v>0.58384654549384896</v>
      </c>
      <c r="G71" s="5">
        <v>1.35620510005716</v>
      </c>
    </row>
    <row r="72" spans="1:7">
      <c r="A72" t="s">
        <v>277</v>
      </c>
      <c r="B72" t="s">
        <v>346</v>
      </c>
      <c r="C72" t="s">
        <v>117</v>
      </c>
      <c r="D72" s="227">
        <v>0.47663890851968899</v>
      </c>
      <c r="E72" s="227">
        <v>0.44552279421004298</v>
      </c>
      <c r="F72" s="5">
        <v>0.93471763686627196</v>
      </c>
      <c r="G72" s="5">
        <v>0.47663890851968899</v>
      </c>
    </row>
    <row r="73" spans="1:7">
      <c r="A73" t="s">
        <v>277</v>
      </c>
      <c r="B73" t="s">
        <v>347</v>
      </c>
      <c r="C73" t="s">
        <v>117</v>
      </c>
      <c r="D73" s="227">
        <v>0.47207175278274699</v>
      </c>
      <c r="E73" s="227">
        <v>0.44722534621019699</v>
      </c>
      <c r="F73" s="5">
        <v>0.94736730925736201</v>
      </c>
      <c r="G73" s="5">
        <v>0.47207175278274699</v>
      </c>
    </row>
    <row r="74" spans="1:7">
      <c r="A74" t="s">
        <v>277</v>
      </c>
      <c r="B74" t="s">
        <v>348</v>
      </c>
      <c r="C74" t="s">
        <v>117</v>
      </c>
      <c r="D74" s="227">
        <v>0.54805666413161003</v>
      </c>
      <c r="E74" s="227">
        <v>0.412834582868573</v>
      </c>
      <c r="F74" s="5">
        <v>0.753269889570095</v>
      </c>
      <c r="G74" s="5">
        <v>0.54805666413161003</v>
      </c>
    </row>
    <row r="75" spans="1:7">
      <c r="A75" t="s">
        <v>277</v>
      </c>
      <c r="B75" t="s">
        <v>187</v>
      </c>
      <c r="C75" t="s">
        <v>116</v>
      </c>
      <c r="D75" s="227">
        <v>0.65364047817202398</v>
      </c>
      <c r="E75" s="227">
        <v>0.62125682826584405</v>
      </c>
      <c r="F75" s="5">
        <v>0.95045648030130503</v>
      </c>
      <c r="G75" s="5">
        <v>0.65364047817202398</v>
      </c>
    </row>
    <row r="76" spans="1:7">
      <c r="A76" t="s">
        <v>277</v>
      </c>
      <c r="B76" t="s">
        <v>349</v>
      </c>
      <c r="C76" t="s">
        <v>117</v>
      </c>
      <c r="D76" s="227">
        <v>0.53504057756833201</v>
      </c>
      <c r="E76" s="227">
        <v>0.51274749089689498</v>
      </c>
      <c r="F76" s="5">
        <v>0.95833383932718597</v>
      </c>
      <c r="G76" s="5">
        <v>0.53504057756833201</v>
      </c>
    </row>
    <row r="77" spans="1:7">
      <c r="A77" t="s">
        <v>277</v>
      </c>
      <c r="B77" t="s">
        <v>188</v>
      </c>
      <c r="C77" t="s">
        <v>117</v>
      </c>
      <c r="D77" s="227">
        <v>0.224466303894054</v>
      </c>
      <c r="E77" s="227">
        <v>0.224466303894054</v>
      </c>
      <c r="F77" s="5">
        <v>1</v>
      </c>
      <c r="G77" s="5">
        <v>0.224466303894054</v>
      </c>
    </row>
    <row r="78" spans="1:7">
      <c r="A78" t="s">
        <v>277</v>
      </c>
      <c r="B78" t="s">
        <v>189</v>
      </c>
      <c r="C78" t="s">
        <v>117</v>
      </c>
      <c r="D78" s="227">
        <v>0.27941734397501899</v>
      </c>
      <c r="E78" s="227">
        <v>0.27941734397501899</v>
      </c>
      <c r="F78" s="5">
        <v>1</v>
      </c>
      <c r="G78" s="5">
        <v>0.27941734397501899</v>
      </c>
    </row>
    <row r="79" spans="1:7">
      <c r="A79" t="s">
        <v>277</v>
      </c>
      <c r="B79" t="s">
        <v>190</v>
      </c>
      <c r="C79" t="s">
        <v>117</v>
      </c>
      <c r="D79" s="227">
        <v>0.60896394830151501</v>
      </c>
      <c r="E79" s="227">
        <v>0.55358406182678099</v>
      </c>
      <c r="F79" s="5">
        <v>0.90905884226940403</v>
      </c>
      <c r="G79" s="5">
        <v>0.60896394830151501</v>
      </c>
    </row>
    <row r="80" spans="1:7">
      <c r="A80" t="s">
        <v>277</v>
      </c>
      <c r="B80" t="s">
        <v>191</v>
      </c>
      <c r="C80" t="s">
        <v>117</v>
      </c>
      <c r="D80" s="227">
        <v>0.71398142947921595</v>
      </c>
      <c r="E80" s="227">
        <v>0.56199774442640205</v>
      </c>
      <c r="F80" s="5">
        <v>0.78713215949653903</v>
      </c>
      <c r="G80" s="5">
        <v>0.71398142947921694</v>
      </c>
    </row>
    <row r="81" spans="1:7">
      <c r="A81" t="s">
        <v>389</v>
      </c>
      <c r="B81" t="s">
        <v>350</v>
      </c>
      <c r="C81" t="s">
        <v>116</v>
      </c>
      <c r="D81" s="227">
        <v>0.70640262488045902</v>
      </c>
      <c r="E81" s="227">
        <v>0.52900607824502999</v>
      </c>
      <c r="F81" s="5">
        <v>0.74887331900069198</v>
      </c>
      <c r="G81" s="5">
        <v>0.70640262488045902</v>
      </c>
    </row>
    <row r="82" spans="1:7">
      <c r="A82" t="s">
        <v>278</v>
      </c>
      <c r="B82" t="s">
        <v>192</v>
      </c>
      <c r="C82" t="s">
        <v>116</v>
      </c>
      <c r="D82" s="227">
        <v>0.97213098932236497</v>
      </c>
      <c r="E82" s="227">
        <v>0.94853316373446595</v>
      </c>
      <c r="F82" s="5">
        <v>0.97572567293184598</v>
      </c>
      <c r="G82" s="5">
        <v>0.97213098932236497</v>
      </c>
    </row>
    <row r="83" spans="1:7">
      <c r="A83" t="s">
        <v>278</v>
      </c>
      <c r="B83" t="s">
        <v>193</v>
      </c>
      <c r="C83" t="s">
        <v>116</v>
      </c>
      <c r="D83" s="227">
        <v>0.96741201259955401</v>
      </c>
      <c r="E83" s="227">
        <v>0.65480114586506799</v>
      </c>
      <c r="F83" s="5">
        <v>0.67685860557544397</v>
      </c>
      <c r="G83" s="5">
        <v>0.96741201259955401</v>
      </c>
    </row>
    <row r="84" spans="1:7">
      <c r="A84" t="s">
        <v>279</v>
      </c>
      <c r="B84" t="s">
        <v>194</v>
      </c>
      <c r="C84" t="s">
        <v>117</v>
      </c>
      <c r="D84" s="227">
        <v>0.50543090429795001</v>
      </c>
      <c r="E84" s="227">
        <v>0.47638954947083301</v>
      </c>
      <c r="F84" s="5">
        <v>0.94254139471852005</v>
      </c>
      <c r="G84" s="5">
        <v>0.50543090429795001</v>
      </c>
    </row>
    <row r="85" spans="1:7">
      <c r="A85" t="s">
        <v>580</v>
      </c>
      <c r="B85" t="s">
        <v>581</v>
      </c>
      <c r="C85" t="s">
        <v>117</v>
      </c>
      <c r="D85" s="227">
        <v>0.87087843462095904</v>
      </c>
      <c r="E85" s="227">
        <v>0.38000182239726898</v>
      </c>
      <c r="F85" s="5">
        <v>0.43634313044237999</v>
      </c>
      <c r="G85" s="5">
        <v>0.87087843462095904</v>
      </c>
    </row>
    <row r="86" spans="1:7">
      <c r="A86" t="s">
        <v>580</v>
      </c>
      <c r="B86" t="s">
        <v>582</v>
      </c>
      <c r="C86" t="s">
        <v>117</v>
      </c>
      <c r="D86" s="227">
        <v>0.88032007867448803</v>
      </c>
      <c r="E86" s="227">
        <v>0.38292514816187201</v>
      </c>
      <c r="F86" s="5">
        <v>0.43498399893189799</v>
      </c>
      <c r="G86" s="5">
        <v>0.88032007867448703</v>
      </c>
    </row>
    <row r="87" spans="1:7">
      <c r="A87" t="s">
        <v>580</v>
      </c>
      <c r="B87" t="s">
        <v>583</v>
      </c>
      <c r="C87" t="s">
        <v>117</v>
      </c>
      <c r="D87" s="227">
        <v>0.88422439164672195</v>
      </c>
      <c r="E87" s="227">
        <v>0.37780035130731798</v>
      </c>
      <c r="F87" s="5">
        <v>0.42726750684147902</v>
      </c>
      <c r="G87" s="5">
        <v>0.88422439164672195</v>
      </c>
    </row>
    <row r="88" spans="1:7">
      <c r="A88" t="s">
        <v>580</v>
      </c>
      <c r="B88" t="s">
        <v>584</v>
      </c>
      <c r="C88" t="s">
        <v>117</v>
      </c>
      <c r="D88" s="227">
        <v>0.73766267428839905</v>
      </c>
      <c r="E88" s="227">
        <v>0.31233094487756302</v>
      </c>
      <c r="F88" s="5">
        <v>0.42340619332387802</v>
      </c>
      <c r="G88" s="5">
        <v>0.73766267428839905</v>
      </c>
    </row>
    <row r="89" spans="1:7" s="19" customFormat="1">
      <c r="A89" t="s">
        <v>580</v>
      </c>
      <c r="B89" t="s">
        <v>585</v>
      </c>
      <c r="C89" t="s">
        <v>117</v>
      </c>
      <c r="D89" s="227">
        <v>0.84455136805770303</v>
      </c>
      <c r="E89" s="227">
        <v>0.35258548060702199</v>
      </c>
      <c r="F89" s="5">
        <v>0.417482575888661</v>
      </c>
      <c r="G89" s="5">
        <v>0.84455136805770303</v>
      </c>
    </row>
    <row r="90" spans="1:7" s="19" customFormat="1">
      <c r="A90" t="s">
        <v>607</v>
      </c>
      <c r="B90" t="s">
        <v>608</v>
      </c>
      <c r="C90" t="s">
        <v>117</v>
      </c>
      <c r="D90" s="227">
        <v>0.46969191580464598</v>
      </c>
      <c r="E90" s="227">
        <v>0.46969191580464598</v>
      </c>
      <c r="F90" s="5">
        <v>1</v>
      </c>
      <c r="G90" s="5">
        <v>0.46969191580464598</v>
      </c>
    </row>
    <row r="91" spans="1:7" s="19" customFormat="1">
      <c r="A91" t="s">
        <v>607</v>
      </c>
      <c r="B91" t="s">
        <v>1055</v>
      </c>
      <c r="C91" t="s">
        <v>117</v>
      </c>
      <c r="D91" s="227">
        <v>0.401439595096163</v>
      </c>
      <c r="E91" s="227">
        <v>0.21014009032898301</v>
      </c>
      <c r="F91" s="5">
        <v>0.52346627710862603</v>
      </c>
      <c r="G91" s="5">
        <v>0.401439595096163</v>
      </c>
    </row>
    <row r="92" spans="1:7" s="19" customFormat="1">
      <c r="A92" t="s">
        <v>607</v>
      </c>
      <c r="B92" t="s">
        <v>1057</v>
      </c>
      <c r="C92" t="s">
        <v>117</v>
      </c>
      <c r="D92" s="227">
        <v>0.26906971970257798</v>
      </c>
      <c r="E92" s="227">
        <v>8.6288381472807693E-2</v>
      </c>
      <c r="F92" s="5">
        <v>0.32069153514631199</v>
      </c>
      <c r="G92" s="5">
        <v>0.26906971970257798</v>
      </c>
    </row>
    <row r="93" spans="1:7">
      <c r="A93" t="s">
        <v>607</v>
      </c>
      <c r="B93" t="s">
        <v>610</v>
      </c>
      <c r="C93" t="s">
        <v>117</v>
      </c>
      <c r="D93" s="227">
        <v>0.41747763971373802</v>
      </c>
      <c r="E93" s="227">
        <v>0.40560049697467399</v>
      </c>
      <c r="F93" s="5">
        <v>0.97155023021782005</v>
      </c>
      <c r="G93" s="5">
        <v>0.41747763971373802</v>
      </c>
    </row>
    <row r="94" spans="1:7">
      <c r="A94" t="s">
        <v>607</v>
      </c>
      <c r="B94" t="s">
        <v>611</v>
      </c>
      <c r="C94" t="s">
        <v>117</v>
      </c>
      <c r="D94" s="227">
        <v>0.230053224481052</v>
      </c>
      <c r="E94" s="227">
        <v>0.215186119239136</v>
      </c>
      <c r="F94" s="5">
        <v>0.93537536682890199</v>
      </c>
      <c r="G94" s="5">
        <v>0.230053224481052</v>
      </c>
    </row>
    <row r="95" spans="1:7">
      <c r="A95" t="s">
        <v>607</v>
      </c>
      <c r="B95" t="s">
        <v>1059</v>
      </c>
      <c r="C95" t="s">
        <v>117</v>
      </c>
      <c r="D95" s="227">
        <v>0.51254734951941205</v>
      </c>
      <c r="E95" s="227">
        <v>0.41675742945286798</v>
      </c>
      <c r="F95" s="5">
        <v>0.81311010552222795</v>
      </c>
      <c r="G95" s="5">
        <v>0.51254734951941205</v>
      </c>
    </row>
    <row r="96" spans="1:7">
      <c r="A96" t="s">
        <v>607</v>
      </c>
      <c r="B96" t="s">
        <v>1061</v>
      </c>
      <c r="C96" t="s">
        <v>117</v>
      </c>
      <c r="D96" s="227">
        <v>0.31236713192999899</v>
      </c>
      <c r="E96" s="227">
        <v>0.13923999213445901</v>
      </c>
      <c r="F96" s="5">
        <v>0.445757501034593</v>
      </c>
      <c r="G96" s="5">
        <v>0.31236713192999899</v>
      </c>
    </row>
    <row r="97" spans="1:7">
      <c r="A97" t="s">
        <v>607</v>
      </c>
      <c r="B97" t="s">
        <v>612</v>
      </c>
      <c r="C97" t="s">
        <v>117</v>
      </c>
      <c r="D97" s="227">
        <v>0.201314074436476</v>
      </c>
      <c r="E97" s="227">
        <v>0.17816830983898399</v>
      </c>
      <c r="F97" s="5">
        <v>0.88502659507397796</v>
      </c>
      <c r="G97" s="5">
        <v>0.201314074436476</v>
      </c>
    </row>
    <row r="98" spans="1:7">
      <c r="A98" t="s">
        <v>280</v>
      </c>
      <c r="B98" t="s">
        <v>195</v>
      </c>
      <c r="C98" t="s">
        <v>117</v>
      </c>
      <c r="D98" s="227">
        <v>0.831638832723123</v>
      </c>
      <c r="E98" s="227">
        <v>0.456324228374969</v>
      </c>
      <c r="F98" s="5">
        <v>0.54870481081406297</v>
      </c>
      <c r="G98" s="5">
        <v>0.831638832723123</v>
      </c>
    </row>
    <row r="99" spans="1:7">
      <c r="A99" t="s">
        <v>280</v>
      </c>
      <c r="B99" t="s">
        <v>196</v>
      </c>
      <c r="C99" t="s">
        <v>117</v>
      </c>
      <c r="D99" s="227">
        <v>0.70563298274697905</v>
      </c>
      <c r="E99" s="227">
        <v>0.43819867596783302</v>
      </c>
      <c r="F99" s="5">
        <v>0.621000841346669</v>
      </c>
      <c r="G99" s="5">
        <v>0.70563298274697905</v>
      </c>
    </row>
    <row r="100" spans="1:7">
      <c r="A100" t="s">
        <v>280</v>
      </c>
      <c r="B100" t="s">
        <v>197</v>
      </c>
      <c r="C100" t="s">
        <v>117</v>
      </c>
      <c r="D100" s="227">
        <v>0.805484260394987</v>
      </c>
      <c r="E100" s="227">
        <v>0.450616129478773</v>
      </c>
      <c r="F100" s="5">
        <v>0.55943505247117198</v>
      </c>
      <c r="G100" s="5">
        <v>0.805484260394987</v>
      </c>
    </row>
    <row r="101" spans="1:7">
      <c r="A101" t="s">
        <v>280</v>
      </c>
      <c r="B101" t="s">
        <v>198</v>
      </c>
      <c r="C101" t="s">
        <v>117</v>
      </c>
      <c r="D101" s="227">
        <v>0.77193386156633303</v>
      </c>
      <c r="E101" s="227">
        <v>0.37383306642319403</v>
      </c>
      <c r="F101" s="5">
        <v>0.48428121246637401</v>
      </c>
      <c r="G101" s="5">
        <v>0.77193386156633303</v>
      </c>
    </row>
    <row r="102" spans="1:7">
      <c r="A102" t="s">
        <v>281</v>
      </c>
      <c r="B102" t="s">
        <v>614</v>
      </c>
      <c r="C102" t="s">
        <v>117</v>
      </c>
      <c r="D102" s="227">
        <v>0.86965263445554497</v>
      </c>
      <c r="E102" s="227">
        <v>0.57101554678453903</v>
      </c>
      <c r="F102" s="5">
        <v>0.65660187086310595</v>
      </c>
      <c r="G102" s="5">
        <v>0.86965263445554497</v>
      </c>
    </row>
    <row r="103" spans="1:7">
      <c r="A103" t="s">
        <v>281</v>
      </c>
      <c r="B103" t="s">
        <v>616</v>
      </c>
      <c r="C103" t="s">
        <v>117</v>
      </c>
      <c r="D103" s="227">
        <v>0.84299161772370201</v>
      </c>
      <c r="E103" s="227">
        <v>0.55327626879365499</v>
      </c>
      <c r="F103" s="5">
        <v>0.65632475716383198</v>
      </c>
      <c r="G103" s="5">
        <v>0.84299161772370201</v>
      </c>
    </row>
    <row r="104" spans="1:7">
      <c r="A104" t="s">
        <v>281</v>
      </c>
      <c r="B104" t="s">
        <v>199</v>
      </c>
      <c r="C104" t="s">
        <v>117</v>
      </c>
      <c r="D104" s="227">
        <v>0.89866152539213395</v>
      </c>
      <c r="E104" s="227">
        <v>0.58895002678564001</v>
      </c>
      <c r="F104" s="5">
        <v>0.65536357142768498</v>
      </c>
      <c r="G104" s="5">
        <v>0.89866152539213395</v>
      </c>
    </row>
    <row r="105" spans="1:7">
      <c r="A105" t="s">
        <v>34</v>
      </c>
      <c r="B105" t="s">
        <v>35</v>
      </c>
      <c r="C105" t="s">
        <v>117</v>
      </c>
      <c r="D105" s="227">
        <v>0.69791213315878198</v>
      </c>
      <c r="E105" s="227">
        <v>0.65791621776480003</v>
      </c>
      <c r="F105" s="5">
        <v>0.94269204747457502</v>
      </c>
      <c r="G105" s="5">
        <v>0.69791213315878198</v>
      </c>
    </row>
    <row r="106" spans="1:7">
      <c r="A106" t="s">
        <v>34</v>
      </c>
      <c r="B106" t="s">
        <v>475</v>
      </c>
      <c r="C106" t="s">
        <v>117</v>
      </c>
      <c r="D106" s="227">
        <v>0.61468523390471197</v>
      </c>
      <c r="E106" s="227">
        <v>0.362357998997486</v>
      </c>
      <c r="F106" s="5">
        <v>0.58950171406534602</v>
      </c>
      <c r="G106" s="5">
        <v>0.61468523390471197</v>
      </c>
    </row>
    <row r="107" spans="1:7">
      <c r="A107" t="s">
        <v>34</v>
      </c>
      <c r="B107" t="s">
        <v>36</v>
      </c>
      <c r="C107" t="s">
        <v>117</v>
      </c>
      <c r="D107" s="227">
        <v>0.68984594253015896</v>
      </c>
      <c r="E107" s="227">
        <v>0.62847569221279898</v>
      </c>
      <c r="F107" s="5">
        <v>0.91103774548231597</v>
      </c>
      <c r="G107" s="5">
        <v>0.68984594253015896</v>
      </c>
    </row>
    <row r="108" spans="1:7">
      <c r="A108" t="s">
        <v>34</v>
      </c>
      <c r="B108" t="s">
        <v>37</v>
      </c>
      <c r="C108" t="s">
        <v>117</v>
      </c>
      <c r="D108" s="227">
        <v>0.67991820921729396</v>
      </c>
      <c r="E108" s="227">
        <v>0.64177887520516796</v>
      </c>
      <c r="F108" s="5">
        <v>0.94390599708157497</v>
      </c>
      <c r="G108" s="5">
        <v>0.67991820921729296</v>
      </c>
    </row>
    <row r="109" spans="1:7">
      <c r="A109" t="s">
        <v>34</v>
      </c>
      <c r="B109" t="s">
        <v>1065</v>
      </c>
      <c r="C109" t="s">
        <v>117</v>
      </c>
      <c r="D109" s="227">
        <v>0.52126548654348004</v>
      </c>
      <c r="E109" s="227">
        <v>0.51530007067074601</v>
      </c>
      <c r="F109" s="5">
        <v>0.98855589708750702</v>
      </c>
      <c r="G109" s="5">
        <v>0.52126548654348004</v>
      </c>
    </row>
    <row r="110" spans="1:7">
      <c r="A110" t="s">
        <v>34</v>
      </c>
      <c r="B110" t="s">
        <v>351</v>
      </c>
      <c r="C110" t="s">
        <v>117</v>
      </c>
      <c r="D110" s="227">
        <v>0.67772982374992397</v>
      </c>
      <c r="E110" s="227">
        <v>0.65106525812422</v>
      </c>
      <c r="F110" s="5">
        <v>0.96065605394467202</v>
      </c>
      <c r="G110" s="5">
        <v>0.67772982374992397</v>
      </c>
    </row>
    <row r="111" spans="1:7">
      <c r="A111" t="s">
        <v>34</v>
      </c>
      <c r="B111" t="s">
        <v>408</v>
      </c>
      <c r="C111" t="s">
        <v>117</v>
      </c>
      <c r="D111" s="227">
        <v>0.72280802152766999</v>
      </c>
      <c r="E111" s="227">
        <v>0.63988473619869901</v>
      </c>
      <c r="F111" s="5">
        <v>0.88527619663972401</v>
      </c>
      <c r="G111" s="5">
        <v>0.72280802152766999</v>
      </c>
    </row>
    <row r="112" spans="1:7">
      <c r="A112" t="s">
        <v>34</v>
      </c>
      <c r="B112" t="s">
        <v>409</v>
      </c>
      <c r="C112" t="s">
        <v>117</v>
      </c>
      <c r="D112" s="227">
        <v>0.670825251441166</v>
      </c>
      <c r="E112" s="227">
        <v>0.65132962592807597</v>
      </c>
      <c r="F112" s="5">
        <v>0.97093784786543702</v>
      </c>
      <c r="G112" s="5">
        <v>0.670825251441166</v>
      </c>
    </row>
    <row r="113" spans="1:7">
      <c r="A113" t="s">
        <v>34</v>
      </c>
      <c r="B113" t="s">
        <v>38</v>
      </c>
      <c r="C113" t="s">
        <v>117</v>
      </c>
      <c r="D113" s="227">
        <v>0.700765931379558</v>
      </c>
      <c r="E113" s="227">
        <v>0.67255340135324204</v>
      </c>
      <c r="F113" s="5">
        <v>0.95974043719451996</v>
      </c>
      <c r="G113" s="5">
        <v>0.700765931379559</v>
      </c>
    </row>
    <row r="114" spans="1:7">
      <c r="A114" t="s">
        <v>34</v>
      </c>
      <c r="B114" t="s">
        <v>39</v>
      </c>
      <c r="C114" t="s">
        <v>117</v>
      </c>
      <c r="D114" s="227">
        <v>0.72624442265574096</v>
      </c>
      <c r="E114" s="227">
        <v>0.70162265510676103</v>
      </c>
      <c r="F114" s="5">
        <v>0.96609713371850303</v>
      </c>
      <c r="G114" s="5">
        <v>0.72624442265574096</v>
      </c>
    </row>
    <row r="115" spans="1:7">
      <c r="A115" t="s">
        <v>34</v>
      </c>
      <c r="B115" t="s">
        <v>476</v>
      </c>
      <c r="C115" t="s">
        <v>117</v>
      </c>
      <c r="D115" s="227">
        <v>0.468896512795557</v>
      </c>
      <c r="E115" s="227">
        <v>0.16445071581503801</v>
      </c>
      <c r="F115" s="5">
        <v>0.35071857292046099</v>
      </c>
      <c r="G115" s="5">
        <v>0.468896512795556</v>
      </c>
    </row>
    <row r="116" spans="1:7">
      <c r="A116" t="s">
        <v>34</v>
      </c>
      <c r="B116" t="s">
        <v>40</v>
      </c>
      <c r="C116" t="s">
        <v>117</v>
      </c>
      <c r="D116" s="227">
        <v>0.64303485256234205</v>
      </c>
      <c r="E116" s="227">
        <v>0.62483190124704602</v>
      </c>
      <c r="F116" s="5">
        <v>0.97169212330752897</v>
      </c>
      <c r="G116" s="5">
        <v>0.64303485256234205</v>
      </c>
    </row>
    <row r="117" spans="1:7">
      <c r="A117" t="s">
        <v>34</v>
      </c>
      <c r="B117" t="s">
        <v>41</v>
      </c>
      <c r="C117" t="s">
        <v>117</v>
      </c>
      <c r="D117" s="227">
        <v>0.323222814730041</v>
      </c>
      <c r="E117" s="227">
        <v>0.27263488311877698</v>
      </c>
      <c r="F117" s="5">
        <v>0.84348898250417403</v>
      </c>
      <c r="G117" s="5">
        <v>0.323222814730041</v>
      </c>
    </row>
    <row r="118" spans="1:7">
      <c r="A118" t="s">
        <v>282</v>
      </c>
      <c r="B118" t="s">
        <v>200</v>
      </c>
      <c r="C118" t="s">
        <v>117</v>
      </c>
      <c r="D118" s="227">
        <v>0.83576677088260898</v>
      </c>
      <c r="E118" s="227">
        <v>0.62828906551983199</v>
      </c>
      <c r="F118" s="5">
        <v>0.75175166973476204</v>
      </c>
      <c r="G118" s="5">
        <v>0.83576677088260898</v>
      </c>
    </row>
    <row r="119" spans="1:7">
      <c r="A119" t="s">
        <v>282</v>
      </c>
      <c r="B119" t="s">
        <v>201</v>
      </c>
      <c r="C119" t="s">
        <v>117</v>
      </c>
      <c r="D119" s="227">
        <v>0.76471481949488296</v>
      </c>
      <c r="E119" s="227">
        <v>0.63321189347018303</v>
      </c>
      <c r="F119" s="5">
        <v>0.828036644939663</v>
      </c>
      <c r="G119" s="5">
        <v>0.76471481949488296</v>
      </c>
    </row>
    <row r="120" spans="1:7">
      <c r="A120" t="s">
        <v>282</v>
      </c>
      <c r="B120" t="s">
        <v>618</v>
      </c>
      <c r="C120" t="s">
        <v>117</v>
      </c>
      <c r="D120" s="227">
        <v>0.70332977837178601</v>
      </c>
      <c r="E120" s="227">
        <v>0.42395291762165999</v>
      </c>
      <c r="F120" s="5">
        <v>0.60277970684408499</v>
      </c>
      <c r="G120" s="5">
        <v>0.70332977837178601</v>
      </c>
    </row>
    <row r="121" spans="1:7">
      <c r="A121" t="s">
        <v>282</v>
      </c>
      <c r="B121" t="s">
        <v>202</v>
      </c>
      <c r="C121" t="s">
        <v>117</v>
      </c>
      <c r="D121" s="227">
        <v>0.73259786576141095</v>
      </c>
      <c r="E121" s="227">
        <v>0.51459965435691102</v>
      </c>
      <c r="F121" s="5">
        <v>0.70243127697631502</v>
      </c>
      <c r="G121" s="5">
        <v>0.73259786576141095</v>
      </c>
    </row>
    <row r="122" spans="1:7">
      <c r="A122" t="s">
        <v>282</v>
      </c>
      <c r="B122" t="s">
        <v>203</v>
      </c>
      <c r="C122" t="s">
        <v>117</v>
      </c>
      <c r="D122" s="227">
        <v>0.735187912102922</v>
      </c>
      <c r="E122" s="227">
        <v>0.44256087853590897</v>
      </c>
      <c r="F122" s="5">
        <v>0.60196974304163098</v>
      </c>
      <c r="G122" s="5">
        <v>0.735187912102922</v>
      </c>
    </row>
    <row r="123" spans="1:7">
      <c r="A123" t="s">
        <v>282</v>
      </c>
      <c r="B123" t="s">
        <v>204</v>
      </c>
      <c r="C123" t="s">
        <v>117</v>
      </c>
      <c r="D123" s="227">
        <v>0.69066922649057505</v>
      </c>
      <c r="E123" s="227">
        <v>0.59461196376369496</v>
      </c>
      <c r="F123" s="5">
        <v>0.86092146711825301</v>
      </c>
      <c r="G123" s="5">
        <v>0.69066922649057505</v>
      </c>
    </row>
    <row r="124" spans="1:7">
      <c r="A124" t="s">
        <v>282</v>
      </c>
      <c r="B124" t="s">
        <v>205</v>
      </c>
      <c r="C124" t="s">
        <v>117</v>
      </c>
      <c r="D124" s="227">
        <v>0.586539472270724</v>
      </c>
      <c r="E124" s="227">
        <v>0.485911924737993</v>
      </c>
      <c r="F124" s="5">
        <v>0.82843857525366105</v>
      </c>
      <c r="G124" s="5">
        <v>0.586539472270724</v>
      </c>
    </row>
    <row r="125" spans="1:7">
      <c r="A125" t="s">
        <v>283</v>
      </c>
      <c r="B125" t="s">
        <v>206</v>
      </c>
      <c r="C125" t="s">
        <v>116</v>
      </c>
      <c r="D125" s="227">
        <v>0.93872512162905697</v>
      </c>
      <c r="E125" s="227">
        <v>0.90118631010305195</v>
      </c>
      <c r="F125" s="5">
        <v>0.96001085870498404</v>
      </c>
      <c r="G125" s="5">
        <v>0.93872512162905697</v>
      </c>
    </row>
    <row r="126" spans="1:7">
      <c r="A126" t="s">
        <v>283</v>
      </c>
      <c r="B126" t="s">
        <v>207</v>
      </c>
      <c r="C126" t="s">
        <v>116</v>
      </c>
      <c r="D126" s="227">
        <v>0.89996246504711197</v>
      </c>
      <c r="E126" s="227">
        <v>0.86826852781185304</v>
      </c>
      <c r="F126" s="5">
        <v>0.96478304544223503</v>
      </c>
      <c r="G126" s="5">
        <v>0.89996246504711197</v>
      </c>
    </row>
    <row r="127" spans="1:7">
      <c r="A127" t="s">
        <v>283</v>
      </c>
      <c r="B127" t="s">
        <v>208</v>
      </c>
      <c r="C127" t="s">
        <v>116</v>
      </c>
      <c r="D127" s="227">
        <v>0.96965668233925395</v>
      </c>
      <c r="E127" s="227">
        <v>0.64804270992954904</v>
      </c>
      <c r="F127" s="5">
        <v>0.66832181093845999</v>
      </c>
      <c r="G127" s="5">
        <v>0.96965668233925495</v>
      </c>
    </row>
    <row r="128" spans="1:7">
      <c r="A128" t="s">
        <v>284</v>
      </c>
      <c r="B128" t="s">
        <v>209</v>
      </c>
      <c r="C128" t="s">
        <v>117</v>
      </c>
      <c r="D128" s="227">
        <v>0.73982258355155095</v>
      </c>
      <c r="E128" s="227">
        <v>0.29091516661309302</v>
      </c>
      <c r="F128" s="5">
        <v>0.39322287948624401</v>
      </c>
      <c r="G128" s="5">
        <v>0.73982258355154995</v>
      </c>
    </row>
    <row r="129" spans="1:7">
      <c r="A129" t="s">
        <v>284</v>
      </c>
      <c r="B129" t="s">
        <v>210</v>
      </c>
      <c r="C129" t="s">
        <v>117</v>
      </c>
      <c r="D129" s="227">
        <v>0.76504270786315498</v>
      </c>
      <c r="E129" s="227">
        <v>0.46464327830749702</v>
      </c>
      <c r="F129" s="5">
        <v>0.60734292808998103</v>
      </c>
      <c r="G129" s="5">
        <v>0.76504270786315498</v>
      </c>
    </row>
    <row r="130" spans="1:7">
      <c r="A130" t="s">
        <v>285</v>
      </c>
      <c r="B130" t="s">
        <v>352</v>
      </c>
      <c r="C130" t="s">
        <v>117</v>
      </c>
      <c r="D130" s="227">
        <v>0.65032934069454296</v>
      </c>
      <c r="E130" s="227">
        <v>0.57947635966224098</v>
      </c>
      <c r="F130" s="5">
        <v>0.89105061605150404</v>
      </c>
      <c r="G130" s="5">
        <v>0.65032934069454396</v>
      </c>
    </row>
    <row r="131" spans="1:7">
      <c r="A131" t="s">
        <v>284</v>
      </c>
      <c r="B131" t="s">
        <v>211</v>
      </c>
      <c r="C131" t="s">
        <v>117</v>
      </c>
      <c r="D131" s="227">
        <v>0.73497822455761597</v>
      </c>
      <c r="E131" s="227">
        <v>0.70675276346560101</v>
      </c>
      <c r="F131" s="5">
        <v>0.961596874371341</v>
      </c>
      <c r="G131" s="5">
        <v>0.73497822455761597</v>
      </c>
    </row>
    <row r="132" spans="1:7">
      <c r="A132" t="s">
        <v>284</v>
      </c>
      <c r="B132" t="s">
        <v>212</v>
      </c>
      <c r="C132" t="s">
        <v>117</v>
      </c>
      <c r="D132" s="227">
        <v>0.70040659350780199</v>
      </c>
      <c r="E132" s="227">
        <v>0.60510627661946903</v>
      </c>
      <c r="F132" s="5">
        <v>0.86393572280488296</v>
      </c>
      <c r="G132" s="5">
        <v>0.70040659350780199</v>
      </c>
    </row>
    <row r="133" spans="1:7">
      <c r="A133" t="s">
        <v>284</v>
      </c>
      <c r="B133" t="s">
        <v>213</v>
      </c>
      <c r="C133" t="s">
        <v>117</v>
      </c>
      <c r="D133" s="227">
        <v>0.75220695392370795</v>
      </c>
      <c r="E133" s="227">
        <v>0.46121682250229101</v>
      </c>
      <c r="F133" s="5">
        <v>0.61315150052317902</v>
      </c>
      <c r="G133" s="5">
        <v>0.75220695392370795</v>
      </c>
    </row>
    <row r="134" spans="1:7">
      <c r="A134" t="s">
        <v>284</v>
      </c>
      <c r="B134" t="s">
        <v>214</v>
      </c>
      <c r="C134" t="s">
        <v>117</v>
      </c>
      <c r="D134" s="227">
        <v>0.67653262234746003</v>
      </c>
      <c r="E134" s="227">
        <v>0.34717171017358001</v>
      </c>
      <c r="F134" s="5">
        <v>0.51316329576088904</v>
      </c>
      <c r="G134" s="5">
        <v>0.67653262234746103</v>
      </c>
    </row>
    <row r="135" spans="1:7">
      <c r="A135" t="s">
        <v>284</v>
      </c>
      <c r="B135" t="s">
        <v>215</v>
      </c>
      <c r="C135" t="s">
        <v>117</v>
      </c>
      <c r="D135" s="227">
        <v>0.80169427576318997</v>
      </c>
      <c r="E135" s="227">
        <v>0.47951681135850499</v>
      </c>
      <c r="F135" s="5">
        <v>0.59812926929286003</v>
      </c>
      <c r="G135" s="5">
        <v>0.80169427576318997</v>
      </c>
    </row>
    <row r="136" spans="1:7">
      <c r="A136" t="s">
        <v>284</v>
      </c>
      <c r="B136" t="s">
        <v>216</v>
      </c>
      <c r="C136" t="s">
        <v>117</v>
      </c>
      <c r="D136" s="227">
        <v>0.84205091275747401</v>
      </c>
      <c r="E136" s="227">
        <v>0.442868974645237</v>
      </c>
      <c r="F136" s="5">
        <v>0.52594085219261699</v>
      </c>
      <c r="G136" s="5">
        <v>0.84205091275747401</v>
      </c>
    </row>
    <row r="137" spans="1:7">
      <c r="A137" t="s">
        <v>285</v>
      </c>
      <c r="B137" t="s">
        <v>217</v>
      </c>
      <c r="C137" t="s">
        <v>117</v>
      </c>
      <c r="D137" s="227">
        <v>0.74442894167679696</v>
      </c>
      <c r="E137" s="227">
        <v>0.69047472244961505</v>
      </c>
      <c r="F137" s="5">
        <v>0.92752267381537801</v>
      </c>
      <c r="G137" s="5">
        <v>0.74442894167679696</v>
      </c>
    </row>
    <row r="138" spans="1:7">
      <c r="A138" t="s">
        <v>286</v>
      </c>
      <c r="B138" t="s">
        <v>218</v>
      </c>
      <c r="C138" t="s">
        <v>116</v>
      </c>
      <c r="D138" s="227">
        <v>0.96495078489566699</v>
      </c>
      <c r="E138" s="227">
        <v>0.78086425259130399</v>
      </c>
      <c r="F138" s="5">
        <v>0.80922702464637397</v>
      </c>
      <c r="G138" s="5">
        <v>0.96495078489566699</v>
      </c>
    </row>
    <row r="139" spans="1:7">
      <c r="A139" t="s">
        <v>286</v>
      </c>
      <c r="B139" t="s">
        <v>219</v>
      </c>
      <c r="C139" t="s">
        <v>116</v>
      </c>
      <c r="D139" s="227">
        <v>0.96044261801724096</v>
      </c>
      <c r="E139" s="227">
        <v>0.81121527408397398</v>
      </c>
      <c r="F139" s="5">
        <v>0.844626486649109</v>
      </c>
      <c r="G139" s="5">
        <v>0.96044261801724096</v>
      </c>
    </row>
    <row r="140" spans="1:7">
      <c r="A140" t="s">
        <v>286</v>
      </c>
      <c r="B140" t="s">
        <v>1071</v>
      </c>
      <c r="C140" t="s">
        <v>117</v>
      </c>
      <c r="D140" s="227">
        <v>8.5276533750033492E-3</v>
      </c>
      <c r="E140" s="227">
        <v>8.3539648394241606E-3</v>
      </c>
      <c r="F140" s="5">
        <v>0.979632317597675</v>
      </c>
      <c r="G140" s="5">
        <v>8.5276533750033405E-3</v>
      </c>
    </row>
    <row r="141" spans="1:7">
      <c r="A141" t="s">
        <v>388</v>
      </c>
      <c r="B141" t="s">
        <v>353</v>
      </c>
      <c r="C141" t="s">
        <v>117</v>
      </c>
      <c r="D141" s="227">
        <v>0.84468501981106703</v>
      </c>
      <c r="E141" s="227">
        <v>0.49529374306982399</v>
      </c>
      <c r="F141" s="5">
        <v>0.58636501352966697</v>
      </c>
      <c r="G141" s="5">
        <v>0.84468501981106703</v>
      </c>
    </row>
    <row r="142" spans="1:7">
      <c r="A142" t="s">
        <v>620</v>
      </c>
      <c r="B142" t="s">
        <v>621</v>
      </c>
      <c r="C142" t="s">
        <v>116</v>
      </c>
      <c r="D142" s="227">
        <v>0.98836980918681805</v>
      </c>
      <c r="E142" s="227">
        <v>0.50011794786589903</v>
      </c>
      <c r="F142" s="5">
        <v>0.50600285765241204</v>
      </c>
      <c r="G142" s="5">
        <v>0.98836980918681705</v>
      </c>
    </row>
    <row r="143" spans="1:7">
      <c r="A143" t="s">
        <v>392</v>
      </c>
      <c r="B143" t="s">
        <v>395</v>
      </c>
      <c r="C143" t="s">
        <v>117</v>
      </c>
      <c r="D143" s="227">
        <v>0.70606993728663503</v>
      </c>
      <c r="E143" s="227">
        <v>0.63581608570579096</v>
      </c>
      <c r="F143" s="5">
        <v>0.90050015179682796</v>
      </c>
      <c r="G143" s="5">
        <v>0.70606993728663503</v>
      </c>
    </row>
    <row r="144" spans="1:7">
      <c r="A144" t="s">
        <v>392</v>
      </c>
      <c r="B144" t="s">
        <v>354</v>
      </c>
      <c r="C144" t="s">
        <v>117</v>
      </c>
      <c r="D144" s="227">
        <v>0.65616708855248096</v>
      </c>
      <c r="E144" s="227">
        <v>0.59158028879636304</v>
      </c>
      <c r="F144" s="5">
        <v>0.90156958359707096</v>
      </c>
      <c r="G144" s="5">
        <v>0.65616708855248096</v>
      </c>
    </row>
    <row r="145" spans="1:7">
      <c r="A145" t="s">
        <v>392</v>
      </c>
      <c r="B145" t="s">
        <v>355</v>
      </c>
      <c r="C145" t="s">
        <v>117</v>
      </c>
      <c r="D145" s="227">
        <v>0.66108166831238602</v>
      </c>
      <c r="E145" s="227">
        <v>0.57624799696583195</v>
      </c>
      <c r="F145" s="5">
        <v>0.871674445968048</v>
      </c>
      <c r="G145" s="5">
        <v>0.66108166831238502</v>
      </c>
    </row>
    <row r="146" spans="1:7">
      <c r="A146" t="s">
        <v>392</v>
      </c>
      <c r="B146" t="s">
        <v>356</v>
      </c>
      <c r="C146" t="s">
        <v>117</v>
      </c>
      <c r="D146" s="227">
        <v>0.64093834823954499</v>
      </c>
      <c r="E146" s="227">
        <v>0.54529504559861897</v>
      </c>
      <c r="F146" s="5">
        <v>0.85077612705866701</v>
      </c>
      <c r="G146" s="5">
        <v>0.64093834823954499</v>
      </c>
    </row>
    <row r="147" spans="1:7">
      <c r="A147" t="s">
        <v>392</v>
      </c>
      <c r="B147" t="s">
        <v>1263</v>
      </c>
      <c r="C147" t="s">
        <v>117</v>
      </c>
      <c r="D147" s="227">
        <v>0.30293753222432701</v>
      </c>
      <c r="E147" s="227">
        <v>0.27236253405417898</v>
      </c>
      <c r="F147" s="5">
        <v>0.89907160745104697</v>
      </c>
      <c r="G147" s="5">
        <v>0.30293753222432701</v>
      </c>
    </row>
    <row r="148" spans="1:7">
      <c r="A148" t="s">
        <v>42</v>
      </c>
      <c r="B148" t="s">
        <v>43</v>
      </c>
      <c r="C148" t="s">
        <v>116</v>
      </c>
      <c r="D148" s="227">
        <v>0.73099156580236901</v>
      </c>
      <c r="E148" s="227">
        <v>0.43376973284760201</v>
      </c>
      <c r="F148" s="5">
        <v>0.59339909397104595</v>
      </c>
      <c r="G148" s="5">
        <v>0.73099156580236901</v>
      </c>
    </row>
    <row r="149" spans="1:7">
      <c r="A149" t="s">
        <v>42</v>
      </c>
      <c r="B149" t="s">
        <v>44</v>
      </c>
      <c r="C149" t="s">
        <v>116</v>
      </c>
      <c r="D149" s="227">
        <v>0.631555582681816</v>
      </c>
      <c r="E149" s="227">
        <v>0.49094048838797799</v>
      </c>
      <c r="F149" s="5">
        <v>0.77735119734555302</v>
      </c>
      <c r="G149" s="5">
        <v>0.631555582681816</v>
      </c>
    </row>
    <row r="150" spans="1:7">
      <c r="A150" t="s">
        <v>42</v>
      </c>
      <c r="B150" t="s">
        <v>45</v>
      </c>
      <c r="C150" t="s">
        <v>116</v>
      </c>
      <c r="D150" s="227">
        <v>0.61421686533443498</v>
      </c>
      <c r="E150" s="227">
        <v>0.397258652094718</v>
      </c>
      <c r="F150" s="5">
        <v>0.64677262139067804</v>
      </c>
      <c r="G150" s="5">
        <v>0.61421686533443598</v>
      </c>
    </row>
    <row r="151" spans="1:7">
      <c r="A151" t="s">
        <v>804</v>
      </c>
      <c r="B151" t="s">
        <v>805</v>
      </c>
      <c r="C151" t="s">
        <v>116</v>
      </c>
      <c r="D151" s="227">
        <v>0.87936999627341905</v>
      </c>
      <c r="E151" s="227">
        <v>0.402146563872817</v>
      </c>
      <c r="F151" s="5">
        <v>0.45731212751973299</v>
      </c>
      <c r="G151" s="5">
        <v>0.87936999627341905</v>
      </c>
    </row>
    <row r="152" spans="1:7">
      <c r="A152" t="s">
        <v>382</v>
      </c>
      <c r="B152" t="s">
        <v>807</v>
      </c>
      <c r="C152" t="s">
        <v>117</v>
      </c>
      <c r="D152" s="227">
        <v>0.30619728516559902</v>
      </c>
      <c r="E152" s="227">
        <v>0.30248750535771801</v>
      </c>
      <c r="F152" s="5">
        <v>0.98788434781231005</v>
      </c>
      <c r="G152" s="5">
        <v>0.30619728516559902</v>
      </c>
    </row>
    <row r="153" spans="1:7">
      <c r="A153" t="s">
        <v>382</v>
      </c>
      <c r="B153" t="s">
        <v>808</v>
      </c>
      <c r="C153" t="s">
        <v>117</v>
      </c>
      <c r="D153" s="227">
        <v>0.69572653562032005</v>
      </c>
      <c r="E153" s="227">
        <v>0.69572653562032005</v>
      </c>
      <c r="F153" s="5">
        <v>1</v>
      </c>
      <c r="G153" s="5">
        <v>0.69572653562032005</v>
      </c>
    </row>
    <row r="154" spans="1:7">
      <c r="A154" t="s">
        <v>382</v>
      </c>
      <c r="B154" t="s">
        <v>46</v>
      </c>
      <c r="C154" t="s">
        <v>117</v>
      </c>
      <c r="D154" s="227">
        <v>0.67664578985521695</v>
      </c>
      <c r="E154" s="227">
        <v>0.38276577733886402</v>
      </c>
      <c r="F154" s="5">
        <v>0.56568116299188898</v>
      </c>
      <c r="G154" s="5">
        <v>0.67664578985521695</v>
      </c>
    </row>
    <row r="155" spans="1:7">
      <c r="A155" t="s">
        <v>382</v>
      </c>
      <c r="B155" t="s">
        <v>114</v>
      </c>
      <c r="C155" t="s">
        <v>117</v>
      </c>
      <c r="D155" s="227">
        <v>0.70445572044222304</v>
      </c>
      <c r="E155" s="227">
        <v>0.37108485586610601</v>
      </c>
      <c r="F155" s="5">
        <v>0.52676817732867198</v>
      </c>
      <c r="G155" s="5">
        <v>0.70445572044222304</v>
      </c>
    </row>
    <row r="156" spans="1:7">
      <c r="A156" t="s">
        <v>393</v>
      </c>
      <c r="B156" t="s">
        <v>47</v>
      </c>
      <c r="C156" t="s">
        <v>117</v>
      </c>
      <c r="D156" s="227">
        <v>0.48249466067914598</v>
      </c>
      <c r="E156" s="227">
        <v>0.47147227961779098</v>
      </c>
      <c r="F156" s="5">
        <v>0.97715543412264705</v>
      </c>
      <c r="G156" s="5">
        <v>0.48249466067914598</v>
      </c>
    </row>
    <row r="157" spans="1:7">
      <c r="A157" t="s">
        <v>393</v>
      </c>
      <c r="B157" t="s">
        <v>48</v>
      </c>
      <c r="C157" t="s">
        <v>117</v>
      </c>
      <c r="D157" s="227">
        <v>0.53604878659408595</v>
      </c>
      <c r="E157" s="227">
        <v>0.53604878659408595</v>
      </c>
      <c r="F157" s="5">
        <v>1</v>
      </c>
      <c r="G157" s="5">
        <v>0.53604878659408595</v>
      </c>
    </row>
    <row r="158" spans="1:7">
      <c r="A158" t="s">
        <v>393</v>
      </c>
      <c r="B158" t="s">
        <v>357</v>
      </c>
      <c r="C158" t="s">
        <v>117</v>
      </c>
      <c r="D158" s="227">
        <v>0.60144767824937795</v>
      </c>
      <c r="E158" s="227">
        <v>0.60144767824937795</v>
      </c>
      <c r="F158" s="5">
        <v>1</v>
      </c>
      <c r="G158" s="5">
        <v>0.60144767824937795</v>
      </c>
    </row>
    <row r="159" spans="1:7">
      <c r="A159" t="s">
        <v>49</v>
      </c>
      <c r="B159" t="s">
        <v>586</v>
      </c>
      <c r="C159" t="s">
        <v>117</v>
      </c>
      <c r="D159" s="227">
        <v>0.58788787201704296</v>
      </c>
      <c r="E159" s="227">
        <v>0.40986175488742199</v>
      </c>
      <c r="F159" s="5">
        <v>0.69717674814618402</v>
      </c>
      <c r="G159" s="5">
        <v>0.58788787201704296</v>
      </c>
    </row>
    <row r="160" spans="1:7">
      <c r="A160" t="s">
        <v>49</v>
      </c>
      <c r="B160" t="s">
        <v>587</v>
      </c>
      <c r="C160" t="s">
        <v>117</v>
      </c>
      <c r="D160" s="227">
        <v>0.57213598490788498</v>
      </c>
      <c r="E160" s="227">
        <v>0.41120705275270097</v>
      </c>
      <c r="F160" s="5">
        <v>0.71872258274211898</v>
      </c>
      <c r="G160" s="5">
        <v>0.57213598490788498</v>
      </c>
    </row>
    <row r="161" spans="1:7">
      <c r="A161" t="s">
        <v>49</v>
      </c>
      <c r="B161" t="s">
        <v>588</v>
      </c>
      <c r="C161" t="s">
        <v>117</v>
      </c>
      <c r="D161" s="227">
        <v>0.37766790696643798</v>
      </c>
      <c r="E161" s="227">
        <v>0.24003585145947801</v>
      </c>
      <c r="F161" s="5">
        <v>0.63557386537694105</v>
      </c>
      <c r="G161" s="5">
        <v>0.37766790696643798</v>
      </c>
    </row>
    <row r="162" spans="1:7">
      <c r="A162" t="s">
        <v>49</v>
      </c>
      <c r="B162" t="s">
        <v>358</v>
      </c>
      <c r="C162" t="s">
        <v>117</v>
      </c>
      <c r="D162" s="227">
        <v>0.85440864644506498</v>
      </c>
      <c r="E162" s="227">
        <v>0.63537597087345699</v>
      </c>
      <c r="F162" s="5">
        <v>0.74364412569683502</v>
      </c>
      <c r="G162" s="5">
        <v>0.85440864644506498</v>
      </c>
    </row>
    <row r="163" spans="1:7">
      <c r="A163" t="s">
        <v>49</v>
      </c>
      <c r="B163" t="s">
        <v>359</v>
      </c>
      <c r="C163" t="s">
        <v>117</v>
      </c>
      <c r="D163" s="227">
        <v>0.88681315072939504</v>
      </c>
      <c r="E163" s="227">
        <v>0.69229540982558302</v>
      </c>
      <c r="F163" s="5">
        <v>0.78065532661099701</v>
      </c>
      <c r="G163" s="5">
        <v>0.88681315072939504</v>
      </c>
    </row>
    <row r="164" spans="1:7">
      <c r="A164" t="s">
        <v>49</v>
      </c>
      <c r="B164" t="s">
        <v>360</v>
      </c>
      <c r="C164" t="s">
        <v>117</v>
      </c>
      <c r="D164" s="227">
        <v>0.77433984978405201</v>
      </c>
      <c r="E164" s="227">
        <v>0.55029314652986805</v>
      </c>
      <c r="F164" s="5">
        <v>0.71066101878049204</v>
      </c>
      <c r="G164" s="5">
        <v>0.77433984978405201</v>
      </c>
    </row>
    <row r="165" spans="1:7">
      <c r="A165" t="s">
        <v>49</v>
      </c>
      <c r="B165" t="s">
        <v>589</v>
      </c>
      <c r="C165" t="s">
        <v>117</v>
      </c>
      <c r="D165" s="227">
        <v>0.55081158347709702</v>
      </c>
      <c r="E165" s="227">
        <v>0.28957426593993701</v>
      </c>
      <c r="F165" s="5">
        <v>0.52572290530265697</v>
      </c>
      <c r="G165" s="5">
        <v>0.55081158347709702</v>
      </c>
    </row>
    <row r="166" spans="1:7">
      <c r="A166" t="s">
        <v>49</v>
      </c>
      <c r="B166" t="s">
        <v>590</v>
      </c>
      <c r="C166" t="s">
        <v>117</v>
      </c>
      <c r="D166" s="227">
        <v>0.51274299028288906</v>
      </c>
      <c r="E166" s="227">
        <v>0.29299943426007502</v>
      </c>
      <c r="F166" s="5">
        <v>0.571435280077496</v>
      </c>
      <c r="G166" s="5">
        <v>0.51274299028288906</v>
      </c>
    </row>
    <row r="167" spans="1:7">
      <c r="A167" t="s">
        <v>49</v>
      </c>
      <c r="B167" t="s">
        <v>591</v>
      </c>
      <c r="C167" t="s">
        <v>117</v>
      </c>
      <c r="D167" s="227">
        <v>0.75754866943856403</v>
      </c>
      <c r="E167" s="227">
        <v>0.40719618458564699</v>
      </c>
      <c r="F167" s="5">
        <v>0.53751818333656198</v>
      </c>
      <c r="G167" s="5">
        <v>0.75754866943856503</v>
      </c>
    </row>
    <row r="168" spans="1:7">
      <c r="A168" t="s">
        <v>49</v>
      </c>
      <c r="B168" t="s">
        <v>361</v>
      </c>
      <c r="C168" t="s">
        <v>117</v>
      </c>
      <c r="D168" s="227">
        <v>0.59819271780162697</v>
      </c>
      <c r="E168" s="227">
        <v>0.36089456760340599</v>
      </c>
      <c r="F168" s="5">
        <v>0.60330819293438098</v>
      </c>
      <c r="G168" s="5">
        <v>0.59819271780162697</v>
      </c>
    </row>
    <row r="169" spans="1:7">
      <c r="A169" t="s">
        <v>49</v>
      </c>
      <c r="B169" t="s">
        <v>592</v>
      </c>
      <c r="C169" t="s">
        <v>117</v>
      </c>
      <c r="D169" s="227">
        <v>0.51736073067493604</v>
      </c>
      <c r="E169" s="227">
        <v>0.27696335995516302</v>
      </c>
      <c r="F169" s="5">
        <v>0.53533896860290098</v>
      </c>
      <c r="G169" s="5">
        <v>0.51736073067493604</v>
      </c>
    </row>
    <row r="170" spans="1:7">
      <c r="A170" t="s">
        <v>49</v>
      </c>
      <c r="B170" t="s">
        <v>593</v>
      </c>
      <c r="C170" t="s">
        <v>117</v>
      </c>
      <c r="D170" s="227">
        <v>0.53895437890767495</v>
      </c>
      <c r="E170" s="227">
        <v>0.277042174583158</v>
      </c>
      <c r="F170" s="5">
        <v>0.51403641091970098</v>
      </c>
      <c r="G170" s="5">
        <v>0.53895437890767495</v>
      </c>
    </row>
    <row r="171" spans="1:7">
      <c r="A171" t="s">
        <v>49</v>
      </c>
      <c r="B171" t="s">
        <v>594</v>
      </c>
      <c r="C171" t="s">
        <v>117</v>
      </c>
      <c r="D171" s="227">
        <v>0.39992937960261399</v>
      </c>
      <c r="E171" s="227">
        <v>0.17653892858810899</v>
      </c>
      <c r="F171" s="5">
        <v>0.44142525553767697</v>
      </c>
      <c r="G171" s="5">
        <v>0.39992937960261399</v>
      </c>
    </row>
    <row r="172" spans="1:7">
      <c r="A172" t="s">
        <v>49</v>
      </c>
      <c r="B172" t="s">
        <v>362</v>
      </c>
      <c r="C172" t="s">
        <v>117</v>
      </c>
      <c r="D172" s="227">
        <v>0.66635024064382198</v>
      </c>
      <c r="E172" s="227">
        <v>0.35096848227140498</v>
      </c>
      <c r="F172" s="5">
        <v>0.52670271707608596</v>
      </c>
      <c r="G172" s="5">
        <v>0.66635024064382198</v>
      </c>
    </row>
    <row r="173" spans="1:7">
      <c r="A173" t="s">
        <v>49</v>
      </c>
      <c r="B173" t="s">
        <v>363</v>
      </c>
      <c r="C173" t="s">
        <v>117</v>
      </c>
      <c r="D173" s="227">
        <v>0.645903101645531</v>
      </c>
      <c r="E173" s="227">
        <v>0.36487587552850997</v>
      </c>
      <c r="F173" s="5">
        <v>0.564908071503197</v>
      </c>
      <c r="G173" s="5">
        <v>0.645903101645531</v>
      </c>
    </row>
    <row r="174" spans="1:7">
      <c r="A174" t="s">
        <v>49</v>
      </c>
      <c r="B174" t="s">
        <v>364</v>
      </c>
      <c r="C174" t="s">
        <v>117</v>
      </c>
      <c r="D174" s="227">
        <v>0.67545772495386802</v>
      </c>
      <c r="E174" s="227">
        <v>0.34237000705312698</v>
      </c>
      <c r="F174" s="5">
        <v>0.50687111036669197</v>
      </c>
      <c r="G174" s="5">
        <v>0.67545772495386802</v>
      </c>
    </row>
    <row r="175" spans="1:7">
      <c r="A175" t="s">
        <v>287</v>
      </c>
      <c r="B175" t="s">
        <v>220</v>
      </c>
      <c r="C175" t="s">
        <v>116</v>
      </c>
      <c r="D175" s="227">
        <v>0.91647501441652401</v>
      </c>
      <c r="E175" s="227">
        <v>0.49337619200685701</v>
      </c>
      <c r="F175" s="5">
        <v>0.53834112686745395</v>
      </c>
      <c r="G175" s="5">
        <v>0.91647501441652401</v>
      </c>
    </row>
    <row r="176" spans="1:7">
      <c r="A176" t="s">
        <v>287</v>
      </c>
      <c r="B176" t="s">
        <v>221</v>
      </c>
      <c r="C176" t="s">
        <v>116</v>
      </c>
      <c r="D176" s="227">
        <v>0.90530605012216503</v>
      </c>
      <c r="E176" s="227">
        <v>0.59865109074480405</v>
      </c>
      <c r="F176" s="5">
        <v>0.66126929193063599</v>
      </c>
      <c r="G176" s="5">
        <v>0.90530605012216503</v>
      </c>
    </row>
    <row r="177" spans="1:7">
      <c r="A177" t="s">
        <v>287</v>
      </c>
      <c r="B177" t="s">
        <v>222</v>
      </c>
      <c r="C177" t="s">
        <v>116</v>
      </c>
      <c r="D177" s="227">
        <v>0.896575093570388</v>
      </c>
      <c r="E177" s="227">
        <v>0.71862745098039205</v>
      </c>
      <c r="F177" s="5">
        <v>0.801525110538858</v>
      </c>
      <c r="G177" s="5">
        <v>0.896575093570388</v>
      </c>
    </row>
    <row r="178" spans="1:7">
      <c r="A178" t="s">
        <v>288</v>
      </c>
      <c r="B178" t="s">
        <v>223</v>
      </c>
      <c r="C178" t="s">
        <v>117</v>
      </c>
      <c r="D178" s="227">
        <v>0.57595261174562395</v>
      </c>
      <c r="E178" s="227">
        <v>0.52352577778587295</v>
      </c>
      <c r="F178" s="5">
        <v>0.90897370219252305</v>
      </c>
      <c r="G178" s="5">
        <v>0.57595261174562395</v>
      </c>
    </row>
    <row r="179" spans="1:7">
      <c r="A179" t="s">
        <v>288</v>
      </c>
      <c r="B179" t="s">
        <v>224</v>
      </c>
      <c r="C179" t="s">
        <v>117</v>
      </c>
      <c r="D179" s="227">
        <v>0.61190986941189796</v>
      </c>
      <c r="E179" s="227">
        <v>0.48332423507194699</v>
      </c>
      <c r="F179" s="5">
        <v>0.789861806831888</v>
      </c>
      <c r="G179" s="5">
        <v>0.61190986941189796</v>
      </c>
    </row>
    <row r="180" spans="1:7">
      <c r="A180" t="s">
        <v>288</v>
      </c>
      <c r="B180" t="s">
        <v>225</v>
      </c>
      <c r="C180" t="s">
        <v>117</v>
      </c>
      <c r="D180" s="227">
        <v>0.61790967002388397</v>
      </c>
      <c r="E180" s="227">
        <v>0.61196464601134903</v>
      </c>
      <c r="F180" s="5">
        <v>0.99037881376366099</v>
      </c>
      <c r="G180" s="5">
        <v>0.61790967002388397</v>
      </c>
    </row>
    <row r="181" spans="1:7">
      <c r="A181" t="s">
        <v>288</v>
      </c>
      <c r="B181" t="s">
        <v>226</v>
      </c>
      <c r="C181" t="s">
        <v>117</v>
      </c>
      <c r="D181" s="227">
        <v>0.68930638051414606</v>
      </c>
      <c r="E181" s="227">
        <v>0.65095832900103501</v>
      </c>
      <c r="F181" s="5">
        <v>0.94436718910898798</v>
      </c>
      <c r="G181" s="5">
        <v>0.68930638051414495</v>
      </c>
    </row>
    <row r="182" spans="1:7">
      <c r="A182" t="s">
        <v>288</v>
      </c>
      <c r="B182" t="s">
        <v>227</v>
      </c>
      <c r="C182" t="s">
        <v>117</v>
      </c>
      <c r="D182" s="227">
        <v>0.79036685785717697</v>
      </c>
      <c r="E182" s="227">
        <v>0.54060661684007805</v>
      </c>
      <c r="F182" s="5">
        <v>0.68399454185839503</v>
      </c>
      <c r="G182" s="5">
        <v>0.79036685785717697</v>
      </c>
    </row>
    <row r="183" spans="1:7">
      <c r="A183" t="s">
        <v>50</v>
      </c>
      <c r="B183" t="s">
        <v>51</v>
      </c>
      <c r="C183" t="s">
        <v>117</v>
      </c>
      <c r="D183" s="227">
        <v>0.61120866059878398</v>
      </c>
      <c r="E183" s="227">
        <v>0.577830850676329</v>
      </c>
      <c r="F183" s="5">
        <v>0.94539048270396597</v>
      </c>
      <c r="G183" s="5">
        <v>0.61120866059878398</v>
      </c>
    </row>
    <row r="184" spans="1:7">
      <c r="A184" t="s">
        <v>50</v>
      </c>
      <c r="B184" t="s">
        <v>52</v>
      </c>
      <c r="C184" t="s">
        <v>117</v>
      </c>
      <c r="D184" s="227">
        <v>0.58791692732132605</v>
      </c>
      <c r="E184" s="227">
        <v>0.56462448577580904</v>
      </c>
      <c r="F184" s="5">
        <v>0.96038140685684703</v>
      </c>
      <c r="G184" s="5">
        <v>0.58791692732132605</v>
      </c>
    </row>
    <row r="185" spans="1:7">
      <c r="A185" t="s">
        <v>289</v>
      </c>
      <c r="B185" t="s">
        <v>228</v>
      </c>
      <c r="C185" t="s">
        <v>116</v>
      </c>
      <c r="D185" s="227">
        <v>0.92622791267170701</v>
      </c>
      <c r="E185" s="227">
        <v>0.88491047507440901</v>
      </c>
      <c r="F185" s="5">
        <v>0.95539171619421703</v>
      </c>
      <c r="G185" s="5">
        <v>0.92622791267170701</v>
      </c>
    </row>
    <row r="186" spans="1:7">
      <c r="A186" t="s">
        <v>289</v>
      </c>
      <c r="B186" t="s">
        <v>229</v>
      </c>
      <c r="C186" t="s">
        <v>116</v>
      </c>
      <c r="D186" s="227">
        <v>0.94160389981688097</v>
      </c>
      <c r="E186" s="227">
        <v>0.89939609065292103</v>
      </c>
      <c r="F186" s="5">
        <v>0.95517455994801104</v>
      </c>
      <c r="G186" s="5">
        <v>0.94160389981688197</v>
      </c>
    </row>
    <row r="187" spans="1:7">
      <c r="A187" t="s">
        <v>53</v>
      </c>
      <c r="B187" t="s">
        <v>54</v>
      </c>
      <c r="C187" t="s">
        <v>117</v>
      </c>
      <c r="D187" s="227">
        <v>0.34959251757613502</v>
      </c>
      <c r="E187" s="227">
        <v>0.26170772645774198</v>
      </c>
      <c r="F187" s="5">
        <v>0.74860791721821196</v>
      </c>
      <c r="G187" s="5">
        <v>0.34959251757613502</v>
      </c>
    </row>
    <row r="188" spans="1:7" s="19" customFormat="1">
      <c r="A188" s="19" t="s">
        <v>53</v>
      </c>
      <c r="B188" s="19" t="s">
        <v>55</v>
      </c>
      <c r="C188" s="19" t="s">
        <v>117</v>
      </c>
      <c r="D188" s="368">
        <v>0.30968674553313302</v>
      </c>
      <c r="E188" s="368">
        <v>0.23133456127340701</v>
      </c>
      <c r="F188" s="68">
        <v>0.74699535776114501</v>
      </c>
      <c r="G188" s="68">
        <v>0.30968674553313302</v>
      </c>
    </row>
    <row r="189" spans="1:7">
      <c r="A189" t="s">
        <v>56</v>
      </c>
      <c r="B189" t="s">
        <v>57</v>
      </c>
      <c r="C189" t="s">
        <v>117</v>
      </c>
      <c r="D189" s="227">
        <v>0.67883158674046895</v>
      </c>
      <c r="E189" s="227">
        <v>0.43288720035318101</v>
      </c>
      <c r="F189" s="5">
        <v>0.63769454575878803</v>
      </c>
      <c r="G189" s="5">
        <v>0.67883158674046895</v>
      </c>
    </row>
    <row r="190" spans="1:7">
      <c r="A190" t="s">
        <v>56</v>
      </c>
      <c r="B190" t="s">
        <v>58</v>
      </c>
      <c r="C190" t="s">
        <v>117</v>
      </c>
      <c r="D190" s="227">
        <v>0.489718826878007</v>
      </c>
      <c r="E190" s="227">
        <v>0.35171496691471199</v>
      </c>
      <c r="F190" s="5">
        <v>0.71819776494385601</v>
      </c>
      <c r="G190" s="5">
        <v>0.489718826878007</v>
      </c>
    </row>
    <row r="191" spans="1:7" s="19" customFormat="1">
      <c r="A191" s="19" t="s">
        <v>56</v>
      </c>
      <c r="B191" s="19" t="s">
        <v>59</v>
      </c>
      <c r="C191" s="19" t="s">
        <v>117</v>
      </c>
      <c r="D191" s="368">
        <v>0.46689913396965399</v>
      </c>
      <c r="E191" s="368">
        <v>0.34644807833820201</v>
      </c>
      <c r="F191" s="68">
        <v>0.74201910676647198</v>
      </c>
      <c r="G191" s="68">
        <v>0.46689913396965399</v>
      </c>
    </row>
    <row r="192" spans="1:7">
      <c r="A192" t="s">
        <v>56</v>
      </c>
      <c r="B192" t="s">
        <v>60</v>
      </c>
      <c r="C192" t="s">
        <v>117</v>
      </c>
      <c r="D192" s="227">
        <v>0.50798299662998903</v>
      </c>
      <c r="E192" s="227">
        <v>0.37115450651689602</v>
      </c>
      <c r="F192" s="5">
        <v>0.73064356283413501</v>
      </c>
      <c r="G192" s="5">
        <v>0.50798299662998903</v>
      </c>
    </row>
    <row r="193" spans="1:7">
      <c r="A193" t="s">
        <v>53</v>
      </c>
      <c r="B193" t="s">
        <v>61</v>
      </c>
      <c r="C193" t="s">
        <v>117</v>
      </c>
      <c r="D193" s="227">
        <v>0.317251506543762</v>
      </c>
      <c r="E193" s="227">
        <v>0.21328967748619301</v>
      </c>
      <c r="F193" s="5">
        <v>0.67230469544443605</v>
      </c>
      <c r="G193" s="5">
        <v>0.317251506543762</v>
      </c>
    </row>
    <row r="194" spans="1:7">
      <c r="A194" t="s">
        <v>53</v>
      </c>
      <c r="B194" t="s">
        <v>62</v>
      </c>
      <c r="C194" t="s">
        <v>117</v>
      </c>
      <c r="D194" s="227">
        <v>0.28645406135525298</v>
      </c>
      <c r="E194" s="227">
        <v>0.19156658835723001</v>
      </c>
      <c r="F194" s="5">
        <v>0.66875151796034005</v>
      </c>
      <c r="G194" s="5">
        <v>0.28645406135525298</v>
      </c>
    </row>
    <row r="195" spans="1:7">
      <c r="A195" t="s">
        <v>53</v>
      </c>
      <c r="B195" t="s">
        <v>63</v>
      </c>
      <c r="C195" t="s">
        <v>117</v>
      </c>
      <c r="D195" s="227">
        <v>0.345049620317748</v>
      </c>
      <c r="E195" s="227">
        <v>0.30279014206935301</v>
      </c>
      <c r="F195" s="5">
        <v>0.877526373715528</v>
      </c>
      <c r="G195" s="5">
        <v>0.345049620317748</v>
      </c>
    </row>
    <row r="196" spans="1:7">
      <c r="A196" t="s">
        <v>53</v>
      </c>
      <c r="B196" t="s">
        <v>64</v>
      </c>
      <c r="C196" t="s">
        <v>117</v>
      </c>
      <c r="D196" s="227">
        <v>0.29916607636014497</v>
      </c>
      <c r="E196" s="227">
        <v>0.26018414740867801</v>
      </c>
      <c r="F196" s="5">
        <v>0.86969803051954397</v>
      </c>
      <c r="G196" s="5">
        <v>0.29916607636014497</v>
      </c>
    </row>
    <row r="197" spans="1:7">
      <c r="A197" t="s">
        <v>53</v>
      </c>
      <c r="B197" t="s">
        <v>65</v>
      </c>
      <c r="C197" t="s">
        <v>117</v>
      </c>
      <c r="D197" s="227">
        <v>0.44022082312442301</v>
      </c>
      <c r="E197" s="227">
        <v>0.393077823197857</v>
      </c>
      <c r="F197" s="5">
        <v>0.89291056340321895</v>
      </c>
      <c r="G197" s="5">
        <v>0.44022082312442301</v>
      </c>
    </row>
    <row r="198" spans="1:7">
      <c r="A198" t="s">
        <v>53</v>
      </c>
      <c r="B198" t="s">
        <v>66</v>
      </c>
      <c r="C198" t="s">
        <v>117</v>
      </c>
      <c r="D198" s="227">
        <v>0.41547154886175702</v>
      </c>
      <c r="E198" s="227">
        <v>0.366507029123536</v>
      </c>
      <c r="F198" s="5">
        <v>0.88214711723975703</v>
      </c>
      <c r="G198" s="5">
        <v>0.41547154886175702</v>
      </c>
    </row>
    <row r="199" spans="1:7">
      <c r="A199" t="s">
        <v>53</v>
      </c>
      <c r="B199" t="s">
        <v>67</v>
      </c>
      <c r="C199" t="s">
        <v>117</v>
      </c>
      <c r="D199" s="227">
        <v>0.49690196457670699</v>
      </c>
      <c r="E199" s="227">
        <v>0.385284537396482</v>
      </c>
      <c r="F199" s="5">
        <v>0.77537334295848803</v>
      </c>
      <c r="G199" s="5">
        <v>0.49690196457670699</v>
      </c>
    </row>
    <row r="200" spans="1:7">
      <c r="A200" t="s">
        <v>53</v>
      </c>
      <c r="B200" t="s">
        <v>68</v>
      </c>
      <c r="C200" t="s">
        <v>117</v>
      </c>
      <c r="D200" s="227">
        <v>0.45017486783243699</v>
      </c>
      <c r="E200" s="227">
        <v>0.32202309863552903</v>
      </c>
      <c r="F200" s="5">
        <v>0.71532891248693997</v>
      </c>
      <c r="G200" s="5">
        <v>0.45017486783243699</v>
      </c>
    </row>
    <row r="201" spans="1:7">
      <c r="A201" t="s">
        <v>53</v>
      </c>
      <c r="B201" t="s">
        <v>69</v>
      </c>
      <c r="C201" t="s">
        <v>117</v>
      </c>
      <c r="D201" s="227">
        <v>0.52750471880443195</v>
      </c>
      <c r="E201" s="227">
        <v>0.36893957679253297</v>
      </c>
      <c r="F201" s="5">
        <v>0.69940526338554698</v>
      </c>
      <c r="G201" s="5">
        <v>0.52750471880443195</v>
      </c>
    </row>
    <row r="202" spans="1:7">
      <c r="A202" t="s">
        <v>53</v>
      </c>
      <c r="B202" t="s">
        <v>70</v>
      </c>
      <c r="C202" t="s">
        <v>117</v>
      </c>
      <c r="D202" s="227">
        <v>0.27967460919521397</v>
      </c>
      <c r="E202" s="227">
        <v>0.223407711732966</v>
      </c>
      <c r="F202" s="5">
        <v>0.798812993341942</v>
      </c>
      <c r="G202" s="5">
        <v>0.27967460919521397</v>
      </c>
    </row>
    <row r="203" spans="1:7">
      <c r="A203" t="s">
        <v>290</v>
      </c>
      <c r="B203" t="s">
        <v>230</v>
      </c>
      <c r="C203" t="s">
        <v>116</v>
      </c>
      <c r="D203" s="227">
        <v>0.97631827517022896</v>
      </c>
      <c r="E203" s="227">
        <v>0.79252907101065995</v>
      </c>
      <c r="F203" s="5">
        <v>0.81175277690308101</v>
      </c>
      <c r="G203" s="5">
        <v>0.97631827517022896</v>
      </c>
    </row>
    <row r="204" spans="1:7">
      <c r="A204" t="s">
        <v>290</v>
      </c>
      <c r="B204" t="s">
        <v>231</v>
      </c>
      <c r="C204" t="s">
        <v>116</v>
      </c>
      <c r="D204" s="227">
        <v>0.96269308192456804</v>
      </c>
      <c r="E204" s="227">
        <v>0.79461366032845704</v>
      </c>
      <c r="F204" s="5">
        <v>0.82540705365816602</v>
      </c>
      <c r="G204" s="5">
        <v>0.96269308192456804</v>
      </c>
    </row>
    <row r="205" spans="1:7">
      <c r="A205" t="s">
        <v>290</v>
      </c>
      <c r="B205" t="s">
        <v>232</v>
      </c>
      <c r="C205" t="s">
        <v>116</v>
      </c>
      <c r="D205" s="227">
        <v>0.97558239682359604</v>
      </c>
      <c r="E205" s="227">
        <v>0.795889994560804</v>
      </c>
      <c r="F205" s="5">
        <v>0.81581012239678197</v>
      </c>
      <c r="G205" s="5">
        <v>0.97558239682359604</v>
      </c>
    </row>
    <row r="206" spans="1:7">
      <c r="A206" t="s">
        <v>290</v>
      </c>
      <c r="B206" t="s">
        <v>233</v>
      </c>
      <c r="C206" t="s">
        <v>116</v>
      </c>
      <c r="D206" s="227">
        <v>0.98423022931661097</v>
      </c>
      <c r="E206" s="227">
        <v>0.80299742847958899</v>
      </c>
      <c r="F206" s="5">
        <v>0.815863407322025</v>
      </c>
      <c r="G206" s="5">
        <v>0.98423022931661197</v>
      </c>
    </row>
    <row r="207" spans="1:7">
      <c r="A207" t="s">
        <v>290</v>
      </c>
      <c r="B207" t="s">
        <v>234</v>
      </c>
      <c r="C207" t="s">
        <v>116</v>
      </c>
      <c r="D207" s="227">
        <v>0.97831555819340199</v>
      </c>
      <c r="E207" s="227">
        <v>0.72433301524650595</v>
      </c>
      <c r="F207" s="5">
        <v>0.74038791387933101</v>
      </c>
      <c r="G207" s="5">
        <v>0.97831555819340199</v>
      </c>
    </row>
    <row r="208" spans="1:7">
      <c r="A208" t="s">
        <v>291</v>
      </c>
      <c r="B208" t="s">
        <v>569</v>
      </c>
      <c r="C208" t="s">
        <v>117</v>
      </c>
      <c r="D208" s="227">
        <v>0.64193185536589303</v>
      </c>
      <c r="E208" s="227">
        <v>0.15165361977550099</v>
      </c>
      <c r="F208" s="5">
        <v>0.236245667679259</v>
      </c>
      <c r="G208" s="5">
        <v>0.64193185536589303</v>
      </c>
    </row>
    <row r="209" spans="1:7">
      <c r="A209" t="s">
        <v>291</v>
      </c>
      <c r="B209" t="s">
        <v>571</v>
      </c>
      <c r="C209" t="s">
        <v>117</v>
      </c>
      <c r="D209" s="227">
        <v>0.289829903131408</v>
      </c>
      <c r="E209" s="227">
        <v>3.5241768751574899E-2</v>
      </c>
      <c r="F209" s="5">
        <v>0.121594660767617</v>
      </c>
      <c r="G209" s="5">
        <v>0.289829903131408</v>
      </c>
    </row>
    <row r="210" spans="1:7">
      <c r="A210" t="s">
        <v>291</v>
      </c>
      <c r="B210" t="s">
        <v>235</v>
      </c>
      <c r="C210" t="s">
        <v>116</v>
      </c>
      <c r="D210" s="227">
        <v>0.834605271878058</v>
      </c>
      <c r="E210" s="227">
        <v>0.75476542373808397</v>
      </c>
      <c r="F210" s="5">
        <v>0.90433819335898002</v>
      </c>
      <c r="G210" s="5">
        <v>0.834605271878058</v>
      </c>
    </row>
    <row r="211" spans="1:7">
      <c r="A211" t="s">
        <v>291</v>
      </c>
      <c r="B211" t="s">
        <v>236</v>
      </c>
      <c r="C211" t="s">
        <v>116</v>
      </c>
      <c r="D211" s="227">
        <v>0.698049645455319</v>
      </c>
      <c r="E211" s="227">
        <v>0.66934743535004504</v>
      </c>
      <c r="F211" s="5">
        <v>0.95888227965999195</v>
      </c>
      <c r="G211" s="5">
        <v>0.698049645455318</v>
      </c>
    </row>
    <row r="212" spans="1:7">
      <c r="A212" t="s">
        <v>291</v>
      </c>
      <c r="B212" t="s">
        <v>237</v>
      </c>
      <c r="C212" t="s">
        <v>117</v>
      </c>
      <c r="D212" s="227">
        <v>0.51820520009438498</v>
      </c>
      <c r="E212" s="227">
        <v>0.34323625185247397</v>
      </c>
      <c r="F212" s="5">
        <v>0.66235586171261496</v>
      </c>
      <c r="G212" s="5">
        <v>0.51820520009438498</v>
      </c>
    </row>
    <row r="213" spans="1:7">
      <c r="A213" t="s">
        <v>291</v>
      </c>
      <c r="B213" t="s">
        <v>573</v>
      </c>
      <c r="C213" t="s">
        <v>117</v>
      </c>
      <c r="D213" s="227">
        <v>0.53274457617344895</v>
      </c>
      <c r="E213" s="227">
        <v>0.21672978781280999</v>
      </c>
      <c r="F213" s="5">
        <v>0.406817445931628</v>
      </c>
      <c r="G213" s="5">
        <v>0.53274457617344895</v>
      </c>
    </row>
    <row r="214" spans="1:7">
      <c r="A214" t="s">
        <v>291</v>
      </c>
      <c r="B214" t="s">
        <v>238</v>
      </c>
      <c r="C214" t="s">
        <v>117</v>
      </c>
      <c r="D214" s="227">
        <v>0.53978794113841599</v>
      </c>
      <c r="E214" s="227">
        <v>0.400413118874754</v>
      </c>
      <c r="F214" s="5">
        <v>0.74179708059109295</v>
      </c>
      <c r="G214" s="5">
        <v>0.53978794113841599</v>
      </c>
    </row>
    <row r="215" spans="1:7">
      <c r="A215" t="s">
        <v>291</v>
      </c>
      <c r="B215" t="s">
        <v>575</v>
      </c>
      <c r="C215" t="s">
        <v>117</v>
      </c>
      <c r="D215" s="227">
        <v>0.45653557459000499</v>
      </c>
      <c r="E215" s="227">
        <v>0.244208360755193</v>
      </c>
      <c r="F215" s="5">
        <v>0.53491638844246903</v>
      </c>
      <c r="G215" s="5">
        <v>0.45653557459000499</v>
      </c>
    </row>
    <row r="216" spans="1:7">
      <c r="A216" t="s">
        <v>291</v>
      </c>
      <c r="B216" t="s">
        <v>239</v>
      </c>
      <c r="C216" t="s">
        <v>117</v>
      </c>
      <c r="D216" s="227">
        <v>0.50582022503586299</v>
      </c>
      <c r="E216" s="227">
        <v>0.390598004321561</v>
      </c>
      <c r="F216" s="5">
        <v>0.77220716963989999</v>
      </c>
      <c r="G216" s="5">
        <v>0.50582022503586299</v>
      </c>
    </row>
    <row r="217" spans="1:7">
      <c r="A217" t="s">
        <v>291</v>
      </c>
      <c r="B217" t="s">
        <v>577</v>
      </c>
      <c r="C217" t="s">
        <v>117</v>
      </c>
      <c r="D217" s="227">
        <v>0.73594484087376</v>
      </c>
      <c r="E217" s="227">
        <v>0.40521561781770399</v>
      </c>
      <c r="F217" s="5">
        <v>0.55060596299120401</v>
      </c>
      <c r="G217" s="5">
        <v>0.735944840873759</v>
      </c>
    </row>
    <row r="218" spans="1:7">
      <c r="A218" t="s">
        <v>291</v>
      </c>
      <c r="B218" t="s">
        <v>240</v>
      </c>
      <c r="C218" t="s">
        <v>117</v>
      </c>
      <c r="D218" s="227">
        <v>0.44441481250239201</v>
      </c>
      <c r="E218" s="227">
        <v>0.31500293200274299</v>
      </c>
      <c r="F218" s="5">
        <v>0.70880385428432902</v>
      </c>
      <c r="G218" s="5">
        <v>0.44441481250239201</v>
      </c>
    </row>
    <row r="219" spans="1:7">
      <c r="A219" t="s">
        <v>291</v>
      </c>
      <c r="B219" t="s">
        <v>241</v>
      </c>
      <c r="C219" t="s">
        <v>117</v>
      </c>
      <c r="D219" s="227">
        <v>0.46830146321903099</v>
      </c>
      <c r="E219" s="227">
        <v>0.25517701181595498</v>
      </c>
      <c r="F219" s="5">
        <v>0.54489902735282503</v>
      </c>
      <c r="G219" s="5">
        <v>0.46830146321903099</v>
      </c>
    </row>
    <row r="220" spans="1:7">
      <c r="A220" t="s">
        <v>291</v>
      </c>
      <c r="B220" t="s">
        <v>242</v>
      </c>
      <c r="C220" t="s">
        <v>117</v>
      </c>
      <c r="D220" s="227">
        <v>0.53409194303757401</v>
      </c>
      <c r="E220" s="227">
        <v>0.403859065279629</v>
      </c>
      <c r="F220" s="5">
        <v>0.75616019028996395</v>
      </c>
      <c r="G220" s="5">
        <v>0.53409194303757401</v>
      </c>
    </row>
    <row r="221" spans="1:7">
      <c r="A221" t="s">
        <v>292</v>
      </c>
      <c r="B221" t="s">
        <v>365</v>
      </c>
      <c r="C221" t="s">
        <v>117</v>
      </c>
      <c r="D221" s="227">
        <v>0.61478523047516598</v>
      </c>
      <c r="E221" s="227">
        <v>0.50417980261918205</v>
      </c>
      <c r="F221" s="5">
        <v>0.82009094823163298</v>
      </c>
      <c r="G221" s="5">
        <v>0.61478523047516598</v>
      </c>
    </row>
    <row r="222" spans="1:7">
      <c r="A222" t="s">
        <v>292</v>
      </c>
      <c r="B222" t="s">
        <v>366</v>
      </c>
      <c r="C222" t="s">
        <v>116</v>
      </c>
      <c r="D222" s="227">
        <v>0.93143734498625197</v>
      </c>
      <c r="E222" s="227">
        <v>0.92232847415193897</v>
      </c>
      <c r="F222" s="5">
        <v>0.99022062956424906</v>
      </c>
      <c r="G222" s="5">
        <v>0.93143734498625297</v>
      </c>
    </row>
    <row r="223" spans="1:7">
      <c r="A223" t="s">
        <v>292</v>
      </c>
      <c r="B223" t="s">
        <v>367</v>
      </c>
      <c r="C223" t="s">
        <v>117</v>
      </c>
      <c r="D223" s="227">
        <v>0.78419442722062105</v>
      </c>
      <c r="E223" s="227">
        <v>0.630000100112873</v>
      </c>
      <c r="F223" s="5">
        <v>0.803372324827338</v>
      </c>
      <c r="G223" s="5">
        <v>0.78419442722062105</v>
      </c>
    </row>
    <row r="224" spans="1:7">
      <c r="A224" t="s">
        <v>292</v>
      </c>
      <c r="B224" t="s">
        <v>243</v>
      </c>
      <c r="C224" t="s">
        <v>117</v>
      </c>
      <c r="D224" s="227">
        <v>0.872559547252306</v>
      </c>
      <c r="E224" s="227">
        <v>0.80767245072656102</v>
      </c>
      <c r="F224" s="5">
        <v>0.92563591020226199</v>
      </c>
      <c r="G224" s="5">
        <v>0.872559547252306</v>
      </c>
    </row>
    <row r="225" spans="1:7">
      <c r="A225" t="s">
        <v>292</v>
      </c>
      <c r="B225" t="s">
        <v>244</v>
      </c>
      <c r="C225" t="s">
        <v>117</v>
      </c>
      <c r="D225" s="227">
        <v>0.82626331799054897</v>
      </c>
      <c r="E225" s="227">
        <v>0.74389103914260402</v>
      </c>
      <c r="F225" s="5">
        <v>0.900307472140634</v>
      </c>
      <c r="G225" s="5">
        <v>0.82626331799054897</v>
      </c>
    </row>
    <row r="226" spans="1:7">
      <c r="A226" t="s">
        <v>292</v>
      </c>
      <c r="B226" t="s">
        <v>515</v>
      </c>
      <c r="C226" t="s">
        <v>117</v>
      </c>
      <c r="D226" s="227">
        <v>0.79969620654780704</v>
      </c>
      <c r="E226" s="227">
        <v>0.70478192422441099</v>
      </c>
      <c r="F226" s="5">
        <v>0.88131207632817199</v>
      </c>
      <c r="G226" s="5">
        <v>0.79969620654780704</v>
      </c>
    </row>
    <row r="227" spans="1:7">
      <c r="A227" t="s">
        <v>292</v>
      </c>
      <c r="B227" t="s">
        <v>245</v>
      </c>
      <c r="C227" t="s">
        <v>117</v>
      </c>
      <c r="D227" s="227">
        <v>0.90446964517329098</v>
      </c>
      <c r="E227" s="227">
        <v>0.85815461789515901</v>
      </c>
      <c r="F227" s="5">
        <v>0.94879316566864003</v>
      </c>
      <c r="G227" s="5">
        <v>0.90446964517329098</v>
      </c>
    </row>
    <row r="228" spans="1:7">
      <c r="A228" t="s">
        <v>293</v>
      </c>
      <c r="B228" t="s">
        <v>246</v>
      </c>
      <c r="C228" t="s">
        <v>117</v>
      </c>
      <c r="D228" s="227">
        <v>0.87324000542294</v>
      </c>
      <c r="E228" s="227">
        <v>0.73731698315718996</v>
      </c>
      <c r="F228" s="5">
        <v>0.84434631782597103</v>
      </c>
      <c r="G228" s="5">
        <v>0.87324000542294</v>
      </c>
    </row>
    <row r="229" spans="1:7">
      <c r="A229" t="s">
        <v>296</v>
      </c>
      <c r="B229" t="s">
        <v>368</v>
      </c>
      <c r="C229" t="s">
        <v>117</v>
      </c>
      <c r="D229" s="227">
        <v>0.90296265664887199</v>
      </c>
      <c r="E229" s="227">
        <v>0.46198194149940103</v>
      </c>
      <c r="F229" s="5">
        <v>0.511629066936096</v>
      </c>
      <c r="G229" s="5">
        <v>0.90296265664887199</v>
      </c>
    </row>
    <row r="230" spans="1:7">
      <c r="A230" t="s">
        <v>294</v>
      </c>
      <c r="B230" t="s">
        <v>247</v>
      </c>
      <c r="C230" t="s">
        <v>116</v>
      </c>
      <c r="D230" s="227">
        <v>0.95550250698672201</v>
      </c>
      <c r="E230" s="227">
        <v>0.95550250698672201</v>
      </c>
      <c r="F230" s="5">
        <v>1</v>
      </c>
      <c r="G230" s="5">
        <v>0.95550250698672201</v>
      </c>
    </row>
    <row r="231" spans="1:7">
      <c r="A231" t="s">
        <v>294</v>
      </c>
      <c r="B231" t="s">
        <v>248</v>
      </c>
      <c r="C231" t="s">
        <v>116</v>
      </c>
      <c r="D231" s="227">
        <v>0.96031291883292502</v>
      </c>
      <c r="E231" s="227">
        <v>0.84060817652525299</v>
      </c>
      <c r="F231" s="5">
        <v>0.87534819124046603</v>
      </c>
      <c r="G231" s="5">
        <v>0.96031291883292502</v>
      </c>
    </row>
    <row r="232" spans="1:7">
      <c r="A232" t="s">
        <v>295</v>
      </c>
      <c r="B232" t="s">
        <v>249</v>
      </c>
      <c r="C232" t="s">
        <v>117</v>
      </c>
      <c r="D232" s="227">
        <v>0.79219933738083403</v>
      </c>
      <c r="E232" s="227">
        <v>0.72160169619237802</v>
      </c>
      <c r="F232" s="5">
        <v>0.91088399363995098</v>
      </c>
      <c r="G232" s="5">
        <v>0.79219933738083403</v>
      </c>
    </row>
    <row r="233" spans="1:7">
      <c r="A233" t="s">
        <v>294</v>
      </c>
      <c r="B233" t="s">
        <v>250</v>
      </c>
      <c r="C233" t="s">
        <v>116</v>
      </c>
      <c r="D233" s="227">
        <v>0.96344992830470899</v>
      </c>
      <c r="E233" s="227">
        <v>0.93868393505532699</v>
      </c>
      <c r="F233" s="5">
        <v>0.97429446770216699</v>
      </c>
      <c r="G233" s="5">
        <v>0.96344992830470899</v>
      </c>
    </row>
    <row r="234" spans="1:7">
      <c r="A234" t="s">
        <v>296</v>
      </c>
      <c r="B234" t="s">
        <v>251</v>
      </c>
      <c r="C234" t="s">
        <v>117</v>
      </c>
      <c r="D234" s="227">
        <v>0.76174357418163097</v>
      </c>
      <c r="E234" s="227">
        <v>0.61423748979513704</v>
      </c>
      <c r="F234" s="5">
        <v>0.80635729740816597</v>
      </c>
      <c r="G234" s="5">
        <v>0.76174357418163097</v>
      </c>
    </row>
    <row r="235" spans="1:7">
      <c r="A235" t="s">
        <v>296</v>
      </c>
      <c r="B235" t="s">
        <v>252</v>
      </c>
      <c r="C235" t="s">
        <v>117</v>
      </c>
      <c r="D235" s="227">
        <v>0.879335383823454</v>
      </c>
      <c r="E235" s="227">
        <v>0.87809072649890196</v>
      </c>
      <c r="F235" s="5">
        <v>0.998584547662417</v>
      </c>
      <c r="G235" s="5">
        <v>0.879335383823454</v>
      </c>
    </row>
    <row r="236" spans="1:7">
      <c r="A236" t="s">
        <v>297</v>
      </c>
      <c r="B236" t="s">
        <v>253</v>
      </c>
      <c r="C236" t="s">
        <v>116</v>
      </c>
      <c r="D236" s="227">
        <v>0.92365181087831105</v>
      </c>
      <c r="E236" s="227">
        <v>0.82902367941712296</v>
      </c>
      <c r="F236" s="5">
        <v>0.89754999627922005</v>
      </c>
      <c r="G236" s="5">
        <v>0.92365181087831105</v>
      </c>
    </row>
    <row r="237" spans="1:7">
      <c r="A237" t="s">
        <v>396</v>
      </c>
      <c r="B237" t="s">
        <v>71</v>
      </c>
      <c r="C237" t="s">
        <v>116</v>
      </c>
      <c r="D237" s="227">
        <v>0.78592826061895404</v>
      </c>
      <c r="E237" s="227">
        <v>0.50919540097764504</v>
      </c>
      <c r="F237" s="5">
        <v>0.647890432870591</v>
      </c>
      <c r="G237" s="5">
        <v>0.78592826061895404</v>
      </c>
    </row>
    <row r="238" spans="1:7">
      <c r="A238" t="s">
        <v>396</v>
      </c>
      <c r="B238" t="s">
        <v>72</v>
      </c>
      <c r="C238" t="s">
        <v>116</v>
      </c>
      <c r="D238" s="227">
        <v>0.90088292809242299</v>
      </c>
      <c r="E238" s="227">
        <v>0.50667591915046195</v>
      </c>
      <c r="F238" s="5">
        <v>0.56242149046305501</v>
      </c>
      <c r="G238" s="5">
        <v>0.90088292809242398</v>
      </c>
    </row>
    <row r="239" spans="1:7">
      <c r="A239" t="s">
        <v>73</v>
      </c>
      <c r="B239" t="s">
        <v>74</v>
      </c>
      <c r="C239" t="s">
        <v>117</v>
      </c>
      <c r="D239" s="227">
        <v>0.56781400092887502</v>
      </c>
      <c r="E239" s="227">
        <v>0.56325466771932298</v>
      </c>
      <c r="F239" s="5">
        <v>0.99197037550660305</v>
      </c>
      <c r="G239" s="5">
        <v>0.56781400092887502</v>
      </c>
    </row>
    <row r="240" spans="1:7">
      <c r="A240" t="s">
        <v>73</v>
      </c>
      <c r="B240" t="s">
        <v>75</v>
      </c>
      <c r="C240" t="s">
        <v>117</v>
      </c>
      <c r="D240" s="227">
        <v>0.62276509073885</v>
      </c>
      <c r="E240" s="227">
        <v>0.593990603758493</v>
      </c>
      <c r="F240" s="5">
        <v>0.95379560060725499</v>
      </c>
      <c r="G240" s="5">
        <v>0.62276509073885</v>
      </c>
    </row>
    <row r="241" spans="1:7">
      <c r="A241" t="s">
        <v>73</v>
      </c>
      <c r="B241" t="s">
        <v>76</v>
      </c>
      <c r="C241" t="s">
        <v>117</v>
      </c>
      <c r="D241" s="227">
        <v>0.61387030991699598</v>
      </c>
      <c r="E241" s="227">
        <v>0.58762035791060496</v>
      </c>
      <c r="F241" s="5">
        <v>0.957238603036624</v>
      </c>
      <c r="G241" s="5">
        <v>0.61387030991699698</v>
      </c>
    </row>
    <row r="242" spans="1:7">
      <c r="A242" t="s">
        <v>73</v>
      </c>
      <c r="B242" t="s">
        <v>77</v>
      </c>
      <c r="C242" t="s">
        <v>117</v>
      </c>
      <c r="D242" s="227">
        <v>0.64400294923485102</v>
      </c>
      <c r="E242" s="227">
        <v>0.602442536294296</v>
      </c>
      <c r="F242" s="5">
        <v>0.93546549283674296</v>
      </c>
      <c r="G242" s="5">
        <v>0.64400294923485102</v>
      </c>
    </row>
    <row r="243" spans="1:7">
      <c r="A243" t="s">
        <v>73</v>
      </c>
      <c r="B243" t="s">
        <v>78</v>
      </c>
      <c r="C243" t="s">
        <v>117</v>
      </c>
      <c r="D243" s="227">
        <v>0.61988184759667597</v>
      </c>
      <c r="E243" s="227">
        <v>0.59322859834605401</v>
      </c>
      <c r="F243" s="5">
        <v>0.95700269437803598</v>
      </c>
      <c r="G243" s="5">
        <v>0.61988184759667597</v>
      </c>
    </row>
    <row r="244" spans="1:7">
      <c r="A244" t="s">
        <v>298</v>
      </c>
      <c r="B244" t="s">
        <v>254</v>
      </c>
      <c r="C244" t="s">
        <v>116</v>
      </c>
      <c r="D244" s="227">
        <v>0.77155269609807298</v>
      </c>
      <c r="E244" s="227">
        <v>0.201563402008961</v>
      </c>
      <c r="F244" s="5">
        <v>0.26124385674279399</v>
      </c>
      <c r="G244" s="5">
        <v>0.77155269609807398</v>
      </c>
    </row>
    <row r="245" spans="1:7">
      <c r="A245" t="s">
        <v>299</v>
      </c>
      <c r="B245" t="s">
        <v>255</v>
      </c>
      <c r="C245" t="s">
        <v>117</v>
      </c>
      <c r="D245" s="227">
        <v>0.85205808950761996</v>
      </c>
      <c r="E245" s="227">
        <v>0.70930666385366103</v>
      </c>
      <c r="F245" s="5">
        <v>0.83246280105567505</v>
      </c>
      <c r="G245" s="5">
        <v>0.85205808950761996</v>
      </c>
    </row>
    <row r="246" spans="1:7" s="19" customFormat="1">
      <c r="A246" s="19" t="s">
        <v>299</v>
      </c>
      <c r="B246" s="19" t="s">
        <v>256</v>
      </c>
      <c r="C246" s="19" t="s">
        <v>117</v>
      </c>
      <c r="D246" s="68">
        <v>0.84977290016762996</v>
      </c>
      <c r="E246" s="68">
        <v>0.69639300856332198</v>
      </c>
      <c r="F246" s="68">
        <v>0.81950484467785301</v>
      </c>
      <c r="G246" s="68">
        <v>0.84977290016762996</v>
      </c>
    </row>
    <row r="247" spans="1:7">
      <c r="A247" t="s">
        <v>79</v>
      </c>
      <c r="B247" t="s">
        <v>80</v>
      </c>
      <c r="C247" t="s">
        <v>116</v>
      </c>
      <c r="D247" s="227">
        <v>0.97206944143051399</v>
      </c>
      <c r="E247" s="227">
        <v>0.75602272500203904</v>
      </c>
      <c r="F247" s="5">
        <v>0.77774559386360598</v>
      </c>
      <c r="G247" s="5">
        <v>0.97206944143051399</v>
      </c>
    </row>
    <row r="248" spans="1:7">
      <c r="A248" t="s">
        <v>1089</v>
      </c>
      <c r="B248" t="s">
        <v>1090</v>
      </c>
      <c r="C248" t="s">
        <v>116</v>
      </c>
      <c r="D248" s="227">
        <v>0.88725534171348897</v>
      </c>
      <c r="E248" s="227">
        <v>0.88725534171348897</v>
      </c>
      <c r="F248" s="5">
        <v>1</v>
      </c>
      <c r="G248" s="5">
        <v>0.88725534171348897</v>
      </c>
    </row>
    <row r="249" spans="1:7" s="19" customFormat="1">
      <c r="A249" s="19" t="s">
        <v>1089</v>
      </c>
      <c r="B249" s="19" t="s">
        <v>1092</v>
      </c>
      <c r="C249" s="19" t="s">
        <v>116</v>
      </c>
      <c r="D249" s="68">
        <v>0.82289949940655704</v>
      </c>
      <c r="E249" s="68">
        <v>0.82289949940655704</v>
      </c>
      <c r="F249" s="68">
        <v>1</v>
      </c>
      <c r="G249" s="68">
        <v>0.82289949940655704</v>
      </c>
    </row>
    <row r="250" spans="1:7" s="19" customFormat="1">
      <c r="A250" s="19" t="s">
        <v>1089</v>
      </c>
      <c r="B250" s="19" t="s">
        <v>1094</v>
      </c>
      <c r="C250" s="19" t="s">
        <v>116</v>
      </c>
      <c r="D250" s="68">
        <v>0.80389101603369695</v>
      </c>
      <c r="E250" s="68">
        <v>0.74849695403523397</v>
      </c>
      <c r="F250" s="68">
        <v>0.93109257238403897</v>
      </c>
      <c r="G250" s="68">
        <v>0.80389101603369695</v>
      </c>
    </row>
    <row r="251" spans="1:7">
      <c r="A251" t="s">
        <v>1089</v>
      </c>
      <c r="B251" t="s">
        <v>1096</v>
      </c>
      <c r="C251" t="s">
        <v>116</v>
      </c>
      <c r="D251" s="227">
        <v>0.68087457808111196</v>
      </c>
      <c r="E251" s="227">
        <v>0.48959047245270598</v>
      </c>
      <c r="F251" s="5">
        <v>0.71906117251800505</v>
      </c>
      <c r="G251" s="5">
        <v>0.68087457808111196</v>
      </c>
    </row>
    <row r="252" spans="1:7">
      <c r="A252" t="s">
        <v>81</v>
      </c>
      <c r="B252" t="s">
        <v>82</v>
      </c>
      <c r="C252" t="s">
        <v>116</v>
      </c>
      <c r="D252" s="227">
        <v>0.85956087281267402</v>
      </c>
      <c r="E252" s="227">
        <v>0.599276021366558</v>
      </c>
      <c r="F252" s="5">
        <v>0.69718857654094202</v>
      </c>
      <c r="G252" s="5">
        <v>0.85956087281267402</v>
      </c>
    </row>
    <row r="253" spans="1:7">
      <c r="A253" t="s">
        <v>12</v>
      </c>
      <c r="B253" t="s">
        <v>326</v>
      </c>
      <c r="C253" t="s">
        <v>117</v>
      </c>
      <c r="D253" s="227">
        <v>0.76845159812964803</v>
      </c>
      <c r="E253" s="227">
        <v>0.39665423228822499</v>
      </c>
      <c r="F253" s="5">
        <v>0.51617334553490501</v>
      </c>
      <c r="G253" s="5">
        <v>0.76845159812964803</v>
      </c>
    </row>
    <row r="254" spans="1:7">
      <c r="A254" t="s">
        <v>12</v>
      </c>
      <c r="B254" t="s">
        <v>83</v>
      </c>
      <c r="C254" t="s">
        <v>117</v>
      </c>
      <c r="D254" s="227">
        <v>0.52483846279788604</v>
      </c>
      <c r="E254" s="227">
        <v>0.39817061254465402</v>
      </c>
      <c r="F254" s="5">
        <v>0.75865364444143002</v>
      </c>
      <c r="G254" s="5">
        <v>0.52483846279788604</v>
      </c>
    </row>
    <row r="255" spans="1:7">
      <c r="A255" t="s">
        <v>12</v>
      </c>
      <c r="B255" t="s">
        <v>84</v>
      </c>
      <c r="C255" t="s">
        <v>117</v>
      </c>
      <c r="D255" s="227">
        <v>0.49518122175631701</v>
      </c>
      <c r="E255" s="227">
        <v>0.38624708429202498</v>
      </c>
      <c r="F255" s="5">
        <v>0.780011574191116</v>
      </c>
      <c r="G255" s="5">
        <v>0.49518122175631701</v>
      </c>
    </row>
    <row r="256" spans="1:7">
      <c r="A256" t="s">
        <v>12</v>
      </c>
      <c r="B256" t="s">
        <v>85</v>
      </c>
      <c r="C256" t="s">
        <v>117</v>
      </c>
      <c r="D256" s="227">
        <v>0.46938604761132502</v>
      </c>
      <c r="E256" s="227">
        <v>0.40744096502634403</v>
      </c>
      <c r="F256" s="5">
        <v>0.86802956138083998</v>
      </c>
      <c r="G256" s="5">
        <v>0.46938604761132502</v>
      </c>
    </row>
    <row r="257" spans="1:7">
      <c r="A257" t="s">
        <v>12</v>
      </c>
      <c r="B257" t="s">
        <v>86</v>
      </c>
      <c r="C257" t="s">
        <v>117</v>
      </c>
      <c r="D257" s="227">
        <v>0.58590764531594997</v>
      </c>
      <c r="E257" s="227">
        <v>0.33068522709915099</v>
      </c>
      <c r="F257" s="5">
        <v>0.56439821146356495</v>
      </c>
      <c r="G257" s="5">
        <v>0.58590764531594997</v>
      </c>
    </row>
    <row r="258" spans="1:7">
      <c r="A258" t="s">
        <v>12</v>
      </c>
      <c r="B258" t="s">
        <v>87</v>
      </c>
      <c r="C258" t="s">
        <v>117</v>
      </c>
      <c r="D258" s="227">
        <v>0.56171130924162704</v>
      </c>
      <c r="E258" s="227">
        <v>0.14763745407668999</v>
      </c>
      <c r="F258" s="5">
        <v>0.26283511057667203</v>
      </c>
      <c r="G258" s="5">
        <v>0.56171130924162704</v>
      </c>
    </row>
    <row r="259" spans="1:7">
      <c r="A259" t="s">
        <v>12</v>
      </c>
      <c r="B259" t="s">
        <v>327</v>
      </c>
      <c r="C259" t="s">
        <v>117</v>
      </c>
      <c r="D259" s="227">
        <v>0.76559111469507002</v>
      </c>
      <c r="E259" s="227">
        <v>0.36867561339239902</v>
      </c>
      <c r="F259" s="5">
        <v>0.48155680795647599</v>
      </c>
      <c r="G259" s="5">
        <v>0.76559111469507002</v>
      </c>
    </row>
    <row r="260" spans="1:7">
      <c r="A260" t="s">
        <v>12</v>
      </c>
      <c r="B260" t="s">
        <v>88</v>
      </c>
      <c r="C260" t="s">
        <v>117</v>
      </c>
      <c r="D260" s="227">
        <v>0.82317926109966</v>
      </c>
      <c r="E260" s="227">
        <v>0.41237232047949202</v>
      </c>
      <c r="F260" s="5">
        <v>0.50095081346997905</v>
      </c>
      <c r="G260" s="5">
        <v>0.82317926109966</v>
      </c>
    </row>
    <row r="261" spans="1:7">
      <c r="A261" t="s">
        <v>300</v>
      </c>
      <c r="B261" t="s">
        <v>257</v>
      </c>
      <c r="C261" t="s">
        <v>117</v>
      </c>
      <c r="D261" s="227">
        <v>0.57446282997682696</v>
      </c>
      <c r="E261" s="227">
        <v>0.372063797889503</v>
      </c>
      <c r="F261" s="5">
        <v>0.64767253593154395</v>
      </c>
      <c r="G261" s="5">
        <v>0.57446282997682696</v>
      </c>
    </row>
    <row r="262" spans="1:7">
      <c r="A262" t="s">
        <v>300</v>
      </c>
      <c r="B262" t="s">
        <v>258</v>
      </c>
      <c r="C262" t="s">
        <v>117</v>
      </c>
      <c r="D262" s="227">
        <v>0.35601330015877197</v>
      </c>
      <c r="E262" s="227">
        <v>0.27418082451194498</v>
      </c>
      <c r="F262" s="5">
        <v>0.77014208286507402</v>
      </c>
      <c r="G262" s="5">
        <v>0.35601330015877197</v>
      </c>
    </row>
    <row r="263" spans="1:7">
      <c r="A263" t="s">
        <v>300</v>
      </c>
      <c r="B263" t="s">
        <v>259</v>
      </c>
      <c r="C263" t="s">
        <v>117</v>
      </c>
      <c r="D263" s="227">
        <v>0.42906251297839298</v>
      </c>
      <c r="E263" s="227">
        <v>0.27368079604906498</v>
      </c>
      <c r="F263" s="5">
        <v>0.63785762626819698</v>
      </c>
      <c r="G263" s="5">
        <v>0.42906251297839298</v>
      </c>
    </row>
    <row r="264" spans="1:7">
      <c r="A264" t="s">
        <v>300</v>
      </c>
      <c r="B264" t="s">
        <v>260</v>
      </c>
      <c r="C264" t="s">
        <v>117</v>
      </c>
      <c r="D264" s="227">
        <v>0.39384786009630501</v>
      </c>
      <c r="E264" s="227">
        <v>0.15598703793433899</v>
      </c>
      <c r="F264" s="5">
        <v>0.39605912266781401</v>
      </c>
      <c r="G264" s="5">
        <v>0.39384786009630501</v>
      </c>
    </row>
    <row r="265" spans="1:7">
      <c r="A265" t="s">
        <v>300</v>
      </c>
      <c r="B265" t="s">
        <v>261</v>
      </c>
      <c r="C265" t="s">
        <v>117</v>
      </c>
      <c r="D265" s="227">
        <v>0.71869977531729801</v>
      </c>
      <c r="E265" s="227">
        <v>0.567292725687087</v>
      </c>
      <c r="F265" s="5">
        <v>0.78933199253698605</v>
      </c>
      <c r="G265" s="5">
        <v>0.71869977531729801</v>
      </c>
    </row>
    <row r="266" spans="1:7">
      <c r="A266" t="s">
        <v>300</v>
      </c>
      <c r="B266" t="s">
        <v>262</v>
      </c>
      <c r="C266" t="s">
        <v>117</v>
      </c>
      <c r="D266" s="227">
        <v>0.54435288132990201</v>
      </c>
      <c r="E266" s="227">
        <v>0.46174995788992801</v>
      </c>
      <c r="F266" s="5">
        <v>0.84825482463109603</v>
      </c>
      <c r="G266" s="5">
        <v>0.544352881329903</v>
      </c>
    </row>
    <row r="267" spans="1:7">
      <c r="A267" t="s">
        <v>300</v>
      </c>
      <c r="B267" t="s">
        <v>263</v>
      </c>
      <c r="C267" t="s">
        <v>117</v>
      </c>
      <c r="D267" s="227">
        <v>0.65741948373730297</v>
      </c>
      <c r="E267" s="227">
        <v>0.58336023006507698</v>
      </c>
      <c r="F267" s="5">
        <v>0.88734855673699697</v>
      </c>
      <c r="G267" s="5">
        <v>0.65741948373730297</v>
      </c>
    </row>
    <row r="268" spans="1:7">
      <c r="A268" t="s">
        <v>595</v>
      </c>
      <c r="B268" t="s">
        <v>626</v>
      </c>
      <c r="C268" t="s">
        <v>116</v>
      </c>
      <c r="D268" s="227">
        <v>0.82596109252510497</v>
      </c>
      <c r="E268" s="227">
        <v>0.68196912356504402</v>
      </c>
      <c r="F268" s="5">
        <v>0.82566737069920304</v>
      </c>
      <c r="G268" s="5">
        <v>0.82596109252510497</v>
      </c>
    </row>
    <row r="269" spans="1:7">
      <c r="A269" t="s">
        <v>595</v>
      </c>
      <c r="B269" t="s">
        <v>596</v>
      </c>
      <c r="C269" t="s">
        <v>116</v>
      </c>
      <c r="D269" s="227">
        <v>0.61232776605543104</v>
      </c>
      <c r="E269" s="227">
        <v>0.50482817243472999</v>
      </c>
      <c r="F269" s="5">
        <v>0.82444109253250897</v>
      </c>
      <c r="G269" s="5">
        <v>0.61232776605543104</v>
      </c>
    </row>
    <row r="270" spans="1:7">
      <c r="A270" t="s">
        <v>595</v>
      </c>
      <c r="B270" t="s">
        <v>597</v>
      </c>
      <c r="C270" t="s">
        <v>117</v>
      </c>
      <c r="D270" s="227">
        <v>0.58805529397665701</v>
      </c>
      <c r="E270" s="227">
        <v>0.473512998840868</v>
      </c>
      <c r="F270" s="5">
        <v>0.80521849508196697</v>
      </c>
      <c r="G270" s="5">
        <v>0.58805529397665701</v>
      </c>
    </row>
    <row r="271" spans="1:7">
      <c r="A271" t="s">
        <v>89</v>
      </c>
      <c r="B271" t="s">
        <v>90</v>
      </c>
      <c r="C271" t="s">
        <v>116</v>
      </c>
      <c r="D271" s="227">
        <v>0.89900106426167004</v>
      </c>
      <c r="E271" s="227">
        <v>0.89900106426167004</v>
      </c>
      <c r="F271" s="5">
        <v>1</v>
      </c>
      <c r="G271" s="5">
        <v>0.89900106426167004</v>
      </c>
    </row>
    <row r="272" spans="1:7">
      <c r="A272" t="s">
        <v>89</v>
      </c>
      <c r="B272" t="s">
        <v>91</v>
      </c>
      <c r="C272" t="s">
        <v>116</v>
      </c>
      <c r="D272" s="227">
        <v>0.898296102229316</v>
      </c>
      <c r="E272" s="227">
        <v>0.898296102229316</v>
      </c>
      <c r="F272" s="5">
        <v>1</v>
      </c>
      <c r="G272" s="5">
        <v>0.898296102229316</v>
      </c>
    </row>
    <row r="273" spans="1:7">
      <c r="A273" t="s">
        <v>89</v>
      </c>
      <c r="B273" t="s">
        <v>92</v>
      </c>
      <c r="C273" t="s">
        <v>117</v>
      </c>
      <c r="D273" s="227">
        <v>0.51642831247766596</v>
      </c>
      <c r="E273" s="227">
        <v>0.29147782999208</v>
      </c>
      <c r="F273" s="5">
        <v>0.564411018818194</v>
      </c>
      <c r="G273" s="5">
        <v>0.51642831247766596</v>
      </c>
    </row>
    <row r="274" spans="1:7">
      <c r="A274" t="s">
        <v>89</v>
      </c>
      <c r="B274" t="s">
        <v>93</v>
      </c>
      <c r="C274" t="s">
        <v>117</v>
      </c>
      <c r="D274" s="227">
        <v>0.79714094042950001</v>
      </c>
      <c r="E274" s="227">
        <v>0.63112180888118696</v>
      </c>
      <c r="F274" s="5">
        <v>0.79173177147461304</v>
      </c>
      <c r="G274" s="5">
        <v>0.79714094042950101</v>
      </c>
    </row>
    <row r="275" spans="1:7">
      <c r="A275" t="s">
        <v>89</v>
      </c>
      <c r="B275" t="s">
        <v>94</v>
      </c>
      <c r="C275" t="s">
        <v>117</v>
      </c>
      <c r="D275" s="227">
        <v>0.70664286668228804</v>
      </c>
      <c r="E275" s="227">
        <v>0.54447032108613302</v>
      </c>
      <c r="F275" s="5">
        <v>0.77050281939792198</v>
      </c>
      <c r="G275" s="5">
        <v>0.70664286668228804</v>
      </c>
    </row>
    <row r="276" spans="1:7">
      <c r="A276" t="s">
        <v>89</v>
      </c>
      <c r="B276" t="s">
        <v>95</v>
      </c>
      <c r="C276" t="s">
        <v>117</v>
      </c>
      <c r="D276" s="227">
        <v>0.70269108055354701</v>
      </c>
      <c r="E276" s="227">
        <v>0.63279102399512299</v>
      </c>
      <c r="F276" s="5">
        <v>0.90052519735505998</v>
      </c>
      <c r="G276" s="5">
        <v>0.70269108055354701</v>
      </c>
    </row>
    <row r="277" spans="1:7">
      <c r="A277" t="s">
        <v>89</v>
      </c>
      <c r="B277" t="s">
        <v>96</v>
      </c>
      <c r="C277" t="s">
        <v>117</v>
      </c>
      <c r="D277" s="227">
        <v>0.67362134663419004</v>
      </c>
      <c r="E277" s="227">
        <v>0.60296100025911603</v>
      </c>
      <c r="F277" s="5">
        <v>0.89510376010478998</v>
      </c>
      <c r="G277" s="5">
        <v>0.67362134663419004</v>
      </c>
    </row>
    <row r="278" spans="1:7">
      <c r="A278" t="s">
        <v>89</v>
      </c>
      <c r="B278" t="s">
        <v>653</v>
      </c>
      <c r="C278" t="s">
        <v>117</v>
      </c>
      <c r="D278" s="227">
        <v>0.456633869464873</v>
      </c>
      <c r="E278" s="227">
        <v>0.22576387801272599</v>
      </c>
      <c r="F278" s="5">
        <v>0.49440896330641798</v>
      </c>
      <c r="G278" s="5">
        <v>0.456633869464873</v>
      </c>
    </row>
    <row r="279" spans="1:7">
      <c r="A279" t="s">
        <v>89</v>
      </c>
      <c r="B279" t="s">
        <v>650</v>
      </c>
      <c r="C279" t="s">
        <v>117</v>
      </c>
      <c r="D279" s="227">
        <v>0.60085891877779896</v>
      </c>
      <c r="E279" s="227">
        <v>0.13511065916156501</v>
      </c>
      <c r="F279" s="5">
        <v>0.224862534180889</v>
      </c>
      <c r="G279" s="5">
        <v>0.60085891877779996</v>
      </c>
    </row>
    <row r="280" spans="1:7">
      <c r="A280" t="s">
        <v>89</v>
      </c>
      <c r="B280" t="s">
        <v>651</v>
      </c>
      <c r="C280" t="s">
        <v>117</v>
      </c>
      <c r="D280" s="227">
        <v>0.44243791647699399</v>
      </c>
      <c r="E280" s="227">
        <v>0.27116767009149301</v>
      </c>
      <c r="F280" s="5">
        <v>0.61289428413080704</v>
      </c>
      <c r="G280" s="5">
        <v>0.44243791647699399</v>
      </c>
    </row>
    <row r="281" spans="1:7" s="19" customFormat="1">
      <c r="A281" s="19" t="s">
        <v>89</v>
      </c>
      <c r="B281" s="19" t="s">
        <v>652</v>
      </c>
      <c r="C281" s="19" t="s">
        <v>117</v>
      </c>
      <c r="D281" s="68">
        <v>0.67130192922998699</v>
      </c>
      <c r="E281" s="68">
        <v>0.46139758686412102</v>
      </c>
      <c r="F281" s="68">
        <v>0.68731753444141697</v>
      </c>
      <c r="G281" s="68">
        <v>0.67130192922998699</v>
      </c>
    </row>
    <row r="282" spans="1:7">
      <c r="A282" t="s">
        <v>89</v>
      </c>
      <c r="B282" t="s">
        <v>97</v>
      </c>
      <c r="C282" t="s">
        <v>117</v>
      </c>
      <c r="D282" s="227">
        <v>0.28252286851029002</v>
      </c>
      <c r="E282" s="227">
        <v>9.7875333896667097E-2</v>
      </c>
      <c r="F282" s="5">
        <v>0.346433314983499</v>
      </c>
      <c r="G282" s="5">
        <v>0.28252286851029002</v>
      </c>
    </row>
    <row r="283" spans="1:7">
      <c r="A283" t="s">
        <v>89</v>
      </c>
      <c r="B283" t="s">
        <v>401</v>
      </c>
      <c r="C283" t="s">
        <v>117</v>
      </c>
      <c r="D283" s="227">
        <v>0.82129785829788604</v>
      </c>
      <c r="E283" s="227">
        <v>0.37341781927398798</v>
      </c>
      <c r="F283" s="5">
        <v>0.45466795694303302</v>
      </c>
      <c r="G283" s="5">
        <v>0.82129785829788604</v>
      </c>
    </row>
    <row r="284" spans="1:7">
      <c r="A284" t="s">
        <v>89</v>
      </c>
      <c r="B284" t="s">
        <v>402</v>
      </c>
      <c r="C284" t="s">
        <v>117</v>
      </c>
      <c r="D284" s="227">
        <v>0.66515919292727699</v>
      </c>
      <c r="E284" s="227">
        <v>0.32174747450764202</v>
      </c>
      <c r="F284" s="5">
        <v>0.48371499323594203</v>
      </c>
      <c r="G284" s="5">
        <v>0.66515919292727699</v>
      </c>
    </row>
    <row r="285" spans="1:7">
      <c r="A285" t="s">
        <v>89</v>
      </c>
      <c r="B285" t="s">
        <v>403</v>
      </c>
      <c r="C285" t="s">
        <v>117</v>
      </c>
      <c r="D285" s="227">
        <v>0.84442070595266405</v>
      </c>
      <c r="E285" s="227">
        <v>0.568294004750588</v>
      </c>
      <c r="F285" s="5">
        <v>0.67299866138342401</v>
      </c>
      <c r="G285" s="5">
        <v>0.84442070595266405</v>
      </c>
    </row>
    <row r="286" spans="1:7">
      <c r="A286" t="s">
        <v>89</v>
      </c>
      <c r="B286" t="s">
        <v>404</v>
      </c>
      <c r="C286" t="s">
        <v>117</v>
      </c>
      <c r="D286" s="227">
        <v>0.77203054607139399</v>
      </c>
      <c r="E286" s="227">
        <v>0.578443393717471</v>
      </c>
      <c r="F286" s="5">
        <v>0.74924936151940702</v>
      </c>
      <c r="G286" s="5">
        <v>0.77203054607139399</v>
      </c>
    </row>
    <row r="287" spans="1:7">
      <c r="A287" t="s">
        <v>89</v>
      </c>
      <c r="B287" t="s">
        <v>405</v>
      </c>
      <c r="C287" t="s">
        <v>117</v>
      </c>
      <c r="D287" s="227">
        <v>0.79501512703961397</v>
      </c>
      <c r="E287" s="227">
        <v>0.677209690834357</v>
      </c>
      <c r="F287" s="5">
        <v>0.85181988090726302</v>
      </c>
      <c r="G287" s="5">
        <v>0.79501512703961297</v>
      </c>
    </row>
    <row r="288" spans="1:7">
      <c r="A288" t="s">
        <v>89</v>
      </c>
      <c r="B288" t="s">
        <v>406</v>
      </c>
      <c r="C288" t="s">
        <v>117</v>
      </c>
      <c r="D288" s="227">
        <v>0.86107548697690195</v>
      </c>
      <c r="E288" s="227">
        <v>0.73036867529855098</v>
      </c>
      <c r="F288" s="5">
        <v>0.84820516475594698</v>
      </c>
      <c r="G288" s="5">
        <v>0.86107548697690195</v>
      </c>
    </row>
    <row r="289" spans="1:7">
      <c r="A289" t="s">
        <v>89</v>
      </c>
      <c r="B289" t="s">
        <v>407</v>
      </c>
      <c r="C289" t="s">
        <v>117</v>
      </c>
      <c r="D289" s="227">
        <v>0.81593458457539203</v>
      </c>
      <c r="E289" s="227">
        <v>0.650459379739037</v>
      </c>
      <c r="F289" s="5">
        <v>0.79719550076129397</v>
      </c>
      <c r="G289" s="5">
        <v>0.81593458457539203</v>
      </c>
    </row>
    <row r="290" spans="1:7">
      <c r="A290" t="s">
        <v>89</v>
      </c>
      <c r="B290" t="s">
        <v>98</v>
      </c>
      <c r="C290" t="s">
        <v>117</v>
      </c>
      <c r="D290" s="227">
        <v>0.68397691552865403</v>
      </c>
      <c r="E290" s="227">
        <v>0.48281973771528303</v>
      </c>
      <c r="F290" s="5">
        <v>0.705900633126055</v>
      </c>
      <c r="G290" s="5">
        <v>0.68397691552865403</v>
      </c>
    </row>
    <row r="291" spans="1:7">
      <c r="A291" t="s">
        <v>99</v>
      </c>
      <c r="B291" t="s">
        <v>369</v>
      </c>
      <c r="C291" t="s">
        <v>117</v>
      </c>
      <c r="D291" s="227">
        <v>0.80331685703585698</v>
      </c>
      <c r="E291" s="227">
        <v>0.594946258875659</v>
      </c>
      <c r="F291" s="5">
        <v>0.74061219264206601</v>
      </c>
      <c r="G291" s="5">
        <v>0.80331685703585798</v>
      </c>
    </row>
    <row r="292" spans="1:7">
      <c r="A292" t="s">
        <v>100</v>
      </c>
      <c r="B292" t="s">
        <v>101</v>
      </c>
      <c r="C292" t="s">
        <v>116</v>
      </c>
      <c r="D292" s="227">
        <v>0.91384187523920402</v>
      </c>
      <c r="E292" s="227">
        <v>0.74205516523549298</v>
      </c>
      <c r="F292" s="5">
        <v>0.81201702979659995</v>
      </c>
      <c r="G292" s="5">
        <v>0.91384187523920402</v>
      </c>
    </row>
    <row r="293" spans="1:7">
      <c r="A293" t="s">
        <v>99</v>
      </c>
      <c r="B293" t="s">
        <v>102</v>
      </c>
      <c r="C293" t="s">
        <v>117</v>
      </c>
      <c r="D293" s="227">
        <v>0.65426842767656401</v>
      </c>
      <c r="E293" s="227">
        <v>0.48922924578564603</v>
      </c>
      <c r="F293" s="5">
        <v>0.74775004430978798</v>
      </c>
      <c r="G293" s="5">
        <v>0.65426842767656401</v>
      </c>
    </row>
    <row r="294" spans="1:7">
      <c r="A294" t="s">
        <v>99</v>
      </c>
      <c r="B294" t="s">
        <v>103</v>
      </c>
      <c r="C294" t="s">
        <v>117</v>
      </c>
      <c r="D294" s="227">
        <v>0.60481591990946704</v>
      </c>
      <c r="E294" s="227">
        <v>0.39743333828691102</v>
      </c>
      <c r="F294" s="5">
        <v>0.65711454544120096</v>
      </c>
      <c r="G294" s="5">
        <v>0.60481591990946704</v>
      </c>
    </row>
    <row r="295" spans="1:7">
      <c r="A295" t="s">
        <v>99</v>
      </c>
      <c r="B295" t="s">
        <v>104</v>
      </c>
      <c r="C295" t="s">
        <v>117</v>
      </c>
      <c r="D295" s="227">
        <v>0.58583136948685999</v>
      </c>
      <c r="E295" s="227">
        <v>0.41537184416540102</v>
      </c>
      <c r="F295" s="5">
        <v>0.70902970684078004</v>
      </c>
      <c r="G295" s="5">
        <v>0.58583136948685899</v>
      </c>
    </row>
    <row r="296" spans="1:7">
      <c r="A296" t="s">
        <v>99</v>
      </c>
      <c r="B296" t="s">
        <v>105</v>
      </c>
      <c r="C296" t="s">
        <v>117</v>
      </c>
      <c r="D296" s="227">
        <v>0.61867537525028704</v>
      </c>
      <c r="E296" s="227">
        <v>0.49789257816874999</v>
      </c>
      <c r="F296" s="5">
        <v>0.80477193385517498</v>
      </c>
      <c r="G296" s="5">
        <v>0.61867537525028804</v>
      </c>
    </row>
    <row r="297" spans="1:7">
      <c r="A297" t="s">
        <v>100</v>
      </c>
      <c r="B297" t="s">
        <v>106</v>
      </c>
      <c r="C297" t="s">
        <v>116</v>
      </c>
      <c r="D297" s="227">
        <v>0.94666945362184896</v>
      </c>
      <c r="E297" s="227">
        <v>0.87840380236794202</v>
      </c>
      <c r="F297" s="5">
        <v>0.92788860885631197</v>
      </c>
      <c r="G297" s="5">
        <v>0.94666945362184896</v>
      </c>
    </row>
    <row r="298" spans="1:7">
      <c r="A298" t="s">
        <v>100</v>
      </c>
      <c r="B298" t="s">
        <v>107</v>
      </c>
      <c r="C298" t="s">
        <v>116</v>
      </c>
      <c r="D298" s="227">
        <v>0.88143943192263496</v>
      </c>
      <c r="E298" s="227">
        <v>0.86696278536336002</v>
      </c>
      <c r="F298" s="5">
        <v>0.983576130094727</v>
      </c>
      <c r="G298" s="5">
        <v>0.88143943192263496</v>
      </c>
    </row>
    <row r="299" spans="1:7">
      <c r="A299" t="s">
        <v>99</v>
      </c>
      <c r="B299" t="s">
        <v>370</v>
      </c>
      <c r="C299" t="s">
        <v>117</v>
      </c>
      <c r="D299" s="227">
        <v>0.68431328477922404</v>
      </c>
      <c r="E299" s="227">
        <v>0.57587078023687599</v>
      </c>
      <c r="F299" s="5">
        <v>0.84153090849707102</v>
      </c>
      <c r="G299" s="5">
        <v>0.68431328477922404</v>
      </c>
    </row>
    <row r="300" spans="1:7">
      <c r="A300" t="s">
        <v>869</v>
      </c>
      <c r="B300" t="s">
        <v>870</v>
      </c>
      <c r="C300" t="s">
        <v>117</v>
      </c>
      <c r="D300" s="227">
        <v>0.79328964510945099</v>
      </c>
      <c r="E300" s="227">
        <v>0.36954652957408402</v>
      </c>
      <c r="F300" s="5">
        <v>0.46584060670941602</v>
      </c>
      <c r="G300" s="5">
        <v>0.79328964510945099</v>
      </c>
    </row>
    <row r="301" spans="1:7">
      <c r="A301" t="s">
        <v>301</v>
      </c>
      <c r="B301" t="s">
        <v>264</v>
      </c>
      <c r="C301" t="s">
        <v>117</v>
      </c>
      <c r="D301" s="227">
        <v>0.95291249254826504</v>
      </c>
      <c r="E301" s="227">
        <v>0.66576349991962203</v>
      </c>
      <c r="F301" s="5">
        <v>0.698661739798632</v>
      </c>
      <c r="G301" s="5">
        <v>0.95291249254826504</v>
      </c>
    </row>
    <row r="302" spans="1:7">
      <c r="A302" t="s">
        <v>301</v>
      </c>
      <c r="B302" t="s">
        <v>265</v>
      </c>
      <c r="C302" t="s">
        <v>117</v>
      </c>
      <c r="D302" s="227">
        <v>0.94916637475142795</v>
      </c>
      <c r="E302" s="227">
        <v>0.59608320086664301</v>
      </c>
      <c r="F302" s="5">
        <v>0.62800707728689598</v>
      </c>
      <c r="G302" s="5">
        <v>0.94916637475142895</v>
      </c>
    </row>
    <row r="303" spans="1:7">
      <c r="A303" t="s">
        <v>301</v>
      </c>
      <c r="B303" t="s">
        <v>266</v>
      </c>
      <c r="C303" t="s">
        <v>117</v>
      </c>
      <c r="D303" s="227">
        <v>0.96090980501182099</v>
      </c>
      <c r="E303" s="227">
        <v>0.71047569540970401</v>
      </c>
      <c r="F303" s="5">
        <v>0.73937813070911895</v>
      </c>
      <c r="G303" s="5">
        <v>0.96090980501182099</v>
      </c>
    </row>
    <row r="304" spans="1:7">
      <c r="A304" t="s">
        <v>301</v>
      </c>
      <c r="B304" t="s">
        <v>629</v>
      </c>
      <c r="C304" t="s">
        <v>117</v>
      </c>
      <c r="D304" s="227">
        <v>0.96281689609660304</v>
      </c>
      <c r="E304" s="227">
        <v>0.82972459596964798</v>
      </c>
      <c r="F304" s="5">
        <v>0.86176779752564503</v>
      </c>
      <c r="G304" s="5">
        <v>0.96281689609660304</v>
      </c>
    </row>
    <row r="305" spans="1:7">
      <c r="A305" t="s">
        <v>301</v>
      </c>
      <c r="B305" t="s">
        <v>267</v>
      </c>
      <c r="C305" t="s">
        <v>117</v>
      </c>
      <c r="D305" s="227">
        <v>0.96813465895350803</v>
      </c>
      <c r="E305" s="227">
        <v>0.82462314015351901</v>
      </c>
      <c r="F305" s="5">
        <v>0.85176491981485702</v>
      </c>
      <c r="G305" s="5">
        <v>0.96813465895350803</v>
      </c>
    </row>
    <row r="306" spans="1:7">
      <c r="A306" t="s">
        <v>302</v>
      </c>
      <c r="B306" t="s">
        <v>268</v>
      </c>
      <c r="C306" t="s">
        <v>116</v>
      </c>
      <c r="D306" s="227">
        <v>0.96518821903374197</v>
      </c>
      <c r="E306" s="227">
        <v>0.92132579282697402</v>
      </c>
      <c r="F306" s="5">
        <v>0.95455557233108501</v>
      </c>
      <c r="G306" s="5">
        <v>0.96518821903374197</v>
      </c>
    </row>
    <row r="307" spans="1:7">
      <c r="A307" t="s">
        <v>302</v>
      </c>
      <c r="B307" t="s">
        <v>269</v>
      </c>
      <c r="C307" t="s">
        <v>116</v>
      </c>
      <c r="D307" s="227">
        <v>0.96395472529748705</v>
      </c>
      <c r="E307" s="227">
        <v>0.92845577818255398</v>
      </c>
      <c r="F307" s="5">
        <v>0.96317363649628096</v>
      </c>
      <c r="G307" s="5">
        <v>0.96395472529748705</v>
      </c>
    </row>
    <row r="308" spans="1:7">
      <c r="A308" t="s">
        <v>302</v>
      </c>
      <c r="B308" t="s">
        <v>270</v>
      </c>
      <c r="C308" t="s">
        <v>116</v>
      </c>
      <c r="D308" s="227">
        <v>0.98266282894525603</v>
      </c>
      <c r="E308" s="227">
        <v>0.73491469338190696</v>
      </c>
      <c r="F308" s="5">
        <v>0.747880831282414</v>
      </c>
      <c r="G308" s="5">
        <v>0.98266282894525603</v>
      </c>
    </row>
    <row r="309" spans="1:7">
      <c r="A309" t="s">
        <v>391</v>
      </c>
      <c r="B309" t="s">
        <v>371</v>
      </c>
      <c r="C309" t="s">
        <v>116</v>
      </c>
      <c r="D309" s="227">
        <v>0.97652321163830902</v>
      </c>
      <c r="E309" s="227">
        <v>0.62191695951942505</v>
      </c>
      <c r="F309" s="5">
        <v>0.63686858858791295</v>
      </c>
      <c r="G309" s="5">
        <v>0.97652321163830902</v>
      </c>
    </row>
    <row r="310" spans="1:7">
      <c r="A310" t="s">
        <v>391</v>
      </c>
      <c r="B310" t="s">
        <v>372</v>
      </c>
      <c r="C310" t="s">
        <v>116</v>
      </c>
      <c r="D310" s="227">
        <v>0.98895449694700099</v>
      </c>
      <c r="E310" s="227">
        <v>0.82266570753642998</v>
      </c>
      <c r="F310" s="5">
        <v>0.83185395291298003</v>
      </c>
      <c r="G310" s="5">
        <v>0.98895449694700099</v>
      </c>
    </row>
    <row r="311" spans="1:7">
      <c r="A311" t="s">
        <v>598</v>
      </c>
      <c r="B311" t="s">
        <v>599</v>
      </c>
      <c r="C311" t="s">
        <v>117</v>
      </c>
      <c r="D311" s="227">
        <v>0.73775541074640605</v>
      </c>
      <c r="E311" s="227">
        <v>0.65790383478049397</v>
      </c>
      <c r="F311" s="5">
        <v>0.891764160854985</v>
      </c>
      <c r="G311" s="5">
        <v>0.73775541074640605</v>
      </c>
    </row>
    <row r="312" spans="1:7">
      <c r="A312" t="s">
        <v>598</v>
      </c>
      <c r="B312" t="s">
        <v>600</v>
      </c>
      <c r="C312" t="s">
        <v>117</v>
      </c>
      <c r="D312" s="227">
        <v>0.65143736497293403</v>
      </c>
      <c r="E312" s="227">
        <v>0.53942204427695595</v>
      </c>
      <c r="F312" s="5">
        <v>0.82804897796945998</v>
      </c>
      <c r="G312" s="5">
        <v>0.65143736497293403</v>
      </c>
    </row>
    <row r="313" spans="1:7">
      <c r="A313" t="s">
        <v>598</v>
      </c>
      <c r="B313" t="s">
        <v>601</v>
      </c>
      <c r="C313" t="s">
        <v>117</v>
      </c>
      <c r="D313" s="227">
        <v>0.72168111152382297</v>
      </c>
      <c r="E313" s="227">
        <v>0.61749444885825699</v>
      </c>
      <c r="F313" s="5">
        <v>0.85563338017039503</v>
      </c>
      <c r="G313" s="5">
        <v>0.72168111152382297</v>
      </c>
    </row>
    <row r="314" spans="1:7">
      <c r="A314" t="s">
        <v>598</v>
      </c>
      <c r="B314" t="s">
        <v>602</v>
      </c>
      <c r="C314" t="s">
        <v>117</v>
      </c>
      <c r="D314" s="227">
        <v>0.81311139190130499</v>
      </c>
      <c r="E314" s="227">
        <v>0.61525652429205102</v>
      </c>
      <c r="F314" s="5">
        <v>0.75666941875379601</v>
      </c>
      <c r="G314" s="5">
        <v>0.81311139190130599</v>
      </c>
    </row>
    <row r="315" spans="1:7">
      <c r="A315" t="s">
        <v>598</v>
      </c>
      <c r="B315" t="s">
        <v>603</v>
      </c>
      <c r="C315" t="s">
        <v>117</v>
      </c>
      <c r="D315" s="5">
        <v>0.58688815646923997</v>
      </c>
      <c r="E315" s="5">
        <v>0.27948798351210402</v>
      </c>
      <c r="F315" s="5">
        <v>0.47622017999736499</v>
      </c>
      <c r="G315" s="5">
        <v>0.58688815646923997</v>
      </c>
    </row>
    <row r="316" spans="1:7">
      <c r="A316" t="s">
        <v>390</v>
      </c>
      <c r="B316" t="s">
        <v>373</v>
      </c>
      <c r="C316" t="s">
        <v>116</v>
      </c>
      <c r="D316" s="5">
        <v>0.849981328211173</v>
      </c>
      <c r="E316" s="5">
        <v>0.77618797909077097</v>
      </c>
      <c r="F316" s="5">
        <v>0.91318238804644802</v>
      </c>
      <c r="G316" s="5">
        <v>0.849981328211173</v>
      </c>
    </row>
    <row r="317" spans="1:7">
      <c r="A317" t="s">
        <v>108</v>
      </c>
      <c r="B317" t="s">
        <v>109</v>
      </c>
      <c r="C317" t="s">
        <v>117</v>
      </c>
      <c r="D317" s="5">
        <v>0.75562364645542901</v>
      </c>
      <c r="E317" s="5">
        <v>0.569747646510815</v>
      </c>
      <c r="F317" s="5">
        <v>0.75400981584345095</v>
      </c>
      <c r="G317" s="5">
        <v>0.75562364645542901</v>
      </c>
    </row>
    <row r="318" spans="1:7">
      <c r="A318" t="s">
        <v>108</v>
      </c>
      <c r="B318" t="s">
        <v>110</v>
      </c>
      <c r="C318" t="s">
        <v>117</v>
      </c>
      <c r="D318" s="5">
        <v>0.82846308013844105</v>
      </c>
      <c r="E318" s="5">
        <v>0.73501537161446096</v>
      </c>
      <c r="F318" s="5">
        <v>0.887203532946375</v>
      </c>
      <c r="G318" s="5">
        <v>0.82846308013844105</v>
      </c>
    </row>
    <row r="319" spans="1:7">
      <c r="A319" t="s">
        <v>108</v>
      </c>
      <c r="B319" t="s">
        <v>111</v>
      </c>
      <c r="C319" t="s">
        <v>117</v>
      </c>
      <c r="D319" s="5">
        <v>0.76933119805623196</v>
      </c>
      <c r="E319" s="5">
        <v>0.72228729800047897</v>
      </c>
      <c r="F319" s="5">
        <v>0.93885091339775095</v>
      </c>
      <c r="G319" s="5">
        <v>0.76933119805623196</v>
      </c>
    </row>
    <row r="320" spans="1:7">
      <c r="A320" t="s">
        <v>108</v>
      </c>
      <c r="B320" t="s">
        <v>112</v>
      </c>
      <c r="C320" t="s">
        <v>117</v>
      </c>
      <c r="D320" s="5">
        <v>0.76513442090275596</v>
      </c>
      <c r="E320" s="5">
        <v>0.70575643885364303</v>
      </c>
      <c r="F320" s="5">
        <v>0.92239535900233804</v>
      </c>
      <c r="G320" s="5">
        <v>0.76513442090275596</v>
      </c>
    </row>
    <row r="321" spans="1:7">
      <c r="A321" t="s">
        <v>387</v>
      </c>
      <c r="B321" t="s">
        <v>881</v>
      </c>
      <c r="C321" t="s">
        <v>117</v>
      </c>
      <c r="D321" s="5">
        <v>0.58316644728486999</v>
      </c>
      <c r="E321" s="5">
        <v>0.52481594385057595</v>
      </c>
      <c r="F321" s="5">
        <v>0.89994193989389504</v>
      </c>
      <c r="G321" s="5">
        <v>0.58316644728486999</v>
      </c>
    </row>
    <row r="322" spans="1:7">
      <c r="A322" t="s">
        <v>387</v>
      </c>
      <c r="B322" t="s">
        <v>882</v>
      </c>
      <c r="C322" t="s">
        <v>117</v>
      </c>
      <c r="D322" s="5">
        <v>0.59380863501248904</v>
      </c>
      <c r="E322" s="5">
        <v>0.53408443270675299</v>
      </c>
      <c r="F322" s="5">
        <v>0.89942180227055901</v>
      </c>
      <c r="G322" s="5">
        <v>0.59380863501248904</v>
      </c>
    </row>
    <row r="323" spans="1:7">
      <c r="A323" t="s">
        <v>387</v>
      </c>
      <c r="B323" t="s">
        <v>634</v>
      </c>
      <c r="C323" t="s">
        <v>117</v>
      </c>
      <c r="D323" s="5">
        <v>0.51452975714103699</v>
      </c>
      <c r="E323" s="5">
        <v>0.249608794759512</v>
      </c>
      <c r="F323" s="5">
        <v>0.48512023123104298</v>
      </c>
      <c r="G323" s="5">
        <v>0.51452975714103699</v>
      </c>
    </row>
  </sheetData>
  <hyperlinks>
    <hyperlink ref="A1" r:id="rId1" xr:uid="{8896D7E6-75EA-4793-ABE5-D0608B1D482B}"/>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4C344-F964-4BB7-81E9-371F8D4BE1FC}">
  <sheetPr codeName="Sheet15">
    <tabColor theme="7"/>
  </sheetPr>
  <dimension ref="A1:M344"/>
  <sheetViews>
    <sheetView zoomScaleNormal="100" workbookViewId="0">
      <pane ySplit="2" topLeftCell="A3" activePane="bottomLeft" state="frozen"/>
      <selection pane="bottomLeft" activeCell="K4" sqref="K4"/>
    </sheetView>
  </sheetViews>
  <sheetFormatPr defaultColWidth="8.7109375" defaultRowHeight="12.75"/>
  <cols>
    <col min="1" max="1" width="43.85546875" style="19" bestFit="1" customWidth="1"/>
    <col min="2" max="2" width="23.140625" style="70" customWidth="1"/>
    <col min="3" max="3" width="22.28515625" style="70" customWidth="1"/>
    <col min="4" max="4" width="19.85546875" style="70" customWidth="1"/>
    <col min="5" max="5" width="26.85546875" style="70" customWidth="1"/>
    <col min="6" max="6" width="20.140625" style="70" customWidth="1"/>
    <col min="7" max="7" width="23.140625" style="70" customWidth="1"/>
    <col min="8" max="8" width="17.7109375" style="70" customWidth="1"/>
    <col min="9" max="9" width="22.7109375" style="70" customWidth="1"/>
    <col min="10" max="10" width="13.85546875" style="70" customWidth="1"/>
    <col min="11" max="11" width="13.42578125" style="70" customWidth="1"/>
    <col min="12" max="16384" width="8.7109375" style="19"/>
  </cols>
  <sheetData>
    <row r="1" spans="1:13">
      <c r="A1" s="331" t="s">
        <v>1110</v>
      </c>
      <c r="B1" t="s">
        <v>1107</v>
      </c>
    </row>
    <row r="2" spans="1:13">
      <c r="A2" t="s">
        <v>142</v>
      </c>
      <c r="B2" s="66" t="s">
        <v>7</v>
      </c>
      <c r="C2" s="66" t="s">
        <v>6</v>
      </c>
      <c r="D2" s="66" t="s">
        <v>5</v>
      </c>
      <c r="E2" s="66" t="s">
        <v>4</v>
      </c>
      <c r="F2" s="66" t="s">
        <v>3</v>
      </c>
      <c r="G2" s="66" t="s">
        <v>1</v>
      </c>
      <c r="H2" s="66" t="s">
        <v>11</v>
      </c>
      <c r="I2" s="66" t="s">
        <v>2</v>
      </c>
      <c r="J2" s="66" t="s">
        <v>15</v>
      </c>
      <c r="K2" s="381" t="s">
        <v>113</v>
      </c>
      <c r="M2" s="19" t="s">
        <v>886</v>
      </c>
    </row>
    <row r="3" spans="1:13" ht="15">
      <c r="A3" s="78" t="s">
        <v>329</v>
      </c>
      <c r="B3" s="228"/>
      <c r="C3" s="228"/>
      <c r="D3" s="228"/>
      <c r="E3" s="228"/>
      <c r="F3" s="228"/>
      <c r="G3" s="228"/>
      <c r="H3" s="228"/>
      <c r="I3" s="228"/>
      <c r="J3" s="228"/>
      <c r="K3" s="70">
        <f>SUM(TableCategories[[#This Row],[Commercial Reliability]:[Unspecified]])</f>
        <v>0</v>
      </c>
    </row>
    <row r="4" spans="1:13" ht="15">
      <c r="A4" s="78" t="s">
        <v>957</v>
      </c>
      <c r="B4" s="229">
        <v>10135.833333333332</v>
      </c>
      <c r="C4" s="229">
        <v>910.75</v>
      </c>
      <c r="D4" s="229">
        <v>1.1666666666666667</v>
      </c>
      <c r="E4" s="229">
        <v>22</v>
      </c>
      <c r="F4" s="229"/>
      <c r="G4" s="229">
        <v>622.33333333333337</v>
      </c>
      <c r="H4" s="229">
        <v>19.833333333333332</v>
      </c>
      <c r="I4" s="229">
        <v>65.666666666666671</v>
      </c>
      <c r="J4" s="229"/>
      <c r="K4" s="70">
        <f>SUM(TableCategories[[#This Row],[Commercial Reliability]:[Unspecified]])</f>
        <v>11777.583333333332</v>
      </c>
    </row>
    <row r="5" spans="1:13" ht="15">
      <c r="A5" s="78" t="s">
        <v>958</v>
      </c>
      <c r="B5" s="229">
        <v>5346.8333333333339</v>
      </c>
      <c r="C5" s="229">
        <v>575.66666666666697</v>
      </c>
      <c r="D5" s="229">
        <v>0</v>
      </c>
      <c r="E5" s="229">
        <v>117.08333333333333</v>
      </c>
      <c r="F5" s="229"/>
      <c r="G5" s="229">
        <v>419.75</v>
      </c>
      <c r="H5" s="229">
        <v>19.916666666666668</v>
      </c>
      <c r="I5" s="229">
        <v>35.5</v>
      </c>
      <c r="J5" s="229"/>
      <c r="K5" s="70">
        <f>SUM(TableCategories[[#This Row],[Commercial Reliability]:[Unspecified]])</f>
        <v>6514.7500000000009</v>
      </c>
    </row>
    <row r="6" spans="1:13" ht="15">
      <c r="A6" s="78" t="s">
        <v>959</v>
      </c>
      <c r="B6" s="229">
        <v>2122.9999999999991</v>
      </c>
      <c r="C6" s="229">
        <v>441.41666666666703</v>
      </c>
      <c r="D6" s="229">
        <v>2.6666666666666665</v>
      </c>
      <c r="E6" s="229">
        <v>99.916666666666671</v>
      </c>
      <c r="F6" s="229"/>
      <c r="G6" s="229">
        <v>368.25</v>
      </c>
      <c r="H6" s="229">
        <v>67.583333333333329</v>
      </c>
      <c r="I6" s="229">
        <v>76.416666666666671</v>
      </c>
      <c r="J6" s="229"/>
      <c r="K6" s="70">
        <f>SUM(TableCategories[[#This Row],[Commercial Reliability]:[Unspecified]])</f>
        <v>3179.2499999999991</v>
      </c>
    </row>
    <row r="7" spans="1:13" ht="15">
      <c r="A7" s="79" t="s">
        <v>996</v>
      </c>
      <c r="B7" s="229">
        <v>3245.5833333333335</v>
      </c>
      <c r="C7" s="229">
        <v>610.58333333333303</v>
      </c>
      <c r="D7" s="229">
        <v>10.166666666666666</v>
      </c>
      <c r="E7" s="229">
        <v>3</v>
      </c>
      <c r="F7" s="229"/>
      <c r="G7" s="229">
        <v>265.5</v>
      </c>
      <c r="H7" s="229">
        <v>2</v>
      </c>
      <c r="I7" s="229">
        <v>1.5</v>
      </c>
      <c r="J7" s="229"/>
      <c r="K7" s="70">
        <f>SUM(TableCategories[[#This Row],[Commercial Reliability]:[Unspecified]])</f>
        <v>4138.333333333333</v>
      </c>
    </row>
    <row r="8" spans="1:13" ht="15">
      <c r="A8" s="78" t="s">
        <v>1162</v>
      </c>
      <c r="B8" s="229">
        <v>8784</v>
      </c>
      <c r="C8" s="229">
        <v>0</v>
      </c>
      <c r="D8" s="229">
        <v>0</v>
      </c>
      <c r="E8" s="229">
        <v>0</v>
      </c>
      <c r="F8" s="229"/>
      <c r="G8" s="229">
        <v>0</v>
      </c>
      <c r="H8" s="229">
        <v>0</v>
      </c>
      <c r="I8" s="229">
        <v>0</v>
      </c>
      <c r="J8" s="229"/>
      <c r="K8" s="70">
        <f>SUM(TableCategories[[#This Row],[Commercial Reliability]:[Unspecified]])</f>
        <v>8784</v>
      </c>
    </row>
    <row r="9" spans="1:13" ht="15">
      <c r="A9" s="78" t="s">
        <v>1163</v>
      </c>
      <c r="B9" s="229">
        <v>4272.1666666666679</v>
      </c>
      <c r="C9" s="229">
        <v>1050.0333333333299</v>
      </c>
      <c r="D9" s="229">
        <v>3.75</v>
      </c>
      <c r="E9" s="229">
        <v>5.75</v>
      </c>
      <c r="F9" s="229"/>
      <c r="G9" s="229">
        <v>900.16666666666663</v>
      </c>
      <c r="H9" s="229">
        <v>6.166666666666667</v>
      </c>
      <c r="I9" s="229">
        <v>0</v>
      </c>
      <c r="J9" s="229"/>
      <c r="K9" s="70">
        <f>SUM(TableCategories[[#This Row],[Commercial Reliability]:[Unspecified]])</f>
        <v>6238.0333333333319</v>
      </c>
    </row>
    <row r="10" spans="1:13" ht="15">
      <c r="A10" s="78" t="s">
        <v>961</v>
      </c>
      <c r="B10" s="229">
        <v>3562.9166666666661</v>
      </c>
      <c r="C10" s="229">
        <v>732.5</v>
      </c>
      <c r="D10" s="229">
        <v>0.83333333333333337</v>
      </c>
      <c r="E10" s="229">
        <v>0</v>
      </c>
      <c r="F10" s="229"/>
      <c r="G10" s="229">
        <v>961.58333333333337</v>
      </c>
      <c r="H10" s="229">
        <v>10.916666666666666</v>
      </c>
      <c r="I10" s="229">
        <v>80.75</v>
      </c>
      <c r="J10" s="229"/>
      <c r="K10" s="70">
        <f>SUM(TableCategories[[#This Row],[Commercial Reliability]:[Unspecified]])</f>
        <v>5349.4999999999991</v>
      </c>
    </row>
    <row r="11" spans="1:13" ht="15">
      <c r="A11" s="78" t="s">
        <v>1164</v>
      </c>
      <c r="B11" s="229">
        <v>8116.7499999999991</v>
      </c>
      <c r="C11" s="229">
        <v>375.16666666666703</v>
      </c>
      <c r="D11" s="229">
        <v>0</v>
      </c>
      <c r="E11" s="229">
        <v>0</v>
      </c>
      <c r="F11" s="229"/>
      <c r="G11" s="229">
        <v>198</v>
      </c>
      <c r="H11" s="229">
        <v>11.333333333333334</v>
      </c>
      <c r="I11" s="229">
        <v>2.75</v>
      </c>
      <c r="J11" s="229"/>
      <c r="K11" s="70">
        <f>SUM(TableCategories[[#This Row],[Commercial Reliability]:[Unspecified]])</f>
        <v>8704</v>
      </c>
    </row>
    <row r="12" spans="1:13" ht="15">
      <c r="A12" s="78" t="s">
        <v>1165</v>
      </c>
      <c r="B12" s="229">
        <v>8206</v>
      </c>
      <c r="C12" s="229">
        <v>336</v>
      </c>
      <c r="D12" s="229">
        <v>0</v>
      </c>
      <c r="E12" s="229">
        <v>0</v>
      </c>
      <c r="F12" s="229"/>
      <c r="G12" s="229">
        <v>199.83333333333334</v>
      </c>
      <c r="H12" s="229">
        <v>8</v>
      </c>
      <c r="I12" s="229">
        <v>0</v>
      </c>
      <c r="J12" s="229"/>
      <c r="K12" s="70">
        <f>SUM(TableCategories[[#This Row],[Commercial Reliability]:[Unspecified]])</f>
        <v>8749.8333333333339</v>
      </c>
    </row>
    <row r="13" spans="1:13" ht="15">
      <c r="A13" s="78" t="s">
        <v>962</v>
      </c>
      <c r="B13" s="229">
        <v>10484.333333333332</v>
      </c>
      <c r="C13" s="229">
        <v>861.5</v>
      </c>
      <c r="D13" s="229">
        <v>2.4166666666666665</v>
      </c>
      <c r="E13" s="229">
        <v>21.75</v>
      </c>
      <c r="F13" s="229"/>
      <c r="G13" s="229">
        <v>436.5</v>
      </c>
      <c r="H13" s="229">
        <v>14</v>
      </c>
      <c r="I13" s="229">
        <v>127.5</v>
      </c>
      <c r="J13" s="229"/>
      <c r="K13" s="70">
        <f>SUM(TableCategories[[#This Row],[Commercial Reliability]:[Unspecified]])</f>
        <v>11947.999999999998</v>
      </c>
    </row>
    <row r="14" spans="1:13" ht="15">
      <c r="A14" s="78" t="s">
        <v>963</v>
      </c>
      <c r="B14" s="229">
        <v>6438.916666666667</v>
      </c>
      <c r="C14" s="229">
        <v>375.66666666666703</v>
      </c>
      <c r="D14" s="229">
        <v>0.41666666666666669</v>
      </c>
      <c r="E14" s="229">
        <v>27.416666666666668</v>
      </c>
      <c r="F14" s="229"/>
      <c r="G14" s="229">
        <v>199.66666666666666</v>
      </c>
      <c r="H14" s="229">
        <v>1.9166666666666667</v>
      </c>
      <c r="I14" s="229">
        <v>24.5</v>
      </c>
      <c r="J14" s="229"/>
      <c r="K14" s="70">
        <f>SUM(TableCategories[[#This Row],[Commercial Reliability]:[Unspecified]])</f>
        <v>7068.5000000000018</v>
      </c>
    </row>
    <row r="15" spans="1:13" ht="15">
      <c r="A15" s="78" t="s">
        <v>1166</v>
      </c>
      <c r="B15" s="229">
        <v>1259</v>
      </c>
      <c r="C15" s="229">
        <v>12</v>
      </c>
      <c r="D15" s="229"/>
      <c r="E15" s="229">
        <v>132</v>
      </c>
      <c r="F15" s="229"/>
      <c r="G15" s="229"/>
      <c r="H15" s="229">
        <v>247</v>
      </c>
      <c r="I15" s="229"/>
      <c r="J15" s="229">
        <v>-64</v>
      </c>
      <c r="K15" s="70">
        <f>SUM(TableCategories[[#This Row],[Commercial Reliability]:[Unspecified]])</f>
        <v>1586</v>
      </c>
    </row>
    <row r="16" spans="1:13" ht="15">
      <c r="A16" s="366" t="s">
        <v>1171</v>
      </c>
      <c r="B16" s="369">
        <v>4335.26583291101</v>
      </c>
      <c r="C16" s="369">
        <v>229.06888886558352</v>
      </c>
      <c r="D16" s="369"/>
      <c r="E16" s="369">
        <v>134.29361038333332</v>
      </c>
      <c r="F16" s="369"/>
      <c r="G16" s="369">
        <v>181.5197214833268</v>
      </c>
      <c r="H16" s="369">
        <v>-188.69832735452661</v>
      </c>
      <c r="I16" s="369">
        <v>91.390048953097335</v>
      </c>
      <c r="J16" s="369"/>
      <c r="K16" s="70">
        <f>SUM(TableCategories[[#This Row],[Commercial Reliability]:[Unspecified]])</f>
        <v>4782.8397752418241</v>
      </c>
    </row>
    <row r="17" spans="1:11" ht="15">
      <c r="A17" s="366" t="s">
        <v>1172</v>
      </c>
      <c r="B17" s="369">
        <v>3926.6133328288502</v>
      </c>
      <c r="C17" s="369">
        <v>372.43611108309898</v>
      </c>
      <c r="D17" s="369">
        <v>1.3674999999999999</v>
      </c>
      <c r="E17" s="369">
        <v>201.8023263106889</v>
      </c>
      <c r="F17" s="369">
        <v>181.774259785928</v>
      </c>
      <c r="G17" s="369">
        <v>256.784999149957</v>
      </c>
      <c r="H17" s="369">
        <v>20.873055466666621</v>
      </c>
      <c r="I17" s="369">
        <v>170.60422148776539</v>
      </c>
      <c r="J17" s="369"/>
      <c r="K17" s="70">
        <f>SUM(TableCategories[[#This Row],[Commercial Reliability]:[Unspecified]])</f>
        <v>5132.2558061129548</v>
      </c>
    </row>
    <row r="18" spans="1:11" ht="15">
      <c r="A18" s="366" t="s">
        <v>1173</v>
      </c>
      <c r="B18" s="369">
        <v>1689.575070427672</v>
      </c>
      <c r="C18" s="369">
        <v>454.851666549095</v>
      </c>
      <c r="D18" s="369"/>
      <c r="E18" s="369">
        <v>317.06860958331197</v>
      </c>
      <c r="F18" s="369">
        <v>10.714722200000001</v>
      </c>
      <c r="G18" s="369">
        <v>391.40916504998597</v>
      </c>
      <c r="H18" s="369">
        <v>36.884834930653739</v>
      </c>
      <c r="I18" s="369">
        <v>182.88798677486471</v>
      </c>
      <c r="J18" s="369"/>
      <c r="K18" s="70">
        <f>SUM(TableCategories[[#This Row],[Commercial Reliability]:[Unspecified]])</f>
        <v>3083.3920555155833</v>
      </c>
    </row>
    <row r="19" spans="1:11" ht="15">
      <c r="A19" s="366" t="s">
        <v>1174</v>
      </c>
      <c r="B19" s="369">
        <v>1691.0616640730668</v>
      </c>
      <c r="C19" s="369">
        <v>419.69027769906802</v>
      </c>
      <c r="D19" s="369"/>
      <c r="E19" s="369">
        <v>265.485276399979</v>
      </c>
      <c r="F19" s="369">
        <v>1.9877777666666701</v>
      </c>
      <c r="G19" s="369">
        <v>337.96610974999703</v>
      </c>
      <c r="H19" s="369">
        <v>-108.78270421649459</v>
      </c>
      <c r="I19" s="369">
        <v>489.94170851882001</v>
      </c>
      <c r="J19" s="369"/>
      <c r="K19" s="70">
        <f>SUM(TableCategories[[#This Row],[Commercial Reliability]:[Unspecified]])</f>
        <v>3097.3501099911032</v>
      </c>
    </row>
    <row r="20" spans="1:11" ht="15">
      <c r="A20" s="366" t="s">
        <v>1175</v>
      </c>
      <c r="B20" s="369">
        <v>1068.4527773251839</v>
      </c>
      <c r="C20" s="369">
        <v>501.54027763163003</v>
      </c>
      <c r="D20" s="369"/>
      <c r="E20" s="369">
        <v>339.98138744997698</v>
      </c>
      <c r="F20" s="369">
        <v>2.0233333333333299</v>
      </c>
      <c r="G20" s="369">
        <v>470.35610941661298</v>
      </c>
      <c r="H20" s="369">
        <v>-241.21830064422031</v>
      </c>
      <c r="I20" s="369">
        <v>244.00649592469</v>
      </c>
      <c r="J20" s="369"/>
      <c r="K20" s="70">
        <f>SUM(TableCategories[[#This Row],[Commercial Reliability]:[Unspecified]])</f>
        <v>2385.1420804372074</v>
      </c>
    </row>
    <row r="21" spans="1:11" ht="15">
      <c r="A21" s="366" t="s">
        <v>1176</v>
      </c>
      <c r="B21" s="369">
        <v>953.7663884255021</v>
      </c>
      <c r="C21" s="369">
        <v>349.04305546629303</v>
      </c>
      <c r="D21" s="369">
        <v>16.00444443331833</v>
      </c>
      <c r="E21" s="369">
        <v>351.12249839995377</v>
      </c>
      <c r="F21" s="369">
        <v>11.16861101666667</v>
      </c>
      <c r="G21" s="369">
        <v>464.29110939997571</v>
      </c>
      <c r="H21" s="369">
        <v>-342.35201279499353</v>
      </c>
      <c r="I21" s="369">
        <v>105.3672218166485</v>
      </c>
      <c r="J21" s="369"/>
      <c r="K21" s="70">
        <f>SUM(TableCategories[[#This Row],[Commercial Reliability]:[Unspecified]])</f>
        <v>1908.4113161633647</v>
      </c>
    </row>
    <row r="22" spans="1:11" ht="15">
      <c r="A22" s="366" t="s">
        <v>1177</v>
      </c>
      <c r="B22" s="369">
        <v>1107.9394439714069</v>
      </c>
      <c r="C22" s="369">
        <v>462.40222206616181</v>
      </c>
      <c r="D22" s="369">
        <v>16.3277777666503</v>
      </c>
      <c r="E22" s="369">
        <v>317.54555420551918</v>
      </c>
      <c r="F22" s="369"/>
      <c r="G22" s="369">
        <v>427.740831633276</v>
      </c>
      <c r="H22" s="369">
        <v>-109.135138899081</v>
      </c>
      <c r="I22" s="369">
        <v>195.53862822194102</v>
      </c>
      <c r="J22" s="369">
        <v>8.3333333333333301E-2</v>
      </c>
      <c r="K22" s="70">
        <f>SUM(TableCategories[[#This Row],[Commercial Reliability]:[Unspecified]])</f>
        <v>2418.4426522992076</v>
      </c>
    </row>
    <row r="23" spans="1:11">
      <c r="A23" s="56" t="s">
        <v>334</v>
      </c>
      <c r="B23" s="70">
        <v>152.56749999410201</v>
      </c>
      <c r="C23" s="70">
        <v>678.59888819907599</v>
      </c>
      <c r="D23" s="70">
        <v>147.64527768316501</v>
      </c>
      <c r="E23" s="70">
        <v>162.92611074996501</v>
      </c>
      <c r="F23" s="70">
        <v>55.7177775999874</v>
      </c>
      <c r="G23" s="70">
        <v>83.615555166666695</v>
      </c>
      <c r="H23" s="70">
        <v>213.88429578526299</v>
      </c>
      <c r="I23" s="70">
        <v>422.48166463310702</v>
      </c>
      <c r="J23" s="70">
        <v>13.49999985</v>
      </c>
      <c r="K23" s="70">
        <f>SUM(TableCategories[[#This Row],[Commercial Reliability]:[Unspecified]])</f>
        <v>1930.9370696613321</v>
      </c>
    </row>
    <row r="24" spans="1:11">
      <c r="A24" s="56" t="s">
        <v>335</v>
      </c>
      <c r="B24" s="70">
        <v>1559.8836110359</v>
      </c>
      <c r="C24" s="70">
        <v>1758.7569443248799</v>
      </c>
      <c r="D24" s="70">
        <v>132.54972219987201</v>
      </c>
      <c r="E24" s="70">
        <v>143.765277766525</v>
      </c>
      <c r="F24" s="70">
        <v>13.263055533333301</v>
      </c>
      <c r="G24" s="70">
        <v>177.07583298333299</v>
      </c>
      <c r="H24" s="70">
        <v>18.049720216663999</v>
      </c>
      <c r="I24" s="70">
        <v>1184.8824966166301</v>
      </c>
      <c r="J24" s="70">
        <v>0.87333329999980902</v>
      </c>
      <c r="K24" s="70">
        <f>SUM(TableCategories[[#This Row],[Commercial Reliability]:[Unspecified]])</f>
        <v>4989.0999939771373</v>
      </c>
    </row>
    <row r="25" spans="1:11">
      <c r="A25" s="56" t="s">
        <v>336</v>
      </c>
      <c r="B25" s="70">
        <v>1846.62694440263</v>
      </c>
      <c r="C25" s="70">
        <v>1094.4952776940299</v>
      </c>
      <c r="D25" s="70">
        <v>47.569444416623703</v>
      </c>
      <c r="E25" s="70">
        <v>150.97444441644001</v>
      </c>
      <c r="F25" s="70">
        <v>13.3605555</v>
      </c>
      <c r="G25" s="70">
        <v>164.52083291666699</v>
      </c>
      <c r="H25" s="70">
        <v>-94.668055100007294</v>
      </c>
      <c r="I25" s="70">
        <v>1332.5208302332801</v>
      </c>
      <c r="J25" s="70">
        <v>9.9661109999999997</v>
      </c>
      <c r="K25" s="70">
        <f>SUM(TableCategories[[#This Row],[Commercial Reliability]:[Unspecified]])</f>
        <v>4565.3663854796632</v>
      </c>
    </row>
    <row r="26" spans="1:11">
      <c r="A26" s="56" t="s">
        <v>337</v>
      </c>
      <c r="B26" s="70">
        <v>1719.36111105809</v>
      </c>
      <c r="C26" s="70">
        <v>889.03333326121003</v>
      </c>
      <c r="D26" s="70">
        <v>135.221944433196</v>
      </c>
      <c r="E26" s="70">
        <v>143.70305553298201</v>
      </c>
      <c r="F26" s="70">
        <v>18.861111083333299</v>
      </c>
      <c r="G26" s="70">
        <v>158.75861066666701</v>
      </c>
      <c r="H26" s="70">
        <v>-21.441114366670099</v>
      </c>
      <c r="I26" s="70">
        <v>1256.80638528328</v>
      </c>
      <c r="K26" s="70">
        <f>SUM(TableCategories[[#This Row],[Commercial Reliability]:[Unspecified]])</f>
        <v>4300.3044369520876</v>
      </c>
    </row>
    <row r="27" spans="1:11">
      <c r="A27" s="56" t="s">
        <v>338</v>
      </c>
      <c r="B27" s="70">
        <v>629.76527730964199</v>
      </c>
      <c r="C27" s="70">
        <v>631.39027676614103</v>
      </c>
      <c r="D27" s="70">
        <v>123.688055499887</v>
      </c>
      <c r="E27" s="70">
        <v>7.0111110333333304</v>
      </c>
      <c r="F27" s="70">
        <v>34.705555466666702</v>
      </c>
      <c r="G27" s="70">
        <v>187.13916601649399</v>
      </c>
      <c r="H27" s="70">
        <v>324.42911821568799</v>
      </c>
      <c r="I27" s="70">
        <v>592.02749954731098</v>
      </c>
      <c r="J27" s="70">
        <v>0.11777776666666701</v>
      </c>
      <c r="K27" s="70">
        <f>SUM(TableCategories[[#This Row],[Commercial Reliability]:[Unspecified]])</f>
        <v>2530.2738376218299</v>
      </c>
    </row>
    <row r="28" spans="1:11" customFormat="1">
      <c r="A28" s="56" t="s">
        <v>21</v>
      </c>
      <c r="B28" s="70">
        <v>1109.5600316468699</v>
      </c>
      <c r="C28" s="70">
        <v>1029.79499937678</v>
      </c>
      <c r="D28" s="70">
        <v>126.838888832731</v>
      </c>
      <c r="E28" s="70"/>
      <c r="F28" s="70"/>
      <c r="G28" s="70">
        <v>1.0324999666666701</v>
      </c>
      <c r="H28" s="70">
        <v>36.754999883333397</v>
      </c>
      <c r="I28" s="70">
        <v>1028.7438005414299</v>
      </c>
      <c r="J28" s="70">
        <v>-0.34916666666666701</v>
      </c>
      <c r="K28" s="70">
        <f>SUM(TableCategories[[#This Row],[Commercial Reliability]:[Unspecified]])</f>
        <v>3332.3760535811434</v>
      </c>
    </row>
    <row r="29" spans="1:11" customFormat="1">
      <c r="A29" s="56" t="s">
        <v>22</v>
      </c>
      <c r="B29" s="70">
        <v>909.48657556666603</v>
      </c>
      <c r="C29" s="70">
        <v>1070.4019441294399</v>
      </c>
      <c r="D29" s="70">
        <v>5.0833332666666697</v>
      </c>
      <c r="E29" s="70"/>
      <c r="F29" s="70"/>
      <c r="G29" s="70">
        <v>0.45222221666666701</v>
      </c>
      <c r="H29" s="70">
        <v>85.999721550000004</v>
      </c>
      <c r="I29" s="70">
        <v>66.051666016666701</v>
      </c>
      <c r="J29" s="70"/>
      <c r="K29" s="70">
        <f>SUM(TableCategories[[#This Row],[Commercial Reliability]:[Unspecified]])</f>
        <v>2137.4754627461061</v>
      </c>
    </row>
    <row r="30" spans="1:11" customFormat="1">
      <c r="A30" s="56" t="s">
        <v>24</v>
      </c>
      <c r="B30" s="70">
        <v>45.665555400000002</v>
      </c>
      <c r="C30" s="70">
        <v>338.03416586642101</v>
      </c>
      <c r="D30" s="70">
        <v>3.9780555500000001</v>
      </c>
      <c r="E30" s="70"/>
      <c r="F30" s="70"/>
      <c r="G30" s="70">
        <v>77.960555483216694</v>
      </c>
      <c r="H30" s="70">
        <v>45.773052972222303</v>
      </c>
      <c r="I30" s="70">
        <v>121.865832666554</v>
      </c>
      <c r="J30" s="70">
        <v>1.47972216666667</v>
      </c>
      <c r="K30" s="70">
        <f>SUM(TableCategories[[#This Row],[Commercial Reliability]:[Unspecified]])</f>
        <v>634.75694010508062</v>
      </c>
    </row>
    <row r="31" spans="1:11" customFormat="1">
      <c r="A31" s="56" t="s">
        <v>25</v>
      </c>
      <c r="B31" s="70">
        <v>72.7819443333333</v>
      </c>
      <c r="C31" s="70">
        <v>327.84722198309402</v>
      </c>
      <c r="D31" s="70">
        <v>5.4983333333333304</v>
      </c>
      <c r="E31" s="70"/>
      <c r="F31" s="70"/>
      <c r="G31" s="70">
        <v>41.744166649964498</v>
      </c>
      <c r="H31" s="70">
        <v>13.5355549833333</v>
      </c>
      <c r="I31" s="70">
        <v>87.599166333237605</v>
      </c>
      <c r="J31" s="70">
        <v>0.59666666666666701</v>
      </c>
      <c r="K31" s="70">
        <f>SUM(TableCategories[[#This Row],[Commercial Reliability]:[Unspecified]])</f>
        <v>549.60305428296272</v>
      </c>
    </row>
    <row r="32" spans="1:11">
      <c r="A32" s="56" t="s">
        <v>26</v>
      </c>
      <c r="B32" s="70">
        <v>6.2274998666666699</v>
      </c>
      <c r="C32" s="70">
        <v>353.147777466435</v>
      </c>
      <c r="D32" s="70">
        <v>5.0077777499999998</v>
      </c>
      <c r="G32" s="70">
        <v>23.58888885</v>
      </c>
      <c r="H32" s="70">
        <v>12.9438874944444</v>
      </c>
      <c r="I32" s="70">
        <v>176.985832566608</v>
      </c>
      <c r="J32" s="70">
        <v>3.7341666333333299</v>
      </c>
      <c r="K32" s="70">
        <f>SUM(TableCategories[[#This Row],[Commercial Reliability]:[Unspecified]])</f>
        <v>581.63583062748739</v>
      </c>
    </row>
    <row r="33" spans="1:11">
      <c r="A33" s="56" t="s">
        <v>27</v>
      </c>
      <c r="B33" s="70">
        <v>512.20581539084299</v>
      </c>
      <c r="C33" s="70">
        <v>1081.6272219290099</v>
      </c>
      <c r="D33" s="70">
        <v>18.36916665</v>
      </c>
      <c r="E33" s="70">
        <v>26.019444383333301</v>
      </c>
      <c r="G33" s="70">
        <v>2.5652814304560199</v>
      </c>
      <c r="H33" s="70">
        <v>5.1066664499999996</v>
      </c>
      <c r="I33" s="70">
        <v>400.43472131664703</v>
      </c>
      <c r="K33" s="70">
        <f>SUM(TableCategories[[#This Row],[Commercial Reliability]:[Unspecified]])</f>
        <v>2046.3283175502891</v>
      </c>
    </row>
    <row r="34" spans="1:11">
      <c r="A34" s="56" t="s">
        <v>28</v>
      </c>
      <c r="B34" s="70">
        <v>394.56495165147902</v>
      </c>
      <c r="C34" s="70">
        <v>558.81027743228503</v>
      </c>
      <c r="D34" s="70">
        <v>6.8744444333333297</v>
      </c>
      <c r="E34" s="70">
        <v>9.8402777333333304</v>
      </c>
      <c r="F34" s="70">
        <v>0.48166664999999997</v>
      </c>
      <c r="G34" s="70">
        <v>31.890277749999999</v>
      </c>
      <c r="H34" s="70">
        <v>-29.858054916666699</v>
      </c>
      <c r="I34" s="70">
        <v>105.20396883415999</v>
      </c>
      <c r="K34" s="70">
        <f>SUM(TableCategories[[#This Row],[Commercial Reliability]:[Unspecified]])</f>
        <v>1077.8078095679239</v>
      </c>
    </row>
    <row r="35" spans="1:11">
      <c r="A35" s="56" t="s">
        <v>143</v>
      </c>
      <c r="B35" s="70">
        <v>1101.8258332759001</v>
      </c>
      <c r="C35" s="70">
        <v>1287.5991664473299</v>
      </c>
      <c r="D35" s="70">
        <v>42.936111099999998</v>
      </c>
      <c r="E35" s="70">
        <v>6.4188888833306601</v>
      </c>
      <c r="F35" s="70">
        <v>4.39333333333333</v>
      </c>
      <c r="G35" s="70">
        <v>469.82138869996402</v>
      </c>
      <c r="H35" s="70">
        <v>-69.9961127833365</v>
      </c>
      <c r="I35" s="70">
        <v>162.90805549999999</v>
      </c>
      <c r="K35" s="70">
        <f>SUM(TableCategories[[#This Row],[Commercial Reliability]:[Unspecified]])</f>
        <v>3005.906664456521</v>
      </c>
    </row>
    <row r="36" spans="1:11">
      <c r="A36" s="56" t="s">
        <v>144</v>
      </c>
      <c r="B36" s="70">
        <v>1108.2361110662</v>
      </c>
      <c r="C36" s="70">
        <v>1374.51611091514</v>
      </c>
      <c r="D36" s="70">
        <v>46.009444433328298</v>
      </c>
      <c r="E36" s="70">
        <v>15.5377777666667</v>
      </c>
      <c r="F36" s="70">
        <v>2.5233333333333299</v>
      </c>
      <c r="G36" s="70">
        <v>450.81277759993901</v>
      </c>
      <c r="H36" s="70">
        <v>-73.563057316666303</v>
      </c>
      <c r="I36" s="70">
        <v>154.69944443333301</v>
      </c>
      <c r="K36" s="70">
        <f>SUM(TableCategories[[#This Row],[Commercial Reliability]:[Unspecified]])</f>
        <v>3078.7719422312744</v>
      </c>
    </row>
    <row r="37" spans="1:11">
      <c r="A37" s="56" t="s">
        <v>145</v>
      </c>
      <c r="B37" s="70">
        <v>554.02083282404897</v>
      </c>
      <c r="C37" s="70">
        <v>719.17916641593797</v>
      </c>
      <c r="D37" s="70">
        <v>20.508333333312802</v>
      </c>
      <c r="E37" s="70">
        <v>2637.51333323578</v>
      </c>
      <c r="F37" s="70">
        <v>-1.3333333333333299E-2</v>
      </c>
      <c r="G37" s="70">
        <v>429.037499316332</v>
      </c>
      <c r="H37" s="70">
        <v>-16.789166616666702</v>
      </c>
      <c r="I37" s="70">
        <v>725.56999766590195</v>
      </c>
      <c r="K37" s="70">
        <f>SUM(TableCategories[[#This Row],[Commercial Reliability]:[Unspecified]])</f>
        <v>5069.0266628413128</v>
      </c>
    </row>
    <row r="38" spans="1:11">
      <c r="A38" s="56" t="s">
        <v>146</v>
      </c>
      <c r="B38" s="70">
        <v>2000.9336109483299</v>
      </c>
      <c r="C38" s="70">
        <v>661.14861088233704</v>
      </c>
      <c r="D38" s="70">
        <v>23.925555549994598</v>
      </c>
      <c r="E38" s="70">
        <v>93.448888866644396</v>
      </c>
      <c r="F38" s="70">
        <v>1.5</v>
      </c>
      <c r="G38" s="70">
        <v>1232.0119415607701</v>
      </c>
      <c r="H38" s="70">
        <v>-1009.6169442333299</v>
      </c>
      <c r="I38" s="70">
        <v>1791.80360868312</v>
      </c>
      <c r="K38" s="70">
        <f>SUM(TableCategories[[#This Row],[Commercial Reliability]:[Unspecified]])</f>
        <v>4795.1552722578663</v>
      </c>
    </row>
    <row r="39" spans="1:11">
      <c r="A39" s="56" t="s">
        <v>147</v>
      </c>
      <c r="B39" s="70">
        <v>2009.7674998106399</v>
      </c>
      <c r="C39" s="70">
        <v>660.61999971596697</v>
      </c>
      <c r="D39" s="70">
        <v>22.257777766661501</v>
      </c>
      <c r="E39" s="70">
        <v>111.62666661661</v>
      </c>
      <c r="G39" s="70">
        <v>1271.60138635523</v>
      </c>
      <c r="H39" s="70">
        <v>-1027.1783334500001</v>
      </c>
      <c r="I39" s="70">
        <v>1758.8558310664801</v>
      </c>
      <c r="K39" s="70">
        <f>SUM(TableCategories[[#This Row],[Commercial Reliability]:[Unspecified]])</f>
        <v>4807.5508278815878</v>
      </c>
    </row>
    <row r="40" spans="1:11">
      <c r="A40" s="56" t="s">
        <v>148</v>
      </c>
      <c r="B40" s="70">
        <v>1764.5027775082001</v>
      </c>
      <c r="C40" s="70">
        <v>584.13194413286999</v>
      </c>
      <c r="D40" s="70">
        <v>34.769444433318</v>
      </c>
      <c r="E40" s="70">
        <v>681.623888665962</v>
      </c>
      <c r="G40" s="70">
        <v>940.95860805853204</v>
      </c>
      <c r="H40" s="70">
        <v>-54.023613216666703</v>
      </c>
      <c r="I40" s="70">
        <v>158.781388699914</v>
      </c>
      <c r="K40" s="70">
        <f>SUM(TableCategories[[#This Row],[Commercial Reliability]:[Unspecified]])</f>
        <v>4110.7444382821295</v>
      </c>
    </row>
    <row r="41" spans="1:11">
      <c r="A41" s="56" t="s">
        <v>149</v>
      </c>
      <c r="B41" s="70">
        <v>1387.6236111022299</v>
      </c>
      <c r="C41" s="70">
        <v>511.00249999926598</v>
      </c>
      <c r="D41" s="70">
        <v>24.6397222166527</v>
      </c>
      <c r="E41" s="70">
        <v>524.27666666579501</v>
      </c>
      <c r="F41" s="70">
        <v>6.8433333333333302</v>
      </c>
      <c r="G41" s="70">
        <v>1378.0133332048099</v>
      </c>
      <c r="H41" s="70">
        <v>127.59472168333301</v>
      </c>
      <c r="I41" s="70">
        <v>533.89777773329899</v>
      </c>
      <c r="K41" s="70">
        <f>SUM(TableCategories[[#This Row],[Commercial Reliability]:[Unspecified]])</f>
        <v>4493.8916659387187</v>
      </c>
    </row>
    <row r="42" spans="1:11">
      <c r="A42" s="56" t="s">
        <v>150</v>
      </c>
      <c r="B42" s="70">
        <v>1424.7902777750801</v>
      </c>
      <c r="C42" s="70">
        <v>497.08527774939</v>
      </c>
      <c r="D42" s="70">
        <v>12.8616666666667</v>
      </c>
      <c r="E42" s="70">
        <v>469.72999999901799</v>
      </c>
      <c r="G42" s="70">
        <v>1395.0549997549999</v>
      </c>
      <c r="H42" s="70">
        <v>98.081111233333203</v>
      </c>
      <c r="I42" s="70">
        <v>535.40916664999997</v>
      </c>
      <c r="K42" s="70">
        <f>SUM(TableCategories[[#This Row],[Commercial Reliability]:[Unspecified]])</f>
        <v>4433.0124998284873</v>
      </c>
    </row>
    <row r="43" spans="1:11">
      <c r="A43" s="56" t="s">
        <v>151</v>
      </c>
      <c r="B43" s="70">
        <v>1771.46666633461</v>
      </c>
      <c r="C43" s="70">
        <v>1179.0366651322099</v>
      </c>
      <c r="D43" s="70">
        <v>49.148333283303202</v>
      </c>
      <c r="E43" s="70">
        <v>489.63055548202499</v>
      </c>
      <c r="G43" s="70">
        <v>1630.2616627990201</v>
      </c>
      <c r="H43" s="70">
        <v>-869.27111019999404</v>
      </c>
      <c r="I43" s="70">
        <v>930.28361024928699</v>
      </c>
      <c r="K43" s="70">
        <f>SUM(TableCategories[[#This Row],[Commercial Reliability]:[Unspecified]])</f>
        <v>5180.5563830804622</v>
      </c>
    </row>
    <row r="44" spans="1:11">
      <c r="A44" s="56" t="s">
        <v>152</v>
      </c>
      <c r="B44" s="70">
        <v>5299.7847217153403</v>
      </c>
      <c r="C44" s="70">
        <v>69.691944399985999</v>
      </c>
      <c r="E44" s="70">
        <v>164.90222219972</v>
      </c>
      <c r="G44" s="70">
        <v>24.510833233182499</v>
      </c>
      <c r="H44" s="70">
        <v>-1.0197223499999899</v>
      </c>
      <c r="I44" s="70">
        <v>54.066666633291497</v>
      </c>
      <c r="J44" s="70">
        <v>-4.55611108333333</v>
      </c>
      <c r="K44" s="70">
        <f>SUM(TableCategories[[#This Row],[Commercial Reliability]:[Unspecified]])</f>
        <v>5607.3805547481879</v>
      </c>
    </row>
    <row r="45" spans="1:11">
      <c r="A45" s="56" t="s">
        <v>153</v>
      </c>
      <c r="B45" s="70">
        <v>710.942222111673</v>
      </c>
      <c r="C45" s="70">
        <v>552.81111053315703</v>
      </c>
      <c r="D45" s="70">
        <v>60.881111033294303</v>
      </c>
      <c r="E45" s="70">
        <v>1372.6077776463301</v>
      </c>
      <c r="F45" s="70">
        <v>15.346388899989</v>
      </c>
      <c r="G45" s="70">
        <v>835.95775741080104</v>
      </c>
      <c r="H45" s="70">
        <v>1.413611</v>
      </c>
      <c r="I45" s="70">
        <v>400.65694363327299</v>
      </c>
      <c r="K45" s="70">
        <f>SUM(TableCategories[[#This Row],[Commercial Reliability]:[Unspecified]])</f>
        <v>3950.6169222685176</v>
      </c>
    </row>
    <row r="46" spans="1:11">
      <c r="A46" s="56" t="s">
        <v>154</v>
      </c>
      <c r="B46" s="70">
        <v>514.60611096743105</v>
      </c>
      <c r="C46" s="70">
        <v>853.30888784972501</v>
      </c>
      <c r="D46" s="70">
        <v>74.382777700000005</v>
      </c>
      <c r="E46" s="70">
        <v>944.32444428083897</v>
      </c>
      <c r="F46" s="70">
        <v>7.9999999833333302</v>
      </c>
      <c r="G46" s="70">
        <v>1482.94693528269</v>
      </c>
      <c r="H46" s="70">
        <v>5.9530555666666602</v>
      </c>
      <c r="I46" s="70">
        <v>1021.02138679999</v>
      </c>
      <c r="K46" s="70">
        <f>SUM(TableCategories[[#This Row],[Commercial Reliability]:[Unspecified]])</f>
        <v>4904.543598430675</v>
      </c>
    </row>
    <row r="47" spans="1:11">
      <c r="A47" s="56" t="s">
        <v>339</v>
      </c>
      <c r="B47" s="70">
        <v>396.91499988228799</v>
      </c>
      <c r="C47" s="70">
        <v>1014.13999975784</v>
      </c>
      <c r="D47" s="70">
        <v>231.40361109938399</v>
      </c>
      <c r="E47" s="70">
        <v>117.386666583267</v>
      </c>
      <c r="G47" s="70">
        <v>930.58944338271294</v>
      </c>
      <c r="H47" s="70">
        <v>-202.595833266667</v>
      </c>
      <c r="I47" s="70">
        <v>657.82999921635303</v>
      </c>
      <c r="J47" s="70">
        <v>4.4113888833333297</v>
      </c>
      <c r="K47" s="70">
        <f>SUM(TableCategories[[#This Row],[Commercial Reliability]:[Unspecified]])</f>
        <v>3150.0802755385116</v>
      </c>
    </row>
    <row r="48" spans="1:11">
      <c r="A48" s="56" t="s">
        <v>340</v>
      </c>
      <c r="B48" s="70">
        <v>387.00055548295597</v>
      </c>
      <c r="C48" s="70">
        <v>1101.0402774295301</v>
      </c>
      <c r="D48" s="70">
        <v>299.52277774991597</v>
      </c>
      <c r="E48" s="70">
        <v>106.87361103329999</v>
      </c>
      <c r="G48" s="70">
        <v>1088.09860784952</v>
      </c>
      <c r="H48" s="70">
        <v>134.06427746459801</v>
      </c>
      <c r="I48" s="70">
        <v>683.00249716651899</v>
      </c>
      <c r="J48" s="70">
        <v>13.2238888833333</v>
      </c>
      <c r="K48" s="70">
        <f>SUM(TableCategories[[#This Row],[Commercial Reliability]:[Unspecified]])</f>
        <v>3812.8264930596724</v>
      </c>
    </row>
    <row r="49" spans="1:11">
      <c r="A49" s="56" t="s">
        <v>341</v>
      </c>
      <c r="B49" s="70">
        <v>395.26861103284102</v>
      </c>
      <c r="C49" s="70">
        <v>1095.11749973002</v>
      </c>
      <c r="D49" s="70">
        <v>275.38472219991701</v>
      </c>
      <c r="E49" s="70">
        <v>97.9880554833003</v>
      </c>
      <c r="G49" s="70">
        <v>1393.62786760992</v>
      </c>
      <c r="H49" s="70">
        <v>-197.61499963332699</v>
      </c>
      <c r="I49" s="70">
        <v>793.44805383871403</v>
      </c>
      <c r="J49" s="70">
        <v>0.89916664999999996</v>
      </c>
      <c r="K49" s="70">
        <f>SUM(TableCategories[[#This Row],[Commercial Reliability]:[Unspecified]])</f>
        <v>3854.1189769113857</v>
      </c>
    </row>
    <row r="50" spans="1:11">
      <c r="A50" s="56" t="s">
        <v>155</v>
      </c>
      <c r="B50" s="70">
        <v>383.25694441608903</v>
      </c>
      <c r="C50" s="70">
        <v>1055.7566663139401</v>
      </c>
      <c r="D50" s="70">
        <v>285.96277774986498</v>
      </c>
      <c r="E50" s="70">
        <v>100.464444366637</v>
      </c>
      <c r="G50" s="70">
        <v>1084.36416366612</v>
      </c>
      <c r="H50" s="70">
        <v>100.489856275196</v>
      </c>
      <c r="I50" s="70">
        <v>763.78110848311405</v>
      </c>
      <c r="J50" s="70">
        <v>7.4144443833333398</v>
      </c>
      <c r="K50" s="70">
        <f>SUM(TableCategories[[#This Row],[Commercial Reliability]:[Unspecified]])</f>
        <v>3781.4904056542946</v>
      </c>
    </row>
    <row r="51" spans="1:11">
      <c r="A51" s="56" t="s">
        <v>156</v>
      </c>
      <c r="B51" s="70">
        <v>2146.9099997766398</v>
      </c>
      <c r="C51" s="70">
        <v>785.58361088244499</v>
      </c>
      <c r="D51" s="70">
        <v>245.789999966614</v>
      </c>
      <c r="E51" s="70">
        <v>267.38961098659001</v>
      </c>
      <c r="F51" s="70">
        <v>21.7261110333333</v>
      </c>
      <c r="G51" s="70">
        <v>176.19138871662</v>
      </c>
      <c r="H51" s="70">
        <v>19.834163366666701</v>
      </c>
      <c r="I51" s="70">
        <v>538.98845639936303</v>
      </c>
      <c r="K51" s="70">
        <f>SUM(TableCategories[[#This Row],[Commercial Reliability]:[Unspecified]])</f>
        <v>4202.4133411282728</v>
      </c>
    </row>
    <row r="52" spans="1:11">
      <c r="A52" s="56" t="s">
        <v>157</v>
      </c>
      <c r="B52" s="70">
        <v>4624.1349322386604</v>
      </c>
      <c r="C52" s="70">
        <v>424.29166656554702</v>
      </c>
      <c r="D52" s="70">
        <v>247.14833331659301</v>
      </c>
      <c r="E52" s="70">
        <v>57.559444433333297</v>
      </c>
      <c r="G52" s="70">
        <v>126.7941666</v>
      </c>
      <c r="H52" s="70">
        <v>0.96583323333333904</v>
      </c>
      <c r="I52" s="70">
        <v>419.65723265035302</v>
      </c>
      <c r="K52" s="70">
        <f>SUM(TableCategories[[#This Row],[Commercial Reliability]:[Unspecified]])</f>
        <v>5900.5516090378196</v>
      </c>
    </row>
    <row r="53" spans="1:11">
      <c r="A53" s="56" t="s">
        <v>158</v>
      </c>
      <c r="B53" s="70">
        <v>4550.7261107170398</v>
      </c>
      <c r="C53" s="70">
        <v>360.51916661590701</v>
      </c>
      <c r="D53" s="70">
        <v>235.82805553327401</v>
      </c>
      <c r="E53" s="70">
        <v>52.4241666666667</v>
      </c>
      <c r="G53" s="70">
        <v>68.785277699999995</v>
      </c>
      <c r="H53" s="70">
        <v>-13.133888900000001</v>
      </c>
      <c r="I53" s="70">
        <v>444.029166016646</v>
      </c>
      <c r="K53" s="70">
        <f>SUM(TableCategories[[#This Row],[Commercial Reliability]:[Unspecified]])</f>
        <v>5699.1780543495333</v>
      </c>
    </row>
    <row r="54" spans="1:11">
      <c r="A54" s="56" t="s">
        <v>159</v>
      </c>
      <c r="B54" s="70">
        <v>4742.2973706985504</v>
      </c>
      <c r="C54" s="70">
        <v>372.88416663264098</v>
      </c>
      <c r="D54" s="70">
        <v>221.67444443276301</v>
      </c>
      <c r="E54" s="70">
        <v>83.413333299981204</v>
      </c>
      <c r="G54" s="70">
        <v>155.23694434999999</v>
      </c>
      <c r="H54" s="70">
        <v>-83.610277800000006</v>
      </c>
      <c r="I54" s="70">
        <v>411.91833279999798</v>
      </c>
      <c r="K54" s="70">
        <f>SUM(TableCategories[[#This Row],[Commercial Reliability]:[Unspecified]])</f>
        <v>5903.8143144139331</v>
      </c>
    </row>
    <row r="55" spans="1:11">
      <c r="A55" s="56" t="s">
        <v>30</v>
      </c>
      <c r="B55" s="70">
        <v>46.1922221833333</v>
      </c>
      <c r="C55" s="70">
        <v>433.070555415635</v>
      </c>
      <c r="D55" s="70">
        <v>3.2833333333333301</v>
      </c>
      <c r="E55" s="70">
        <v>311.330435325049</v>
      </c>
      <c r="G55" s="70">
        <v>750.31505112474497</v>
      </c>
      <c r="H55" s="70">
        <v>-289.02825082062799</v>
      </c>
      <c r="I55" s="70">
        <v>1319.2036280822001</v>
      </c>
      <c r="K55" s="70">
        <f>SUM(TableCategories[[#This Row],[Commercial Reliability]:[Unspecified]])</f>
        <v>2574.3669746436676</v>
      </c>
    </row>
    <row r="56" spans="1:11">
      <c r="A56" s="56" t="s">
        <v>31</v>
      </c>
      <c r="B56" s="70">
        <v>1163.62673959679</v>
      </c>
      <c r="C56" s="70">
        <v>916.50333296646602</v>
      </c>
      <c r="D56" s="70">
        <v>45.101388866647397</v>
      </c>
      <c r="H56" s="70">
        <v>8.0555450000000001E-2</v>
      </c>
      <c r="I56" s="70">
        <v>6.6713888333333298</v>
      </c>
      <c r="K56" s="70">
        <f>SUM(TableCategories[[#This Row],[Commercial Reliability]:[Unspecified]])</f>
        <v>2131.9834057132366</v>
      </c>
    </row>
    <row r="57" spans="1:11">
      <c r="A57" s="56" t="s">
        <v>32</v>
      </c>
      <c r="B57" s="70">
        <v>588.27722203222504</v>
      </c>
      <c r="C57" s="70">
        <v>626.67249994777899</v>
      </c>
      <c r="D57" s="70">
        <v>67.399999916633604</v>
      </c>
      <c r="E57" s="70">
        <v>597.90638724937298</v>
      </c>
      <c r="F57" s="70">
        <v>19.420833333313901</v>
      </c>
      <c r="G57" s="70">
        <v>503.64361091649403</v>
      </c>
      <c r="H57" s="70">
        <v>328.61443723333201</v>
      </c>
      <c r="I57" s="70">
        <v>745.51749981779096</v>
      </c>
      <c r="J57" s="70">
        <v>19.551388816666702</v>
      </c>
      <c r="K57" s="70">
        <f>SUM(TableCategories[[#This Row],[Commercial Reliability]:[Unspecified]])</f>
        <v>3497.0038792636078</v>
      </c>
    </row>
    <row r="58" spans="1:11">
      <c r="A58" s="56" t="s">
        <v>33</v>
      </c>
      <c r="B58" s="70">
        <v>598.87944413192395</v>
      </c>
      <c r="C58" s="70">
        <v>627.51444441495698</v>
      </c>
      <c r="D58" s="70">
        <v>43.5916665833333</v>
      </c>
      <c r="E58" s="70">
        <v>558.38860988841498</v>
      </c>
      <c r="F58" s="70">
        <v>20.563888883312799</v>
      </c>
      <c r="G58" s="70">
        <v>515.97583316647797</v>
      </c>
      <c r="H58" s="70">
        <v>242.87806515492099</v>
      </c>
      <c r="I58" s="70">
        <v>1360.8461109129</v>
      </c>
      <c r="J58" s="70">
        <v>36.553610999999997</v>
      </c>
      <c r="K58" s="70">
        <f>SUM(TableCategories[[#This Row],[Commercial Reliability]:[Unspecified]])</f>
        <v>4005.1916741362406</v>
      </c>
    </row>
    <row r="59" spans="1:11">
      <c r="A59" s="56" t="s">
        <v>160</v>
      </c>
      <c r="B59" s="70">
        <v>2016.30888879138</v>
      </c>
      <c r="C59" s="70">
        <v>546.90472218067396</v>
      </c>
      <c r="F59" s="70">
        <v>3.5086111</v>
      </c>
      <c r="G59" s="70">
        <v>1453.37583284979</v>
      </c>
      <c r="H59" s="70">
        <v>-919.90500391676699</v>
      </c>
      <c r="I59" s="70">
        <v>-70.741110966666696</v>
      </c>
      <c r="K59" s="70">
        <f>SUM(TableCategories[[#This Row],[Commercial Reliability]:[Unspecified]])</f>
        <v>3029.4519400384102</v>
      </c>
    </row>
    <row r="60" spans="1:11">
      <c r="A60" s="56" t="s">
        <v>161</v>
      </c>
      <c r="B60" s="70">
        <v>4904.0833331181102</v>
      </c>
      <c r="C60" s="70">
        <v>517.31472219765897</v>
      </c>
      <c r="D60" s="70">
        <v>3.27138888333333</v>
      </c>
      <c r="G60" s="70">
        <v>538.71944421645298</v>
      </c>
      <c r="H60" s="70">
        <v>-16.013335699999999</v>
      </c>
      <c r="I60" s="70">
        <v>2.0513888833333298</v>
      </c>
      <c r="K60" s="70">
        <f>SUM(TableCategories[[#This Row],[Commercial Reliability]:[Unspecified]])</f>
        <v>5949.4269415988874</v>
      </c>
    </row>
    <row r="61" spans="1:11">
      <c r="A61" s="56" t="s">
        <v>162</v>
      </c>
      <c r="B61" s="70">
        <v>4036.12916650959</v>
      </c>
      <c r="C61" s="70">
        <v>666.21916666600998</v>
      </c>
      <c r="D61" s="70">
        <v>7.7863888833333297</v>
      </c>
      <c r="G61" s="70">
        <v>857.15972134946196</v>
      </c>
      <c r="H61" s="70">
        <v>-125.263890116667</v>
      </c>
      <c r="K61" s="70">
        <f>SUM(TableCategories[[#This Row],[Commercial Reliability]:[Unspecified]])</f>
        <v>5442.0305532917273</v>
      </c>
    </row>
    <row r="62" spans="1:11">
      <c r="A62" s="56" t="s">
        <v>163</v>
      </c>
      <c r="B62" s="70">
        <v>2887.3924998215698</v>
      </c>
      <c r="C62" s="70">
        <v>536.77833330931605</v>
      </c>
      <c r="D62" s="70">
        <v>4.8066666666666702</v>
      </c>
      <c r="G62" s="70">
        <v>1031.5647191497301</v>
      </c>
      <c r="H62" s="70">
        <v>-19.903614516666501</v>
      </c>
      <c r="I62" s="70">
        <v>0.32222221666666701</v>
      </c>
      <c r="K62" s="70">
        <f>SUM(TableCategories[[#This Row],[Commercial Reliability]:[Unspecified]])</f>
        <v>4440.9608266472833</v>
      </c>
    </row>
    <row r="63" spans="1:11">
      <c r="A63" s="56" t="s">
        <v>1042</v>
      </c>
      <c r="B63" s="70">
        <v>2987.5858331346599</v>
      </c>
      <c r="C63" s="70">
        <v>513.189444426043</v>
      </c>
      <c r="G63" s="70">
        <v>701.53861064927003</v>
      </c>
      <c r="H63" s="70">
        <v>-55.181511048132101</v>
      </c>
      <c r="K63" s="70">
        <f>SUM(TableCategories[[#This Row],[Commercial Reliability]:[Unspecified]])</f>
        <v>4147.1323771618409</v>
      </c>
    </row>
    <row r="64" spans="1:11">
      <c r="A64" s="56" t="s">
        <v>164</v>
      </c>
      <c r="B64" s="70">
        <v>879.91527773705798</v>
      </c>
      <c r="C64" s="70">
        <v>880.98277772248298</v>
      </c>
      <c r="D64" s="70">
        <v>2.5983333333333301</v>
      </c>
      <c r="G64" s="70">
        <v>715.09777703319196</v>
      </c>
      <c r="H64" s="70">
        <v>-7.0044474833341797</v>
      </c>
      <c r="I64" s="70">
        <v>434.86305531650402</v>
      </c>
      <c r="K64" s="70">
        <f>SUM(TableCategories[[#This Row],[Commercial Reliability]:[Unspecified]])</f>
        <v>2906.4527736592358</v>
      </c>
    </row>
    <row r="65" spans="1:11">
      <c r="A65" s="56" t="s">
        <v>165</v>
      </c>
      <c r="B65" s="70">
        <v>3833.3708331592102</v>
      </c>
      <c r="C65" s="70">
        <v>553.35861107885501</v>
      </c>
      <c r="D65" s="70">
        <v>6.2566666499999997</v>
      </c>
      <c r="G65" s="70">
        <v>1124.2883338263</v>
      </c>
      <c r="H65" s="70">
        <v>-3.6688897666666902</v>
      </c>
      <c r="K65" s="70">
        <f>SUM(TableCategories[[#This Row],[Commercial Reliability]:[Unspecified]])</f>
        <v>5513.6055549476987</v>
      </c>
    </row>
    <row r="66" spans="1:11">
      <c r="A66" s="56" t="s">
        <v>166</v>
      </c>
      <c r="B66" s="70">
        <v>4005.1588887610901</v>
      </c>
      <c r="C66" s="70">
        <v>586.74999999701095</v>
      </c>
      <c r="G66" s="70">
        <v>464.651111415721</v>
      </c>
      <c r="H66" s="70">
        <v>-46.661111633333299</v>
      </c>
      <c r="I66" s="70">
        <v>15.171666666666701</v>
      </c>
      <c r="K66" s="70">
        <f>SUM(TableCategories[[#This Row],[Commercial Reliability]:[Unspecified]])</f>
        <v>5025.0705552071558</v>
      </c>
    </row>
    <row r="67" spans="1:11">
      <c r="A67" s="56" t="s">
        <v>167</v>
      </c>
      <c r="B67" s="70">
        <v>13.146944433333299</v>
      </c>
      <c r="C67" s="70">
        <v>973.82638768261404</v>
      </c>
      <c r="D67" s="70">
        <v>469.50499779999899</v>
      </c>
      <c r="E67" s="70">
        <v>358.70394311069799</v>
      </c>
      <c r="F67" s="70">
        <v>77.247499899999994</v>
      </c>
      <c r="G67" s="70">
        <v>132.111110966589</v>
      </c>
      <c r="H67" s="70">
        <v>10.3856826271212</v>
      </c>
      <c r="I67" s="70">
        <v>368.00895787471501</v>
      </c>
      <c r="K67" s="70">
        <f>SUM(TableCategories[[#This Row],[Commercial Reliability]:[Unspecified]])</f>
        <v>2402.9355243950695</v>
      </c>
    </row>
    <row r="68" spans="1:11">
      <c r="A68" s="56" t="s">
        <v>168</v>
      </c>
      <c r="B68" s="70">
        <v>31.173333316666699</v>
      </c>
      <c r="C68" s="70">
        <v>1638.9425444623</v>
      </c>
      <c r="D68" s="70">
        <v>616.73138685000004</v>
      </c>
      <c r="E68" s="70">
        <v>543.39351976922501</v>
      </c>
      <c r="F68" s="70">
        <v>152.58861094996399</v>
      </c>
      <c r="G68" s="70">
        <v>153.98888871657499</v>
      </c>
      <c r="H68" s="70">
        <v>-7.3244447333333103</v>
      </c>
      <c r="I68" s="70">
        <v>137.404722133197</v>
      </c>
      <c r="J68" s="70">
        <v>6.1425000000000001</v>
      </c>
      <c r="K68" s="70">
        <f>SUM(TableCategories[[#This Row],[Commercial Reliability]:[Unspecified]])</f>
        <v>3273.0410614645939</v>
      </c>
    </row>
    <row r="69" spans="1:11">
      <c r="A69" s="56" t="s">
        <v>169</v>
      </c>
      <c r="B69" s="70">
        <v>55.335277733333299</v>
      </c>
      <c r="C69" s="70">
        <v>2149.7874987195</v>
      </c>
      <c r="D69" s="70">
        <v>483.283331799991</v>
      </c>
      <c r="E69" s="70">
        <v>465.03773584370998</v>
      </c>
      <c r="F69" s="70">
        <v>142.46722213324</v>
      </c>
      <c r="G69" s="70">
        <v>75.855555433234002</v>
      </c>
      <c r="H69" s="70">
        <v>38.332182293783703</v>
      </c>
      <c r="I69" s="70">
        <v>331.08027681659797</v>
      </c>
      <c r="J69" s="70">
        <v>2.0622222166666702</v>
      </c>
      <c r="K69" s="70">
        <f>SUM(TableCategories[[#This Row],[Commercial Reliability]:[Unspecified]])</f>
        <v>3743.2413029900567</v>
      </c>
    </row>
    <row r="70" spans="1:11">
      <c r="A70" s="56" t="s">
        <v>170</v>
      </c>
      <c r="B70" s="70">
        <v>10.258611066666701</v>
      </c>
      <c r="C70" s="70">
        <v>3204.7657350895702</v>
      </c>
      <c r="D70" s="70">
        <v>272.65444289999101</v>
      </c>
      <c r="E70" s="70">
        <v>287.56591419389002</v>
      </c>
      <c r="F70" s="70">
        <v>80.063333266619907</v>
      </c>
      <c r="G70" s="70">
        <v>44.367499916629598</v>
      </c>
      <c r="H70" s="70">
        <v>23.228861193484999</v>
      </c>
      <c r="I70" s="70">
        <v>339.47249889992901</v>
      </c>
      <c r="J70" s="70">
        <v>0.48611110000000002</v>
      </c>
      <c r="K70" s="70">
        <f>SUM(TableCategories[[#This Row],[Commercial Reliability]:[Unspecified]])</f>
        <v>4262.8630076267809</v>
      </c>
    </row>
    <row r="71" spans="1:11">
      <c r="A71" s="56" t="s">
        <v>171</v>
      </c>
      <c r="B71" s="70">
        <v>204.03916666623499</v>
      </c>
      <c r="C71" s="70">
        <v>1246.82562269964</v>
      </c>
      <c r="D71" s="70">
        <v>566.12333120000005</v>
      </c>
      <c r="E71" s="70">
        <v>585.16444391629898</v>
      </c>
      <c r="F71" s="70">
        <v>114.539166516641</v>
      </c>
      <c r="G71" s="70">
        <v>12.4816665833333</v>
      </c>
      <c r="H71" s="70">
        <v>35.001666433333298</v>
      </c>
      <c r="I71" s="70">
        <v>300.35638814997702</v>
      </c>
      <c r="J71" s="70">
        <v>2.1530555499999999</v>
      </c>
      <c r="K71" s="70">
        <f>SUM(TableCategories[[#This Row],[Commercial Reliability]:[Unspecified]])</f>
        <v>3066.6845077154589</v>
      </c>
    </row>
    <row r="72" spans="1:11">
      <c r="A72" s="56" t="s">
        <v>172</v>
      </c>
      <c r="B72" s="70">
        <v>141.80222218294301</v>
      </c>
      <c r="C72" s="70">
        <v>1530.34756565306</v>
      </c>
      <c r="D72" s="70">
        <v>420.39694274997998</v>
      </c>
      <c r="E72" s="70">
        <v>533.82592650503102</v>
      </c>
      <c r="F72" s="70">
        <v>70.0991665833333</v>
      </c>
      <c r="G72" s="70">
        <v>6.7933332666666697</v>
      </c>
      <c r="H72" s="70">
        <v>32.114444033333299</v>
      </c>
      <c r="I72" s="70">
        <v>448.77354009162798</v>
      </c>
      <c r="J72" s="70">
        <v>57.189444350000002</v>
      </c>
      <c r="K72" s="70">
        <f>SUM(TableCategories[[#This Row],[Commercial Reliability]:[Unspecified]])</f>
        <v>3241.3425854159755</v>
      </c>
    </row>
    <row r="73" spans="1:11">
      <c r="A73" s="56" t="s">
        <v>173</v>
      </c>
      <c r="C73" s="70">
        <v>918.03573029995403</v>
      </c>
      <c r="D73" s="70">
        <v>413.95122355723402</v>
      </c>
      <c r="G73" s="70">
        <v>7.2822221833333298</v>
      </c>
      <c r="H73" s="70">
        <v>-107.43499951666701</v>
      </c>
      <c r="I73" s="70">
        <v>70.891388649981707</v>
      </c>
      <c r="J73" s="70">
        <v>7.1666666666666698E-2</v>
      </c>
      <c r="K73" s="70">
        <f>SUM(TableCategories[[#This Row],[Commercial Reliability]:[Unspecified]])</f>
        <v>1302.7972318405027</v>
      </c>
    </row>
    <row r="74" spans="1:11">
      <c r="A74" s="56" t="s">
        <v>174</v>
      </c>
      <c r="B74" s="70">
        <v>3595.7924965463199</v>
      </c>
      <c r="C74" s="70">
        <v>105.1786109</v>
      </c>
      <c r="D74" s="70">
        <v>151.51138873331999</v>
      </c>
      <c r="E74" s="70">
        <v>155.928610816651</v>
      </c>
      <c r="F74" s="70">
        <v>27.263055533333301</v>
      </c>
      <c r="G74" s="70">
        <v>619.54166508328103</v>
      </c>
      <c r="H74" s="70">
        <v>2.8016663499991399</v>
      </c>
      <c r="I74" s="70">
        <v>106.86611094999699</v>
      </c>
      <c r="K74" s="70">
        <f>SUM(TableCategories[[#This Row],[Commercial Reliability]:[Unspecified]])</f>
        <v>4764.8836049129022</v>
      </c>
    </row>
    <row r="75" spans="1:11">
      <c r="A75" s="56" t="s">
        <v>175</v>
      </c>
      <c r="B75" s="70">
        <v>5507.0411076782802</v>
      </c>
      <c r="C75" s="70">
        <v>10.0136110666667</v>
      </c>
      <c r="D75" s="70">
        <v>174.52138879997801</v>
      </c>
      <c r="E75" s="70">
        <v>93.325555350000002</v>
      </c>
      <c r="G75" s="70">
        <v>229.252499233321</v>
      </c>
      <c r="H75" s="70">
        <v>-139.00055341666899</v>
      </c>
      <c r="I75" s="70">
        <v>76.472777633333294</v>
      </c>
      <c r="K75" s="70">
        <f>SUM(TableCategories[[#This Row],[Commercial Reliability]:[Unspecified]])</f>
        <v>5951.6263863449094</v>
      </c>
    </row>
    <row r="76" spans="1:11">
      <c r="A76" s="56" t="s">
        <v>176</v>
      </c>
      <c r="B76" s="70">
        <v>4649.2488850119598</v>
      </c>
      <c r="C76" s="70">
        <v>43.177499933333301</v>
      </c>
      <c r="D76" s="70">
        <v>217.471388749993</v>
      </c>
      <c r="E76" s="70">
        <v>121.628333066667</v>
      </c>
      <c r="F76" s="70">
        <v>21.690555533333299</v>
      </c>
      <c r="G76" s="70">
        <v>484.64666513329598</v>
      </c>
      <c r="H76" s="70">
        <v>-192.44861014999699</v>
      </c>
      <c r="I76" s="70">
        <v>121.058610883333</v>
      </c>
      <c r="K76" s="70">
        <f>SUM(TableCategories[[#This Row],[Commercial Reliability]:[Unspecified]])</f>
        <v>5466.4733281619183</v>
      </c>
    </row>
    <row r="77" spans="1:11">
      <c r="A77" s="56" t="s">
        <v>177</v>
      </c>
      <c r="B77" s="70">
        <v>7298.9102765306698</v>
      </c>
      <c r="C77" s="70">
        <v>27.8038888333333</v>
      </c>
      <c r="D77" s="70">
        <v>57.308055533333302</v>
      </c>
      <c r="E77" s="70">
        <v>8</v>
      </c>
      <c r="F77" s="70">
        <v>4.2616666333333297</v>
      </c>
      <c r="G77" s="70">
        <v>109.59666653333301</v>
      </c>
      <c r="H77" s="70">
        <v>-28.565555749999898</v>
      </c>
      <c r="K77" s="70">
        <f>SUM(TableCategories[[#This Row],[Commercial Reliability]:[Unspecified]])</f>
        <v>7477.3149983140029</v>
      </c>
    </row>
    <row r="78" spans="1:11">
      <c r="A78" s="56" t="s">
        <v>178</v>
      </c>
      <c r="B78" s="70">
        <v>4882.7411098467201</v>
      </c>
      <c r="C78" s="70">
        <v>31.2194444</v>
      </c>
      <c r="D78" s="70">
        <v>15.7011109666667</v>
      </c>
      <c r="E78" s="70">
        <v>68.682499949993996</v>
      </c>
      <c r="G78" s="70">
        <v>145.97555526665701</v>
      </c>
      <c r="H78" s="70">
        <v>-16.1733338833332</v>
      </c>
      <c r="I78" s="70">
        <v>4.2708333333333304</v>
      </c>
      <c r="K78" s="70">
        <f>SUM(TableCategories[[#This Row],[Commercial Reliability]:[Unspecified]])</f>
        <v>5132.4172198800379</v>
      </c>
    </row>
    <row r="79" spans="1:11">
      <c r="A79" s="56" t="s">
        <v>179</v>
      </c>
      <c r="B79" s="70">
        <v>6017.9897204966701</v>
      </c>
      <c r="C79" s="70">
        <v>158.38277774987299</v>
      </c>
      <c r="D79" s="70">
        <v>40.234722183333297</v>
      </c>
      <c r="E79" s="70">
        <v>34.847222199999997</v>
      </c>
      <c r="F79" s="70">
        <v>38.947222166666698</v>
      </c>
      <c r="G79" s="70">
        <v>175.654999766619</v>
      </c>
      <c r="H79" s="70">
        <v>-151.96222133333299</v>
      </c>
      <c r="I79" s="70">
        <v>32.552499966666701</v>
      </c>
      <c r="K79" s="70">
        <f>SUM(TableCategories[[#This Row],[Commercial Reliability]:[Unspecified]])</f>
        <v>6346.6469431964952</v>
      </c>
    </row>
    <row r="80" spans="1:11">
      <c r="A80" s="56" t="s">
        <v>180</v>
      </c>
      <c r="B80" s="70">
        <v>7225.6122199945003</v>
      </c>
      <c r="C80" s="70">
        <v>4.5886110999999996</v>
      </c>
      <c r="D80" s="70">
        <v>66.826388883333294</v>
      </c>
      <c r="E80" s="70">
        <v>73.006666633333296</v>
      </c>
      <c r="F80" s="70">
        <v>4.3361110999956596</v>
      </c>
      <c r="G80" s="70">
        <v>106.39499978332699</v>
      </c>
      <c r="H80" s="70">
        <v>-28.3122208999999</v>
      </c>
      <c r="K80" s="70">
        <f>SUM(TableCategories[[#This Row],[Commercial Reliability]:[Unspecified]])</f>
        <v>7452.4527765944895</v>
      </c>
    </row>
    <row r="81" spans="1:11">
      <c r="A81" s="56" t="s">
        <v>181</v>
      </c>
      <c r="B81" s="70">
        <v>4590.3047192458998</v>
      </c>
      <c r="C81" s="70">
        <v>425.02916591663501</v>
      </c>
      <c r="D81" s="70">
        <v>98.358888749992701</v>
      </c>
      <c r="E81" s="70">
        <v>339.22611074994802</v>
      </c>
      <c r="F81" s="70">
        <v>3.2222221999987402</v>
      </c>
      <c r="G81" s="70">
        <v>297.658332749961</v>
      </c>
      <c r="H81" s="70">
        <v>-322.49027861666599</v>
      </c>
      <c r="I81" s="70">
        <v>486.93999844995102</v>
      </c>
      <c r="K81" s="70">
        <f>SUM(TableCategories[[#This Row],[Commercial Reliability]:[Unspecified]])</f>
        <v>5918.2491594457215</v>
      </c>
    </row>
    <row r="82" spans="1:11">
      <c r="A82" s="56" t="s">
        <v>342</v>
      </c>
      <c r="B82" s="70">
        <v>426.32249988279898</v>
      </c>
      <c r="C82" s="70">
        <v>592.89944419938297</v>
      </c>
      <c r="D82" s="70">
        <v>146.533888849704</v>
      </c>
      <c r="E82" s="70">
        <v>397.426110999483</v>
      </c>
      <c r="G82" s="70">
        <v>593.16444416603304</v>
      </c>
      <c r="H82" s="70">
        <v>690.46650458983504</v>
      </c>
      <c r="I82" s="70">
        <v>821.58305399951303</v>
      </c>
      <c r="K82" s="70">
        <f>SUM(TableCategories[[#This Row],[Commercial Reliability]:[Unspecified]])</f>
        <v>3668.39594668675</v>
      </c>
    </row>
    <row r="83" spans="1:11">
      <c r="A83" s="56" t="s">
        <v>182</v>
      </c>
      <c r="B83" s="70">
        <v>4507.5619829895004</v>
      </c>
      <c r="C83" s="70">
        <v>528.08249988212799</v>
      </c>
      <c r="D83" s="70">
        <v>83.237499983181294</v>
      </c>
      <c r="E83" s="70">
        <v>80.582777699975495</v>
      </c>
      <c r="F83" s="70">
        <v>2.0858333333333299</v>
      </c>
      <c r="G83" s="70">
        <v>271.27083319961702</v>
      </c>
      <c r="H83" s="70">
        <v>-416.15888875000098</v>
      </c>
      <c r="I83" s="70">
        <v>752.98083311542803</v>
      </c>
      <c r="K83" s="70">
        <f>SUM(TableCategories[[#This Row],[Commercial Reliability]:[Unspecified]])</f>
        <v>5809.6433714531631</v>
      </c>
    </row>
    <row r="84" spans="1:11">
      <c r="A84" s="56" t="s">
        <v>183</v>
      </c>
      <c r="B84" s="70">
        <v>3057.2469441330099</v>
      </c>
      <c r="C84" s="70">
        <v>509.85805528224398</v>
      </c>
      <c r="D84" s="70">
        <v>75.762777766448394</v>
      </c>
      <c r="E84" s="70">
        <v>38.952930408122697</v>
      </c>
      <c r="F84" s="70">
        <v>1.58944443333333</v>
      </c>
      <c r="G84" s="70">
        <v>824.18611094798098</v>
      </c>
      <c r="H84" s="70">
        <v>6.2035855773152404</v>
      </c>
      <c r="I84" s="70">
        <v>845.30166554909295</v>
      </c>
      <c r="K84" s="70">
        <f>SUM(TableCategories[[#This Row],[Commercial Reliability]:[Unspecified]])</f>
        <v>5359.1015140975478</v>
      </c>
    </row>
    <row r="85" spans="1:11">
      <c r="A85" s="56" t="s">
        <v>343</v>
      </c>
      <c r="H85" s="70">
        <v>-538.32638880000002</v>
      </c>
      <c r="J85" s="70">
        <v>1493.1908330333299</v>
      </c>
      <c r="K85" s="70">
        <f>SUM(TableCategories[[#This Row],[Commercial Reliability]:[Unspecified]])</f>
        <v>954.86444423332989</v>
      </c>
    </row>
    <row r="86" spans="1:11">
      <c r="A86" s="56" t="s">
        <v>184</v>
      </c>
      <c r="B86" s="70">
        <v>2235.0372220581799</v>
      </c>
      <c r="C86" s="70">
        <v>504.52277759965602</v>
      </c>
      <c r="D86" s="70">
        <v>213.93055554957201</v>
      </c>
      <c r="E86" s="70">
        <v>386.56777769952902</v>
      </c>
      <c r="F86" s="70">
        <v>73.540555533299795</v>
      </c>
      <c r="G86" s="70">
        <v>309.78999994947299</v>
      </c>
      <c r="H86" s="70">
        <v>39.170555016551504</v>
      </c>
      <c r="I86" s="70">
        <v>442.17472189978503</v>
      </c>
      <c r="K86" s="70">
        <f>SUM(TableCategories[[#This Row],[Commercial Reliability]:[Unspecified]])</f>
        <v>4204.7341653060466</v>
      </c>
    </row>
    <row r="87" spans="1:11">
      <c r="A87" s="56" t="s">
        <v>185</v>
      </c>
      <c r="B87" s="70">
        <v>2112.85268345124</v>
      </c>
      <c r="C87" s="70">
        <v>237.55833276665501</v>
      </c>
      <c r="D87" s="70">
        <v>184.51972218280699</v>
      </c>
      <c r="E87" s="70">
        <v>1670.7659234085299</v>
      </c>
      <c r="G87" s="70">
        <v>12.073333299996101</v>
      </c>
      <c r="H87" s="70">
        <v>-32.145833516666698</v>
      </c>
      <c r="I87" s="70">
        <v>60.345555499979397</v>
      </c>
      <c r="K87" s="70">
        <f>SUM(TableCategories[[#This Row],[Commercial Reliability]:[Unspecified]])</f>
        <v>4245.9697170925401</v>
      </c>
    </row>
    <row r="88" spans="1:11">
      <c r="A88" s="56" t="s">
        <v>344</v>
      </c>
      <c r="B88" s="70">
        <v>1274.0766665144499</v>
      </c>
      <c r="C88" s="70">
        <v>618.40611071662602</v>
      </c>
      <c r="D88" s="70">
        <v>135.926666633211</v>
      </c>
      <c r="E88" s="70">
        <v>310.85666661615801</v>
      </c>
      <c r="F88" s="70">
        <v>26.404166666666701</v>
      </c>
      <c r="G88" s="70">
        <v>485.269721949276</v>
      </c>
      <c r="H88" s="70">
        <v>-64.269147530547301</v>
      </c>
      <c r="I88" s="70">
        <v>553.32777704995499</v>
      </c>
      <c r="K88" s="70">
        <f>SUM(TableCategories[[#This Row],[Commercial Reliability]:[Unspecified]])</f>
        <v>3339.998628615795</v>
      </c>
    </row>
    <row r="89" spans="1:11">
      <c r="A89" s="56" t="s">
        <v>345</v>
      </c>
      <c r="B89" s="70">
        <v>892.20055551094401</v>
      </c>
      <c r="C89" s="70">
        <v>654.60777774944199</v>
      </c>
      <c r="D89" s="70">
        <v>133.29222221657801</v>
      </c>
      <c r="E89" s="70">
        <v>729.16527776508497</v>
      </c>
      <c r="G89" s="70">
        <v>65.999999999912006</v>
      </c>
      <c r="H89" s="70">
        <v>-2172.70492424242</v>
      </c>
      <c r="I89" s="70">
        <v>905.68243412392303</v>
      </c>
      <c r="K89" s="70">
        <f>SUM(TableCategories[[#This Row],[Commercial Reliability]:[Unspecified]])</f>
        <v>1208.2433431234635</v>
      </c>
    </row>
    <row r="90" spans="1:11">
      <c r="A90" s="56" t="s">
        <v>186</v>
      </c>
      <c r="B90" s="70">
        <v>3655.49194434536</v>
      </c>
      <c r="C90" s="70">
        <v>204.99999999961301</v>
      </c>
      <c r="E90" s="70">
        <v>755.98027775909395</v>
      </c>
      <c r="F90" s="70">
        <v>101.90555555</v>
      </c>
      <c r="G90" s="70">
        <v>373.50372587041301</v>
      </c>
      <c r="H90" s="70">
        <v>-37.966666666666697</v>
      </c>
      <c r="I90" s="70">
        <v>1535.3086110833301</v>
      </c>
      <c r="K90" s="70">
        <f>SUM(TableCategories[[#This Row],[Commercial Reliability]:[Unspecified]])</f>
        <v>6589.2234479411436</v>
      </c>
    </row>
    <row r="91" spans="1:11">
      <c r="A91" s="56" t="s">
        <v>346</v>
      </c>
      <c r="B91" s="70">
        <v>573.44027776666599</v>
      </c>
      <c r="C91" s="70">
        <v>935.18111091608102</v>
      </c>
      <c r="D91" s="70">
        <v>243.67888886522601</v>
      </c>
      <c r="E91" s="70">
        <v>55.767777766666697</v>
      </c>
      <c r="G91" s="70">
        <v>36.052777766653399</v>
      </c>
      <c r="H91" s="70">
        <v>-587.95981192949603</v>
      </c>
      <c r="I91" s="70">
        <v>2339.8019636019199</v>
      </c>
      <c r="K91" s="70">
        <f>SUM(TableCategories[[#This Row],[Commercial Reliability]:[Unspecified]])</f>
        <v>3595.9629847537171</v>
      </c>
    </row>
    <row r="92" spans="1:11">
      <c r="A92" s="56" t="s">
        <v>347</v>
      </c>
      <c r="B92" s="70">
        <v>462.32555548304401</v>
      </c>
      <c r="C92" s="70">
        <v>1100.60388872875</v>
      </c>
      <c r="D92" s="70">
        <v>240.63166663254</v>
      </c>
      <c r="E92" s="70">
        <v>84.738888866640593</v>
      </c>
      <c r="H92" s="70">
        <v>-501.17464668967801</v>
      </c>
      <c r="I92" s="70">
        <v>2319.7449936957</v>
      </c>
      <c r="K92" s="70">
        <f>SUM(TableCategories[[#This Row],[Commercial Reliability]:[Unspecified]])</f>
        <v>3706.8703467169962</v>
      </c>
    </row>
    <row r="93" spans="1:11">
      <c r="A93" s="56" t="s">
        <v>348</v>
      </c>
      <c r="B93" s="70">
        <v>2167.2772900151899</v>
      </c>
      <c r="C93" s="70">
        <v>1187.22833321433</v>
      </c>
      <c r="D93" s="70">
        <v>230.40138888188801</v>
      </c>
      <c r="E93" s="70">
        <v>584.41666643313204</v>
      </c>
      <c r="G93" s="70">
        <v>3.8055555499999998</v>
      </c>
      <c r="H93" s="70">
        <v>-420.62000011083302</v>
      </c>
      <c r="I93" s="70">
        <v>1145.7627759997199</v>
      </c>
      <c r="K93" s="70">
        <f>SUM(TableCategories[[#This Row],[Commercial Reliability]:[Unspecified]])</f>
        <v>4898.2720099834269</v>
      </c>
    </row>
    <row r="94" spans="1:11">
      <c r="A94" s="56" t="s">
        <v>187</v>
      </c>
      <c r="B94" s="70">
        <v>435.19027702976098</v>
      </c>
      <c r="C94" s="70">
        <v>1373.20638744895</v>
      </c>
      <c r="D94" s="70">
        <v>95.678611016549297</v>
      </c>
      <c r="E94" s="70">
        <v>62.889166483333298</v>
      </c>
      <c r="F94" s="70">
        <v>0.174166666666667</v>
      </c>
      <c r="H94" s="70">
        <v>51.1605533833322</v>
      </c>
      <c r="I94" s="70">
        <v>1830.2969429485199</v>
      </c>
      <c r="K94" s="70">
        <f>SUM(TableCategories[[#This Row],[Commercial Reliability]:[Unspecified]])</f>
        <v>3848.5961049771122</v>
      </c>
    </row>
    <row r="95" spans="1:11">
      <c r="A95" s="56" t="s">
        <v>349</v>
      </c>
      <c r="B95" s="70">
        <v>365.99555534981499</v>
      </c>
      <c r="C95" s="70">
        <v>1024.3638885487301</v>
      </c>
      <c r="D95" s="70">
        <v>565.82416659896296</v>
      </c>
      <c r="E95" s="70">
        <v>428.43722203317702</v>
      </c>
      <c r="F95" s="70">
        <v>25.1552777666667</v>
      </c>
      <c r="G95" s="70">
        <v>781.991666349669</v>
      </c>
      <c r="H95" s="70">
        <v>-580.52625989570902</v>
      </c>
      <c r="I95" s="70">
        <v>1696.4080549784401</v>
      </c>
      <c r="K95" s="70">
        <f>SUM(TableCategories[[#This Row],[Commercial Reliability]:[Unspecified]])</f>
        <v>4307.6495717297521</v>
      </c>
    </row>
    <row r="96" spans="1:11">
      <c r="A96" s="56" t="s">
        <v>188</v>
      </c>
      <c r="H96" s="70">
        <v>-67.8580555333333</v>
      </c>
      <c r="J96" s="70">
        <v>2522.7877776166602</v>
      </c>
      <c r="K96" s="70">
        <f>SUM(TableCategories[[#This Row],[Commercial Reliability]:[Unspecified]])</f>
        <v>2454.9297220833269</v>
      </c>
    </row>
    <row r="97" spans="1:11">
      <c r="A97" s="56" t="s">
        <v>189</v>
      </c>
      <c r="H97" s="70">
        <v>-90.216111100000006</v>
      </c>
      <c r="J97" s="70">
        <v>3480.8799441666702</v>
      </c>
      <c r="K97" s="70">
        <f>SUM(TableCategories[[#This Row],[Commercial Reliability]:[Unspecified]])</f>
        <v>3390.6638330666701</v>
      </c>
    </row>
    <row r="98" spans="1:11">
      <c r="A98" s="56" t="s">
        <v>190</v>
      </c>
      <c r="B98" s="70">
        <v>798.827129492067</v>
      </c>
      <c r="C98" s="70">
        <v>1001.73027704308</v>
      </c>
      <c r="D98" s="70">
        <v>115.80666663316801</v>
      </c>
      <c r="E98" s="70">
        <v>50.905555516649102</v>
      </c>
      <c r="F98" s="70">
        <v>118.233333216639</v>
      </c>
      <c r="G98" s="70">
        <v>350.64138879920199</v>
      </c>
      <c r="H98" s="70">
        <v>130.77749264998499</v>
      </c>
      <c r="I98" s="70">
        <v>1354.3627760662901</v>
      </c>
      <c r="K98" s="70">
        <f>SUM(TableCategories[[#This Row],[Commercial Reliability]:[Unspecified]])</f>
        <v>3921.2846194170806</v>
      </c>
    </row>
    <row r="99" spans="1:11">
      <c r="A99" s="56" t="s">
        <v>191</v>
      </c>
      <c r="B99" s="70">
        <v>1869.83111097196</v>
      </c>
      <c r="C99" s="70">
        <v>281.77916658272898</v>
      </c>
      <c r="D99" s="70">
        <v>98.557499983080604</v>
      </c>
      <c r="E99" s="70">
        <v>19.478611099999998</v>
      </c>
      <c r="F99" s="70">
        <v>278.74916658304898</v>
      </c>
      <c r="G99" s="70">
        <v>127.673611033333</v>
      </c>
      <c r="H99" s="70">
        <v>231.923212480909</v>
      </c>
      <c r="I99" s="70">
        <v>1009.50374503904</v>
      </c>
      <c r="K99" s="70">
        <f>SUM(TableCategories[[#This Row],[Commercial Reliability]:[Unspecified]])</f>
        <v>3917.4961237741004</v>
      </c>
    </row>
    <row r="100" spans="1:11">
      <c r="A100" s="56" t="s">
        <v>350</v>
      </c>
      <c r="B100" s="70">
        <v>2205.89676589793</v>
      </c>
      <c r="C100" s="70">
        <v>1502.4124965323399</v>
      </c>
      <c r="D100" s="70">
        <v>21.618611049999998</v>
      </c>
      <c r="E100" s="70">
        <v>17.249999933333299</v>
      </c>
      <c r="G100" s="70">
        <v>251.81138861332099</v>
      </c>
      <c r="H100" s="70">
        <v>-88.994165050000007</v>
      </c>
      <c r="I100" s="70">
        <v>219.093887416651</v>
      </c>
      <c r="K100" s="70">
        <f>SUM(TableCategories[[#This Row],[Commercial Reliability]:[Unspecified]])</f>
        <v>4129.0889843935747</v>
      </c>
    </row>
    <row r="101" spans="1:11">
      <c r="A101" s="56" t="s">
        <v>192</v>
      </c>
      <c r="B101" s="70">
        <v>213.22568896656699</v>
      </c>
      <c r="C101" s="70">
        <v>212.501388266628</v>
      </c>
      <c r="D101" s="70">
        <v>27.860833249999999</v>
      </c>
      <c r="G101" s="70">
        <v>0.53222221666666703</v>
      </c>
      <c r="H101" s="70">
        <v>0.93055533333333296</v>
      </c>
      <c r="I101" s="70">
        <v>35.032499966646903</v>
      </c>
      <c r="K101" s="70">
        <f>SUM(TableCategories[[#This Row],[Commercial Reliability]:[Unspecified]])</f>
        <v>490.08318799984193</v>
      </c>
    </row>
    <row r="102" spans="1:11">
      <c r="A102" s="56" t="s">
        <v>193</v>
      </c>
      <c r="B102" s="70">
        <v>2838.4740086250299</v>
      </c>
      <c r="C102" s="70">
        <v>161.68305531666701</v>
      </c>
      <c r="D102" s="70">
        <v>2.7833333333333301</v>
      </c>
      <c r="G102" s="70">
        <v>16.496666600000001</v>
      </c>
      <c r="H102" s="70">
        <v>0.30352625649112802</v>
      </c>
      <c r="I102" s="70">
        <v>12.496388866666701</v>
      </c>
      <c r="K102" s="70">
        <f>SUM(TableCategories[[#This Row],[Commercial Reliability]:[Unspecified]])</f>
        <v>3032.2369789981881</v>
      </c>
    </row>
    <row r="103" spans="1:11">
      <c r="A103" s="56" t="s">
        <v>194</v>
      </c>
      <c r="B103" s="70">
        <v>504.71638879157598</v>
      </c>
      <c r="C103" s="70">
        <v>1528.17166269377</v>
      </c>
      <c r="D103" s="70">
        <v>395.494444398246</v>
      </c>
      <c r="E103" s="70">
        <v>158.16277768321299</v>
      </c>
      <c r="F103" s="70">
        <v>385.98333326614897</v>
      </c>
      <c r="G103" s="70">
        <v>1167.1191647662599</v>
      </c>
      <c r="H103" s="70">
        <v>-389.77111059999902</v>
      </c>
      <c r="I103" s="70">
        <v>828.334161883143</v>
      </c>
      <c r="J103" s="70">
        <v>35.9163856999999</v>
      </c>
      <c r="K103" s="70">
        <f>SUM(TableCategories[[#This Row],[Commercial Reliability]:[Unspecified]])</f>
        <v>4614.1272085823584</v>
      </c>
    </row>
    <row r="104" spans="1:11">
      <c r="A104" s="56" t="s">
        <v>581</v>
      </c>
      <c r="B104" s="70">
        <v>4951.1619421876203</v>
      </c>
      <c r="C104" s="70">
        <v>130.03472221643199</v>
      </c>
      <c r="D104" s="70">
        <v>0.454166666666667</v>
      </c>
      <c r="E104" s="70">
        <v>104.476388816583</v>
      </c>
      <c r="F104" s="70">
        <v>0.28861110000000001</v>
      </c>
      <c r="G104" s="70">
        <v>42.249999216666197</v>
      </c>
      <c r="H104" s="70">
        <v>121.098611683333</v>
      </c>
      <c r="I104" s="70">
        <v>93.781109416666695</v>
      </c>
      <c r="K104" s="70">
        <f>SUM(TableCategories[[#This Row],[Commercial Reliability]:[Unspecified]])</f>
        <v>5443.545551303966</v>
      </c>
    </row>
    <row r="105" spans="1:11">
      <c r="A105" s="56" t="s">
        <v>582</v>
      </c>
      <c r="B105" s="70">
        <v>4963.1005533759098</v>
      </c>
      <c r="C105" s="70">
        <v>146.048611099749</v>
      </c>
      <c r="D105" s="70">
        <v>1.24166666666667</v>
      </c>
      <c r="E105" s="70">
        <v>103.669444383249</v>
      </c>
      <c r="G105" s="70">
        <v>35.8674993166657</v>
      </c>
      <c r="H105" s="70">
        <v>79.544719149999807</v>
      </c>
      <c r="I105" s="70">
        <v>90.767775666666296</v>
      </c>
      <c r="K105" s="70">
        <f>SUM(TableCategories[[#This Row],[Commercial Reliability]:[Unspecified]])</f>
        <v>5420.240269658907</v>
      </c>
    </row>
    <row r="106" spans="1:11">
      <c r="A106" s="56" t="s">
        <v>583</v>
      </c>
      <c r="B106" s="70">
        <v>5030.8822198993603</v>
      </c>
      <c r="C106" s="70">
        <v>131.256944433097</v>
      </c>
      <c r="E106" s="70">
        <v>105.284722183246</v>
      </c>
      <c r="F106" s="70">
        <v>0.18194443333333299</v>
      </c>
      <c r="G106" s="70">
        <v>45.9813880833333</v>
      </c>
      <c r="H106" s="70">
        <v>69.933612783333302</v>
      </c>
      <c r="I106" s="70">
        <v>81.179442516666597</v>
      </c>
      <c r="K106" s="70">
        <f>SUM(TableCategories[[#This Row],[Commercial Reliability]:[Unspecified]])</f>
        <v>5464.7002743323692</v>
      </c>
    </row>
    <row r="107" spans="1:11">
      <c r="A107" s="56" t="s">
        <v>584</v>
      </c>
      <c r="B107" s="70">
        <v>5064.7999978364496</v>
      </c>
      <c r="C107" s="70">
        <v>592.167777648683</v>
      </c>
      <c r="E107" s="70">
        <v>100.77055551657701</v>
      </c>
      <c r="G107" s="70">
        <v>36.294165933332302</v>
      </c>
      <c r="H107" s="70">
        <v>125.98888885</v>
      </c>
      <c r="I107" s="70">
        <v>105.567219666667</v>
      </c>
      <c r="K107" s="70">
        <f>SUM(TableCategories[[#This Row],[Commercial Reliability]:[Unspecified]])</f>
        <v>6025.5886054517086</v>
      </c>
    </row>
    <row r="108" spans="1:11">
      <c r="A108" s="56" t="s">
        <v>585</v>
      </c>
      <c r="B108" s="70">
        <v>5116.8330533876997</v>
      </c>
      <c r="C108" s="70">
        <v>133.913888849762</v>
      </c>
      <c r="E108" s="70">
        <v>108.986111049915</v>
      </c>
      <c r="G108" s="70">
        <v>48.134999049999998</v>
      </c>
      <c r="H108" s="70">
        <v>188.891112666667</v>
      </c>
      <c r="I108" s="70">
        <v>86.873053549999995</v>
      </c>
      <c r="J108" s="70">
        <v>1.0125</v>
      </c>
      <c r="K108" s="70">
        <f>SUM(TableCategories[[#This Row],[Commercial Reliability]:[Unspecified]])</f>
        <v>5684.6447185540437</v>
      </c>
    </row>
    <row r="109" spans="1:11">
      <c r="A109" s="56" t="s">
        <v>608</v>
      </c>
      <c r="C109" s="70">
        <v>3.5</v>
      </c>
      <c r="F109" s="70">
        <v>2.4</v>
      </c>
      <c r="H109" s="70">
        <v>-555.05694448333304</v>
      </c>
      <c r="J109" s="70">
        <v>4308.5850393545797</v>
      </c>
      <c r="K109" s="70">
        <f>SUM(TableCategories[[#This Row],[Commercial Reliability]:[Unspecified]])</f>
        <v>3759.4280948712467</v>
      </c>
    </row>
    <row r="110" spans="1:11">
      <c r="A110" s="56" t="s">
        <v>1055</v>
      </c>
      <c r="B110" s="70">
        <v>4185.8722218580997</v>
      </c>
      <c r="C110" s="70">
        <v>1132.05555533137</v>
      </c>
      <c r="E110" s="70">
        <v>259.71805551621401</v>
      </c>
      <c r="F110" s="70">
        <v>99.701666649912895</v>
      </c>
      <c r="G110" s="70">
        <v>458.544444049871</v>
      </c>
      <c r="H110" s="70">
        <v>-10.4222224833333</v>
      </c>
      <c r="I110" s="70">
        <v>567.31083271659304</v>
      </c>
      <c r="J110" s="70">
        <v>331.104651054248</v>
      </c>
      <c r="K110" s="70">
        <f>SUM(TableCategories[[#This Row],[Commercial Reliability]:[Unspecified]])</f>
        <v>7023.885204692976</v>
      </c>
    </row>
    <row r="111" spans="1:11">
      <c r="A111" s="56" t="s">
        <v>1057</v>
      </c>
      <c r="B111" s="70">
        <v>5967.0455552037602</v>
      </c>
      <c r="C111" s="70">
        <v>684.95111096569099</v>
      </c>
      <c r="E111" s="70">
        <v>276.45249996613398</v>
      </c>
      <c r="F111" s="70">
        <v>48.999999999951001</v>
      </c>
      <c r="G111" s="70">
        <v>250.44083319977</v>
      </c>
      <c r="H111" s="70">
        <v>34.157777516666698</v>
      </c>
      <c r="I111" s="70">
        <v>756.39472190000004</v>
      </c>
      <c r="J111" s="70">
        <v>8.3333333333333301E-2</v>
      </c>
      <c r="K111" s="70">
        <f>SUM(TableCategories[[#This Row],[Commercial Reliability]:[Unspecified]])</f>
        <v>8018.5258320853063</v>
      </c>
    </row>
    <row r="112" spans="1:11">
      <c r="A112" s="56" t="s">
        <v>610</v>
      </c>
      <c r="B112" s="70">
        <v>249.90277776579001</v>
      </c>
      <c r="E112" s="70">
        <v>12</v>
      </c>
      <c r="H112" s="70">
        <v>-350.25472218343799</v>
      </c>
      <c r="J112" s="70">
        <v>3081.7765407126399</v>
      </c>
      <c r="K112" s="70">
        <f>SUM(TableCategories[[#This Row],[Commercial Reliability]:[Unspecified]])</f>
        <v>2993.4245962949917</v>
      </c>
    </row>
    <row r="113" spans="1:11">
      <c r="A113" s="56" t="s">
        <v>611</v>
      </c>
      <c r="B113" s="70">
        <v>567.66277767509803</v>
      </c>
      <c r="H113" s="70">
        <v>-288.658333266667</v>
      </c>
      <c r="J113" s="70">
        <v>4570.01239179605</v>
      </c>
      <c r="K113" s="70">
        <f>SUM(TableCategories[[#This Row],[Commercial Reliability]:[Unspecified]])</f>
        <v>4849.0168362044806</v>
      </c>
    </row>
    <row r="114" spans="1:11">
      <c r="A114" s="56" t="s">
        <v>1059</v>
      </c>
      <c r="B114" s="70">
        <v>1641.6408330895399</v>
      </c>
      <c r="C114" s="70">
        <v>1245.6880550137901</v>
      </c>
      <c r="D114" s="70">
        <v>22.567499983312501</v>
      </c>
      <c r="E114" s="70">
        <v>1096.43083203123</v>
      </c>
      <c r="G114" s="70">
        <v>468.68833153327103</v>
      </c>
      <c r="H114" s="70">
        <v>42.166387016666597</v>
      </c>
      <c r="I114" s="70">
        <v>537.47360859985304</v>
      </c>
      <c r="J114" s="70">
        <v>-31.820555466666701</v>
      </c>
      <c r="K114" s="70">
        <f>SUM(TableCategories[[#This Row],[Commercial Reliability]:[Unspecified]])</f>
        <v>5022.8349918009962</v>
      </c>
    </row>
    <row r="115" spans="1:11">
      <c r="A115" s="56" t="s">
        <v>1061</v>
      </c>
      <c r="B115" s="70">
        <v>4868.46611089219</v>
      </c>
      <c r="C115" s="70">
        <v>659.91444410820702</v>
      </c>
      <c r="E115" s="70">
        <v>150.726110999848</v>
      </c>
      <c r="F115" s="70">
        <v>383.89866012715697</v>
      </c>
      <c r="G115" s="70">
        <v>1101.11229669051</v>
      </c>
      <c r="H115" s="70">
        <v>-34.8313892500001</v>
      </c>
      <c r="I115" s="70">
        <v>343.86805519995499</v>
      </c>
      <c r="J115" s="70">
        <v>37.672575490909097</v>
      </c>
      <c r="K115" s="70">
        <f>SUM(TableCategories[[#This Row],[Commercial Reliability]:[Unspecified]])</f>
        <v>7510.8268642587764</v>
      </c>
    </row>
    <row r="116" spans="1:11">
      <c r="A116" s="56" t="s">
        <v>612</v>
      </c>
      <c r="B116" s="70">
        <v>1009.92638886867</v>
      </c>
      <c r="C116" s="70">
        <v>1.8888888833314399</v>
      </c>
      <c r="G116" s="70">
        <v>72.186111099784895</v>
      </c>
      <c r="H116" s="70">
        <v>-652.56828032785904</v>
      </c>
      <c r="J116" s="70">
        <v>7202.8796129339298</v>
      </c>
      <c r="K116" s="70">
        <f>SUM(TableCategories[[#This Row],[Commercial Reliability]:[Unspecified]])</f>
        <v>7634.3127214578572</v>
      </c>
    </row>
    <row r="117" spans="1:11">
      <c r="A117" s="56" t="s">
        <v>195</v>
      </c>
      <c r="B117" s="70">
        <v>3964.1769418024301</v>
      </c>
      <c r="C117" s="70">
        <v>84.4847221333129</v>
      </c>
      <c r="D117" s="70">
        <v>11.0625</v>
      </c>
      <c r="E117" s="70">
        <v>36.043055533333302</v>
      </c>
      <c r="G117" s="70">
        <v>196.392777116605</v>
      </c>
      <c r="H117" s="70">
        <v>66.573600799994793</v>
      </c>
      <c r="I117" s="70">
        <v>45.105555449999997</v>
      </c>
      <c r="J117" s="70">
        <v>26.544722066666701</v>
      </c>
      <c r="K117" s="70">
        <f>SUM(TableCategories[[#This Row],[Commercial Reliability]:[Unspecified]])</f>
        <v>4430.3838749023425</v>
      </c>
    </row>
    <row r="118" spans="1:11">
      <c r="A118" s="56" t="s">
        <v>196</v>
      </c>
      <c r="B118" s="70">
        <v>3329.1286096036501</v>
      </c>
      <c r="C118" s="70">
        <v>95.327499833274402</v>
      </c>
      <c r="D118" s="70">
        <v>3.5819444333333301</v>
      </c>
      <c r="E118" s="70">
        <v>22.472222216644202</v>
      </c>
      <c r="F118" s="70">
        <v>9.8902777666666708</v>
      </c>
      <c r="G118" s="70">
        <v>223.81999944986001</v>
      </c>
      <c r="H118" s="70">
        <v>505.35464568943797</v>
      </c>
      <c r="I118" s="70">
        <v>98.679722016659099</v>
      </c>
      <c r="J118" s="70">
        <v>14.865555499999999</v>
      </c>
      <c r="K118" s="70">
        <f>SUM(TableCategories[[#This Row],[Commercial Reliability]:[Unspecified]])</f>
        <v>4303.1204765095254</v>
      </c>
    </row>
    <row r="119" spans="1:11">
      <c r="A119" s="56" t="s">
        <v>197</v>
      </c>
      <c r="B119" s="70">
        <v>3869.92249906499</v>
      </c>
      <c r="C119" s="70">
        <v>80.898611033276694</v>
      </c>
      <c r="E119" s="70">
        <v>135.55138883324199</v>
      </c>
      <c r="G119" s="70">
        <v>163.38194413319999</v>
      </c>
      <c r="H119" s="70">
        <v>113.77610449999599</v>
      </c>
      <c r="I119" s="70">
        <v>46.297222116659299</v>
      </c>
      <c r="K119" s="70">
        <f>SUM(TableCategories[[#This Row],[Commercial Reliability]:[Unspecified]])</f>
        <v>4409.8277696813639</v>
      </c>
    </row>
    <row r="120" spans="1:11">
      <c r="A120" s="56" t="s">
        <v>198</v>
      </c>
      <c r="B120" s="70">
        <v>4533.8382298736196</v>
      </c>
      <c r="C120" s="70">
        <v>103.841666499963</v>
      </c>
      <c r="E120" s="70">
        <v>115.063888833269</v>
      </c>
      <c r="F120" s="70">
        <v>1.49583333333333</v>
      </c>
      <c r="G120" s="70">
        <v>148.71166619994199</v>
      </c>
      <c r="H120" s="70">
        <v>119.617308438469</v>
      </c>
      <c r="I120" s="70">
        <v>43.695833216660098</v>
      </c>
      <c r="K120" s="70">
        <f>SUM(TableCategories[[#This Row],[Commercial Reliability]:[Unspecified]])</f>
        <v>5066.2644263952561</v>
      </c>
    </row>
    <row r="121" spans="1:11">
      <c r="A121" s="56" t="s">
        <v>614</v>
      </c>
      <c r="B121" s="70">
        <v>3016.40916633092</v>
      </c>
      <c r="C121" s="70">
        <v>4.1500000000000004</v>
      </c>
      <c r="G121" s="70">
        <v>389.95259290216899</v>
      </c>
      <c r="H121" s="70">
        <v>96.7472185999994</v>
      </c>
      <c r="I121" s="70">
        <v>258.82444334999502</v>
      </c>
      <c r="K121" s="70">
        <f>SUM(TableCategories[[#This Row],[Commercial Reliability]:[Unspecified]])</f>
        <v>3766.0834211830834</v>
      </c>
    </row>
    <row r="122" spans="1:11">
      <c r="A122" s="56" t="s">
        <v>616</v>
      </c>
      <c r="B122" s="70">
        <v>3018.8433330668199</v>
      </c>
      <c r="C122" s="70">
        <v>5.0997222166666702</v>
      </c>
      <c r="G122" s="70">
        <v>551.421108</v>
      </c>
      <c r="H122" s="70">
        <v>80.855274800000004</v>
      </c>
      <c r="I122" s="70">
        <v>271.330276416662</v>
      </c>
      <c r="K122" s="70">
        <f>SUM(TableCategories[[#This Row],[Commercial Reliability]:[Unspecified]])</f>
        <v>3927.5497145001486</v>
      </c>
    </row>
    <row r="123" spans="1:11">
      <c r="A123" s="56" t="s">
        <v>199</v>
      </c>
      <c r="B123" s="70">
        <v>3027.2863885728998</v>
      </c>
      <c r="C123" s="70">
        <v>3.7463888833333301</v>
      </c>
      <c r="G123" s="70">
        <v>358.91249783333302</v>
      </c>
      <c r="H123" s="70">
        <v>1.20110868333327</v>
      </c>
      <c r="I123" s="70">
        <v>213.28388811666699</v>
      </c>
      <c r="J123" s="70">
        <v>7.1880555499999996</v>
      </c>
      <c r="K123" s="70">
        <f>SUM(TableCategories[[#This Row],[Commercial Reliability]:[Unspecified]])</f>
        <v>3611.6183276395664</v>
      </c>
    </row>
    <row r="124" spans="1:11">
      <c r="A124" s="56" t="s">
        <v>35</v>
      </c>
      <c r="B124" s="70">
        <v>503.39305498331498</v>
      </c>
      <c r="C124" s="70">
        <v>452.14861058329097</v>
      </c>
      <c r="D124" s="70">
        <v>53.994444316654501</v>
      </c>
      <c r="E124" s="70">
        <v>1018.1277726666</v>
      </c>
      <c r="F124" s="70">
        <v>209.626663733333</v>
      </c>
      <c r="G124" s="70">
        <v>41.044721699999798</v>
      </c>
      <c r="H124" s="70">
        <v>544.24315618151297</v>
      </c>
      <c r="I124" s="70">
        <v>217.29444166665999</v>
      </c>
      <c r="K124" s="70">
        <f>SUM(TableCategories[[#This Row],[Commercial Reliability]:[Unspecified]])</f>
        <v>3039.8728658313657</v>
      </c>
    </row>
    <row r="125" spans="1:11">
      <c r="A125" s="56" t="s">
        <v>475</v>
      </c>
      <c r="B125" s="70">
        <v>3605.8169436498601</v>
      </c>
      <c r="C125" s="70">
        <v>444.84083316665601</v>
      </c>
      <c r="D125" s="70">
        <v>24</v>
      </c>
      <c r="E125" s="70">
        <v>642.39888843327105</v>
      </c>
      <c r="G125" s="70">
        <v>133.85333261665701</v>
      </c>
      <c r="H125" s="70">
        <v>562.68308915782302</v>
      </c>
      <c r="I125" s="70">
        <v>85.948610916662304</v>
      </c>
      <c r="J125" s="70">
        <v>9.1288888833333299</v>
      </c>
      <c r="K125" s="70">
        <f>SUM(TableCategories[[#This Row],[Commercial Reliability]:[Unspecified]])</f>
        <v>5508.6705868242625</v>
      </c>
    </row>
    <row r="126" spans="1:11">
      <c r="A126" s="56" t="s">
        <v>36</v>
      </c>
      <c r="B126" s="70">
        <v>781.44444368327197</v>
      </c>
      <c r="C126" s="70">
        <v>369.10138843330901</v>
      </c>
      <c r="D126" s="70">
        <v>54.566666599999998</v>
      </c>
      <c r="E126" s="70">
        <v>1203.3180507499101</v>
      </c>
      <c r="F126" s="70">
        <v>110.726109866667</v>
      </c>
      <c r="G126" s="70">
        <v>28.5749994499891</v>
      </c>
      <c r="H126" s="70">
        <v>561.52976953494294</v>
      </c>
      <c r="I126" s="70">
        <v>190.55833081665401</v>
      </c>
      <c r="J126" s="70">
        <v>0.81111109999999997</v>
      </c>
      <c r="K126" s="70">
        <f>SUM(TableCategories[[#This Row],[Commercial Reliability]:[Unspecified]])</f>
        <v>3300.6308702347442</v>
      </c>
    </row>
    <row r="127" spans="1:11">
      <c r="A127" s="56" t="s">
        <v>37</v>
      </c>
      <c r="B127" s="70">
        <v>492.72972163543102</v>
      </c>
      <c r="C127" s="70">
        <v>368.33083278330798</v>
      </c>
      <c r="D127" s="70">
        <v>55.7833331166525</v>
      </c>
      <c r="E127" s="70">
        <v>852.86860619991103</v>
      </c>
      <c r="F127" s="70">
        <v>275.29638603333302</v>
      </c>
      <c r="G127" s="70">
        <v>72.4263881333315</v>
      </c>
      <c r="H127" s="70">
        <v>642.38532312943198</v>
      </c>
      <c r="I127" s="70">
        <v>382.63166276662997</v>
      </c>
      <c r="J127" s="70">
        <v>1.0502777666666701</v>
      </c>
      <c r="K127" s="70">
        <f>SUM(TableCategories[[#This Row],[Commercial Reliability]:[Unspecified]])</f>
        <v>3143.5025315646958</v>
      </c>
    </row>
    <row r="128" spans="1:11">
      <c r="A128" s="56" t="s">
        <v>1063</v>
      </c>
      <c r="B128" s="70">
        <v>1910.6605510500001</v>
      </c>
      <c r="C128" s="70">
        <v>357.12916608331398</v>
      </c>
      <c r="D128" s="70">
        <v>-23.0586110833333</v>
      </c>
      <c r="E128" s="70">
        <v>1730.3961096832099</v>
      </c>
      <c r="F128" s="70">
        <v>80.249999983333296</v>
      </c>
      <c r="G128" s="70">
        <v>30.036110983333199</v>
      </c>
      <c r="H128" s="70">
        <v>81.300547949994296</v>
      </c>
      <c r="I128" s="70">
        <v>719.71666114995196</v>
      </c>
      <c r="J128" s="70">
        <v>23.749999849999298</v>
      </c>
      <c r="K128" s="70">
        <f>SUM(TableCategories[[#This Row],[Commercial Reliability]:[Unspecified]])</f>
        <v>4910.1805356498026</v>
      </c>
    </row>
    <row r="129" spans="1:11">
      <c r="A129" s="56" t="s">
        <v>1065</v>
      </c>
      <c r="B129" s="70">
        <v>100.524999983326</v>
      </c>
      <c r="C129" s="70">
        <v>708.89416591666202</v>
      </c>
      <c r="D129" s="70">
        <v>41.808333233324703</v>
      </c>
      <c r="E129" s="70">
        <v>1781.9278929049799</v>
      </c>
      <c r="F129" s="70">
        <v>103.461944233333</v>
      </c>
      <c r="G129" s="70">
        <v>150.39361003332601</v>
      </c>
      <c r="H129" s="70">
        <v>120.70304268482199</v>
      </c>
      <c r="I129" s="70">
        <v>465.00694098331502</v>
      </c>
      <c r="J129" s="70">
        <v>8.15611103333333</v>
      </c>
      <c r="K129" s="70">
        <f>SUM(TableCategories[[#This Row],[Commercial Reliability]:[Unspecified]])</f>
        <v>3480.8770410064212</v>
      </c>
    </row>
    <row r="130" spans="1:11">
      <c r="A130" s="56" t="s">
        <v>351</v>
      </c>
      <c r="B130" s="70">
        <v>345.597222149993</v>
      </c>
      <c r="C130" s="70">
        <v>101.86944440000001</v>
      </c>
      <c r="D130" s="70">
        <v>35.130555549992202</v>
      </c>
      <c r="E130" s="70">
        <v>1198.5197218999199</v>
      </c>
      <c r="G130" s="70">
        <v>203.29999923331999</v>
      </c>
      <c r="H130" s="70">
        <v>877.66805390000002</v>
      </c>
      <c r="I130" s="70">
        <v>290.05499981666702</v>
      </c>
      <c r="J130" s="70">
        <v>8.3333333333333301E-2</v>
      </c>
      <c r="K130" s="70">
        <f>SUM(TableCategories[[#This Row],[Commercial Reliability]:[Unspecified]])</f>
        <v>3052.2233302832256</v>
      </c>
    </row>
    <row r="131" spans="1:11">
      <c r="A131" s="56" t="s">
        <v>408</v>
      </c>
      <c r="B131" s="70">
        <v>1007.73388871665</v>
      </c>
      <c r="C131" s="70">
        <v>90.815277566665301</v>
      </c>
      <c r="D131" s="70">
        <v>47.221944416659099</v>
      </c>
      <c r="E131" s="70">
        <v>340.06111083331899</v>
      </c>
      <c r="F131" s="70">
        <v>2.0694444333333299</v>
      </c>
      <c r="G131" s="70">
        <v>828.08666386660502</v>
      </c>
      <c r="H131" s="70">
        <v>366.03293364688301</v>
      </c>
      <c r="I131" s="70">
        <v>278.52638859999399</v>
      </c>
      <c r="J131" s="70">
        <v>70.445941846549204</v>
      </c>
      <c r="K131" s="70">
        <f>SUM(TableCategories[[#This Row],[Commercial Reliability]:[Unspecified]])</f>
        <v>3030.9935939266579</v>
      </c>
    </row>
    <row r="132" spans="1:11">
      <c r="A132" s="56" t="s">
        <v>409</v>
      </c>
      <c r="B132" s="70">
        <v>255.28194435</v>
      </c>
      <c r="C132" s="70">
        <v>245.39111096664999</v>
      </c>
      <c r="D132" s="70">
        <v>14.532500000000001</v>
      </c>
      <c r="E132" s="70">
        <v>314.38861094999203</v>
      </c>
      <c r="F132" s="70">
        <v>23.311111083326601</v>
      </c>
      <c r="G132" s="70">
        <v>588.89694289995703</v>
      </c>
      <c r="H132" s="70">
        <v>574.88378842656005</v>
      </c>
      <c r="I132" s="70">
        <v>1021.07361066667</v>
      </c>
      <c r="J132" s="70">
        <v>29.476944433333301</v>
      </c>
      <c r="K132" s="70">
        <f>SUM(TableCategories[[#This Row],[Commercial Reliability]:[Unspecified]])</f>
        <v>3067.2365637764892</v>
      </c>
    </row>
    <row r="133" spans="1:11">
      <c r="A133" s="56" t="s">
        <v>38</v>
      </c>
      <c r="B133" s="70">
        <v>353.63999968332303</v>
      </c>
      <c r="C133" s="70">
        <v>973.33666536666601</v>
      </c>
      <c r="D133" s="70">
        <v>51.146388666666702</v>
      </c>
      <c r="E133" s="70">
        <v>317.58916619994898</v>
      </c>
      <c r="F133" s="70">
        <v>21.879248109761999</v>
      </c>
      <c r="G133" s="70">
        <v>714.17975165947496</v>
      </c>
      <c r="H133" s="70">
        <v>-133.93981168382899</v>
      </c>
      <c r="I133" s="70">
        <v>574.68777508328299</v>
      </c>
      <c r="J133" s="70">
        <v>3.9824999833333301</v>
      </c>
      <c r="K133" s="70">
        <f>SUM(TableCategories[[#This Row],[Commercial Reliability]:[Unspecified]])</f>
        <v>2876.5016830686295</v>
      </c>
    </row>
    <row r="134" spans="1:11">
      <c r="A134" s="56" t="s">
        <v>39</v>
      </c>
      <c r="B134" s="70">
        <v>297.80277741663002</v>
      </c>
      <c r="C134" s="70">
        <v>195.10204001762301</v>
      </c>
      <c r="D134" s="70">
        <v>59.997221916666703</v>
      </c>
      <c r="E134" s="70">
        <v>731.54222094994896</v>
      </c>
      <c r="F134" s="70">
        <v>28.597222133327101</v>
      </c>
      <c r="G134" s="70">
        <v>871.09728159688905</v>
      </c>
      <c r="H134" s="70">
        <v>-266.86670844682499</v>
      </c>
      <c r="I134" s="70">
        <v>451.59511413762903</v>
      </c>
      <c r="J134" s="70">
        <v>35.419656846078396</v>
      </c>
      <c r="K134" s="70">
        <f>SUM(TableCategories[[#This Row],[Commercial Reliability]:[Unspecified]])</f>
        <v>2404.2868265679672</v>
      </c>
    </row>
    <row r="135" spans="1:11">
      <c r="A135" s="56" t="s">
        <v>476</v>
      </c>
      <c r="B135" s="70">
        <v>5703.2880554666499</v>
      </c>
      <c r="C135" s="70">
        <v>118.268055449991</v>
      </c>
      <c r="D135" s="70">
        <v>4.8416666166666698</v>
      </c>
      <c r="E135" s="70">
        <v>38.549999999994199</v>
      </c>
      <c r="F135" s="70">
        <v>24.249707591228098</v>
      </c>
      <c r="G135" s="70">
        <v>1398.2788881332599</v>
      </c>
      <c r="H135" s="70">
        <v>-116.887777966667</v>
      </c>
      <c r="I135" s="70">
        <v>105.573741795614</v>
      </c>
      <c r="J135" s="70">
        <v>7.7166666666666703</v>
      </c>
      <c r="K135" s="70">
        <f>SUM(TableCategories[[#This Row],[Commercial Reliability]:[Unspecified]])</f>
        <v>7283.8790037534027</v>
      </c>
    </row>
    <row r="136" spans="1:11">
      <c r="A136" s="56" t="s">
        <v>40</v>
      </c>
      <c r="B136" s="70">
        <v>248.656388866659</v>
      </c>
      <c r="C136" s="70">
        <v>990.85333268330896</v>
      </c>
      <c r="D136" s="70">
        <v>21.690277716666699</v>
      </c>
      <c r="E136" s="70">
        <v>169.53027716664499</v>
      </c>
      <c r="F136" s="70">
        <v>197.73100825073001</v>
      </c>
      <c r="G136" s="70">
        <v>902.66083099991204</v>
      </c>
      <c r="H136" s="70">
        <v>107.46259687997799</v>
      </c>
      <c r="I136" s="70">
        <v>634.06172453589704</v>
      </c>
      <c r="J136" s="70">
        <v>11.7627777333333</v>
      </c>
      <c r="K136" s="70">
        <f>SUM(TableCategories[[#This Row],[Commercial Reliability]:[Unspecified]])</f>
        <v>3284.4092148331297</v>
      </c>
    </row>
    <row r="137" spans="1:11">
      <c r="A137" s="56" t="s">
        <v>41</v>
      </c>
      <c r="B137" s="70">
        <v>1374.7927776833301</v>
      </c>
      <c r="C137" s="70">
        <v>1118.4894442833299</v>
      </c>
      <c r="D137" s="70">
        <v>32.611111100000002</v>
      </c>
      <c r="E137" s="70">
        <v>203.88749984999299</v>
      </c>
      <c r="F137" s="70">
        <v>62.578216313157903</v>
      </c>
      <c r="G137" s="70">
        <v>2674.5963875832599</v>
      </c>
      <c r="H137" s="70">
        <v>3.4783312666583299</v>
      </c>
      <c r="I137" s="70">
        <v>821.64055273331303</v>
      </c>
      <c r="J137" s="70">
        <v>0.16916666666666699</v>
      </c>
      <c r="K137" s="70">
        <f>SUM(TableCategories[[#This Row],[Commercial Reliability]:[Unspecified]])</f>
        <v>6292.2434874797082</v>
      </c>
    </row>
    <row r="138" spans="1:11">
      <c r="A138" s="56" t="s">
        <v>1069</v>
      </c>
      <c r="B138" s="70">
        <v>926.00527765000004</v>
      </c>
      <c r="C138" s="70">
        <v>1865.9513875999701</v>
      </c>
      <c r="D138" s="70">
        <v>26.4611111</v>
      </c>
      <c r="E138" s="70">
        <v>766.71861098333</v>
      </c>
      <c r="G138" s="70">
        <v>1146.2341655666301</v>
      </c>
      <c r="H138" s="70">
        <v>57.240553349999999</v>
      </c>
      <c r="I138" s="70">
        <v>1433.6127723832701</v>
      </c>
      <c r="J138" s="70">
        <v>17.384767002867399</v>
      </c>
      <c r="K138" s="70">
        <f>SUM(TableCategories[[#This Row],[Commercial Reliability]:[Unspecified]])</f>
        <v>6239.6086456360672</v>
      </c>
    </row>
    <row r="139" spans="1:11">
      <c r="A139" s="56" t="s">
        <v>200</v>
      </c>
      <c r="B139" s="70">
        <v>2180.6133330405501</v>
      </c>
      <c r="C139" s="70">
        <v>363.79805529980899</v>
      </c>
      <c r="D139" s="70">
        <v>188.96249990000001</v>
      </c>
      <c r="E139" s="70">
        <v>216.15638876627801</v>
      </c>
      <c r="G139" s="70">
        <v>1160.09110912193</v>
      </c>
      <c r="H139" s="70">
        <v>-1610.0069958101401</v>
      </c>
      <c r="I139" s="70">
        <v>238.16805523330601</v>
      </c>
      <c r="K139" s="70">
        <f>SUM(TableCategories[[#This Row],[Commercial Reliability]:[Unspecified]])</f>
        <v>2737.7824455517325</v>
      </c>
    </row>
    <row r="140" spans="1:11">
      <c r="A140" s="56" t="s">
        <v>201</v>
      </c>
      <c r="B140" s="70">
        <v>1510.52611084668</v>
      </c>
      <c r="C140" s="70">
        <v>339.93027754976998</v>
      </c>
      <c r="D140" s="70">
        <v>153.13777773298699</v>
      </c>
      <c r="E140" s="70">
        <v>55.172499983281597</v>
      </c>
      <c r="F140" s="70">
        <v>67.009166583333297</v>
      </c>
      <c r="G140" s="70">
        <v>1939.0180865213599</v>
      </c>
      <c r="H140" s="70">
        <v>-1394.9006754843101</v>
      </c>
      <c r="I140" s="70">
        <v>570.43666586657002</v>
      </c>
      <c r="K140" s="70">
        <f>SUM(TableCategories[[#This Row],[Commercial Reliability]:[Unspecified]])</f>
        <v>3240.3299095996713</v>
      </c>
    </row>
    <row r="141" spans="1:11">
      <c r="A141" s="56" t="s">
        <v>618</v>
      </c>
      <c r="B141" s="70">
        <v>3489.1830550340201</v>
      </c>
      <c r="C141" s="70">
        <v>175.30166654998399</v>
      </c>
      <c r="D141" s="70">
        <v>142.08388884999999</v>
      </c>
      <c r="E141" s="70">
        <v>121.842777683299</v>
      </c>
      <c r="F141" s="70">
        <v>37.2991666</v>
      </c>
      <c r="G141" s="70">
        <v>1158.98139191217</v>
      </c>
      <c r="H141" s="70">
        <v>-837.94429746347896</v>
      </c>
      <c r="I141" s="70">
        <v>562.41277651666701</v>
      </c>
      <c r="J141" s="70">
        <v>0.314722216666667</v>
      </c>
      <c r="K141" s="70">
        <f>SUM(TableCategories[[#This Row],[Commercial Reliability]:[Unspecified]])</f>
        <v>4849.4751478993276</v>
      </c>
    </row>
    <row r="142" spans="1:11">
      <c r="A142" s="56" t="s">
        <v>202</v>
      </c>
      <c r="B142" s="70">
        <v>2613.8436630300998</v>
      </c>
      <c r="C142" s="70">
        <v>250.854166516633</v>
      </c>
      <c r="D142" s="70">
        <v>297.55277769941</v>
      </c>
      <c r="E142" s="70">
        <v>212.76138864978</v>
      </c>
      <c r="F142" s="70">
        <v>54.703888766665301</v>
      </c>
      <c r="G142" s="70">
        <v>736.88424791179</v>
      </c>
      <c r="H142" s="70">
        <v>-631.85258730893599</v>
      </c>
      <c r="I142" s="70">
        <v>764.86360996664905</v>
      </c>
      <c r="K142" s="70">
        <f>SUM(TableCategories[[#This Row],[Commercial Reliability]:[Unspecified]])</f>
        <v>4299.6111552320908</v>
      </c>
    </row>
    <row r="143" spans="1:11">
      <c r="A143" s="56" t="s">
        <v>203</v>
      </c>
      <c r="B143" s="70">
        <v>3496.2977771149299</v>
      </c>
      <c r="C143" s="70">
        <v>98.225555233312605</v>
      </c>
      <c r="D143" s="70">
        <v>112.756666633069</v>
      </c>
      <c r="E143" s="70">
        <v>66.015833249898193</v>
      </c>
      <c r="F143" s="70">
        <v>81.508610716665302</v>
      </c>
      <c r="G143" s="70">
        <v>809.80777308311895</v>
      </c>
      <c r="H143" s="70">
        <v>-461.43705864261801</v>
      </c>
      <c r="I143" s="70">
        <v>568.511544904321</v>
      </c>
      <c r="K143" s="70">
        <f>SUM(TableCategories[[#This Row],[Commercial Reliability]:[Unspecified]])</f>
        <v>4771.6867022926963</v>
      </c>
    </row>
    <row r="144" spans="1:11">
      <c r="A144" s="56" t="s">
        <v>204</v>
      </c>
      <c r="B144" s="70">
        <v>1221.6658328318499</v>
      </c>
      <c r="C144" s="70">
        <v>465.707499432779</v>
      </c>
      <c r="D144" s="70">
        <v>191.22361099936001</v>
      </c>
      <c r="E144" s="70">
        <v>263.763055283234</v>
      </c>
      <c r="F144" s="70">
        <v>73.5561108166645</v>
      </c>
      <c r="G144" s="70">
        <v>1142.27888420656</v>
      </c>
      <c r="H144" s="70">
        <v>-684.17056250824498</v>
      </c>
      <c r="I144" s="70">
        <v>731.47583001664998</v>
      </c>
      <c r="K144" s="70">
        <f>SUM(TableCategories[[#This Row],[Commercial Reliability]:[Unspecified]])</f>
        <v>3405.500261078852</v>
      </c>
    </row>
    <row r="145" spans="1:11">
      <c r="A145" s="56" t="s">
        <v>205</v>
      </c>
      <c r="B145" s="70">
        <v>1506.9955549681799</v>
      </c>
      <c r="C145" s="70">
        <v>621.52777713114006</v>
      </c>
      <c r="D145" s="70">
        <v>213.904444249352</v>
      </c>
      <c r="E145" s="70">
        <v>192.251666299921</v>
      </c>
      <c r="F145" s="70">
        <v>74.321110633333305</v>
      </c>
      <c r="G145" s="70">
        <v>981.48082879990898</v>
      </c>
      <c r="H145" s="70">
        <v>67.690558252579905</v>
      </c>
      <c r="I145" s="70">
        <v>822.25938814405197</v>
      </c>
      <c r="K145" s="70">
        <f>SUM(TableCategories[[#This Row],[Commercial Reliability]:[Unspecified]])</f>
        <v>4480.4313284784675</v>
      </c>
    </row>
    <row r="146" spans="1:11">
      <c r="A146" s="56" t="s">
        <v>206</v>
      </c>
      <c r="B146" s="70">
        <v>351.264617135283</v>
      </c>
      <c r="C146" s="70">
        <v>139.723610916659</v>
      </c>
      <c r="D146" s="70">
        <v>84.540277299997499</v>
      </c>
      <c r="G146" s="70">
        <v>41.519166516656703</v>
      </c>
      <c r="I146" s="70">
        <v>229.43346919580199</v>
      </c>
      <c r="K146" s="70">
        <f>SUM(TableCategories[[#This Row],[Commercial Reliability]:[Unspecified]])</f>
        <v>846.48114106439812</v>
      </c>
    </row>
    <row r="147" spans="1:11">
      <c r="A147" s="56" t="s">
        <v>207</v>
      </c>
      <c r="B147" s="70">
        <v>309.34572883516802</v>
      </c>
      <c r="C147" s="70">
        <v>107.91333308326899</v>
      </c>
      <c r="D147" s="70">
        <v>85.894166299999995</v>
      </c>
      <c r="G147" s="70">
        <v>32.733611000000003</v>
      </c>
      <c r="I147" s="70">
        <v>554.72416051663595</v>
      </c>
      <c r="K147" s="70">
        <f>SUM(TableCategories[[#This Row],[Commercial Reliability]:[Unspecified]])</f>
        <v>1090.6109997350729</v>
      </c>
    </row>
    <row r="148" spans="1:11">
      <c r="A148" s="56" t="s">
        <v>208</v>
      </c>
      <c r="B148" s="70">
        <v>2913.4612127158298</v>
      </c>
      <c r="C148" s="70">
        <v>103.182499816667</v>
      </c>
      <c r="D148" s="70">
        <v>33.471388849996202</v>
      </c>
      <c r="G148" s="70">
        <v>13.044166649999999</v>
      </c>
      <c r="I148" s="70">
        <v>28.099999966666701</v>
      </c>
      <c r="K148" s="70">
        <f>SUM(TableCategories[[#This Row],[Commercial Reliability]:[Unspecified]])</f>
        <v>3091.2592679991603</v>
      </c>
    </row>
    <row r="149" spans="1:11">
      <c r="A149" s="56" t="s">
        <v>209</v>
      </c>
      <c r="B149" s="70">
        <v>5329.9302265462202</v>
      </c>
      <c r="C149" s="70">
        <v>663.120277715268</v>
      </c>
      <c r="D149" s="70">
        <v>88.035833333256804</v>
      </c>
      <c r="G149" s="70">
        <v>9.3005555333333305</v>
      </c>
      <c r="H149" s="70">
        <v>8.3111110666666708</v>
      </c>
      <c r="I149" s="70">
        <v>132.60277758330599</v>
      </c>
      <c r="J149" s="70">
        <v>0</v>
      </c>
      <c r="K149" s="70">
        <f>SUM(TableCategories[[#This Row],[Commercial Reliability]:[Unspecified]])</f>
        <v>6231.3007817780508</v>
      </c>
    </row>
    <row r="150" spans="1:11">
      <c r="A150" s="56" t="s">
        <v>210</v>
      </c>
      <c r="B150" s="70">
        <v>3449.0997196498201</v>
      </c>
      <c r="C150" s="70">
        <v>657.52166654808696</v>
      </c>
      <c r="D150" s="70">
        <v>294.92027766612102</v>
      </c>
      <c r="E150" s="70">
        <v>4.73166666666667</v>
      </c>
      <c r="G150" s="70">
        <v>213.589721816636</v>
      </c>
      <c r="H150" s="70">
        <v>26.9545508654844</v>
      </c>
      <c r="I150" s="70">
        <v>55.850277666666699</v>
      </c>
      <c r="J150" s="70">
        <v>0</v>
      </c>
      <c r="K150" s="70">
        <f>SUM(TableCategories[[#This Row],[Commercial Reliability]:[Unspecified]])</f>
        <v>4702.6678808794813</v>
      </c>
    </row>
    <row r="151" spans="1:11">
      <c r="A151" s="56" t="s">
        <v>352</v>
      </c>
      <c r="B151" s="70">
        <v>957.011388602323</v>
      </c>
      <c r="C151" s="70">
        <v>451.97972188306699</v>
      </c>
      <c r="D151" s="70">
        <v>89.019722099968007</v>
      </c>
      <c r="E151" s="70">
        <v>13.35499999999</v>
      </c>
      <c r="F151" s="70">
        <v>551.74749663317903</v>
      </c>
      <c r="G151" s="70">
        <v>975.65027606623005</v>
      </c>
      <c r="H151" s="70">
        <v>217.36276451666501</v>
      </c>
      <c r="I151" s="70">
        <v>440.08444108330798</v>
      </c>
      <c r="K151" s="70">
        <f>SUM(TableCategories[[#This Row],[Commercial Reliability]:[Unspecified]])</f>
        <v>3696.2108108847297</v>
      </c>
    </row>
    <row r="152" spans="1:11">
      <c r="A152" s="56" t="s">
        <v>211</v>
      </c>
      <c r="B152" s="70">
        <v>337.33305552154297</v>
      </c>
      <c r="C152" s="70">
        <v>413.65361108275403</v>
      </c>
      <c r="D152" s="70">
        <v>3.7577777666666701</v>
      </c>
      <c r="E152" s="70">
        <v>74.702499991204107</v>
      </c>
      <c r="F152" s="70">
        <v>70.323611099948906</v>
      </c>
      <c r="G152" s="70">
        <v>2339.6899984493102</v>
      </c>
      <c r="H152" s="70">
        <v>-112.168889333333</v>
      </c>
      <c r="I152" s="70">
        <v>86.396111050000002</v>
      </c>
      <c r="J152" s="70">
        <v>0</v>
      </c>
      <c r="K152" s="70">
        <f>SUM(TableCategories[[#This Row],[Commercial Reliability]:[Unspecified]])</f>
        <v>3213.6877756280937</v>
      </c>
    </row>
    <row r="153" spans="1:11">
      <c r="A153" s="56" t="s">
        <v>212</v>
      </c>
      <c r="B153" s="70">
        <v>1195.1886108797601</v>
      </c>
      <c r="C153" s="70">
        <v>656.39972214882596</v>
      </c>
      <c r="D153" s="70">
        <v>55.7305555332794</v>
      </c>
      <c r="E153" s="70">
        <v>211.12555553331299</v>
      </c>
      <c r="G153" s="70">
        <v>1082.4858327157101</v>
      </c>
      <c r="H153" s="70">
        <v>-91.961666916666601</v>
      </c>
      <c r="I153" s="70">
        <v>249.088055383317</v>
      </c>
      <c r="J153" s="70">
        <v>0</v>
      </c>
      <c r="K153" s="70">
        <f>SUM(TableCategories[[#This Row],[Commercial Reliability]:[Unspecified]])</f>
        <v>3358.0566652775387</v>
      </c>
    </row>
    <row r="154" spans="1:11">
      <c r="A154" s="56" t="s">
        <v>213</v>
      </c>
      <c r="B154" s="70">
        <v>3398.0772193964899</v>
      </c>
      <c r="C154" s="70">
        <v>1190.4738887542501</v>
      </c>
      <c r="D154" s="70">
        <v>69.643333249962396</v>
      </c>
      <c r="E154" s="70">
        <v>2</v>
      </c>
      <c r="G154" s="70">
        <v>0.82499998333333302</v>
      </c>
      <c r="H154" s="70">
        <v>22.001108850000001</v>
      </c>
      <c r="I154" s="70">
        <v>49.711388749999998</v>
      </c>
      <c r="K154" s="70">
        <f>SUM(TableCategories[[#This Row],[Commercial Reliability]:[Unspecified]])</f>
        <v>4732.7319389840359</v>
      </c>
    </row>
    <row r="155" spans="1:11">
      <c r="A155" s="56" t="s">
        <v>214</v>
      </c>
      <c r="B155" s="70">
        <v>4276.3736100302904</v>
      </c>
      <c r="C155" s="70">
        <v>510.146944363702</v>
      </c>
      <c r="D155" s="70">
        <v>2</v>
      </c>
      <c r="E155" s="70">
        <v>22.7044444333333</v>
      </c>
      <c r="F155" s="70">
        <v>3.75</v>
      </c>
      <c r="G155" s="70">
        <v>570.42861073301697</v>
      </c>
      <c r="H155" s="70">
        <v>-60.202500033335497</v>
      </c>
      <c r="I155" s="70">
        <v>408.35888854994801</v>
      </c>
      <c r="K155" s="70">
        <f>SUM(TableCategories[[#This Row],[Commercial Reliability]:[Unspecified]])</f>
        <v>5733.5599980769548</v>
      </c>
    </row>
    <row r="156" spans="1:11">
      <c r="A156" s="56" t="s">
        <v>215</v>
      </c>
      <c r="B156" s="70">
        <v>3530.0324985256502</v>
      </c>
      <c r="C156" s="70">
        <v>430.78611099685003</v>
      </c>
      <c r="D156" s="70">
        <v>12.31666665</v>
      </c>
      <c r="G156" s="70">
        <v>306.86499969994497</v>
      </c>
      <c r="H156" s="70">
        <v>-15.045277766671299</v>
      </c>
      <c r="I156" s="70">
        <v>309.26361056666701</v>
      </c>
      <c r="J156" s="70">
        <v>0</v>
      </c>
      <c r="K156" s="70">
        <f>SUM(TableCategories[[#This Row],[Commercial Reliability]:[Unspecified]])</f>
        <v>4574.2186086724405</v>
      </c>
    </row>
    <row r="157" spans="1:11">
      <c r="A157" s="56" t="s">
        <v>216</v>
      </c>
      <c r="B157" s="70">
        <v>4164.1355543196296</v>
      </c>
      <c r="C157" s="70">
        <v>508.48583323044198</v>
      </c>
      <c r="E157" s="70">
        <v>144.58027776652301</v>
      </c>
      <c r="G157" s="70">
        <v>62.283888733325703</v>
      </c>
      <c r="H157" s="70">
        <v>-48.0938895166667</v>
      </c>
      <c r="I157" s="70">
        <v>62.387499866662701</v>
      </c>
      <c r="J157" s="70">
        <v>0</v>
      </c>
      <c r="K157" s="70">
        <f>SUM(TableCategories[[#This Row],[Commercial Reliability]:[Unspecified]])</f>
        <v>4893.7791643999162</v>
      </c>
    </row>
    <row r="158" spans="1:11">
      <c r="A158" s="56" t="s">
        <v>217</v>
      </c>
      <c r="B158" s="70">
        <v>636.64083320485997</v>
      </c>
      <c r="C158" s="70">
        <v>591.45333278119597</v>
      </c>
      <c r="D158" s="70">
        <v>11.867777733328801</v>
      </c>
      <c r="E158" s="70">
        <v>13.5027777666667</v>
      </c>
      <c r="F158" s="70">
        <v>3.2847222166666699</v>
      </c>
      <c r="G158" s="70">
        <v>1045.1413859997499</v>
      </c>
      <c r="H158" s="70">
        <v>69.045820699999496</v>
      </c>
      <c r="I158" s="70">
        <v>305.09944233330498</v>
      </c>
      <c r="K158" s="70">
        <f>SUM(TableCategories[[#This Row],[Commercial Reliability]:[Unspecified]])</f>
        <v>2676.0360927357729</v>
      </c>
    </row>
    <row r="159" spans="1:11">
      <c r="A159" s="56" t="s">
        <v>218</v>
      </c>
      <c r="B159" s="70">
        <v>1675.7498155062401</v>
      </c>
      <c r="C159" s="70">
        <v>106.770833116658</v>
      </c>
      <c r="D159" s="70">
        <v>16.928333283332599</v>
      </c>
      <c r="G159" s="70">
        <v>15.1930554833333</v>
      </c>
      <c r="H159" s="70">
        <v>-7.1333332833333296</v>
      </c>
      <c r="I159" s="70">
        <v>113.04429020422199</v>
      </c>
      <c r="K159" s="70">
        <f>SUM(TableCategories[[#This Row],[Commercial Reliability]:[Unspecified]])</f>
        <v>1920.552994310453</v>
      </c>
    </row>
    <row r="160" spans="1:11">
      <c r="A160" s="56" t="s">
        <v>219</v>
      </c>
      <c r="B160" s="70">
        <v>1364.8009412732299</v>
      </c>
      <c r="C160" s="70">
        <v>147.49222171664101</v>
      </c>
      <c r="D160" s="70">
        <v>6.5461111000000001</v>
      </c>
      <c r="G160" s="70">
        <v>22.043888750000001</v>
      </c>
      <c r="H160" s="70">
        <v>-47.2613869999999</v>
      </c>
      <c r="I160" s="70">
        <v>179.534270060328</v>
      </c>
      <c r="K160" s="70">
        <f>SUM(TableCategories[[#This Row],[Commercial Reliability]:[Unspecified]])</f>
        <v>1673.1560459001992</v>
      </c>
    </row>
    <row r="161" spans="1:11">
      <c r="A161" s="56" t="s">
        <v>1071</v>
      </c>
      <c r="B161" s="70">
        <v>178.909722220742</v>
      </c>
      <c r="G161" s="70">
        <v>3.3844444333333299</v>
      </c>
      <c r="I161" s="70">
        <v>7597.26805464072</v>
      </c>
      <c r="J161" s="70">
        <v>-230.59222221666701</v>
      </c>
      <c r="K161" s="70">
        <f>SUM(TableCategories[[#This Row],[Commercial Reliability]:[Unspecified]])</f>
        <v>7548.9699990781282</v>
      </c>
    </row>
    <row r="162" spans="1:11">
      <c r="A162" s="56" t="s">
        <v>353</v>
      </c>
      <c r="B162" s="70">
        <v>3633.3697211518702</v>
      </c>
      <c r="C162" s="70">
        <v>336.55472219939799</v>
      </c>
      <c r="D162" s="70">
        <v>6.4533333333333296</v>
      </c>
      <c r="E162" s="70">
        <v>9.8858333333277901</v>
      </c>
      <c r="F162" s="70">
        <v>20.84</v>
      </c>
      <c r="G162" s="70">
        <v>373.96166639993902</v>
      </c>
      <c r="H162" s="70">
        <v>2.4924009532773801</v>
      </c>
      <c r="I162" s="70">
        <v>-73.800833266666601</v>
      </c>
      <c r="K162" s="70">
        <f>SUM(TableCategories[[#This Row],[Commercial Reliability]:[Unspecified]])</f>
        <v>4309.7568441044787</v>
      </c>
    </row>
    <row r="163" spans="1:11">
      <c r="A163" s="56" t="s">
        <v>621</v>
      </c>
      <c r="B163" s="70">
        <v>4339.2708983806297</v>
      </c>
      <c r="C163" s="70">
        <v>41.793611049998503</v>
      </c>
      <c r="D163" s="70">
        <v>11.086666533332499</v>
      </c>
      <c r="G163" s="70">
        <v>0.64666663333333296</v>
      </c>
      <c r="K163" s="70">
        <f>SUM(TableCategories[[#This Row],[Commercial Reliability]:[Unspecified]])</f>
        <v>4392.7978425972942</v>
      </c>
    </row>
    <row r="164" spans="1:11">
      <c r="A164" s="56" t="s">
        <v>395</v>
      </c>
      <c r="B164" s="70">
        <v>874.00666661666696</v>
      </c>
      <c r="C164" s="70">
        <v>1950.1677777</v>
      </c>
      <c r="D164" s="70">
        <v>24.118055533333301</v>
      </c>
      <c r="E164" s="70">
        <v>8.5863887999999999</v>
      </c>
      <c r="G164" s="70">
        <v>59.123647905573698</v>
      </c>
      <c r="H164" s="70">
        <v>-171.151790051256</v>
      </c>
      <c r="I164" s="70">
        <v>41.531111033333303</v>
      </c>
      <c r="K164" s="70">
        <f>SUM(TableCategories[[#This Row],[Commercial Reliability]:[Unspecified]])</f>
        <v>2786.3818575376517</v>
      </c>
    </row>
    <row r="165" spans="1:11">
      <c r="A165" s="56" t="s">
        <v>354</v>
      </c>
      <c r="B165" s="70">
        <v>864.61277768333298</v>
      </c>
      <c r="C165" s="70">
        <v>1994.5255554666701</v>
      </c>
      <c r="D165" s="70">
        <v>21.693333316666699</v>
      </c>
      <c r="G165" s="70">
        <v>353.47333318333301</v>
      </c>
      <c r="H165" s="70">
        <v>-36.923031699679399</v>
      </c>
      <c r="I165" s="70">
        <v>-5.8333366666666102E-2</v>
      </c>
      <c r="K165" s="70">
        <f>SUM(TableCategories[[#This Row],[Commercial Reliability]:[Unspecified]])</f>
        <v>3197.3236345836563</v>
      </c>
    </row>
    <row r="166" spans="1:11">
      <c r="A166" s="56" t="s">
        <v>355</v>
      </c>
      <c r="B166" s="70">
        <v>1127.2116666166701</v>
      </c>
      <c r="C166" s="70">
        <v>2099.6533331833298</v>
      </c>
      <c r="D166" s="70">
        <v>33.220277766666698</v>
      </c>
      <c r="G166" s="70">
        <v>189.91916651666</v>
      </c>
      <c r="H166" s="70">
        <v>-109.75707081455499</v>
      </c>
      <c r="I166" s="70">
        <v>10.301944366666699</v>
      </c>
      <c r="K166" s="70">
        <f>SUM(TableCategories[[#This Row],[Commercial Reliability]:[Unspecified]])</f>
        <v>3350.5493176354385</v>
      </c>
    </row>
    <row r="167" spans="1:11">
      <c r="A167" s="56" t="s">
        <v>356</v>
      </c>
      <c r="B167" s="70">
        <v>1310.7824999166701</v>
      </c>
      <c r="C167" s="70">
        <v>2185.2763887165202</v>
      </c>
      <c r="D167" s="70">
        <v>28.4952777666667</v>
      </c>
      <c r="G167" s="70">
        <v>190.62503788315701</v>
      </c>
      <c r="H167" s="70">
        <v>-116.39728689832199</v>
      </c>
      <c r="I167" s="70">
        <v>4.4755555333333303</v>
      </c>
      <c r="K167" s="70">
        <f>SUM(TableCategories[[#This Row],[Commercial Reliability]:[Unspecified]])</f>
        <v>3603.2574729180251</v>
      </c>
    </row>
    <row r="168" spans="1:11">
      <c r="A168" s="56" t="s">
        <v>1263</v>
      </c>
      <c r="B168" s="70">
        <v>886.55500014999996</v>
      </c>
      <c r="C168" s="70">
        <v>1974.3922221333301</v>
      </c>
      <c r="G168" s="70">
        <v>2584.66749958333</v>
      </c>
      <c r="H168" s="70">
        <v>-43.055840967875497</v>
      </c>
      <c r="I168" s="70">
        <v>7.9522221999999996</v>
      </c>
      <c r="J168" s="70">
        <v>778.70888884999999</v>
      </c>
      <c r="K168" s="70">
        <f>SUM(TableCategories[[#This Row],[Commercial Reliability]:[Unspecified]])</f>
        <v>6189.2199919487848</v>
      </c>
    </row>
    <row r="169" spans="1:11">
      <c r="A169" s="56" t="s">
        <v>43</v>
      </c>
      <c r="B169" s="70">
        <v>3571.5823585583298</v>
      </c>
      <c r="C169" s="70">
        <v>1279.0977061170499</v>
      </c>
      <c r="D169" s="70">
        <v>-0.26305555000000003</v>
      </c>
      <c r="E169" s="70">
        <v>29.833333233333299</v>
      </c>
      <c r="G169" s="70">
        <v>-7.5399993666666596</v>
      </c>
      <c r="H169" s="70">
        <v>-9.7222216666666694E-2</v>
      </c>
      <c r="I169" s="70">
        <v>101.12027725</v>
      </c>
      <c r="K169" s="70">
        <f>SUM(TableCategories[[#This Row],[Commercial Reliability]:[Unspecified]])</f>
        <v>4973.7333980253798</v>
      </c>
    </row>
    <row r="170" spans="1:11">
      <c r="A170" s="56" t="s">
        <v>44</v>
      </c>
      <c r="B170" s="70">
        <v>1955.7470825166399</v>
      </c>
      <c r="C170" s="70">
        <v>995.73305555000002</v>
      </c>
      <c r="E170" s="70">
        <v>1495.26611086661</v>
      </c>
      <c r="G170" s="70">
        <v>9.3466666666666605</v>
      </c>
      <c r="H170" s="70">
        <v>1.1658333333333299</v>
      </c>
      <c r="I170" s="70">
        <v>1.9125000000000001</v>
      </c>
      <c r="K170" s="70">
        <f>SUM(TableCategories[[#This Row],[Commercial Reliability]:[Unspecified]])</f>
        <v>4459.1712489332504</v>
      </c>
    </row>
    <row r="171" spans="1:11">
      <c r="A171" s="56" t="s">
        <v>45</v>
      </c>
      <c r="B171" s="70">
        <v>3102.7492937042898</v>
      </c>
      <c r="C171" s="70">
        <v>1094.8891664499899</v>
      </c>
      <c r="D171" s="70">
        <v>1.8025</v>
      </c>
      <c r="E171" s="70">
        <v>1060.5163884999799</v>
      </c>
      <c r="G171" s="70">
        <v>15.8475007333333</v>
      </c>
      <c r="I171" s="70">
        <v>18.810555449999999</v>
      </c>
      <c r="K171" s="70">
        <f>SUM(TableCategories[[#This Row],[Commercial Reliability]:[Unspecified]])</f>
        <v>5294.6154048375929</v>
      </c>
    </row>
    <row r="172" spans="1:11">
      <c r="A172" s="56" t="s">
        <v>805</v>
      </c>
      <c r="B172" s="70">
        <v>4766.9702718666604</v>
      </c>
      <c r="C172" s="70">
        <v>258.992222049509</v>
      </c>
      <c r="E172" s="70">
        <v>14.181388800000001</v>
      </c>
      <c r="H172" s="70">
        <v>349.05666623313198</v>
      </c>
      <c r="J172" s="70">
        <v>14.348611050000001</v>
      </c>
      <c r="K172" s="70">
        <f>SUM(TableCategories[[#This Row],[Commercial Reliability]:[Unspecified]])</f>
        <v>5403.5491599993011</v>
      </c>
    </row>
    <row r="173" spans="1:11">
      <c r="A173" s="56" t="s">
        <v>807</v>
      </c>
      <c r="B173" s="70">
        <v>106.42388881658</v>
      </c>
      <c r="C173" s="70">
        <v>1926.0711103308799</v>
      </c>
      <c r="D173" s="70">
        <v>58.614999949985901</v>
      </c>
      <c r="E173" s="70">
        <v>260.37527763306502</v>
      </c>
      <c r="F173" s="70">
        <v>33.376388866646799</v>
      </c>
      <c r="G173" s="70">
        <v>503.13249963301303</v>
      </c>
      <c r="H173" s="70">
        <v>193.74115582979701</v>
      </c>
      <c r="I173" s="70">
        <v>2913.6774995035398</v>
      </c>
      <c r="J173" s="70">
        <v>43.908333066666401</v>
      </c>
      <c r="K173" s="70">
        <f>SUM(TableCategories[[#This Row],[Commercial Reliability]:[Unspecified]])</f>
        <v>6039.3211536301742</v>
      </c>
    </row>
    <row r="174" spans="1:11">
      <c r="A174" s="56" t="s">
        <v>808</v>
      </c>
      <c r="C174" s="70">
        <v>1124.5441662088599</v>
      </c>
      <c r="D174" s="70">
        <v>40.815277749997897</v>
      </c>
      <c r="E174" s="70">
        <v>94.919444299960105</v>
      </c>
      <c r="F174" s="70">
        <v>16.451388866666701</v>
      </c>
      <c r="G174" s="70">
        <v>810.86111066602496</v>
      </c>
      <c r="H174" s="70">
        <v>-150.95554558343699</v>
      </c>
      <c r="I174" s="70">
        <v>731.94999942715901</v>
      </c>
      <c r="J174" s="70">
        <v>4.3697220833312702</v>
      </c>
      <c r="K174" s="70">
        <f>SUM(TableCategories[[#This Row],[Commercial Reliability]:[Unspecified]])</f>
        <v>2672.9555637185631</v>
      </c>
    </row>
    <row r="175" spans="1:11">
      <c r="A175" s="56" t="s">
        <v>46</v>
      </c>
      <c r="B175" s="70">
        <v>3815.05666426374</v>
      </c>
      <c r="C175" s="70">
        <v>520.78638801570401</v>
      </c>
      <c r="D175" s="70">
        <v>5.7569444333333299</v>
      </c>
      <c r="E175" s="70">
        <v>83.450833216622101</v>
      </c>
      <c r="F175" s="70">
        <v>33.324444366648898</v>
      </c>
      <c r="G175" s="70">
        <v>229.59249923327999</v>
      </c>
      <c r="H175" s="70">
        <v>52.111949103038299</v>
      </c>
      <c r="I175" s="70">
        <v>653.95666313332697</v>
      </c>
      <c r="J175" s="70">
        <v>34.044722066666601</v>
      </c>
      <c r="K175" s="70">
        <f>SUM(TableCategories[[#This Row],[Commercial Reliability]:[Unspecified]])</f>
        <v>5428.0811078323613</v>
      </c>
    </row>
    <row r="176" spans="1:11">
      <c r="A176" s="56" t="s">
        <v>114</v>
      </c>
      <c r="B176" s="70">
        <v>4156.8683303377302</v>
      </c>
      <c r="C176" s="70">
        <v>574.63527731524096</v>
      </c>
      <c r="E176" s="70">
        <v>148.73666654985999</v>
      </c>
      <c r="F176" s="70">
        <v>4.0483332833333296</v>
      </c>
      <c r="G176" s="70">
        <v>198.66472148329501</v>
      </c>
      <c r="H176" s="70">
        <v>-69.5980721833389</v>
      </c>
      <c r="I176" s="70">
        <v>508.83749731664199</v>
      </c>
      <c r="J176" s="70">
        <v>2.2263888833333301</v>
      </c>
      <c r="K176" s="70">
        <f>SUM(TableCategories[[#This Row],[Commercial Reliability]:[Unspecified]])</f>
        <v>5524.4191429860957</v>
      </c>
    </row>
    <row r="177" spans="1:11">
      <c r="A177" s="56" t="s">
        <v>47</v>
      </c>
      <c r="B177" s="70">
        <v>200.66666666639401</v>
      </c>
      <c r="C177" s="70">
        <v>2804.7408320580698</v>
      </c>
      <c r="D177" s="70">
        <v>87.061944416666705</v>
      </c>
      <c r="E177" s="70">
        <v>218.97194434984101</v>
      </c>
      <c r="G177" s="70">
        <v>314.12916569995201</v>
      </c>
      <c r="H177" s="70">
        <v>135.374814714194</v>
      </c>
      <c r="I177" s="70">
        <v>881.80110729980902</v>
      </c>
      <c r="K177" s="70">
        <f>SUM(TableCategories[[#This Row],[Commercial Reliability]:[Unspecified]])</f>
        <v>4642.7464752049273</v>
      </c>
    </row>
    <row r="178" spans="1:11">
      <c r="A178" s="56" t="s">
        <v>48</v>
      </c>
      <c r="C178" s="70">
        <v>2500.4707793354301</v>
      </c>
      <c r="D178" s="70">
        <v>33.209444433333303</v>
      </c>
      <c r="E178" s="70">
        <v>234.011944399719</v>
      </c>
      <c r="G178" s="70">
        <v>303.03805463313802</v>
      </c>
      <c r="H178" s="70">
        <v>221.97500688183899</v>
      </c>
      <c r="I178" s="70">
        <v>804.56964298502805</v>
      </c>
      <c r="K178" s="70">
        <f>SUM(TableCategories[[#This Row],[Commercial Reliability]:[Unspecified]])</f>
        <v>4097.2748726684877</v>
      </c>
    </row>
    <row r="179" spans="1:11">
      <c r="A179" s="56" t="s">
        <v>357</v>
      </c>
      <c r="C179" s="70">
        <v>1179.2311103301099</v>
      </c>
      <c r="D179" s="70">
        <v>2.1963888833333298</v>
      </c>
      <c r="E179" s="70">
        <v>253.38694434964501</v>
      </c>
      <c r="F179" s="70">
        <v>30.774999966637601</v>
      </c>
      <c r="G179" s="70">
        <v>1109.2244431660199</v>
      </c>
      <c r="H179" s="70">
        <v>46.281087476748603</v>
      </c>
      <c r="I179" s="70">
        <v>896.80220743970096</v>
      </c>
      <c r="J179" s="70">
        <v>3.2527777666666702</v>
      </c>
      <c r="K179" s="70">
        <f>SUM(TableCategories[[#This Row],[Commercial Reliability]:[Unspecified]])</f>
        <v>3521.1499593788626</v>
      </c>
    </row>
    <row r="180" spans="1:11">
      <c r="A180" s="56" t="s">
        <v>586</v>
      </c>
      <c r="B180" s="70">
        <v>2659.9994442718298</v>
      </c>
      <c r="C180" s="70">
        <v>497.56361109761099</v>
      </c>
      <c r="D180" s="70">
        <v>58.588888883274699</v>
      </c>
      <c r="E180" s="70">
        <v>98.617222199972502</v>
      </c>
      <c r="G180" s="70">
        <v>275.67638881652601</v>
      </c>
      <c r="H180" s="70">
        <v>-126.24527753339</v>
      </c>
      <c r="I180" s="70">
        <v>1750.1230550648099</v>
      </c>
      <c r="K180" s="70">
        <f>SUM(TableCategories[[#This Row],[Commercial Reliability]:[Unspecified]])</f>
        <v>5214.3233328006345</v>
      </c>
    </row>
    <row r="181" spans="1:11">
      <c r="A181" s="56" t="s">
        <v>587</v>
      </c>
      <c r="B181" s="70">
        <v>2470.7408331857</v>
      </c>
      <c r="C181" s="70">
        <v>500.89861106432801</v>
      </c>
      <c r="D181" s="70">
        <v>59.601388883214099</v>
      </c>
      <c r="E181" s="70">
        <v>46.4733333</v>
      </c>
      <c r="G181" s="70">
        <v>504.44333324919199</v>
      </c>
      <c r="H181" s="70">
        <v>-139.49138858336201</v>
      </c>
      <c r="I181" s="70">
        <v>1849.8552771318</v>
      </c>
      <c r="K181" s="70">
        <f>SUM(TableCategories[[#This Row],[Commercial Reliability]:[Unspecified]])</f>
        <v>5292.5213882308726</v>
      </c>
    </row>
    <row r="182" spans="1:11">
      <c r="A182" s="56" t="s">
        <v>588</v>
      </c>
      <c r="B182" s="70">
        <v>3201.11916651399</v>
      </c>
      <c r="C182" s="70">
        <v>517.12388888231101</v>
      </c>
      <c r="D182" s="70">
        <v>47.674999999952298</v>
      </c>
      <c r="E182" s="70">
        <v>144.31444443333299</v>
      </c>
      <c r="G182" s="70">
        <v>271.88472216645101</v>
      </c>
      <c r="H182" s="70">
        <v>-79.480555516731002</v>
      </c>
      <c r="I182" s="70">
        <v>2607.9974996420201</v>
      </c>
      <c r="K182" s="70">
        <f>SUM(TableCategories[[#This Row],[Commercial Reliability]:[Unspecified]])</f>
        <v>6710.6341661213264</v>
      </c>
    </row>
    <row r="183" spans="1:11">
      <c r="A183" s="56" t="s">
        <v>358</v>
      </c>
      <c r="B183" s="70">
        <v>2251.8299998632501</v>
      </c>
      <c r="C183" s="70">
        <v>107.24583326658301</v>
      </c>
      <c r="D183" s="70">
        <v>169.298611099661</v>
      </c>
      <c r="E183" s="70">
        <v>23.2563888333333</v>
      </c>
      <c r="G183" s="70">
        <v>40.9438887333297</v>
      </c>
      <c r="H183" s="70">
        <v>-55.701312136236801</v>
      </c>
      <c r="I183" s="70">
        <v>658.45256630514598</v>
      </c>
      <c r="K183" s="70">
        <f>SUM(TableCategories[[#This Row],[Commercial Reliability]:[Unspecified]])</f>
        <v>3195.3259759650659</v>
      </c>
    </row>
    <row r="184" spans="1:11">
      <c r="A184" s="56" t="s">
        <v>359</v>
      </c>
      <c r="B184" s="70">
        <v>1926.7236110388901</v>
      </c>
      <c r="C184" s="70">
        <v>279.27138884901598</v>
      </c>
      <c r="D184" s="70">
        <v>126.50555553308899</v>
      </c>
      <c r="E184" s="70">
        <v>57.201666583319799</v>
      </c>
      <c r="G184" s="70">
        <v>67.147222083325701</v>
      </c>
      <c r="H184" s="70">
        <v>-422.85735246091599</v>
      </c>
      <c r="I184" s="70">
        <v>658.332743076273</v>
      </c>
      <c r="K184" s="70">
        <f>SUM(TableCategories[[#This Row],[Commercial Reliability]:[Unspecified]])</f>
        <v>2692.3248347029976</v>
      </c>
    </row>
    <row r="185" spans="1:11">
      <c r="A185" s="56" t="s">
        <v>360</v>
      </c>
      <c r="B185" s="70">
        <v>2541.5536110191101</v>
      </c>
      <c r="C185" s="70">
        <v>509.63527773069001</v>
      </c>
      <c r="D185" s="70">
        <v>81.959444416507694</v>
      </c>
      <c r="E185" s="70">
        <v>54.101388833333303</v>
      </c>
      <c r="G185" s="70">
        <v>46.4002776833333</v>
      </c>
      <c r="H185" s="70">
        <v>-183.387117606424</v>
      </c>
      <c r="I185" s="70">
        <v>887.50388851503499</v>
      </c>
      <c r="K185" s="70">
        <f>SUM(TableCategories[[#This Row],[Commercial Reliability]:[Unspecified]])</f>
        <v>3937.7667705915856</v>
      </c>
    </row>
    <row r="186" spans="1:11">
      <c r="A186" s="56" t="s">
        <v>589</v>
      </c>
      <c r="B186" s="70">
        <v>4166.04999980703</v>
      </c>
      <c r="C186" s="70">
        <v>502.45638886418197</v>
      </c>
      <c r="D186" s="70">
        <v>98.141666666372203</v>
      </c>
      <c r="E186" s="70">
        <v>215.428333283158</v>
      </c>
      <c r="G186" s="70">
        <v>229.08972216661999</v>
      </c>
      <c r="H186" s="70">
        <v>25.4141666999679</v>
      </c>
      <c r="I186" s="70">
        <v>1092.5772218157999</v>
      </c>
      <c r="J186" s="70">
        <v>5.04416666666667</v>
      </c>
      <c r="K186" s="70">
        <f>SUM(TableCategories[[#This Row],[Commercial Reliability]:[Unspecified]])</f>
        <v>6334.2016659697965</v>
      </c>
    </row>
    <row r="187" spans="1:11">
      <c r="A187" s="56" t="s">
        <v>590</v>
      </c>
      <c r="B187" s="70">
        <v>3764.5124997862199</v>
      </c>
      <c r="C187" s="70">
        <v>433.73166664864902</v>
      </c>
      <c r="D187" s="70">
        <v>144.143055549568</v>
      </c>
      <c r="E187" s="70">
        <v>168.579444416667</v>
      </c>
      <c r="G187" s="70">
        <v>224.342499933249</v>
      </c>
      <c r="H187" s="70">
        <v>135.30388894978901</v>
      </c>
      <c r="I187" s="70">
        <v>1357.9430738118101</v>
      </c>
      <c r="K187" s="70">
        <f>SUM(TableCategories[[#This Row],[Commercial Reliability]:[Unspecified]])</f>
        <v>6228.5561290959522</v>
      </c>
    </row>
    <row r="188" spans="1:11">
      <c r="A188" s="56" t="s">
        <v>591</v>
      </c>
      <c r="B188" s="70">
        <v>4062.44027755449</v>
      </c>
      <c r="C188" s="70">
        <v>523.34194439763996</v>
      </c>
      <c r="D188" s="70">
        <v>125.369444433083</v>
      </c>
      <c r="E188" s="70">
        <v>2.5052777666666701</v>
      </c>
      <c r="G188" s="70">
        <v>299.563888848977</v>
      </c>
      <c r="H188" s="70">
        <v>-271.57583303333303</v>
      </c>
      <c r="I188" s="70">
        <v>506.24666643299997</v>
      </c>
      <c r="K188" s="70">
        <f>SUM(TableCategories[[#This Row],[Commercial Reliability]:[Unspecified]])</f>
        <v>5247.8916664005228</v>
      </c>
    </row>
    <row r="189" spans="1:11">
      <c r="A189" s="56" t="s">
        <v>361</v>
      </c>
      <c r="B189" s="70">
        <v>3484.54083323759</v>
      </c>
      <c r="C189" s="70">
        <v>282.74944443283198</v>
      </c>
      <c r="D189" s="70">
        <v>3.8680555499999998</v>
      </c>
      <c r="E189" s="70">
        <v>97.592222133319197</v>
      </c>
      <c r="F189" s="70">
        <v>0.48444443333333298</v>
      </c>
      <c r="G189" s="70">
        <v>42.087222033333298</v>
      </c>
      <c r="H189" s="70">
        <v>-201.436944316667</v>
      </c>
      <c r="I189" s="70">
        <v>1903.77666635588</v>
      </c>
      <c r="K189" s="70">
        <f>SUM(TableCategories[[#This Row],[Commercial Reliability]:[Unspecified]])</f>
        <v>5613.6619438596208</v>
      </c>
    </row>
    <row r="190" spans="1:11">
      <c r="A190" s="56" t="s">
        <v>592</v>
      </c>
      <c r="B190" s="70">
        <v>4081.5824997766499</v>
      </c>
      <c r="C190" s="70">
        <v>284.36583333281999</v>
      </c>
      <c r="D190" s="70">
        <v>108.05944443300901</v>
      </c>
      <c r="E190" s="70">
        <v>239.77611108333301</v>
      </c>
      <c r="G190" s="70">
        <v>437.223611049086</v>
      </c>
      <c r="H190" s="70">
        <v>-22.7724999666667</v>
      </c>
      <c r="I190" s="70">
        <v>1185.3986108986701</v>
      </c>
      <c r="K190" s="70">
        <f>SUM(TableCategories[[#This Row],[Commercial Reliability]:[Unspecified]])</f>
        <v>6313.6336106069002</v>
      </c>
    </row>
    <row r="191" spans="1:11">
      <c r="A191" s="56" t="s">
        <v>593</v>
      </c>
      <c r="B191" s="70">
        <v>4268.7041664550898</v>
      </c>
      <c r="C191" s="70">
        <v>306.303055533036</v>
      </c>
      <c r="D191" s="70">
        <v>73.354444433259999</v>
      </c>
      <c r="E191" s="70">
        <v>303.15333328333298</v>
      </c>
      <c r="G191" s="70">
        <v>187.42666663303299</v>
      </c>
      <c r="H191" s="70">
        <v>-150.70527775000099</v>
      </c>
      <c r="I191" s="70">
        <v>1480.3941663814101</v>
      </c>
      <c r="K191" s="70">
        <f>SUM(TableCategories[[#This Row],[Commercial Reliability]:[Unspecified]])</f>
        <v>6468.6305549691615</v>
      </c>
    </row>
    <row r="192" spans="1:11">
      <c r="A192" s="56" t="s">
        <v>594</v>
      </c>
      <c r="B192" s="70">
        <v>4906.5205553250698</v>
      </c>
      <c r="C192" s="70">
        <v>381.21472219828001</v>
      </c>
      <c r="D192" s="70">
        <v>125.20638888308299</v>
      </c>
      <c r="E192" s="70">
        <v>1.1430555499999999</v>
      </c>
      <c r="G192" s="70">
        <v>290.91166658261301</v>
      </c>
      <c r="H192" s="70">
        <v>248.40111109986</v>
      </c>
      <c r="I192" s="70">
        <v>1155.6608331150701</v>
      </c>
      <c r="K192" s="70">
        <f>SUM(TableCategories[[#This Row],[Commercial Reliability]:[Unspecified]])</f>
        <v>7109.0583327539762</v>
      </c>
    </row>
    <row r="193" spans="1:11">
      <c r="A193" s="56" t="s">
        <v>362</v>
      </c>
      <c r="B193" s="70">
        <v>4157.4433331723803</v>
      </c>
      <c r="C193" s="70">
        <v>304.98444443197002</v>
      </c>
      <c r="E193" s="70">
        <v>3.9969444333333302</v>
      </c>
      <c r="G193" s="70">
        <v>45.443055516585098</v>
      </c>
      <c r="H193" s="70">
        <v>482.30888914998297</v>
      </c>
      <c r="I193" s="70">
        <v>760.78499974894498</v>
      </c>
      <c r="K193" s="70">
        <f>SUM(TableCategories[[#This Row],[Commercial Reliability]:[Unspecified]])</f>
        <v>5754.9616664531968</v>
      </c>
    </row>
    <row r="194" spans="1:11">
      <c r="A194" s="56" t="s">
        <v>363</v>
      </c>
      <c r="B194" s="70">
        <v>3821.8474998951501</v>
      </c>
      <c r="C194" s="70">
        <v>347.77499996510602</v>
      </c>
      <c r="D194" s="70">
        <v>66.309722216534098</v>
      </c>
      <c r="E194" s="70">
        <v>34.613888866666699</v>
      </c>
      <c r="G194" s="70">
        <v>479.11583321300998</v>
      </c>
      <c r="H194" s="70">
        <v>343.77555571665499</v>
      </c>
      <c r="I194" s="70">
        <v>627.02999978273601</v>
      </c>
      <c r="K194" s="70">
        <f>SUM(TableCategories[[#This Row],[Commercial Reliability]:[Unspecified]])</f>
        <v>5720.4674996558579</v>
      </c>
    </row>
    <row r="195" spans="1:11">
      <c r="A195" s="56" t="s">
        <v>364</v>
      </c>
      <c r="B195" s="70">
        <v>4331.6441664992699</v>
      </c>
      <c r="C195" s="70">
        <v>388.91749996385198</v>
      </c>
      <c r="D195" s="70">
        <v>2.1416666666666702</v>
      </c>
      <c r="E195" s="70">
        <v>62.621944399999997</v>
      </c>
      <c r="G195" s="70">
        <v>192.5180554996</v>
      </c>
      <c r="H195" s="70">
        <v>60.694444499945398</v>
      </c>
      <c r="I195" s="70">
        <v>775.59833308231703</v>
      </c>
      <c r="K195" s="70">
        <f>SUM(TableCategories[[#This Row],[Commercial Reliability]:[Unspecified]])</f>
        <v>5814.136110611651</v>
      </c>
    </row>
    <row r="196" spans="1:11">
      <c r="A196" s="56" t="s">
        <v>220</v>
      </c>
      <c r="B196" s="70">
        <v>4055.21154159562</v>
      </c>
      <c r="C196" s="70">
        <v>318.24305543292002</v>
      </c>
      <c r="D196" s="70">
        <v>1.8433333333333299</v>
      </c>
      <c r="E196" s="70">
        <v>14.4077776833333</v>
      </c>
      <c r="G196" s="70">
        <v>2.5347222166666699</v>
      </c>
      <c r="H196" s="70">
        <v>20.165922412444001</v>
      </c>
      <c r="J196" s="70">
        <v>21.3541663666639</v>
      </c>
      <c r="K196" s="70">
        <f>SUM(TableCategories[[#This Row],[Commercial Reliability]:[Unspecified]])</f>
        <v>4433.7605190409813</v>
      </c>
    </row>
    <row r="197" spans="1:11">
      <c r="A197" s="56" t="s">
        <v>221</v>
      </c>
      <c r="B197" s="70">
        <v>2975.4105396813002</v>
      </c>
      <c r="C197" s="70">
        <v>489.163055432259</v>
      </c>
      <c r="D197" s="70">
        <v>33.450833266640302</v>
      </c>
      <c r="H197" s="70">
        <v>5.6173783217470303</v>
      </c>
      <c r="J197" s="70">
        <v>7.4622222000000002</v>
      </c>
      <c r="K197" s="70">
        <f>SUM(TableCategories[[#This Row],[Commercial Reliability]:[Unspecified]])</f>
        <v>3511.1040289019461</v>
      </c>
    </row>
    <row r="198" spans="1:11">
      <c r="A198" s="56" t="s">
        <v>222</v>
      </c>
      <c r="B198" s="70">
        <v>1807.3114389766799</v>
      </c>
      <c r="C198" s="70">
        <v>404.13032371879399</v>
      </c>
      <c r="D198" s="70">
        <v>77.270555466591105</v>
      </c>
      <c r="E198" s="70">
        <v>165.35138886634499</v>
      </c>
      <c r="H198" s="70">
        <v>7.2703592541492803</v>
      </c>
      <c r="J198" s="70">
        <v>0.77555554999999998</v>
      </c>
      <c r="K198" s="70">
        <f>SUM(TableCategories[[#This Row],[Commercial Reliability]:[Unspecified]])</f>
        <v>2462.1096218325592</v>
      </c>
    </row>
    <row r="199" spans="1:11">
      <c r="A199" s="56" t="s">
        <v>223</v>
      </c>
      <c r="B199" s="70">
        <v>799.57499993983299</v>
      </c>
      <c r="C199" s="70">
        <v>868.53972218033005</v>
      </c>
      <c r="D199" s="70">
        <v>487.26333324921399</v>
      </c>
      <c r="E199" s="70">
        <v>65.272777766666707</v>
      </c>
      <c r="F199" s="70">
        <v>109.077499983333</v>
      </c>
      <c r="G199" s="70">
        <v>552.64583321666703</v>
      </c>
      <c r="H199" s="70">
        <v>-228.02011833189101</v>
      </c>
      <c r="I199" s="70">
        <v>1131.4422219665501</v>
      </c>
      <c r="J199" s="70">
        <v>2.89</v>
      </c>
      <c r="K199" s="70">
        <f>SUM(TableCategories[[#This Row],[Commercial Reliability]:[Unspecified]])</f>
        <v>3788.6862699707031</v>
      </c>
    </row>
    <row r="200" spans="1:11">
      <c r="A200" s="56" t="s">
        <v>224</v>
      </c>
      <c r="B200" s="70">
        <v>1845.85388878189</v>
      </c>
      <c r="C200" s="70">
        <v>977.27911948974804</v>
      </c>
      <c r="D200" s="70">
        <v>369.28249993264302</v>
      </c>
      <c r="E200" s="70">
        <v>101.329444433262</v>
      </c>
      <c r="G200" s="70">
        <v>537.23055509979804</v>
      </c>
      <c r="H200" s="70">
        <v>-351.561945249997</v>
      </c>
      <c r="I200" s="70">
        <v>711.88287786885496</v>
      </c>
      <c r="J200" s="70">
        <v>14.331666666666701</v>
      </c>
      <c r="K200" s="70">
        <f>SUM(TableCategories[[#This Row],[Commercial Reliability]:[Unspecified]])</f>
        <v>4205.6281070228661</v>
      </c>
    </row>
    <row r="201" spans="1:11">
      <c r="A201" s="56" t="s">
        <v>225</v>
      </c>
      <c r="B201" s="70">
        <v>84.512499899998005</v>
      </c>
      <c r="C201" s="70">
        <v>1138.9319437156801</v>
      </c>
      <c r="D201" s="70">
        <v>360.73083306631997</v>
      </c>
      <c r="E201" s="70">
        <v>82.5702776999631</v>
      </c>
      <c r="F201" s="70">
        <v>3.12083333333333</v>
      </c>
      <c r="G201" s="70">
        <v>280.89027724995901</v>
      </c>
      <c r="H201" s="70">
        <v>-66.584830116622797</v>
      </c>
      <c r="I201" s="70">
        <v>286.86055521664599</v>
      </c>
      <c r="K201" s="70">
        <f>SUM(TableCategories[[#This Row],[Commercial Reliability]:[Unspecified]])</f>
        <v>2171.032390065277</v>
      </c>
    </row>
    <row r="202" spans="1:11">
      <c r="A202" s="56" t="s">
        <v>226</v>
      </c>
      <c r="B202" s="70">
        <v>488.67861086626698</v>
      </c>
      <c r="C202" s="70">
        <v>1118.2899995306</v>
      </c>
      <c r="D202" s="70">
        <v>256.90388869972202</v>
      </c>
      <c r="E202" s="70">
        <v>103.476944349983</v>
      </c>
      <c r="F202" s="70">
        <v>1.4650000000000001</v>
      </c>
      <c r="G202" s="70">
        <v>462.65080160571699</v>
      </c>
      <c r="H202" s="70">
        <v>173.28944035134899</v>
      </c>
      <c r="I202" s="70">
        <v>358.055277616659</v>
      </c>
      <c r="J202" s="70">
        <v>1.6666666666666701E-2</v>
      </c>
      <c r="K202" s="70">
        <f>SUM(TableCategories[[#This Row],[Commercial Reliability]:[Unspecified]])</f>
        <v>2962.8266296869642</v>
      </c>
    </row>
    <row r="203" spans="1:11">
      <c r="A203" s="56" t="s">
        <v>227</v>
      </c>
      <c r="B203" s="70">
        <v>2775.79194430801</v>
      </c>
      <c r="C203" s="70">
        <v>352.18972220000001</v>
      </c>
      <c r="D203" s="70">
        <v>323.236666633021</v>
      </c>
      <c r="E203" s="70">
        <v>104.0361111</v>
      </c>
      <c r="G203" s="70">
        <v>19.166944433333299</v>
      </c>
      <c r="H203" s="70">
        <v>-491.13051681667997</v>
      </c>
      <c r="I203" s="70">
        <v>300.56305548333302</v>
      </c>
      <c r="J203" s="70">
        <v>10.276666666666699</v>
      </c>
      <c r="K203" s="70">
        <f>SUM(TableCategories[[#This Row],[Commercial Reliability]:[Unspecified]])</f>
        <v>3394.1305940076836</v>
      </c>
    </row>
    <row r="204" spans="1:11">
      <c r="A204" s="56" t="s">
        <v>51</v>
      </c>
      <c r="B204" s="70">
        <v>479.689999927889</v>
      </c>
      <c r="C204" s="70">
        <v>481.28111041631598</v>
      </c>
      <c r="D204" s="70">
        <v>43.091666649979999</v>
      </c>
      <c r="E204" s="70">
        <v>0.33333333333333298</v>
      </c>
      <c r="G204" s="70">
        <v>913.80082289996597</v>
      </c>
      <c r="H204" s="70">
        <v>-455.64276415</v>
      </c>
      <c r="I204" s="70">
        <v>2434.6672133829202</v>
      </c>
      <c r="K204" s="70">
        <f>SUM(TableCategories[[#This Row],[Commercial Reliability]:[Unspecified]])</f>
        <v>3897.2213824604046</v>
      </c>
    </row>
    <row r="205" spans="1:11">
      <c r="A205" s="56" t="s">
        <v>52</v>
      </c>
      <c r="B205" s="70">
        <v>348.00972216904302</v>
      </c>
      <c r="C205" s="70">
        <v>510.75611061619702</v>
      </c>
      <c r="D205" s="70">
        <v>43.658611083314803</v>
      </c>
      <c r="E205" s="70">
        <v>3.75138888333333</v>
      </c>
      <c r="G205" s="70">
        <v>1034.43554466663</v>
      </c>
      <c r="H205" s="70">
        <v>-404.66526513333503</v>
      </c>
      <c r="I205" s="70">
        <v>2431.9458244330399</v>
      </c>
      <c r="K205" s="70">
        <f>SUM(TableCategories[[#This Row],[Commercial Reliability]:[Unspecified]])</f>
        <v>3967.8919367182234</v>
      </c>
    </row>
    <row r="206" spans="1:11">
      <c r="A206" s="56" t="s">
        <v>228</v>
      </c>
      <c r="B206" s="70">
        <v>391.83916495000102</v>
      </c>
      <c r="C206" s="70">
        <v>469.96777761404798</v>
      </c>
      <c r="D206" s="70">
        <v>21.151388866657999</v>
      </c>
      <c r="E206" s="70">
        <v>38.476666516666697</v>
      </c>
      <c r="F206" s="70">
        <v>89.590156135624895</v>
      </c>
      <c r="G206" s="70">
        <v>0.68333333333333302</v>
      </c>
      <c r="K206" s="70">
        <f>SUM(TableCategories[[#This Row],[Commercial Reliability]:[Unspecified]])</f>
        <v>1011.7084874163318</v>
      </c>
    </row>
    <row r="207" spans="1:11">
      <c r="A207" s="56" t="s">
        <v>229</v>
      </c>
      <c r="B207" s="70">
        <v>393.74666541666699</v>
      </c>
      <c r="C207" s="70">
        <v>345.83055534942002</v>
      </c>
      <c r="D207" s="70">
        <v>21.209166649978801</v>
      </c>
      <c r="E207" s="70">
        <v>38.228610983333297</v>
      </c>
      <c r="F207" s="70">
        <v>92.124045052291606</v>
      </c>
      <c r="G207" s="70">
        <v>0.17361109999999999</v>
      </c>
      <c r="J207" s="70">
        <v>1.21055553333333</v>
      </c>
      <c r="K207" s="70">
        <f>SUM(TableCategories[[#This Row],[Commercial Reliability]:[Unspecified]])</f>
        <v>892.52321008502417</v>
      </c>
    </row>
    <row r="208" spans="1:11">
      <c r="A208" s="56" t="s">
        <v>54</v>
      </c>
      <c r="B208" s="70">
        <v>2208.2280551430299</v>
      </c>
      <c r="C208" s="70">
        <v>743.04027738127502</v>
      </c>
      <c r="D208" s="70">
        <v>839.30861061560699</v>
      </c>
      <c r="E208" s="70">
        <v>565.04083314949503</v>
      </c>
      <c r="F208" s="70">
        <v>21.866111083325201</v>
      </c>
      <c r="G208" s="70">
        <v>1330.0027764327899</v>
      </c>
      <c r="H208" s="70">
        <v>-49.9499955833328</v>
      </c>
      <c r="I208" s="70">
        <v>793.12193953293195</v>
      </c>
      <c r="J208" s="70">
        <v>4.1458332999999996</v>
      </c>
      <c r="K208" s="70">
        <f>SUM(TableCategories[[#This Row],[Commercial Reliability]:[Unspecified]])</f>
        <v>6454.804441055122</v>
      </c>
    </row>
    <row r="209" spans="1:11">
      <c r="A209" s="56" t="s">
        <v>55</v>
      </c>
      <c r="B209" s="70">
        <v>2222.3927774189101</v>
      </c>
      <c r="C209" s="70">
        <v>776.77249963094505</v>
      </c>
      <c r="D209" s="70">
        <v>814.663332765684</v>
      </c>
      <c r="E209" s="70">
        <v>558.82527758277001</v>
      </c>
      <c r="F209" s="70">
        <v>20.251944416658201</v>
      </c>
      <c r="G209" s="70">
        <v>1348.85277636617</v>
      </c>
      <c r="H209" s="70">
        <v>-42.210832533333701</v>
      </c>
      <c r="I209" s="70">
        <v>1025.0755498661099</v>
      </c>
      <c r="K209" s="70">
        <f>SUM(TableCategories[[#This Row],[Commercial Reliability]:[Unspecified]])</f>
        <v>6724.6233255139132</v>
      </c>
    </row>
    <row r="210" spans="1:11">
      <c r="A210" s="56" t="s">
        <v>57</v>
      </c>
      <c r="B210" s="70">
        <v>3178.9911100509999</v>
      </c>
      <c r="C210" s="70">
        <v>293.61749896664998</v>
      </c>
      <c r="D210" s="70">
        <v>129.909443316656</v>
      </c>
      <c r="E210" s="70">
        <v>715.11749949973103</v>
      </c>
      <c r="F210" s="70">
        <v>149.73444378333301</v>
      </c>
      <c r="G210" s="70">
        <v>568.62971818327901</v>
      </c>
      <c r="H210" s="70">
        <v>-221.61277595000001</v>
      </c>
      <c r="I210" s="70">
        <v>321.29499724997999</v>
      </c>
      <c r="J210" s="70">
        <v>9.5655554666666696</v>
      </c>
      <c r="K210" s="70">
        <f>SUM(TableCategories[[#This Row],[Commercial Reliability]:[Unspecified]])</f>
        <v>5145.2474905672943</v>
      </c>
    </row>
    <row r="211" spans="1:11">
      <c r="A211" s="56" t="s">
        <v>58</v>
      </c>
      <c r="B211" s="70">
        <v>2449.7883327649001</v>
      </c>
      <c r="C211" s="70">
        <v>879.84694409932695</v>
      </c>
      <c r="D211" s="70">
        <v>66.930277766666705</v>
      </c>
      <c r="E211" s="70">
        <v>961.17916634905202</v>
      </c>
      <c r="F211" s="70">
        <v>34.308333333333302</v>
      </c>
      <c r="G211" s="70">
        <v>440.47555434989903</v>
      </c>
      <c r="H211" s="70">
        <v>-3.5933375499998101</v>
      </c>
      <c r="I211" s="70">
        <v>839.71888873333296</v>
      </c>
      <c r="J211" s="70">
        <v>9.8322222000000004</v>
      </c>
      <c r="K211" s="70">
        <f>SUM(TableCategories[[#This Row],[Commercial Reliability]:[Unspecified]])</f>
        <v>5678.4863820465107</v>
      </c>
    </row>
    <row r="212" spans="1:11">
      <c r="A212" s="56" t="s">
        <v>59</v>
      </c>
      <c r="B212" s="70">
        <v>2238.7236106086898</v>
      </c>
      <c r="C212" s="70">
        <v>1119.14527751644</v>
      </c>
      <c r="D212" s="70">
        <v>73.640277766645497</v>
      </c>
      <c r="E212" s="70">
        <v>1073.94277739873</v>
      </c>
      <c r="F212" s="70">
        <v>26.415277766666701</v>
      </c>
      <c r="G212" s="70">
        <v>628.78777643307103</v>
      </c>
      <c r="H212" s="70">
        <v>-73.899725999999504</v>
      </c>
      <c r="I212" s="70">
        <v>634.37944431666597</v>
      </c>
      <c r="J212" s="70">
        <v>6.3872222000000001</v>
      </c>
      <c r="K212" s="70">
        <f>SUM(TableCategories[[#This Row],[Commercial Reliability]:[Unspecified]])</f>
        <v>5727.5219380069093</v>
      </c>
    </row>
    <row r="213" spans="1:11">
      <c r="A213" s="56" t="s">
        <v>60</v>
      </c>
      <c r="B213" s="70">
        <v>2317.8352774299201</v>
      </c>
      <c r="C213" s="70">
        <v>975.566388183203</v>
      </c>
      <c r="D213" s="70">
        <v>169.164999533322</v>
      </c>
      <c r="E213" s="70">
        <v>929.26666623256699</v>
      </c>
      <c r="F213" s="70">
        <v>12.237777749999999</v>
      </c>
      <c r="G213" s="70">
        <v>1152.61638389992</v>
      </c>
      <c r="H213" s="70">
        <v>-250.03499896666699</v>
      </c>
      <c r="I213" s="70">
        <v>538.389164816571</v>
      </c>
      <c r="J213" s="70">
        <v>2.4061110999999999</v>
      </c>
      <c r="K213" s="70">
        <f>SUM(TableCategories[[#This Row],[Commercial Reliability]:[Unspecified]])</f>
        <v>5847.4477699788349</v>
      </c>
    </row>
    <row r="214" spans="1:11">
      <c r="A214" s="56" t="s">
        <v>61</v>
      </c>
      <c r="B214" s="70">
        <v>2878.4755552084798</v>
      </c>
      <c r="C214" s="70">
        <v>613.87666624840301</v>
      </c>
      <c r="D214" s="70">
        <v>571.31249974951004</v>
      </c>
      <c r="E214" s="70">
        <v>639.94499983242599</v>
      </c>
      <c r="F214" s="70">
        <v>12.1572222166667</v>
      </c>
      <c r="G214" s="70">
        <v>1278.82694253301</v>
      </c>
      <c r="H214" s="70">
        <v>-55.251681016666403</v>
      </c>
      <c r="I214" s="70">
        <v>961.80277246619801</v>
      </c>
      <c r="J214" s="70">
        <v>1.01833333333333</v>
      </c>
      <c r="K214" s="70">
        <f>SUM(TableCategories[[#This Row],[Commercial Reliability]:[Unspecified]])</f>
        <v>6902.1633105713609</v>
      </c>
    </row>
    <row r="215" spans="1:11">
      <c r="A215" s="56" t="s">
        <v>62</v>
      </c>
      <c r="B215" s="70">
        <v>2909.68666622106</v>
      </c>
      <c r="C215" s="70">
        <v>669.30916634873699</v>
      </c>
      <c r="D215" s="70">
        <v>606.51194423218203</v>
      </c>
      <c r="E215" s="70">
        <v>696.95305541588505</v>
      </c>
      <c r="F215" s="70">
        <v>14.9563888666667</v>
      </c>
      <c r="G215" s="70">
        <v>1352.7574982828201</v>
      </c>
      <c r="H215" s="70">
        <v>-51.666679766666398</v>
      </c>
      <c r="I215" s="70">
        <v>890.956939316236</v>
      </c>
      <c r="J215" s="70">
        <v>7.13277773333333</v>
      </c>
      <c r="K215" s="70">
        <f>SUM(TableCategories[[#This Row],[Commercial Reliability]:[Unspecified]])</f>
        <v>7096.5977566502552</v>
      </c>
    </row>
    <row r="216" spans="1:11">
      <c r="A216" s="56" t="s">
        <v>63</v>
      </c>
      <c r="B216" s="70">
        <v>1075.80833327803</v>
      </c>
      <c r="C216" s="70">
        <v>898.70055531559206</v>
      </c>
      <c r="D216" s="70">
        <v>665.66138881561403</v>
      </c>
      <c r="E216" s="70">
        <v>275.39388884974301</v>
      </c>
      <c r="F216" s="70">
        <v>19.898888866666699</v>
      </c>
      <c r="G216" s="70">
        <v>2036.2897201159301</v>
      </c>
      <c r="H216" s="70">
        <v>-3.4361128666649901</v>
      </c>
      <c r="I216" s="70">
        <v>1261.1408294499299</v>
      </c>
      <c r="J216" s="70">
        <v>1.7999999499999999</v>
      </c>
      <c r="K216" s="70">
        <f>SUM(TableCategories[[#This Row],[Commercial Reliability]:[Unspecified]])</f>
        <v>6231.2574917748398</v>
      </c>
    </row>
    <row r="217" spans="1:11">
      <c r="A217" s="56" t="s">
        <v>64</v>
      </c>
      <c r="B217" s="70">
        <v>1144.5724999132599</v>
      </c>
      <c r="C217" s="70">
        <v>987.86305528214302</v>
      </c>
      <c r="D217" s="70">
        <v>662.02749989919903</v>
      </c>
      <c r="E217" s="70">
        <v>311.36388888307999</v>
      </c>
      <c r="G217" s="70">
        <v>1971.10138708266</v>
      </c>
      <c r="H217" s="70">
        <v>32.834164633333401</v>
      </c>
      <c r="I217" s="70">
        <v>1469.7897183498501</v>
      </c>
      <c r="J217" s="70">
        <v>5.5872221999970497</v>
      </c>
      <c r="K217" s="70">
        <f>SUM(TableCategories[[#This Row],[Commercial Reliability]:[Unspecified]])</f>
        <v>6585.1394362435231</v>
      </c>
    </row>
    <row r="218" spans="1:11">
      <c r="A218" s="56" t="s">
        <v>65</v>
      </c>
      <c r="B218" s="70">
        <v>940.67361106307499</v>
      </c>
      <c r="C218" s="70">
        <v>962.26055529843904</v>
      </c>
      <c r="D218" s="70">
        <v>617.25694433278795</v>
      </c>
      <c r="E218" s="70">
        <v>508.69305553268703</v>
      </c>
      <c r="F218" s="70">
        <v>38.324999983333299</v>
      </c>
      <c r="G218" s="70">
        <v>1111.0174979997801</v>
      </c>
      <c r="H218" s="70">
        <v>-17.4841671999956</v>
      </c>
      <c r="I218" s="70">
        <v>1171.8313816499201</v>
      </c>
      <c r="J218" s="70">
        <v>8.9783332500000004</v>
      </c>
      <c r="K218" s="70">
        <f>SUM(TableCategories[[#This Row],[Commercial Reliability]:[Unspecified]])</f>
        <v>5341.5522119100269</v>
      </c>
    </row>
    <row r="219" spans="1:11">
      <c r="A219" s="56" t="s">
        <v>66</v>
      </c>
      <c r="B219" s="70">
        <v>1035.21972216059</v>
      </c>
      <c r="C219" s="70">
        <v>981.20916642889597</v>
      </c>
      <c r="D219" s="70">
        <v>577.17527771597804</v>
      </c>
      <c r="E219" s="70">
        <v>501.40111109918502</v>
      </c>
      <c r="F219" s="70">
        <v>24.6313888666471</v>
      </c>
      <c r="G219" s="70">
        <v>1335.3458317658301</v>
      </c>
      <c r="H219" s="70">
        <v>-55.5144441999999</v>
      </c>
      <c r="I219" s="70">
        <v>1165.15804988322</v>
      </c>
      <c r="J219" s="70">
        <v>5.6969443999999996</v>
      </c>
      <c r="K219" s="70">
        <f>SUM(TableCategories[[#This Row],[Commercial Reliability]:[Unspecified]])</f>
        <v>5570.3230481203464</v>
      </c>
    </row>
    <row r="220" spans="1:11">
      <c r="A220" s="56" t="s">
        <v>67</v>
      </c>
      <c r="B220" s="70">
        <v>1973.12055544597</v>
      </c>
      <c r="C220" s="70">
        <v>630.02416631616995</v>
      </c>
      <c r="D220" s="70">
        <v>510.685277116046</v>
      </c>
      <c r="E220" s="70">
        <v>626.71194433205005</v>
      </c>
      <c r="F220" s="70">
        <v>28.433333316666701</v>
      </c>
      <c r="G220" s="70">
        <v>1005.8291654493499</v>
      </c>
      <c r="H220" s="70">
        <v>146.94607756666301</v>
      </c>
      <c r="I220" s="70">
        <v>438.75971741663</v>
      </c>
      <c r="J220" s="70">
        <v>4.4361110500000001</v>
      </c>
      <c r="K220" s="70">
        <f>SUM(TableCategories[[#This Row],[Commercial Reliability]:[Unspecified]])</f>
        <v>5364.9463480095465</v>
      </c>
    </row>
    <row r="221" spans="1:11">
      <c r="A221" s="56" t="s">
        <v>68</v>
      </c>
      <c r="B221" s="70">
        <v>2500.5508327089001</v>
      </c>
      <c r="C221" s="70">
        <v>368.45777771631498</v>
      </c>
      <c r="D221" s="70">
        <v>253.86166653320001</v>
      </c>
      <c r="E221" s="70">
        <v>928.25111106324505</v>
      </c>
      <c r="F221" s="70">
        <v>52.0374999998959</v>
      </c>
      <c r="G221" s="70">
        <v>1401.45888798243</v>
      </c>
      <c r="H221" s="70">
        <v>-51.050555416675898</v>
      </c>
      <c r="I221" s="70">
        <v>514.32416468318695</v>
      </c>
      <c r="J221" s="70">
        <v>10.1916666666667</v>
      </c>
      <c r="K221" s="70">
        <f>SUM(TableCategories[[#This Row],[Commercial Reliability]:[Unspecified]])</f>
        <v>5978.0830519371639</v>
      </c>
    </row>
    <row r="222" spans="1:11">
      <c r="A222" s="19" t="s">
        <v>69</v>
      </c>
      <c r="B222" s="70">
        <v>2640.4241664050201</v>
      </c>
      <c r="C222" s="70">
        <v>673.77888868281298</v>
      </c>
      <c r="D222" s="70">
        <v>443.14694336614002</v>
      </c>
      <c r="E222" s="70">
        <v>399.82972211628902</v>
      </c>
      <c r="G222" s="70">
        <v>289.05444423322803</v>
      </c>
      <c r="H222" s="70">
        <v>-15.6013907666648</v>
      </c>
      <c r="I222" s="70">
        <v>1068.8833268151</v>
      </c>
      <c r="K222" s="70">
        <f>SUM(TableCategories[[#This Row],[Commercial Reliability]:[Unspecified]])</f>
        <v>5499.5161008519262</v>
      </c>
    </row>
    <row r="223" spans="1:11">
      <c r="A223" s="56" t="s">
        <v>70</v>
      </c>
      <c r="B223" s="70">
        <v>1767.2266664716001</v>
      </c>
      <c r="C223" s="70">
        <v>704.10499964833605</v>
      </c>
      <c r="D223" s="70">
        <v>847.00055494880098</v>
      </c>
      <c r="E223" s="70">
        <v>951.59861088208504</v>
      </c>
      <c r="G223" s="70">
        <v>1476.5177766997899</v>
      </c>
      <c r="H223" s="70">
        <v>-98.047499999999303</v>
      </c>
      <c r="I223" s="70">
        <v>596.38221618327304</v>
      </c>
      <c r="J223" s="70">
        <v>11.175833316666701</v>
      </c>
      <c r="K223" s="70">
        <f>SUM(TableCategories[[#This Row],[Commercial Reliability]:[Unspecified]])</f>
        <v>6255.959158150551</v>
      </c>
    </row>
    <row r="224" spans="1:11">
      <c r="A224" s="56" t="s">
        <v>230</v>
      </c>
      <c r="B224" s="70">
        <v>1653.5636076831599</v>
      </c>
      <c r="C224" s="70">
        <v>195.98916641656001</v>
      </c>
      <c r="D224" s="70">
        <v>3.6638888833333301</v>
      </c>
      <c r="E224" s="70">
        <v>2.9002777666666701</v>
      </c>
      <c r="G224" s="70">
        <v>0.94861110000000004</v>
      </c>
      <c r="H224" s="70">
        <v>-0.33305543333333298</v>
      </c>
      <c r="K224" s="70">
        <f>SUM(TableCategories[[#This Row],[Commercial Reliability]:[Unspecified]])</f>
        <v>1856.7324964163868</v>
      </c>
    </row>
    <row r="225" spans="1:11">
      <c r="A225" s="56" t="s">
        <v>231</v>
      </c>
      <c r="B225" s="70">
        <v>1533.62444066647</v>
      </c>
      <c r="C225" s="70">
        <v>314.47083304948302</v>
      </c>
      <c r="D225" s="70">
        <v>3.6669444333333301</v>
      </c>
      <c r="H225" s="70">
        <v>-0.1211111</v>
      </c>
      <c r="K225" s="70">
        <f>SUM(TableCategories[[#This Row],[Commercial Reliability]:[Unspecified]])</f>
        <v>1851.6411070492863</v>
      </c>
    </row>
    <row r="226" spans="1:11">
      <c r="A226" s="56" t="s">
        <v>232</v>
      </c>
      <c r="B226" s="70">
        <v>1617.92388486645</v>
      </c>
      <c r="C226" s="70">
        <v>183.63944434988301</v>
      </c>
      <c r="D226" s="70">
        <v>3.6647222166666702</v>
      </c>
      <c r="G226" s="70">
        <v>0.10277776666666701</v>
      </c>
      <c r="H226" s="70">
        <v>-5.2611110999999999</v>
      </c>
      <c r="I226" s="70">
        <v>4.7583333333333302</v>
      </c>
      <c r="K226" s="70">
        <f>SUM(TableCategories[[#This Row],[Commercial Reliability]:[Unspecified]])</f>
        <v>1804.8280514329995</v>
      </c>
    </row>
    <row r="227" spans="1:11">
      <c r="A227" s="56" t="s">
        <v>233</v>
      </c>
      <c r="B227" s="70">
        <v>1617.4558300831</v>
      </c>
      <c r="C227" s="70">
        <v>129.974722066613</v>
      </c>
      <c r="D227" s="70">
        <v>3.6638888833333301</v>
      </c>
      <c r="E227" s="70">
        <v>11.8347222166667</v>
      </c>
      <c r="K227" s="70">
        <f>SUM(TableCategories[[#This Row],[Commercial Reliability]:[Unspecified]])</f>
        <v>1762.9291632497129</v>
      </c>
    </row>
    <row r="228" spans="1:11">
      <c r="A228" s="56" t="s">
        <v>234</v>
      </c>
      <c r="B228" s="70">
        <v>2280.43256448387</v>
      </c>
      <c r="C228" s="70">
        <v>171.461666483285</v>
      </c>
      <c r="D228" s="70">
        <v>4.8458333166666696</v>
      </c>
      <c r="E228" s="70">
        <v>2.9519444333333298</v>
      </c>
      <c r="I228" s="70">
        <v>0.28916666666666702</v>
      </c>
      <c r="K228" s="70">
        <f>SUM(TableCategories[[#This Row],[Commercial Reliability]:[Unspecified]])</f>
        <v>2459.9811753838217</v>
      </c>
    </row>
    <row r="229" spans="1:11">
      <c r="A229" s="19" t="s">
        <v>569</v>
      </c>
      <c r="B229" s="70">
        <v>6708.8180550715597</v>
      </c>
      <c r="C229" s="70">
        <v>78.939166400000005</v>
      </c>
      <c r="D229" s="70">
        <v>389.41611106532798</v>
      </c>
      <c r="E229" s="70">
        <v>93.012499999813997</v>
      </c>
      <c r="G229" s="70">
        <v>11.994444400000001</v>
      </c>
      <c r="H229" s="70">
        <v>-82.739444466666697</v>
      </c>
      <c r="I229" s="70">
        <v>89.360555399999996</v>
      </c>
      <c r="K229" s="70">
        <f>SUM(TableCategories[[#This Row],[Commercial Reliability]:[Unspecified]])</f>
        <v>7288.8013878700349</v>
      </c>
    </row>
    <row r="230" spans="1:11">
      <c r="A230" s="19" t="s">
        <v>571</v>
      </c>
      <c r="B230" s="70">
        <v>7715.9124997149602</v>
      </c>
      <c r="C230" s="70">
        <v>4.9605555333333298</v>
      </c>
      <c r="D230" s="70">
        <v>577.25416664470197</v>
      </c>
      <c r="G230" s="70">
        <v>0.72777776666666705</v>
      </c>
      <c r="H230" s="70">
        <v>18.307777300000001</v>
      </c>
      <c r="I230" s="70">
        <v>59.509999733333302</v>
      </c>
      <c r="K230" s="70">
        <f>SUM(TableCategories[[#This Row],[Commercial Reliability]:[Unspecified]])</f>
        <v>8376.6727766929944</v>
      </c>
    </row>
    <row r="231" spans="1:11">
      <c r="A231" s="19" t="s">
        <v>235</v>
      </c>
      <c r="B231" s="70">
        <v>840.29330953213105</v>
      </c>
      <c r="C231" s="70">
        <v>655.67305524804897</v>
      </c>
      <c r="D231" s="70">
        <v>40.8797221833319</v>
      </c>
      <c r="E231" s="70">
        <v>351.309721963296</v>
      </c>
      <c r="F231" s="70">
        <v>10.85555555</v>
      </c>
      <c r="G231" s="70">
        <v>288.03972133330598</v>
      </c>
      <c r="H231" s="70">
        <v>-50.792222850000897</v>
      </c>
      <c r="I231" s="70">
        <v>15.987222149999999</v>
      </c>
      <c r="K231" s="70">
        <f>SUM(TableCategories[[#This Row],[Commercial Reliability]:[Unspecified]])</f>
        <v>2152.2460851101127</v>
      </c>
    </row>
    <row r="232" spans="1:11">
      <c r="A232" s="56" t="s">
        <v>236</v>
      </c>
      <c r="B232" s="70">
        <v>361.17805546595002</v>
      </c>
      <c r="C232" s="70">
        <v>1718.24638794408</v>
      </c>
      <c r="D232" s="70">
        <v>227.424722132791</v>
      </c>
      <c r="E232" s="70">
        <v>128.481110933304</v>
      </c>
      <c r="F232" s="70">
        <v>9.1019443833333291</v>
      </c>
      <c r="G232" s="70">
        <v>469.70194368321802</v>
      </c>
      <c r="H232" s="70">
        <v>-23.0845143444445</v>
      </c>
      <c r="I232" s="70">
        <v>3.1116666500000001</v>
      </c>
      <c r="K232" s="70">
        <f>SUM(TableCategories[[#This Row],[Commercial Reliability]:[Unspecified]])</f>
        <v>2894.1613168482322</v>
      </c>
    </row>
    <row r="233" spans="1:11">
      <c r="A233" s="56" t="s">
        <v>237</v>
      </c>
      <c r="B233" s="70">
        <v>2965.86611071076</v>
      </c>
      <c r="C233" s="70">
        <v>991.84111098090204</v>
      </c>
      <c r="D233" s="70">
        <v>30.475277733314901</v>
      </c>
      <c r="E233" s="70">
        <v>164.12749994977199</v>
      </c>
      <c r="G233" s="70">
        <v>922.54555363264501</v>
      </c>
      <c r="H233" s="70">
        <v>-280.63792814098099</v>
      </c>
      <c r="I233" s="70">
        <v>865.92488380646296</v>
      </c>
      <c r="J233" s="70">
        <v>72.070833199870094</v>
      </c>
      <c r="K233" s="70">
        <f>SUM(TableCategories[[#This Row],[Commercial Reliability]:[Unspecified]])</f>
        <v>5732.2133418727472</v>
      </c>
    </row>
    <row r="234" spans="1:11">
      <c r="A234" s="56" t="s">
        <v>573</v>
      </c>
      <c r="B234" s="70">
        <v>5210.5155549200599</v>
      </c>
      <c r="C234" s="70">
        <v>1045.28416645933</v>
      </c>
      <c r="D234" s="70">
        <v>32.322222199999999</v>
      </c>
      <c r="E234" s="70">
        <v>53.372777766568603</v>
      </c>
      <c r="F234" s="70">
        <v>3.1666666666666701</v>
      </c>
      <c r="G234" s="70">
        <v>34.777221949999998</v>
      </c>
      <c r="H234" s="70">
        <v>-343.72749871666701</v>
      </c>
      <c r="I234" s="70">
        <v>168.78777679999999</v>
      </c>
      <c r="K234" s="70">
        <f>SUM(TableCategories[[#This Row],[Commercial Reliability]:[Unspecified]])</f>
        <v>6204.4988880459587</v>
      </c>
    </row>
    <row r="235" spans="1:11">
      <c r="A235" s="56" t="s">
        <v>238</v>
      </c>
      <c r="B235" s="70">
        <v>2268.0544440838898</v>
      </c>
      <c r="C235" s="70">
        <v>1124.5013887134201</v>
      </c>
      <c r="D235" s="70">
        <v>70.924999949990195</v>
      </c>
      <c r="E235" s="70">
        <v>133.552222166533</v>
      </c>
      <c r="G235" s="70">
        <v>793.06110919960702</v>
      </c>
      <c r="H235" s="70">
        <v>-468.21416065</v>
      </c>
      <c r="I235" s="70">
        <v>1260.9977750999601</v>
      </c>
      <c r="J235" s="70">
        <v>9.4699999333333302</v>
      </c>
      <c r="K235" s="70">
        <f>SUM(TableCategories[[#This Row],[Commercial Reliability]:[Unspecified]])</f>
        <v>5192.3477784967326</v>
      </c>
    </row>
    <row r="236" spans="1:11">
      <c r="A236" s="56" t="s">
        <v>575</v>
      </c>
      <c r="B236" s="70">
        <v>4085.2944439112298</v>
      </c>
      <c r="C236" s="70">
        <v>1339.7438888114</v>
      </c>
      <c r="D236" s="70">
        <v>713.10499994087195</v>
      </c>
      <c r="E236" s="70">
        <v>161.010833316478</v>
      </c>
      <c r="G236" s="70">
        <v>71.119721900000002</v>
      </c>
      <c r="H236" s="70">
        <v>-81.653888116666593</v>
      </c>
      <c r="I236" s="70">
        <v>318.964443566667</v>
      </c>
      <c r="K236" s="70">
        <f>SUM(TableCategories[[#This Row],[Commercial Reliability]:[Unspecified]])</f>
        <v>6607.5844433299799</v>
      </c>
    </row>
    <row r="237" spans="1:11">
      <c r="A237" s="56" t="s">
        <v>239</v>
      </c>
      <c r="B237" s="70">
        <v>2000.9322218802199</v>
      </c>
      <c r="C237" s="70">
        <v>1206.7730554315399</v>
      </c>
      <c r="D237" s="70">
        <v>176.62288291248501</v>
      </c>
      <c r="E237" s="70">
        <v>192.689722149712</v>
      </c>
      <c r="G237" s="70">
        <v>931.51944228290904</v>
      </c>
      <c r="H237" s="70">
        <v>-588.61777365441799</v>
      </c>
      <c r="I237" s="70">
        <v>1447.00471986661</v>
      </c>
      <c r="J237" s="70">
        <v>4.8194444000000001</v>
      </c>
      <c r="K237" s="70">
        <f>SUM(TableCategories[[#This Row],[Commercial Reliability]:[Unspecified]])</f>
        <v>5371.7437152690582</v>
      </c>
    </row>
    <row r="238" spans="1:11">
      <c r="A238" s="56" t="s">
        <v>577</v>
      </c>
      <c r="B238" s="70">
        <v>3947.4772210750298</v>
      </c>
      <c r="C238" s="70">
        <v>372.14416568270002</v>
      </c>
      <c r="D238" s="70">
        <v>136.97944443319599</v>
      </c>
      <c r="E238" s="70">
        <v>419.65333328236301</v>
      </c>
      <c r="F238" s="70">
        <v>36.121388733333298</v>
      </c>
      <c r="G238" s="70">
        <v>43.888609383333304</v>
      </c>
      <c r="H238" s="70">
        <v>187.407493083334</v>
      </c>
      <c r="I238" s="70">
        <v>110.9347211</v>
      </c>
      <c r="K238" s="70">
        <f>SUM(TableCategories[[#This Row],[Commercial Reliability]:[Unspecified]])</f>
        <v>5254.6063767732894</v>
      </c>
    </row>
    <row r="239" spans="1:11">
      <c r="A239" s="56" t="s">
        <v>240</v>
      </c>
      <c r="B239" s="70">
        <v>2557.8669439594501</v>
      </c>
      <c r="C239" s="70">
        <v>1287.31805536415</v>
      </c>
      <c r="D239" s="70">
        <v>46.091944416643898</v>
      </c>
      <c r="E239" s="70">
        <v>222.65055551639699</v>
      </c>
      <c r="G239" s="70">
        <v>627.53166493321203</v>
      </c>
      <c r="H239" s="70">
        <v>-538.53500120497097</v>
      </c>
      <c r="I239" s="70">
        <v>1772.77160223694</v>
      </c>
      <c r="J239" s="70">
        <v>8.9672221333333297</v>
      </c>
      <c r="K239" s="70">
        <f>SUM(TableCategories[[#This Row],[Commercial Reliability]:[Unspecified]])</f>
        <v>5984.6629873551537</v>
      </c>
    </row>
    <row r="240" spans="1:11">
      <c r="A240" s="56" t="s">
        <v>241</v>
      </c>
      <c r="B240" s="70">
        <v>3997.60694372439</v>
      </c>
      <c r="C240" s="70">
        <v>555.11361104902403</v>
      </c>
      <c r="D240" s="70">
        <v>118.022777715093</v>
      </c>
      <c r="E240" s="70">
        <v>46.493611100000003</v>
      </c>
      <c r="G240" s="70">
        <v>1059.02083128297</v>
      </c>
      <c r="H240" s="70">
        <v>-140.08396935045201</v>
      </c>
      <c r="I240" s="70">
        <v>788.409721416563</v>
      </c>
      <c r="J240" s="70">
        <v>31.26361095</v>
      </c>
      <c r="K240" s="70">
        <f>SUM(TableCategories[[#This Row],[Commercial Reliability]:[Unspecified]])</f>
        <v>6455.8471378875875</v>
      </c>
    </row>
    <row r="241" spans="1:11">
      <c r="A241" s="56" t="s">
        <v>242</v>
      </c>
      <c r="B241" s="70">
        <v>2141.8888884866501</v>
      </c>
      <c r="C241" s="70">
        <v>2008.2049946776001</v>
      </c>
      <c r="D241" s="70">
        <v>146.618611033024</v>
      </c>
      <c r="E241" s="70">
        <v>220.273333281552</v>
      </c>
      <c r="F241" s="70">
        <v>8.8849999000000004</v>
      </c>
      <c r="G241" s="70">
        <v>322.45221781663901</v>
      </c>
      <c r="H241" s="70">
        <v>14.8613962833334</v>
      </c>
      <c r="I241" s="70">
        <v>355.726941683333</v>
      </c>
      <c r="J241" s="70">
        <v>2.5080555333333301</v>
      </c>
      <c r="K241" s="70">
        <f>SUM(TableCategories[[#This Row],[Commercial Reliability]:[Unspecified]])</f>
        <v>5221.4194386954659</v>
      </c>
    </row>
    <row r="242" spans="1:11">
      <c r="A242" s="56" t="s">
        <v>365</v>
      </c>
      <c r="B242" s="70">
        <v>1580.32111073333</v>
      </c>
      <c r="C242" s="70">
        <v>824.99916659999997</v>
      </c>
      <c r="E242" s="70">
        <v>1836.65916655</v>
      </c>
      <c r="G242" s="70">
        <v>338.09166636666703</v>
      </c>
      <c r="H242" s="70">
        <v>-366.07999969999997</v>
      </c>
      <c r="I242" s="70">
        <v>31.178333233333301</v>
      </c>
      <c r="K242" s="70">
        <f>SUM(TableCategories[[#This Row],[Commercial Reliability]:[Unspecified]])</f>
        <v>4245.1694437833303</v>
      </c>
    </row>
    <row r="243" spans="1:11">
      <c r="A243" s="56" t="s">
        <v>366</v>
      </c>
      <c r="B243" s="70">
        <v>85.901989907638793</v>
      </c>
      <c r="C243" s="70">
        <v>513.53305549975801</v>
      </c>
      <c r="F243" s="70">
        <v>0.28333333333333299</v>
      </c>
      <c r="H243" s="70">
        <v>-39.951098243055498</v>
      </c>
      <c r="I243" s="70">
        <v>111.863333133333</v>
      </c>
      <c r="K243" s="70">
        <f>SUM(TableCategories[[#This Row],[Commercial Reliability]:[Unspecified]])</f>
        <v>671.63061363100758</v>
      </c>
    </row>
    <row r="244" spans="1:11">
      <c r="A244" s="56" t="s">
        <v>367</v>
      </c>
      <c r="B244" s="70">
        <v>1727.17749871667</v>
      </c>
      <c r="C244" s="70">
        <v>614.34305553333297</v>
      </c>
      <c r="E244" s="70">
        <v>670.20555528333296</v>
      </c>
      <c r="G244" s="70">
        <v>91.604721383333299</v>
      </c>
      <c r="H244" s="70">
        <v>139.61123127954801</v>
      </c>
      <c r="I244" s="70">
        <v>7.6816666166666696</v>
      </c>
      <c r="K244" s="70">
        <f>SUM(TableCategories[[#This Row],[Commercial Reliability]:[Unspecified]])</f>
        <v>3250.6237288128841</v>
      </c>
    </row>
    <row r="245" spans="1:11">
      <c r="A245" s="56" t="s">
        <v>243</v>
      </c>
      <c r="B245" s="70">
        <v>653.21416478332696</v>
      </c>
      <c r="C245" s="70">
        <v>576.61999979999996</v>
      </c>
      <c r="E245" s="70">
        <v>63.069444316666697</v>
      </c>
      <c r="G245" s="70">
        <v>77.112633674108395</v>
      </c>
      <c r="H245" s="70">
        <v>338.66227000085598</v>
      </c>
      <c r="I245" s="70">
        <v>6.0863885666666704</v>
      </c>
      <c r="K245" s="70">
        <f>SUM(TableCategories[[#This Row],[Commercial Reliability]:[Unspecified]])</f>
        <v>1714.7649011416247</v>
      </c>
    </row>
    <row r="246" spans="1:11">
      <c r="A246" s="56" t="s">
        <v>244</v>
      </c>
      <c r="B246" s="70">
        <v>875.699164716665</v>
      </c>
      <c r="C246" s="70">
        <v>494.79722220000002</v>
      </c>
      <c r="E246" s="70">
        <v>264.71333276666701</v>
      </c>
      <c r="F246" s="70">
        <v>0.46944443333333302</v>
      </c>
      <c r="G246" s="70">
        <v>456.87194269999497</v>
      </c>
      <c r="H246" s="70">
        <v>138.89415500525601</v>
      </c>
      <c r="I246" s="70">
        <v>36.949444149999998</v>
      </c>
      <c r="K246" s="70">
        <f>SUM(TableCategories[[#This Row],[Commercial Reliability]:[Unspecified]])</f>
        <v>2268.3947059719162</v>
      </c>
    </row>
    <row r="247" spans="1:11">
      <c r="A247" s="19" t="s">
        <v>515</v>
      </c>
      <c r="B247" s="70">
        <v>1042.5547215333199</v>
      </c>
      <c r="C247" s="70">
        <v>708.01881232303197</v>
      </c>
      <c r="D247" s="70">
        <v>4.6052777499999999</v>
      </c>
      <c r="E247" s="70">
        <v>166.81861091666701</v>
      </c>
      <c r="G247" s="70">
        <v>323.82666568333298</v>
      </c>
      <c r="H247" s="70">
        <v>129.29722018333399</v>
      </c>
      <c r="I247" s="70">
        <v>325.06727718193099</v>
      </c>
      <c r="J247" s="70">
        <v>0</v>
      </c>
      <c r="K247" s="70">
        <f>SUM(TableCategories[[#This Row],[Commercial Reliability]:[Unspecified]])</f>
        <v>2700.1885855716168</v>
      </c>
    </row>
    <row r="248" spans="1:11">
      <c r="A248" s="56" t="s">
        <v>245</v>
      </c>
      <c r="B248" s="70">
        <v>449.80083276666699</v>
      </c>
      <c r="C248" s="70">
        <v>499.00222216666702</v>
      </c>
      <c r="D248" s="70">
        <v>3.0805555500000001</v>
      </c>
      <c r="E248" s="70">
        <v>29.0444444333333</v>
      </c>
      <c r="G248" s="70">
        <v>119.39222185</v>
      </c>
      <c r="H248" s="70">
        <v>112.175557283334</v>
      </c>
      <c r="I248" s="70">
        <v>31.0222221</v>
      </c>
      <c r="J248" s="70">
        <v>0</v>
      </c>
      <c r="K248" s="70">
        <f>SUM(TableCategories[[#This Row],[Commercial Reliability]:[Unspecified]])</f>
        <v>1243.5180561500013</v>
      </c>
    </row>
    <row r="249" spans="1:11">
      <c r="A249" s="56" t="s">
        <v>246</v>
      </c>
      <c r="B249" s="70">
        <v>1367.2619442144601</v>
      </c>
      <c r="C249" s="70">
        <v>465.630277133047</v>
      </c>
      <c r="D249" s="70">
        <v>1.4986111</v>
      </c>
      <c r="E249" s="70">
        <v>0.57916666666666705</v>
      </c>
      <c r="F249" s="70">
        <v>2.70055553333333</v>
      </c>
      <c r="G249" s="70">
        <v>191.826109816632</v>
      </c>
      <c r="H249" s="70">
        <v>-35.673538176290599</v>
      </c>
      <c r="I249" s="70">
        <v>208.75332689999999</v>
      </c>
      <c r="J249" s="70">
        <v>0.24194443333333299</v>
      </c>
      <c r="K249" s="70">
        <f>SUM(TableCategories[[#This Row],[Commercial Reliability]:[Unspecified]])</f>
        <v>2202.8183976211817</v>
      </c>
    </row>
    <row r="250" spans="1:11">
      <c r="A250" s="19" t="s">
        <v>368</v>
      </c>
      <c r="B250" s="70">
        <v>4289.8502760333304</v>
      </c>
      <c r="C250" s="70">
        <v>122.981944433333</v>
      </c>
      <c r="E250" s="70">
        <v>100.29305555000001</v>
      </c>
      <c r="H250" s="70">
        <v>-50.321388483333401</v>
      </c>
      <c r="I250" s="70">
        <v>149.82416649999999</v>
      </c>
      <c r="J250" s="70">
        <v>0.54027776666666705</v>
      </c>
      <c r="K250" s="70">
        <f>SUM(TableCategories[[#This Row],[Commercial Reliability]:[Unspecified]])</f>
        <v>4613.1683317999968</v>
      </c>
    </row>
    <row r="251" spans="1:11">
      <c r="A251" s="19" t="s">
        <v>247</v>
      </c>
      <c r="C251" s="70">
        <v>389.34638898331201</v>
      </c>
      <c r="G251" s="70">
        <v>0.28944443333333297</v>
      </c>
      <c r="H251" s="70">
        <v>-6.8482974125</v>
      </c>
      <c r="I251" s="70">
        <v>10.233842694192999</v>
      </c>
      <c r="K251" s="70">
        <f>SUM(TableCategories[[#This Row],[Commercial Reliability]:[Unspecified]])</f>
        <v>393.02137869833837</v>
      </c>
    </row>
    <row r="252" spans="1:11">
      <c r="A252" s="56" t="s">
        <v>248</v>
      </c>
      <c r="B252" s="70">
        <v>1094.9414881437499</v>
      </c>
      <c r="C252" s="70">
        <v>262.93888885000001</v>
      </c>
      <c r="G252" s="70">
        <v>0.32277781666666699</v>
      </c>
      <c r="H252" s="70">
        <v>-6.04930515416667</v>
      </c>
      <c r="I252" s="70">
        <v>48.007399973871998</v>
      </c>
      <c r="K252" s="70">
        <f>SUM(TableCategories[[#This Row],[Commercial Reliability]:[Unspecified]])</f>
        <v>1400.161249630122</v>
      </c>
    </row>
    <row r="253" spans="1:11">
      <c r="A253" s="19" t="s">
        <v>249</v>
      </c>
      <c r="B253" s="70">
        <v>782.79499986666701</v>
      </c>
      <c r="C253" s="70">
        <v>250.18749996666401</v>
      </c>
      <c r="D253" s="70">
        <v>1.29666666666667</v>
      </c>
      <c r="G253" s="70">
        <v>810.57749941663599</v>
      </c>
      <c r="H253" s="70">
        <v>-307.93306044048398</v>
      </c>
      <c r="I253" s="70">
        <v>666.28305529999398</v>
      </c>
      <c r="K253" s="70">
        <f>SUM(TableCategories[[#This Row],[Commercial Reliability]:[Unspecified]])</f>
        <v>2203.2066607761435</v>
      </c>
    </row>
    <row r="254" spans="1:11">
      <c r="A254" s="19" t="s">
        <v>250</v>
      </c>
      <c r="B254" s="70">
        <v>225.797395704167</v>
      </c>
      <c r="C254" s="70">
        <v>293.57249993332903</v>
      </c>
      <c r="H254" s="70">
        <v>-2.1160396291666599</v>
      </c>
      <c r="I254" s="70">
        <v>21.512352269035802</v>
      </c>
      <c r="K254" s="70">
        <f>SUM(TableCategories[[#This Row],[Commercial Reliability]:[Unspecified]])</f>
        <v>538.76620827736519</v>
      </c>
    </row>
    <row r="255" spans="1:11">
      <c r="A255" s="19" t="s">
        <v>251</v>
      </c>
      <c r="B255" s="70">
        <v>1700.9574995666701</v>
      </c>
      <c r="C255" s="70">
        <v>802.02061058935305</v>
      </c>
      <c r="D255" s="70">
        <v>144.879166133333</v>
      </c>
      <c r="G255" s="70">
        <v>228.07916650000001</v>
      </c>
      <c r="H255" s="70">
        <v>-164.43700623752201</v>
      </c>
      <c r="I255" s="70">
        <v>342.306386766667</v>
      </c>
      <c r="K255" s="70">
        <f>SUM(TableCategories[[#This Row],[Commercial Reliability]:[Unspecified]])</f>
        <v>3053.8058233185011</v>
      </c>
    </row>
    <row r="256" spans="1:11">
      <c r="A256" s="19" t="s">
        <v>252</v>
      </c>
      <c r="B256" s="70">
        <v>12.4333333333333</v>
      </c>
      <c r="C256" s="70">
        <v>482.324721716667</v>
      </c>
      <c r="D256" s="70">
        <v>1.1458333166666701</v>
      </c>
      <c r="E256" s="70">
        <v>0.43333333333333302</v>
      </c>
      <c r="F256" s="70">
        <v>28.108055449999998</v>
      </c>
      <c r="G256" s="70">
        <v>36.708888850000001</v>
      </c>
      <c r="H256" s="70">
        <v>-188.64897740569299</v>
      </c>
      <c r="I256" s="70">
        <v>238.15277246666599</v>
      </c>
      <c r="J256" s="70">
        <v>0</v>
      </c>
      <c r="K256" s="70">
        <f>SUM(TableCategories[[#This Row],[Commercial Reliability]:[Unspecified]])</f>
        <v>610.65796106097321</v>
      </c>
    </row>
    <row r="257" spans="1:11">
      <c r="A257" s="19" t="s">
        <v>253</v>
      </c>
      <c r="B257" s="70">
        <v>899.92083268333295</v>
      </c>
      <c r="C257" s="70">
        <v>578.42722160000005</v>
      </c>
      <c r="D257" s="70">
        <v>0.15638888333333301</v>
      </c>
      <c r="G257" s="70">
        <v>-0.89000008333333402</v>
      </c>
      <c r="H257" s="70">
        <v>-0.30055555</v>
      </c>
      <c r="I257" s="70">
        <v>-39.899999983333302</v>
      </c>
      <c r="K257" s="70">
        <f>SUM(TableCategories[[#This Row],[Commercial Reliability]:[Unspecified]])</f>
        <v>1437.41388755</v>
      </c>
    </row>
    <row r="258" spans="1:11">
      <c r="A258" s="19" t="s">
        <v>71</v>
      </c>
      <c r="B258" s="70">
        <v>3092.93043766048</v>
      </c>
      <c r="C258" s="70">
        <v>336.04861106303503</v>
      </c>
      <c r="D258" s="70">
        <v>262.40638884928802</v>
      </c>
      <c r="G258" s="70">
        <v>6.4105555166666699</v>
      </c>
      <c r="I258" s="70">
        <v>679.89305549231995</v>
      </c>
      <c r="K258" s="70">
        <f>SUM(TableCategories[[#This Row],[Commercial Reliability]:[Unspecified]])</f>
        <v>4377.6890485817894</v>
      </c>
    </row>
    <row r="259" spans="1:11">
      <c r="A259" s="19" t="s">
        <v>72</v>
      </c>
      <c r="B259" s="70">
        <v>3843.6896276462498</v>
      </c>
      <c r="C259" s="70">
        <v>441.09499993028197</v>
      </c>
      <c r="D259" s="70">
        <v>64.766666633285794</v>
      </c>
      <c r="G259" s="70">
        <v>11.093888866666701</v>
      </c>
      <c r="I259" s="70">
        <v>16.980555533333298</v>
      </c>
      <c r="K259" s="70">
        <f>SUM(TableCategories[[#This Row],[Commercial Reliability]:[Unspecified]])</f>
        <v>4377.6257386098177</v>
      </c>
    </row>
    <row r="260" spans="1:11">
      <c r="A260" s="19" t="s">
        <v>74</v>
      </c>
      <c r="B260" s="70">
        <v>70.532221550000003</v>
      </c>
      <c r="C260" s="70">
        <v>1507.4222208425199</v>
      </c>
      <c r="D260" s="70">
        <v>167.73166616647001</v>
      </c>
      <c r="E260" s="70">
        <v>260.468055516231</v>
      </c>
      <c r="F260" s="70">
        <v>143.15678476175799</v>
      </c>
      <c r="G260" s="70">
        <v>256.073331249967</v>
      </c>
      <c r="H260" s="70">
        <v>374.359108789007</v>
      </c>
      <c r="I260" s="70">
        <v>1042.7393305738501</v>
      </c>
      <c r="J260" s="70">
        <v>6.1730555333333301</v>
      </c>
      <c r="K260" s="70">
        <f>SUM(TableCategories[[#This Row],[Commercial Reliability]:[Unspecified]])</f>
        <v>3828.6557749831368</v>
      </c>
    </row>
    <row r="261" spans="1:11">
      <c r="A261" s="19" t="s">
        <v>75</v>
      </c>
      <c r="B261" s="70">
        <v>405.859444265072</v>
      </c>
      <c r="C261" s="70">
        <v>589.54861019699001</v>
      </c>
      <c r="D261" s="70">
        <v>353.63583266659498</v>
      </c>
      <c r="E261" s="70">
        <v>552.79027772405902</v>
      </c>
      <c r="F261" s="70">
        <v>181.43833093333001</v>
      </c>
      <c r="G261" s="70">
        <v>224.10083208331201</v>
      </c>
      <c r="H261" s="70">
        <v>155.13052386666499</v>
      </c>
      <c r="I261" s="70">
        <v>1043.1341565832699</v>
      </c>
      <c r="J261" s="70">
        <v>4.0866666499999997</v>
      </c>
      <c r="K261" s="70">
        <f>SUM(TableCategories[[#This Row],[Commercial Reliability]:[Unspecified]])</f>
        <v>3509.7246749692931</v>
      </c>
    </row>
    <row r="262" spans="1:11">
      <c r="A262" s="56" t="s">
        <v>76</v>
      </c>
      <c r="B262" s="70">
        <v>375.61611092525499</v>
      </c>
      <c r="C262" s="70">
        <v>638.50166572986404</v>
      </c>
      <c r="D262" s="70">
        <v>324.39611044956598</v>
      </c>
      <c r="E262" s="70">
        <v>558.97194439086502</v>
      </c>
      <c r="F262" s="70">
        <v>202.49527501666401</v>
      </c>
      <c r="G262" s="70">
        <v>229.88944323330199</v>
      </c>
      <c r="H262" s="70">
        <v>152.04664151666501</v>
      </c>
      <c r="I262" s="70">
        <v>1091.15082313325</v>
      </c>
      <c r="J262" s="70">
        <v>2.83416663333333</v>
      </c>
      <c r="K262" s="70">
        <f>SUM(TableCategories[[#This Row],[Commercial Reliability]:[Unspecified]])</f>
        <v>3575.902181028765</v>
      </c>
    </row>
    <row r="263" spans="1:11">
      <c r="A263" s="56" t="s">
        <v>77</v>
      </c>
      <c r="B263" s="70">
        <v>566.87111091963197</v>
      </c>
      <c r="C263" s="70">
        <v>644.59416602889303</v>
      </c>
      <c r="D263" s="70">
        <v>130.37888858325701</v>
      </c>
      <c r="E263" s="70">
        <v>575.54583326049703</v>
      </c>
      <c r="F263" s="70">
        <v>130.859720316666</v>
      </c>
      <c r="G263" s="70">
        <v>243.417776616634</v>
      </c>
      <c r="H263" s="70">
        <v>429.23995726666698</v>
      </c>
      <c r="I263" s="70">
        <v>745.92610561656295</v>
      </c>
      <c r="J263" s="70">
        <v>2.2599999666666699</v>
      </c>
      <c r="K263" s="70">
        <f>SUM(TableCategories[[#This Row],[Commercial Reliability]:[Unspecified]])</f>
        <v>3469.0935585754755</v>
      </c>
    </row>
    <row r="264" spans="1:11">
      <c r="A264" s="56" t="s">
        <v>78</v>
      </c>
      <c r="B264" s="70">
        <v>377.68833258323701</v>
      </c>
      <c r="C264" s="70">
        <v>658.291388199209</v>
      </c>
      <c r="D264" s="70">
        <v>138.37027723326699</v>
      </c>
      <c r="E264" s="70">
        <v>231.83527774975801</v>
      </c>
      <c r="F264" s="70">
        <v>74.415554066666701</v>
      </c>
      <c r="G264" s="70">
        <v>299.18749778330698</v>
      </c>
      <c r="H264" s="70">
        <v>382.74767772771997</v>
      </c>
      <c r="I264" s="70">
        <v>1212.9316581164301</v>
      </c>
      <c r="J264" s="70">
        <v>9.0022221333333405</v>
      </c>
      <c r="K264" s="70">
        <f>SUM(TableCategories[[#This Row],[Commercial Reliability]:[Unspecified]])</f>
        <v>3384.4698855929287</v>
      </c>
    </row>
    <row r="265" spans="1:11">
      <c r="A265" s="56" t="s">
        <v>254</v>
      </c>
      <c r="B265" s="70">
        <v>6489.2339623498001</v>
      </c>
      <c r="C265" s="70">
        <v>507.515277749012</v>
      </c>
      <c r="G265" s="70">
        <v>0.43527776666666701</v>
      </c>
      <c r="H265" s="70">
        <v>2.1944350000000001E-2</v>
      </c>
      <c r="K265" s="70">
        <f>SUM(TableCategories[[#This Row],[Commercial Reliability]:[Unspecified]])</f>
        <v>6997.2064622154785</v>
      </c>
    </row>
    <row r="266" spans="1:11">
      <c r="A266" s="56" t="s">
        <v>255</v>
      </c>
      <c r="B266" s="70">
        <v>1471.6467555225599</v>
      </c>
      <c r="C266" s="70">
        <v>134.04249963331799</v>
      </c>
      <c r="D266" s="70">
        <v>127.440277633172</v>
      </c>
      <c r="E266" s="70">
        <v>27.305555549974901</v>
      </c>
      <c r="G266" s="70">
        <v>34.629444183333298</v>
      </c>
      <c r="H266" s="70">
        <v>-171.66472988375</v>
      </c>
      <c r="I266" s="70">
        <v>655.88888643325299</v>
      </c>
      <c r="J266" s="70">
        <v>2.56666666666667</v>
      </c>
      <c r="K266" s="70">
        <f>SUM(TableCategories[[#This Row],[Commercial Reliability]:[Unspecified]])</f>
        <v>2281.8553557385276</v>
      </c>
    </row>
    <row r="267" spans="1:11">
      <c r="A267" s="56" t="s">
        <v>256</v>
      </c>
      <c r="B267" s="70">
        <v>1585.4694443429701</v>
      </c>
      <c r="C267" s="70">
        <v>236.059999616407</v>
      </c>
      <c r="D267" s="70">
        <v>144.617499883059</v>
      </c>
      <c r="E267" s="70">
        <v>19.4666666666472</v>
      </c>
      <c r="G267" s="70">
        <v>65.644999633333299</v>
      </c>
      <c r="H267" s="70">
        <v>-93.4104731061053</v>
      </c>
      <c r="I267" s="70">
        <v>503.65749756663899</v>
      </c>
      <c r="J267" s="70">
        <v>3.1</v>
      </c>
      <c r="K267" s="70">
        <f>SUM(TableCategories[[#This Row],[Commercial Reliability]:[Unspecified]])</f>
        <v>2464.60563460295</v>
      </c>
    </row>
    <row r="268" spans="1:11">
      <c r="A268" s="56" t="s">
        <v>80</v>
      </c>
      <c r="B268" s="70">
        <v>1952.28270350051</v>
      </c>
      <c r="C268" s="70">
        <v>86.5569442833213</v>
      </c>
      <c r="D268" s="70">
        <v>3.0902777499999998</v>
      </c>
      <c r="E268" s="70">
        <v>50.606944433301898</v>
      </c>
      <c r="G268" s="70">
        <v>25.884999949976901</v>
      </c>
      <c r="H268" s="70">
        <v>-74.286943412500094</v>
      </c>
      <c r="I268" s="70">
        <v>95.431666283305006</v>
      </c>
      <c r="K268" s="70">
        <f>SUM(TableCategories[[#This Row],[Commercial Reliability]:[Unspecified]])</f>
        <v>2139.5665927879154</v>
      </c>
    </row>
    <row r="269" spans="1:11">
      <c r="A269" s="56" t="s">
        <v>1090</v>
      </c>
      <c r="B269" s="70">
        <v>-0.13135416666666699</v>
      </c>
      <c r="C269" s="70">
        <v>59.679166549981097</v>
      </c>
      <c r="D269" s="70">
        <v>124.245833299853</v>
      </c>
      <c r="G269" s="70">
        <v>42.826388799962203</v>
      </c>
      <c r="I269" s="70">
        <v>0.96527776666666698</v>
      </c>
      <c r="K269" s="70">
        <f>SUM(TableCategories[[#This Row],[Commercial Reliability]:[Unspecified]])</f>
        <v>227.58531224979632</v>
      </c>
    </row>
    <row r="270" spans="1:11">
      <c r="A270" s="56" t="s">
        <v>1092</v>
      </c>
      <c r="C270" s="70">
        <v>328.37916659930102</v>
      </c>
      <c r="D270" s="70">
        <v>81.356944416605302</v>
      </c>
      <c r="G270" s="70">
        <v>3.02499996666667</v>
      </c>
      <c r="J270" s="70">
        <v>80.968055549919001</v>
      </c>
      <c r="K270" s="70">
        <f>SUM(TableCategories[[#This Row],[Commercial Reliability]:[Unspecified]])</f>
        <v>493.72916653249194</v>
      </c>
    </row>
    <row r="271" spans="1:11">
      <c r="A271" s="56" t="s">
        <v>1094</v>
      </c>
      <c r="B271" s="70">
        <v>194.853155676022</v>
      </c>
      <c r="C271" s="70">
        <v>10.18249995</v>
      </c>
      <c r="D271" s="70">
        <v>97.737499966610301</v>
      </c>
      <c r="F271" s="70">
        <v>111.40416664967201</v>
      </c>
      <c r="G271" s="70">
        <v>16.5527777</v>
      </c>
      <c r="J271" s="70">
        <v>265.82833326673898</v>
      </c>
      <c r="K271" s="70">
        <f>SUM(TableCategories[[#This Row],[Commercial Reliability]:[Unspecified]])</f>
        <v>696.55843320904319</v>
      </c>
    </row>
    <row r="272" spans="1:11">
      <c r="A272" s="56" t="s">
        <v>1096</v>
      </c>
      <c r="B272" s="70">
        <v>209.018487646441</v>
      </c>
      <c r="C272" s="70">
        <v>108.49027774981499</v>
      </c>
      <c r="D272" s="70">
        <v>49.527777749970703</v>
      </c>
      <c r="G272" s="70">
        <v>11.8152777333333</v>
      </c>
      <c r="K272" s="70">
        <f>SUM(TableCategories[[#This Row],[Commercial Reliability]:[Unspecified]])</f>
        <v>378.85182087955997</v>
      </c>
    </row>
    <row r="273" spans="1:11">
      <c r="A273" s="56" t="s">
        <v>82</v>
      </c>
      <c r="B273" s="70">
        <v>2659.8955436590099</v>
      </c>
      <c r="C273" s="70">
        <v>530.14222209489105</v>
      </c>
      <c r="D273" s="70">
        <v>0.41666665000000003</v>
      </c>
      <c r="E273" s="70">
        <v>2.5111110999999999</v>
      </c>
      <c r="G273" s="70">
        <v>68.621388866666706</v>
      </c>
      <c r="I273" s="70">
        <v>287.47444428308199</v>
      </c>
      <c r="K273" s="70">
        <f>SUM(TableCategories[[#This Row],[Commercial Reliability]:[Unspecified]])</f>
        <v>3549.0613766536499</v>
      </c>
    </row>
    <row r="274" spans="1:11">
      <c r="A274" s="56" t="s">
        <v>326</v>
      </c>
      <c r="B274" s="70">
        <v>4249.9333328107195</v>
      </c>
      <c r="C274" s="70">
        <v>529.76414430357795</v>
      </c>
      <c r="D274" s="70">
        <v>66.666666666616706</v>
      </c>
      <c r="E274" s="70">
        <v>104.39555549995001</v>
      </c>
      <c r="F274" s="70">
        <v>50.208754590261798</v>
      </c>
      <c r="G274" s="70">
        <v>48.512222149999999</v>
      </c>
      <c r="H274" s="70">
        <v>-31.943333400077801</v>
      </c>
      <c r="I274" s="70">
        <v>474.84777744997399</v>
      </c>
      <c r="J274" s="70">
        <v>5.5555000000000003E-4</v>
      </c>
      <c r="K274" s="70">
        <f>SUM(TableCategories[[#This Row],[Commercial Reliability]:[Unspecified]])</f>
        <v>5492.3856756210225</v>
      </c>
    </row>
    <row r="275" spans="1:11">
      <c r="A275" s="56" t="s">
        <v>83</v>
      </c>
      <c r="B275" s="70">
        <v>2119.9863872242699</v>
      </c>
      <c r="C275" s="70">
        <v>772.54666646559895</v>
      </c>
      <c r="D275" s="70">
        <v>532.31027761621704</v>
      </c>
      <c r="E275" s="70">
        <v>684.42693260391502</v>
      </c>
      <c r="F275" s="70">
        <v>392.98055553332898</v>
      </c>
      <c r="G275" s="70">
        <v>192.044170034111</v>
      </c>
      <c r="H275" s="70">
        <v>-76.735215242319896</v>
      </c>
      <c r="I275" s="70">
        <v>637.15414155684095</v>
      </c>
      <c r="K275" s="70">
        <f>SUM(TableCategories[[#This Row],[Commercial Reliability]:[Unspecified]])</f>
        <v>5254.713915791961</v>
      </c>
    </row>
    <row r="276" spans="1:11">
      <c r="A276" s="56" t="s">
        <v>84</v>
      </c>
      <c r="B276" s="70">
        <v>1932.37833230208</v>
      </c>
      <c r="C276" s="70">
        <v>922.72611094850595</v>
      </c>
      <c r="D276" s="70">
        <v>503.50916656624997</v>
      </c>
      <c r="E276" s="70">
        <v>809.42583286580395</v>
      </c>
      <c r="F276" s="70">
        <v>396.51194426666598</v>
      </c>
      <c r="G276" s="70">
        <v>219.978610849874</v>
      </c>
      <c r="H276" s="70">
        <v>-10.197022198085801</v>
      </c>
      <c r="I276" s="70">
        <v>456.98388817772201</v>
      </c>
      <c r="K276" s="70">
        <f>SUM(TableCategories[[#This Row],[Commercial Reliability]:[Unspecified]])</f>
        <v>5231.3168637788167</v>
      </c>
    </row>
    <row r="277" spans="1:11">
      <c r="A277" s="56" t="s">
        <v>85</v>
      </c>
      <c r="B277" s="70">
        <v>1159.2283328277599</v>
      </c>
      <c r="C277" s="70">
        <v>1030.78558993197</v>
      </c>
      <c r="D277" s="70">
        <v>434.64749984958502</v>
      </c>
      <c r="E277" s="70">
        <v>472.99166639964398</v>
      </c>
      <c r="F277" s="70">
        <v>120.031666599999</v>
      </c>
      <c r="G277" s="70">
        <v>604.05197863312503</v>
      </c>
      <c r="H277" s="70">
        <v>7.0585394617008301</v>
      </c>
      <c r="I277" s="70">
        <v>1240.5017008662101</v>
      </c>
      <c r="K277" s="70">
        <f>SUM(TableCategories[[#This Row],[Commercial Reliability]:[Unspecified]])</f>
        <v>5069.2969745699947</v>
      </c>
    </row>
    <row r="278" spans="1:11">
      <c r="A278" s="56" t="s">
        <v>86</v>
      </c>
      <c r="B278" s="70">
        <v>3826.32611049551</v>
      </c>
      <c r="C278" s="70">
        <v>428.19916644929799</v>
      </c>
      <c r="D278" s="70">
        <v>436.22527756634099</v>
      </c>
      <c r="E278" s="70">
        <v>592.58249964929098</v>
      </c>
      <c r="F278" s="70">
        <v>19.263055533333301</v>
      </c>
      <c r="G278" s="70">
        <v>33.486388849984998</v>
      </c>
      <c r="H278" s="70">
        <v>90.420276349999995</v>
      </c>
      <c r="I278" s="70">
        <v>397.466943899885</v>
      </c>
      <c r="J278" s="70">
        <v>40.231859883235998</v>
      </c>
      <c r="K278" s="70">
        <f>SUM(TableCategories[[#This Row],[Commercial Reliability]:[Unspecified]])</f>
        <v>5864.2015786768798</v>
      </c>
    </row>
    <row r="279" spans="1:11">
      <c r="A279" s="56" t="s">
        <v>87</v>
      </c>
      <c r="B279" s="70">
        <v>6475.2563886120797</v>
      </c>
      <c r="C279" s="70">
        <v>476.76944438253201</v>
      </c>
      <c r="D279" s="70">
        <v>210.07666663324301</v>
      </c>
      <c r="E279" s="70">
        <v>31.127777766650301</v>
      </c>
      <c r="G279" s="70">
        <v>69.966111083325501</v>
      </c>
      <c r="H279" s="70">
        <v>-11.586389816666699</v>
      </c>
      <c r="I279" s="70">
        <v>231.75305546666701</v>
      </c>
      <c r="K279" s="70">
        <f>SUM(TableCategories[[#This Row],[Commercial Reliability]:[Unspecified]])</f>
        <v>7483.3630541278317</v>
      </c>
    </row>
    <row r="280" spans="1:11">
      <c r="A280" s="56" t="s">
        <v>327</v>
      </c>
      <c r="B280" s="70">
        <v>4554.0049989011704</v>
      </c>
      <c r="C280" s="70">
        <v>234.49749989885399</v>
      </c>
      <c r="D280" s="70">
        <v>36.6058333</v>
      </c>
      <c r="E280" s="70">
        <v>223.17805539888201</v>
      </c>
      <c r="F280" s="70">
        <v>14.754444433333299</v>
      </c>
      <c r="G280" s="70">
        <v>65.242777649994594</v>
      </c>
      <c r="H280" s="70">
        <v>66.688717227211797</v>
      </c>
      <c r="I280" s="70">
        <v>334.48899860953497</v>
      </c>
      <c r="K280" s="70">
        <f>SUM(TableCategories[[#This Row],[Commercial Reliability]:[Unspecified]])</f>
        <v>5529.4613254189808</v>
      </c>
    </row>
    <row r="281" spans="1:11">
      <c r="A281" s="56" t="s">
        <v>88</v>
      </c>
      <c r="B281" s="70">
        <v>4383.6480544701099</v>
      </c>
      <c r="C281" s="70">
        <v>243.49462801831001</v>
      </c>
      <c r="D281" s="70">
        <v>5.80611106666667</v>
      </c>
      <c r="E281" s="70">
        <v>135.586099809751</v>
      </c>
      <c r="F281" s="70">
        <v>75.1277777166449</v>
      </c>
      <c r="G281" s="70">
        <v>119.21333314997899</v>
      </c>
      <c r="H281" s="70">
        <v>29.1599983165748</v>
      </c>
      <c r="I281" s="70">
        <v>146.34887581653899</v>
      </c>
      <c r="J281" s="70">
        <v>17.497255109612102</v>
      </c>
      <c r="K281" s="70">
        <f>SUM(TableCategories[[#This Row],[Commercial Reliability]:[Unspecified]])</f>
        <v>5155.8821334741888</v>
      </c>
    </row>
    <row r="282" spans="1:11">
      <c r="A282" s="56" t="s">
        <v>257</v>
      </c>
      <c r="B282" s="70">
        <v>3094.8444443610201</v>
      </c>
      <c r="C282" s="70">
        <v>676.22666659839297</v>
      </c>
      <c r="D282" s="70">
        <v>209.481944416625</v>
      </c>
      <c r="E282" s="70">
        <v>171.07305554977299</v>
      </c>
      <c r="F282" s="70">
        <v>86.073333300000002</v>
      </c>
      <c r="G282" s="70">
        <v>1390.7499997498601</v>
      </c>
      <c r="H282" s="70">
        <v>-159.90527798333301</v>
      </c>
      <c r="I282" s="70">
        <v>67.826666666563199</v>
      </c>
      <c r="K282" s="70">
        <f>SUM(TableCategories[[#This Row],[Commercial Reliability]:[Unspecified]])</f>
        <v>5536.3708326589012</v>
      </c>
    </row>
    <row r="283" spans="1:11">
      <c r="A283" s="56" t="s">
        <v>258</v>
      </c>
      <c r="B283" s="70">
        <v>2019.0719440783801</v>
      </c>
      <c r="C283" s="70">
        <v>2291.7794440728899</v>
      </c>
      <c r="D283" s="70">
        <v>347.45222216588598</v>
      </c>
      <c r="E283" s="70">
        <v>372.68222188303002</v>
      </c>
      <c r="F283" s="70">
        <v>48.725833199970303</v>
      </c>
      <c r="G283" s="70">
        <v>888.23638796562295</v>
      </c>
      <c r="H283" s="70">
        <v>-148.82555535</v>
      </c>
      <c r="I283" s="70">
        <v>544.92360981653405</v>
      </c>
      <c r="K283" s="70">
        <f>SUM(TableCategories[[#This Row],[Commercial Reliability]:[Unspecified]])</f>
        <v>6364.0461078323133</v>
      </c>
    </row>
    <row r="284" spans="1:11">
      <c r="A284" s="56" t="s">
        <v>259</v>
      </c>
      <c r="B284" s="70">
        <v>3181.0586108412599</v>
      </c>
      <c r="C284" s="70">
        <v>880.38237328411606</v>
      </c>
      <c r="D284" s="70">
        <v>23.576388883333301</v>
      </c>
      <c r="E284" s="70">
        <v>617.10861104802905</v>
      </c>
      <c r="F284" s="70">
        <v>23.999999999976001</v>
      </c>
      <c r="G284" s="70">
        <v>1597.0736105817</v>
      </c>
      <c r="H284" s="70">
        <v>-61.353888766666699</v>
      </c>
      <c r="I284" s="70">
        <v>115.44527755</v>
      </c>
      <c r="J284" s="70">
        <v>8.3333333333333301E-2</v>
      </c>
      <c r="K284" s="70">
        <f>SUM(TableCategories[[#This Row],[Commercial Reliability]:[Unspecified]])</f>
        <v>6377.3743167550811</v>
      </c>
    </row>
    <row r="285" spans="1:11">
      <c r="A285" s="56" t="s">
        <v>260</v>
      </c>
      <c r="B285" s="70">
        <v>5305.0166664450098</v>
      </c>
      <c r="C285" s="70">
        <v>893.07916659841896</v>
      </c>
      <c r="E285" s="70">
        <v>194.46388886647799</v>
      </c>
      <c r="F285" s="70">
        <v>30.0444444333333</v>
      </c>
      <c r="G285" s="70">
        <v>926.58805543234598</v>
      </c>
      <c r="H285" s="70">
        <v>-18.204999983333298</v>
      </c>
      <c r="I285" s="70">
        <v>110.2399999</v>
      </c>
      <c r="K285" s="70">
        <f>SUM(TableCategories[[#This Row],[Commercial Reliability]:[Unspecified]])</f>
        <v>7441.227221692252</v>
      </c>
    </row>
    <row r="286" spans="1:11">
      <c r="A286" s="56" t="s">
        <v>261</v>
      </c>
      <c r="B286" s="70">
        <v>1850.5077775499601</v>
      </c>
      <c r="C286" s="70">
        <v>840.56388861540495</v>
      </c>
      <c r="D286" s="70">
        <v>54.254999983333299</v>
      </c>
      <c r="E286" s="70">
        <v>381.291110266533</v>
      </c>
      <c r="F286" s="70">
        <v>6.3761111000000001</v>
      </c>
      <c r="G286" s="70">
        <v>454.35666623327199</v>
      </c>
      <c r="H286" s="70">
        <v>28.410986705124198</v>
      </c>
      <c r="I286" s="70">
        <v>192.45277624997601</v>
      </c>
      <c r="K286" s="70">
        <f>SUM(TableCategories[[#This Row],[Commercial Reliability]:[Unspecified]])</f>
        <v>3808.2143167036033</v>
      </c>
    </row>
    <row r="287" spans="1:11">
      <c r="A287" s="56" t="s">
        <v>262</v>
      </c>
      <c r="B287" s="70">
        <v>1332.9296204387599</v>
      </c>
      <c r="C287" s="70">
        <v>1667.1880554658101</v>
      </c>
      <c r="D287" s="70">
        <v>262.30583326649401</v>
      </c>
      <c r="E287" s="70">
        <v>49.552777766578799</v>
      </c>
      <c r="F287" s="70">
        <v>24.527222200000001</v>
      </c>
      <c r="G287" s="70">
        <v>1150.7477773660501</v>
      </c>
      <c r="H287" s="70">
        <v>-166.66694431666701</v>
      </c>
      <c r="I287" s="70">
        <v>331.64361084977702</v>
      </c>
      <c r="J287" s="70">
        <v>8.3333333333333295E-4</v>
      </c>
      <c r="K287" s="70">
        <f>SUM(TableCategories[[#This Row],[Commercial Reliability]:[Unspecified]])</f>
        <v>4652.2287863701376</v>
      </c>
    </row>
    <row r="288" spans="1:11">
      <c r="A288" s="56" t="s">
        <v>263</v>
      </c>
      <c r="B288" s="70">
        <v>989.53027761975</v>
      </c>
      <c r="C288" s="70">
        <v>841.73111096546802</v>
      </c>
      <c r="D288" s="70">
        <v>257.60138883315102</v>
      </c>
      <c r="E288" s="70">
        <v>401.679721999685</v>
      </c>
      <c r="F288" s="70">
        <v>284.15583301666697</v>
      </c>
      <c r="G288" s="70">
        <v>822.93611061633499</v>
      </c>
      <c r="H288" s="70">
        <v>-21.275570082666398</v>
      </c>
      <c r="I288" s="70">
        <v>152.51083324992899</v>
      </c>
      <c r="K288" s="70">
        <f>SUM(TableCategories[[#This Row],[Commercial Reliability]:[Unspecified]])</f>
        <v>3728.8697062183187</v>
      </c>
    </row>
    <row r="289" spans="1:11">
      <c r="A289" s="56" t="s">
        <v>626</v>
      </c>
      <c r="B289" s="70">
        <v>1531.3378157781999</v>
      </c>
      <c r="C289" s="70">
        <v>754.90305513354497</v>
      </c>
      <c r="D289" s="70">
        <v>52.718333216651601</v>
      </c>
      <c r="E289" s="70">
        <v>300.99972221335599</v>
      </c>
      <c r="H289" s="70">
        <v>1.3961110999999999</v>
      </c>
      <c r="I289" s="70">
        <v>104.26972216666699</v>
      </c>
      <c r="K289" s="70">
        <f>SUM(TableCategories[[#This Row],[Commercial Reliability]:[Unspecified]])</f>
        <v>2745.6247596084195</v>
      </c>
    </row>
    <row r="290" spans="1:11">
      <c r="A290" s="56" t="s">
        <v>596</v>
      </c>
      <c r="B290" s="70">
        <v>1542.10944319445</v>
      </c>
      <c r="C290" s="70">
        <v>1577.34777771923</v>
      </c>
      <c r="D290" s="70">
        <v>94.334722133333301</v>
      </c>
      <c r="E290" s="70">
        <v>568.99972221325299</v>
      </c>
      <c r="H290" s="70">
        <v>-0.69166668333333303</v>
      </c>
      <c r="I290" s="70">
        <v>556.61916641417599</v>
      </c>
      <c r="K290" s="70">
        <f>SUM(TableCategories[[#This Row],[Commercial Reliability]:[Unspecified]])</f>
        <v>4338.7191649911083</v>
      </c>
    </row>
    <row r="291" spans="1:11">
      <c r="A291" s="56" t="s">
        <v>597</v>
      </c>
      <c r="B291" s="70">
        <v>1710.9607392</v>
      </c>
      <c r="C291" s="70">
        <v>1673.6124997026</v>
      </c>
      <c r="D291" s="70">
        <v>194.02046282222199</v>
      </c>
      <c r="E291" s="70">
        <v>1036.9830555440999</v>
      </c>
      <c r="H291" s="70">
        <v>-24.5538888666667</v>
      </c>
      <c r="I291" s="70">
        <v>24.07277775</v>
      </c>
      <c r="K291" s="70">
        <f>SUM(TableCategories[[#This Row],[Commercial Reliability]:[Unspecified]])</f>
        <v>4615.0956461522546</v>
      </c>
    </row>
    <row r="292" spans="1:11">
      <c r="A292" s="56" t="s">
        <v>90</v>
      </c>
      <c r="C292" s="70">
        <v>649.55638733282103</v>
      </c>
      <c r="D292" s="70">
        <v>3.2833333166666701</v>
      </c>
      <c r="G292" s="70">
        <v>20.322777716652901</v>
      </c>
      <c r="H292" s="70">
        <v>57.5587487208333</v>
      </c>
      <c r="I292" s="70">
        <v>160.834443749993</v>
      </c>
      <c r="K292" s="70">
        <f>SUM(TableCategories[[#This Row],[Commercial Reliability]:[Unspecified]])</f>
        <v>891.55569083696696</v>
      </c>
    </row>
    <row r="293" spans="1:11">
      <c r="A293" s="56" t="s">
        <v>91</v>
      </c>
      <c r="C293" s="70">
        <v>632.97507770402899</v>
      </c>
      <c r="D293" s="70">
        <v>1.7291666666666701</v>
      </c>
      <c r="G293" s="70">
        <v>23.752777716652801</v>
      </c>
      <c r="H293" s="70">
        <v>88.041109933333203</v>
      </c>
      <c r="I293" s="70">
        <v>150.828332499993</v>
      </c>
      <c r="K293" s="70">
        <f>SUM(TableCategories[[#This Row],[Commercial Reliability]:[Unspecified]])</f>
        <v>897.32646452067456</v>
      </c>
    </row>
    <row r="294" spans="1:11">
      <c r="A294" s="56" t="s">
        <v>92</v>
      </c>
      <c r="B294" s="70">
        <v>3826.2136106897001</v>
      </c>
      <c r="C294" s="70">
        <v>204.60805546640501</v>
      </c>
      <c r="D294" s="70">
        <v>9.7222216666666694E-2</v>
      </c>
      <c r="E294" s="70">
        <v>116.005555433317</v>
      </c>
      <c r="F294" s="70">
        <v>94.389444133332304</v>
      </c>
      <c r="G294" s="70">
        <v>1533.6037066210199</v>
      </c>
      <c r="H294" s="70">
        <v>200.56028448230299</v>
      </c>
      <c r="I294" s="70">
        <v>253.64852844785</v>
      </c>
      <c r="K294" s="70">
        <f>SUM(TableCategories[[#This Row],[Commercial Reliability]:[Unspecified]])</f>
        <v>6229.1264074905948</v>
      </c>
    </row>
    <row r="295" spans="1:11">
      <c r="A295" s="56" t="s">
        <v>93</v>
      </c>
      <c r="B295" s="70">
        <v>1829.42811936309</v>
      </c>
      <c r="C295" s="70">
        <v>284.20694431643398</v>
      </c>
      <c r="E295" s="70">
        <v>375.27333316655898</v>
      </c>
      <c r="F295" s="70">
        <v>66.071643968707505</v>
      </c>
      <c r="G295" s="70">
        <v>234.89053564472201</v>
      </c>
      <c r="H295" s="70">
        <v>251.26433719017101</v>
      </c>
      <c r="I295" s="70">
        <v>209.41294843461199</v>
      </c>
      <c r="J295" s="70">
        <v>8.3333333333333301E-2</v>
      </c>
      <c r="K295" s="70">
        <f>SUM(TableCategories[[#This Row],[Commercial Reliability]:[Unspecified]])</f>
        <v>3250.6311954176294</v>
      </c>
    </row>
    <row r="296" spans="1:11">
      <c r="A296" s="56" t="s">
        <v>94</v>
      </c>
      <c r="B296" s="70">
        <v>2015.9032344055399</v>
      </c>
      <c r="C296" s="70">
        <v>318.18277763306298</v>
      </c>
      <c r="E296" s="70">
        <v>160.24277764998001</v>
      </c>
      <c r="F296" s="70">
        <v>326.89799584072699</v>
      </c>
      <c r="G296" s="70">
        <v>452.163054666633</v>
      </c>
      <c r="H296" s="70">
        <v>294.123458934849</v>
      </c>
      <c r="I296" s="70">
        <v>502.38896976644401</v>
      </c>
      <c r="J296" s="70">
        <v>0.25</v>
      </c>
      <c r="K296" s="70">
        <f>SUM(TableCategories[[#This Row],[Commercial Reliability]:[Unspecified]])</f>
        <v>4070.1522688972359</v>
      </c>
    </row>
    <row r="297" spans="1:11">
      <c r="A297" s="56" t="s">
        <v>95</v>
      </c>
      <c r="B297" s="70">
        <v>873.78666643180998</v>
      </c>
      <c r="C297" s="70">
        <v>540.49388858306804</v>
      </c>
      <c r="E297" s="70">
        <v>439.931944033104</v>
      </c>
      <c r="F297" s="70">
        <v>181.10388876666701</v>
      </c>
      <c r="G297" s="70">
        <v>327.45861008330701</v>
      </c>
      <c r="H297" s="70">
        <v>131.665049367542</v>
      </c>
      <c r="I297" s="70">
        <v>730.64433672904397</v>
      </c>
      <c r="J297" s="70">
        <v>0.16666666666666699</v>
      </c>
      <c r="K297" s="70">
        <f>SUM(TableCategories[[#This Row],[Commercial Reliability]:[Unspecified]])</f>
        <v>3225.2510506612084</v>
      </c>
    </row>
    <row r="298" spans="1:11">
      <c r="A298" s="56" t="s">
        <v>96</v>
      </c>
      <c r="B298" s="70">
        <v>921.40857123862702</v>
      </c>
      <c r="C298" s="70">
        <v>983.67277738285702</v>
      </c>
      <c r="E298" s="70">
        <v>114.99611098328801</v>
      </c>
      <c r="F298" s="70">
        <v>86.298143252609506</v>
      </c>
      <c r="G298" s="70">
        <v>212.88540859560899</v>
      </c>
      <c r="H298" s="70">
        <v>284.83499903333302</v>
      </c>
      <c r="I298" s="70">
        <v>878.43770392280499</v>
      </c>
      <c r="K298" s="70">
        <f>SUM(TableCategories[[#This Row],[Commercial Reliability]:[Unspecified]])</f>
        <v>3482.5337144091291</v>
      </c>
    </row>
    <row r="299" spans="1:11">
      <c r="A299" s="56" t="s">
        <v>653</v>
      </c>
      <c r="B299" s="70">
        <v>4441.1116663078801</v>
      </c>
      <c r="C299" s="70">
        <v>128.24555554960901</v>
      </c>
      <c r="E299" s="70">
        <v>105.121111066667</v>
      </c>
      <c r="F299" s="70">
        <v>97.842222183333305</v>
      </c>
      <c r="G299" s="70">
        <v>330.529443849838</v>
      </c>
      <c r="H299" s="70">
        <v>127.298332733333</v>
      </c>
      <c r="I299" s="70">
        <v>373.29888849983701</v>
      </c>
      <c r="J299" s="70">
        <v>278.377777769923</v>
      </c>
      <c r="K299" s="70">
        <f>SUM(TableCategories[[#This Row],[Commercial Reliability]:[Unspecified]])</f>
        <v>5881.8249979604207</v>
      </c>
    </row>
    <row r="300" spans="1:11">
      <c r="A300" s="56" t="s">
        <v>650</v>
      </c>
      <c r="B300" s="70">
        <v>6808.8074996423302</v>
      </c>
      <c r="C300" s="70">
        <v>105.168888616629</v>
      </c>
      <c r="D300" s="70">
        <v>2.4111110999999998</v>
      </c>
      <c r="F300" s="70">
        <v>14.775</v>
      </c>
      <c r="G300" s="70">
        <v>416.24777593330998</v>
      </c>
      <c r="H300" s="70">
        <v>2.4666660500000002</v>
      </c>
      <c r="I300" s="70">
        <v>20.881557922932299</v>
      </c>
      <c r="K300" s="70">
        <f>SUM(TableCategories[[#This Row],[Commercial Reliability]:[Unspecified]])</f>
        <v>7370.758499265201</v>
      </c>
    </row>
    <row r="301" spans="1:11">
      <c r="A301" s="56" t="s">
        <v>651</v>
      </c>
      <c r="B301" s="70">
        <v>3400.3366081845402</v>
      </c>
      <c r="C301" s="70">
        <v>153.63583316656201</v>
      </c>
      <c r="D301" s="70">
        <v>14.35</v>
      </c>
      <c r="E301" s="70">
        <v>10.302777766666701</v>
      </c>
      <c r="F301" s="70">
        <v>25.4749999999745</v>
      </c>
      <c r="G301" s="70">
        <v>1450.5694400607699</v>
      </c>
      <c r="H301" s="70">
        <v>28.4408312444444</v>
      </c>
      <c r="I301" s="70">
        <v>35.874999872222197</v>
      </c>
      <c r="K301" s="70">
        <f>SUM(TableCategories[[#This Row],[Commercial Reliability]:[Unspecified]])</f>
        <v>5118.9854902951802</v>
      </c>
    </row>
    <row r="302" spans="1:11">
      <c r="A302" s="56" t="s">
        <v>652</v>
      </c>
      <c r="B302" s="70">
        <v>2746.6027774577601</v>
      </c>
      <c r="C302" s="70">
        <v>104.313888783265</v>
      </c>
      <c r="E302" s="70">
        <v>28.9666666333333</v>
      </c>
      <c r="F302" s="70">
        <v>5.8611110999999996</v>
      </c>
      <c r="G302" s="70">
        <v>1269.58055463243</v>
      </c>
      <c r="H302" s="70">
        <v>15.3805550666566</v>
      </c>
      <c r="I302" s="70">
        <v>5.75555548333333</v>
      </c>
      <c r="K302" s="70">
        <f>SUM(TableCategories[[#This Row],[Commercial Reliability]:[Unspecified]])</f>
        <v>4176.4611091567785</v>
      </c>
    </row>
    <row r="303" spans="1:11">
      <c r="A303" s="56" t="s">
        <v>97</v>
      </c>
      <c r="B303" s="70">
        <v>5740.9297611725997</v>
      </c>
      <c r="C303" s="70">
        <v>151.163888599823</v>
      </c>
      <c r="E303" s="70">
        <v>837.79443928323201</v>
      </c>
      <c r="F303" s="70">
        <v>31.252222199999999</v>
      </c>
      <c r="G303" s="70">
        <v>839.75076617429602</v>
      </c>
      <c r="H303" s="70">
        <v>-12.4633374333342</v>
      </c>
      <c r="I303" s="70">
        <v>153.65277703332899</v>
      </c>
      <c r="J303" s="70">
        <v>37.609444416666697</v>
      </c>
      <c r="K303" s="70">
        <f>SUM(TableCategories[[#This Row],[Commercial Reliability]:[Unspecified]])</f>
        <v>7779.6899614466111</v>
      </c>
    </row>
    <row r="304" spans="1:11">
      <c r="A304" s="56" t="s">
        <v>401</v>
      </c>
      <c r="B304" s="70">
        <v>4790.1966661924698</v>
      </c>
      <c r="C304" s="70">
        <v>257.62083329888799</v>
      </c>
      <c r="D304" s="70">
        <v>1.2369444333333299</v>
      </c>
      <c r="E304" s="70">
        <v>319.87194348280798</v>
      </c>
      <c r="F304" s="70">
        <v>0.85111110000000001</v>
      </c>
      <c r="G304" s="70">
        <v>242.45888793331099</v>
      </c>
      <c r="H304" s="70">
        <v>-238.07833101666699</v>
      </c>
      <c r="I304" s="70">
        <v>128.02866000309001</v>
      </c>
      <c r="K304" s="70">
        <f>SUM(TableCategories[[#This Row],[Commercial Reliability]:[Unspecified]])</f>
        <v>5502.186715427234</v>
      </c>
    </row>
    <row r="305" spans="1:11">
      <c r="A305" s="56" t="s">
        <v>402</v>
      </c>
      <c r="B305" s="70">
        <v>4535.0474993931803</v>
      </c>
      <c r="C305" s="70">
        <v>425.05749994971899</v>
      </c>
      <c r="D305" s="70">
        <v>1.3674999999999999</v>
      </c>
      <c r="E305" s="70">
        <v>245.440381677353</v>
      </c>
      <c r="F305" s="70">
        <v>181.774259785928</v>
      </c>
      <c r="G305" s="70">
        <v>320.507776749953</v>
      </c>
      <c r="H305" s="70">
        <v>24.414722016666701</v>
      </c>
      <c r="I305" s="70">
        <v>211.82944577439201</v>
      </c>
      <c r="K305" s="70">
        <f>SUM(TableCategories[[#This Row],[Commercial Reliability]:[Unspecified]])</f>
        <v>5945.4390853471932</v>
      </c>
    </row>
    <row r="306" spans="1:11">
      <c r="A306" s="56" t="s">
        <v>403</v>
      </c>
      <c r="B306" s="70">
        <v>2872.3797584010699</v>
      </c>
      <c r="C306" s="70">
        <v>454.85166654909398</v>
      </c>
      <c r="E306" s="70">
        <v>454.16249819995301</v>
      </c>
      <c r="F306" s="70">
        <v>10.714722200000001</v>
      </c>
      <c r="G306" s="70">
        <v>581.77777581652799</v>
      </c>
      <c r="H306" s="70">
        <v>-845.04416748283904</v>
      </c>
      <c r="I306" s="70">
        <v>260.51824753465098</v>
      </c>
      <c r="K306" s="70">
        <f>SUM(TableCategories[[#This Row],[Commercial Reliability]:[Unspecified]])</f>
        <v>3789.3605012184562</v>
      </c>
    </row>
    <row r="307" spans="1:11">
      <c r="A307" s="56" t="s">
        <v>404</v>
      </c>
      <c r="B307" s="70">
        <v>2202.5936084058899</v>
      </c>
      <c r="C307" s="70">
        <v>438.994166582388</v>
      </c>
      <c r="D307" s="70">
        <v>0.86777776666666695</v>
      </c>
      <c r="E307" s="70">
        <v>460.639998399717</v>
      </c>
      <c r="F307" s="70">
        <v>2.24305553333333</v>
      </c>
      <c r="G307" s="70">
        <v>402.97944286665899</v>
      </c>
      <c r="H307" s="70">
        <v>-455.76444466657398</v>
      </c>
      <c r="I307" s="70">
        <v>640.74365781748304</v>
      </c>
      <c r="K307" s="70">
        <f>SUM(TableCategories[[#This Row],[Commercial Reliability]:[Unspecified]])</f>
        <v>3693.2972627055633</v>
      </c>
    </row>
    <row r="308" spans="1:11">
      <c r="A308" s="56" t="s">
        <v>405</v>
      </c>
      <c r="B308" s="70">
        <v>1301.61416610836</v>
      </c>
      <c r="C308" s="70">
        <v>519.25166649829396</v>
      </c>
      <c r="E308" s="70">
        <v>415.09583159997698</v>
      </c>
      <c r="F308" s="70">
        <v>2.0233333333333299</v>
      </c>
      <c r="G308" s="70">
        <v>579.03833128325505</v>
      </c>
      <c r="H308" s="70">
        <v>-283.95444835000001</v>
      </c>
      <c r="I308" s="70">
        <v>298.40232904135701</v>
      </c>
      <c r="K308" s="70">
        <f>SUM(TableCategories[[#This Row],[Commercial Reliability]:[Unspecified]])</f>
        <v>2831.4712095145765</v>
      </c>
    </row>
    <row r="309" spans="1:11">
      <c r="A309" s="56" t="s">
        <v>406</v>
      </c>
      <c r="B309" s="70">
        <v>1333.36583278069</v>
      </c>
      <c r="C309" s="70">
        <v>354.83222213296</v>
      </c>
      <c r="D309" s="70">
        <v>16.004444433318302</v>
      </c>
      <c r="E309" s="70">
        <v>387.94749831661898</v>
      </c>
      <c r="F309" s="70">
        <v>11.1686110166667</v>
      </c>
      <c r="G309" s="70">
        <v>557.80833151663899</v>
      </c>
      <c r="H309" s="70">
        <v>-474.09916999997603</v>
      </c>
      <c r="I309" s="70">
        <v>172.08666598331499</v>
      </c>
      <c r="K309" s="70">
        <f>SUM(TableCategories[[#This Row],[Commercial Reliability]:[Unspecified]])</f>
        <v>2359.1144361802317</v>
      </c>
    </row>
    <row r="310" spans="1:11">
      <c r="A310" s="56" t="s">
        <v>407</v>
      </c>
      <c r="B310" s="70">
        <v>1781.4347213096801</v>
      </c>
      <c r="C310" s="70">
        <v>473.99666649949501</v>
      </c>
      <c r="D310" s="70">
        <v>17.768333316650299</v>
      </c>
      <c r="E310" s="70">
        <v>540.83555383314899</v>
      </c>
      <c r="G310" s="70">
        <v>497.404720166608</v>
      </c>
      <c r="H310" s="70">
        <v>-488.39861046659303</v>
      </c>
      <c r="I310" s="70">
        <v>226.847517055266</v>
      </c>
      <c r="J310" s="70">
        <v>8.3333333333333301E-2</v>
      </c>
      <c r="K310" s="70">
        <f>SUM(TableCategories[[#This Row],[Commercial Reliability]:[Unspecified]])</f>
        <v>3049.9722350475886</v>
      </c>
    </row>
    <row r="311" spans="1:11">
      <c r="A311" s="56" t="s">
        <v>98</v>
      </c>
      <c r="B311" s="70">
        <v>2583.3688386170202</v>
      </c>
      <c r="C311" s="70">
        <v>696.31180931848098</v>
      </c>
      <c r="D311" s="70">
        <v>1.11388888333333</v>
      </c>
      <c r="E311" s="70">
        <v>174.52166648316</v>
      </c>
      <c r="F311" s="70">
        <v>78.621388816631793</v>
      </c>
      <c r="G311" s="70">
        <v>707.96638724973002</v>
      </c>
      <c r="H311" s="70">
        <v>-222.17861619999999</v>
      </c>
      <c r="I311" s="70">
        <v>470.58205088525898</v>
      </c>
      <c r="J311" s="70">
        <v>1.0833333333333299</v>
      </c>
      <c r="K311" s="70">
        <f>SUM(TableCategories[[#This Row],[Commercial Reliability]:[Unspecified]])</f>
        <v>4491.3907473869485</v>
      </c>
    </row>
    <row r="312" spans="1:11">
      <c r="A312" s="56" t="s">
        <v>369</v>
      </c>
      <c r="B312" s="70">
        <v>2278.4624998239401</v>
      </c>
      <c r="C312" s="70">
        <v>169.829166583117</v>
      </c>
      <c r="D312" s="70">
        <v>0.47916666666666702</v>
      </c>
      <c r="E312" s="70">
        <v>572.83416369604197</v>
      </c>
      <c r="F312" s="70">
        <v>11.6374999</v>
      </c>
      <c r="G312" s="70">
        <v>342.40444118308397</v>
      </c>
      <c r="H312" s="70">
        <v>130.46666404999101</v>
      </c>
      <c r="I312" s="70">
        <v>86.973054816637699</v>
      </c>
      <c r="J312" s="70">
        <v>3.5361110999999998</v>
      </c>
      <c r="K312" s="70">
        <f>SUM(TableCategories[[#This Row],[Commercial Reliability]:[Unspecified]])</f>
        <v>3596.6227678194782</v>
      </c>
    </row>
    <row r="313" spans="1:11">
      <c r="A313" s="56" t="s">
        <v>101</v>
      </c>
      <c r="B313" s="70">
        <v>1651.24241026667</v>
      </c>
      <c r="C313" s="70">
        <v>346.992777715383</v>
      </c>
      <c r="D313" s="70">
        <v>29.675555466666701</v>
      </c>
      <c r="E313" s="70">
        <v>65.2313887166667</v>
      </c>
      <c r="G313" s="70">
        <v>9.2824999500000001</v>
      </c>
      <c r="H313" s="70">
        <v>77.606665616666803</v>
      </c>
      <c r="I313" s="70">
        <v>121.631944033333</v>
      </c>
      <c r="K313" s="70">
        <f>SUM(TableCategories[[#This Row],[Commercial Reliability]:[Unspecified]])</f>
        <v>2301.6632417653864</v>
      </c>
    </row>
    <row r="314" spans="1:11">
      <c r="A314" s="56" t="s">
        <v>102</v>
      </c>
      <c r="B314" s="70">
        <v>2215.7636107782801</v>
      </c>
      <c r="C314" s="70">
        <v>280.703333199621</v>
      </c>
      <c r="D314" s="70">
        <v>7.4149998833333299</v>
      </c>
      <c r="E314" s="70">
        <v>971.81971854987603</v>
      </c>
      <c r="F314" s="70">
        <v>0.70972221666666702</v>
      </c>
      <c r="G314" s="70">
        <v>634.74110569991501</v>
      </c>
      <c r="H314" s="70">
        <v>-0.26941650180679899</v>
      </c>
      <c r="I314" s="70">
        <v>361.56138294998698</v>
      </c>
      <c r="J314" s="70">
        <v>2.4283332999999998</v>
      </c>
      <c r="K314" s="70">
        <f>SUM(TableCategories[[#This Row],[Commercial Reliability]:[Unspecified]])</f>
        <v>4474.8727900758731</v>
      </c>
    </row>
    <row r="315" spans="1:11">
      <c r="A315" s="56" t="s">
        <v>103</v>
      </c>
      <c r="B315" s="70">
        <v>3011.9058328370302</v>
      </c>
      <c r="C315" s="70">
        <v>321.12833308298298</v>
      </c>
      <c r="D315" s="70">
        <v>13.7291665166667</v>
      </c>
      <c r="E315" s="70">
        <v>644.17305338322501</v>
      </c>
      <c r="G315" s="70">
        <v>692.427494683237</v>
      </c>
      <c r="H315" s="70">
        <v>33.805659880864503</v>
      </c>
      <c r="I315" s="70">
        <v>561.95110388313901</v>
      </c>
      <c r="K315" s="70">
        <f>SUM(TableCategories[[#This Row],[Commercial Reliability]:[Unspecified]])</f>
        <v>5279.1206442671455</v>
      </c>
    </row>
    <row r="316" spans="1:11">
      <c r="A316" s="56" t="s">
        <v>104</v>
      </c>
      <c r="B316" s="70">
        <v>2555.8830551046699</v>
      </c>
      <c r="C316" s="70">
        <v>498.518610732816</v>
      </c>
      <c r="D316" s="70">
        <v>3.4299999666666698</v>
      </c>
      <c r="E316" s="70">
        <v>500.74444304993398</v>
      </c>
      <c r="G316" s="70">
        <v>676.25388509992001</v>
      </c>
      <c r="H316" s="70">
        <v>-36.540893844842699</v>
      </c>
      <c r="I316" s="70">
        <v>933.20915633322102</v>
      </c>
      <c r="K316" s="70">
        <f>SUM(TableCategories[[#This Row],[Commercial Reliability]:[Unspecified]])</f>
        <v>5131.4982564423844</v>
      </c>
    </row>
    <row r="317" spans="1:11">
      <c r="A317" s="56" t="s">
        <v>105</v>
      </c>
      <c r="B317" s="70">
        <v>1714.8833330135701</v>
      </c>
      <c r="C317" s="70">
        <v>243.85583323299301</v>
      </c>
      <c r="D317" s="70">
        <v>14.4258332333333</v>
      </c>
      <c r="E317" s="70">
        <v>1182.0280523164599</v>
      </c>
      <c r="F317" s="70">
        <v>0.62416666666666698</v>
      </c>
      <c r="G317" s="70">
        <v>860.49082879986304</v>
      </c>
      <c r="H317" s="70">
        <v>-167.24194350000499</v>
      </c>
      <c r="I317" s="70">
        <v>556.51693688329499</v>
      </c>
      <c r="J317" s="70">
        <v>0.61194443333333304</v>
      </c>
      <c r="K317" s="70">
        <f>SUM(TableCategories[[#This Row],[Commercial Reliability]:[Unspecified]])</f>
        <v>4406.1949850795099</v>
      </c>
    </row>
    <row r="318" spans="1:11">
      <c r="A318" s="56" t="s">
        <v>106</v>
      </c>
      <c r="B318" s="70">
        <v>634.94979313899796</v>
      </c>
      <c r="C318" s="70">
        <v>212.534166216654</v>
      </c>
      <c r="E318" s="70">
        <v>4.8669444333333303</v>
      </c>
      <c r="G318" s="70">
        <v>80.688610816666696</v>
      </c>
      <c r="H318" s="70">
        <v>104.05070929999999</v>
      </c>
      <c r="I318" s="70">
        <v>29.891666350000001</v>
      </c>
      <c r="J318" s="70">
        <v>0.55138888333333302</v>
      </c>
      <c r="K318" s="70">
        <f>SUM(TableCategories[[#This Row],[Commercial Reliability]:[Unspecified]])</f>
        <v>1067.5332791389851</v>
      </c>
    </row>
    <row r="319" spans="1:11">
      <c r="A319" s="56" t="s">
        <v>107</v>
      </c>
      <c r="B319" s="70">
        <v>144.26727324791599</v>
      </c>
      <c r="C319" s="70">
        <v>647.28387098166604</v>
      </c>
      <c r="D319" s="70">
        <v>80.675555499940003</v>
      </c>
      <c r="E319" s="70">
        <v>186.56111076666701</v>
      </c>
      <c r="G319" s="70">
        <v>1.5061111</v>
      </c>
      <c r="H319" s="70">
        <v>27.588054849999999</v>
      </c>
      <c r="I319" s="70">
        <v>63.018888699999998</v>
      </c>
      <c r="K319" s="70">
        <f>SUM(TableCategories[[#This Row],[Commercial Reliability]:[Unspecified]])</f>
        <v>1150.9008651461891</v>
      </c>
    </row>
    <row r="320" spans="1:11">
      <c r="A320" s="56" t="s">
        <v>370</v>
      </c>
      <c r="B320" s="70">
        <v>1391.9924997590499</v>
      </c>
      <c r="C320" s="70">
        <v>132.222499983315</v>
      </c>
      <c r="D320" s="70">
        <v>12.721666616666701</v>
      </c>
      <c r="E320" s="70">
        <v>213.36777554987199</v>
      </c>
      <c r="F320" s="70">
        <v>15.133611050000001</v>
      </c>
      <c r="G320" s="70">
        <v>1039.44388661634</v>
      </c>
      <c r="H320" s="70">
        <v>235.91777721665699</v>
      </c>
      <c r="I320" s="70">
        <v>664.54832444988494</v>
      </c>
      <c r="J320" s="70">
        <v>1.14777776666667</v>
      </c>
      <c r="K320" s="70">
        <f>SUM(TableCategories[[#This Row],[Commercial Reliability]:[Unspecified]])</f>
        <v>3706.4958190084521</v>
      </c>
    </row>
    <row r="321" spans="1:11">
      <c r="A321" s="56" t="s">
        <v>870</v>
      </c>
      <c r="B321" s="70">
        <v>4692.0561106466103</v>
      </c>
      <c r="C321" s="70">
        <v>401.701388863028</v>
      </c>
      <c r="F321" s="70">
        <v>1.08833333333333</v>
      </c>
      <c r="G321" s="70">
        <v>195.06666663330199</v>
      </c>
      <c r="I321" s="70">
        <v>-99.905831451405305</v>
      </c>
      <c r="K321" s="70">
        <f>SUM(TableCategories[[#This Row],[Commercial Reliability]:[Unspecified]])</f>
        <v>5190.0066680248683</v>
      </c>
    </row>
    <row r="322" spans="1:11">
      <c r="A322" s="56" t="s">
        <v>264</v>
      </c>
      <c r="B322" s="70">
        <v>2646.9552776003202</v>
      </c>
      <c r="C322" s="70">
        <v>11.7172222166667</v>
      </c>
      <c r="D322" s="70">
        <v>2.7666666666666702</v>
      </c>
      <c r="G322" s="70">
        <v>2.7611110999999999</v>
      </c>
      <c r="H322" s="70">
        <v>259.64854075065102</v>
      </c>
      <c r="I322" s="70">
        <v>10.1377777666667</v>
      </c>
      <c r="K322" s="70">
        <f>SUM(TableCategories[[#This Row],[Commercial Reliability]:[Unspecified]])</f>
        <v>2933.9865961009718</v>
      </c>
    </row>
    <row r="323" spans="1:11">
      <c r="A323" s="56" t="s">
        <v>265</v>
      </c>
      <c r="B323" s="70">
        <v>3267.5858331014101</v>
      </c>
      <c r="C323" s="70">
        <v>10.718333316666699</v>
      </c>
      <c r="D323" s="70">
        <v>3.4583333333333299</v>
      </c>
      <c r="F323" s="70">
        <v>1.9666666666666699</v>
      </c>
      <c r="G323" s="70">
        <v>3.9666666500000001</v>
      </c>
      <c r="H323" s="70">
        <v>238.837805845178</v>
      </c>
      <c r="I323" s="70">
        <v>20.373888883333301</v>
      </c>
      <c r="K323" s="70">
        <f>SUM(TableCategories[[#This Row],[Commercial Reliability]:[Unspecified]])</f>
        <v>3546.9075277965885</v>
      </c>
    </row>
    <row r="324" spans="1:11">
      <c r="A324" s="56" t="s">
        <v>266</v>
      </c>
      <c r="B324" s="70">
        <v>2289.3024998447399</v>
      </c>
      <c r="C324" s="70">
        <v>5.3916666666666702</v>
      </c>
      <c r="D324" s="70">
        <v>1.4833333333333301</v>
      </c>
      <c r="F324" s="70">
        <v>3</v>
      </c>
      <c r="G324" s="70">
        <v>0.238888883333333</v>
      </c>
      <c r="H324" s="70">
        <v>237.06187604263201</v>
      </c>
      <c r="I324" s="70">
        <v>3.6138888833333298</v>
      </c>
      <c r="K324" s="70">
        <f>SUM(TableCategories[[#This Row],[Commercial Reliability]:[Unspecified]])</f>
        <v>2540.0921536540386</v>
      </c>
    </row>
    <row r="325" spans="1:11">
      <c r="A325" s="56" t="s">
        <v>629</v>
      </c>
      <c r="B325" s="70">
        <v>1214.2316665323999</v>
      </c>
      <c r="C325" s="70">
        <v>2.5083333333333302</v>
      </c>
      <c r="D325" s="70">
        <v>2.4833333333333298</v>
      </c>
      <c r="F325" s="70">
        <v>4.2819444333333303</v>
      </c>
      <c r="G325" s="70">
        <v>0.76666666666666705</v>
      </c>
      <c r="H325" s="70">
        <v>242.164598241677</v>
      </c>
      <c r="I325" s="70">
        <v>20.683333333333302</v>
      </c>
      <c r="K325" s="70">
        <f>SUM(TableCategories[[#This Row],[Commercial Reliability]:[Unspecified]])</f>
        <v>1487.119875874077</v>
      </c>
    </row>
    <row r="326" spans="1:11">
      <c r="A326" s="56" t="s">
        <v>267</v>
      </c>
      <c r="B326" s="70">
        <v>1302.0969443427</v>
      </c>
      <c r="C326" s="70">
        <v>7.4555555499999997</v>
      </c>
      <c r="D326" s="70">
        <v>0.33333333333333298</v>
      </c>
      <c r="F326" s="70">
        <v>1.5333333333333301</v>
      </c>
      <c r="G326" s="70">
        <v>0.28333333333333299</v>
      </c>
      <c r="H326" s="70">
        <v>218.433564763649</v>
      </c>
      <c r="I326" s="70">
        <v>13.3083333333333</v>
      </c>
      <c r="K326" s="70">
        <f>SUM(TableCategories[[#This Row],[Commercial Reliability]:[Unspecified]])</f>
        <v>1543.4443979896823</v>
      </c>
    </row>
    <row r="327" spans="1:11">
      <c r="A327" s="56" t="s">
        <v>268</v>
      </c>
      <c r="B327" s="70">
        <v>399.18385264350002</v>
      </c>
      <c r="C327" s="70">
        <v>175.896110799795</v>
      </c>
      <c r="D327" s="70">
        <v>35.122777733315601</v>
      </c>
      <c r="G327" s="70">
        <v>14.848055433329099</v>
      </c>
      <c r="H327" s="70">
        <v>0.37527776666666701</v>
      </c>
      <c r="I327" s="70">
        <v>64.442499883333298</v>
      </c>
      <c r="K327" s="70">
        <f>SUM(TableCategories[[#This Row],[Commercial Reliability]:[Unspecified]])</f>
        <v>689.86857425993969</v>
      </c>
    </row>
    <row r="328" spans="1:11">
      <c r="A328" s="81" t="s">
        <v>269</v>
      </c>
      <c r="B328" s="70">
        <v>323.48277701641803</v>
      </c>
      <c r="C328" s="70">
        <v>176.648055216469</v>
      </c>
      <c r="D328" s="70">
        <v>33.548888833315701</v>
      </c>
      <c r="G328" s="70">
        <v>11.0866666333268</v>
      </c>
      <c r="H328" s="70">
        <v>-1.0182635604166701</v>
      </c>
      <c r="I328" s="70">
        <v>75.345555116666702</v>
      </c>
      <c r="K328" s="70">
        <f>SUM(TableCategories[[#This Row],[Commercial Reliability]:[Unspecified]])</f>
        <v>619.09367925577953</v>
      </c>
    </row>
    <row r="329" spans="1:11">
      <c r="A329" s="56" t="s">
        <v>270</v>
      </c>
      <c r="B329" s="70">
        <v>2214.6147780137298</v>
      </c>
      <c r="C329" s="70">
        <v>73.648611016642704</v>
      </c>
      <c r="D329" s="70">
        <v>34.149999966647101</v>
      </c>
      <c r="G329" s="70">
        <v>1.62638888333333</v>
      </c>
      <c r="I329" s="70">
        <v>5.7249999999999996</v>
      </c>
      <c r="K329" s="70">
        <f>SUM(TableCategories[[#This Row],[Commercial Reliability]:[Unspecified]])</f>
        <v>2329.764777880353</v>
      </c>
    </row>
    <row r="330" spans="1:11">
      <c r="A330" s="81" t="s">
        <v>371</v>
      </c>
      <c r="B330" s="70">
        <v>3189.7463178436901</v>
      </c>
      <c r="C330" s="70">
        <v>67.253333216666704</v>
      </c>
      <c r="D330" s="70">
        <v>7.5222221666646796</v>
      </c>
      <c r="G330" s="70">
        <v>1.3333333333333299</v>
      </c>
      <c r="H330" s="70">
        <v>1.11111E-2</v>
      </c>
      <c r="I330" s="70">
        <v>53.871666533333297</v>
      </c>
      <c r="K330" s="70">
        <f>SUM(TableCategories[[#This Row],[Commercial Reliability]:[Unspecified]])</f>
        <v>3319.7379841936881</v>
      </c>
    </row>
    <row r="331" spans="1:11">
      <c r="A331" s="56" t="s">
        <v>372</v>
      </c>
      <c r="B331" s="70">
        <v>1476.9948776123399</v>
      </c>
      <c r="C331" s="70">
        <v>54.928611016663801</v>
      </c>
      <c r="F331" s="70">
        <v>0.54722221666666704</v>
      </c>
      <c r="H331" s="70">
        <v>8.3333333333333297E-3</v>
      </c>
      <c r="I331" s="70">
        <v>25.1930555333333</v>
      </c>
      <c r="K331" s="70">
        <f>SUM(TableCategories[[#This Row],[Commercial Reliability]:[Unspecified]])</f>
        <v>1557.6720997123371</v>
      </c>
    </row>
    <row r="332" spans="1:11">
      <c r="A332" s="81" t="s">
        <v>599</v>
      </c>
      <c r="B332" s="70">
        <v>950.74361104627599</v>
      </c>
      <c r="C332" s="70">
        <v>567.57416639881501</v>
      </c>
      <c r="D332" s="70">
        <v>57.579166649965401</v>
      </c>
      <c r="E332" s="70">
        <v>36.411111099966099</v>
      </c>
      <c r="F332" s="70">
        <v>17.480555533333298</v>
      </c>
      <c r="G332" s="70">
        <v>285.93805501660597</v>
      </c>
      <c r="H332" s="70">
        <v>-18.9621235105413</v>
      </c>
      <c r="I332" s="70">
        <v>1110.5469416332301</v>
      </c>
      <c r="K332" s="70">
        <f>SUM(TableCategories[[#This Row],[Commercial Reliability]:[Unspecified]])</f>
        <v>3007.3114838676506</v>
      </c>
    </row>
    <row r="333" spans="1:11">
      <c r="A333" s="56" t="s">
        <v>600</v>
      </c>
      <c r="B333" s="70">
        <v>1510.41777751216</v>
      </c>
      <c r="C333" s="70">
        <v>495.09499986369099</v>
      </c>
      <c r="D333" s="70">
        <v>144.30222209994599</v>
      </c>
      <c r="F333" s="70">
        <v>7.3269444333285101</v>
      </c>
      <c r="G333" s="70">
        <v>952.59055396637405</v>
      </c>
      <c r="H333" s="70">
        <v>-124.29520600489001</v>
      </c>
      <c r="I333" s="70">
        <v>240.372256293427</v>
      </c>
      <c r="K333" s="70">
        <f>SUM(TableCategories[[#This Row],[Commercial Reliability]:[Unspecified]])</f>
        <v>3225.8095481640366</v>
      </c>
    </row>
    <row r="334" spans="1:11">
      <c r="A334" s="81" t="s">
        <v>601</v>
      </c>
      <c r="B334" s="70">
        <v>1268.11638858127</v>
      </c>
      <c r="C334" s="70">
        <v>425.88166651605297</v>
      </c>
      <c r="D334" s="70">
        <v>342.30444431657298</v>
      </c>
      <c r="F334" s="70">
        <v>3</v>
      </c>
      <c r="G334" s="70">
        <v>730.16749841653802</v>
      </c>
      <c r="H334" s="70">
        <v>-137.14722188767999</v>
      </c>
      <c r="I334" s="70">
        <v>376.884944194279</v>
      </c>
      <c r="K334" s="70">
        <f>SUM(TableCategories[[#This Row],[Commercial Reliability]:[Unspecified]])</f>
        <v>3009.2077201370325</v>
      </c>
    </row>
    <row r="335" spans="1:11">
      <c r="A335" s="56" t="s">
        <v>602</v>
      </c>
      <c r="B335" s="70">
        <v>2137.4158256646601</v>
      </c>
      <c r="C335" s="70">
        <v>375.92611091506399</v>
      </c>
      <c r="D335" s="70">
        <v>39.879166666626801</v>
      </c>
      <c r="G335" s="70">
        <v>242.38638809994899</v>
      </c>
      <c r="H335" s="70">
        <v>115.79269774113099</v>
      </c>
      <c r="I335" s="70">
        <v>378.184084949929</v>
      </c>
      <c r="K335" s="70">
        <f>SUM(TableCategories[[#This Row],[Commercial Reliability]:[Unspecified]])</f>
        <v>3289.5842740373596</v>
      </c>
    </row>
    <row r="336" spans="1:11">
      <c r="A336" s="56" t="s">
        <v>603</v>
      </c>
      <c r="B336" s="70">
        <v>4600.8819388933498</v>
      </c>
      <c r="C336" s="70">
        <v>1351.4988888416899</v>
      </c>
      <c r="E336" s="70">
        <v>3</v>
      </c>
      <c r="G336" s="70">
        <v>67.273888849954702</v>
      </c>
      <c r="H336" s="70">
        <v>-6.0891649500000096</v>
      </c>
      <c r="I336" s="70">
        <v>206.26694355000001</v>
      </c>
      <c r="K336" s="70">
        <f>SUM(TableCategories[[#This Row],[Commercial Reliability]:[Unspecified]])</f>
        <v>6222.8324951849945</v>
      </c>
    </row>
    <row r="337" spans="1:11">
      <c r="A337" s="56" t="s">
        <v>373</v>
      </c>
      <c r="B337" s="70">
        <v>762.60590339999897</v>
      </c>
      <c r="C337" s="70">
        <v>215.33861068323401</v>
      </c>
      <c r="D337" s="70">
        <v>2.4749999833333298</v>
      </c>
      <c r="E337" s="70">
        <v>671.63249962918303</v>
      </c>
      <c r="F337" s="70">
        <v>3.6224999833333298</v>
      </c>
      <c r="G337" s="70">
        <v>-0.99416666666666698</v>
      </c>
      <c r="H337" s="70">
        <v>5.9911102833333398</v>
      </c>
      <c r="I337" s="70">
        <v>-592.59826083333201</v>
      </c>
      <c r="K337" s="70">
        <f>SUM(TableCategories[[#This Row],[Commercial Reliability]:[Unspecified]])</f>
        <v>1068.0731964624172</v>
      </c>
    </row>
    <row r="338" spans="1:11">
      <c r="A338" s="56" t="s">
        <v>109</v>
      </c>
      <c r="B338" s="70">
        <v>2160.77777762504</v>
      </c>
      <c r="C338" s="70">
        <v>98.595833299999995</v>
      </c>
      <c r="D338" s="70">
        <v>2.9472222000000001</v>
      </c>
      <c r="E338" s="70">
        <v>35.854166599999999</v>
      </c>
      <c r="G338" s="70">
        <v>677.15805491662695</v>
      </c>
      <c r="H338" s="70">
        <v>392.54186990583997</v>
      </c>
      <c r="I338" s="70">
        <v>410.51499974968198</v>
      </c>
      <c r="J338" s="70">
        <v>4.9541666666666702</v>
      </c>
      <c r="K338" s="70">
        <f>SUM(TableCategories[[#This Row],[Commercial Reliability]:[Unspecified]])</f>
        <v>3783.3440909638557</v>
      </c>
    </row>
    <row r="339" spans="1:11">
      <c r="A339" s="56" t="s">
        <v>110</v>
      </c>
      <c r="B339" s="70">
        <v>990.80416659714695</v>
      </c>
      <c r="C339" s="70">
        <v>88.456944383303906</v>
      </c>
      <c r="D339" s="70">
        <v>10.5583332999992</v>
      </c>
      <c r="E339" s="70">
        <v>53.208333283297897</v>
      </c>
      <c r="G339" s="70">
        <v>690.52388756666403</v>
      </c>
      <c r="H339" s="70">
        <v>179.79367823750701</v>
      </c>
      <c r="I339" s="70">
        <v>348.36333273329598</v>
      </c>
      <c r="J339" s="70">
        <v>16.825277733333301</v>
      </c>
      <c r="K339" s="70">
        <f>SUM(TableCategories[[#This Row],[Commercial Reliability]:[Unspecified]])</f>
        <v>2378.5339538345484</v>
      </c>
    </row>
    <row r="340" spans="1:11">
      <c r="A340" s="56" t="s">
        <v>111</v>
      </c>
      <c r="B340" s="70">
        <v>537.13357671360905</v>
      </c>
      <c r="C340" s="70">
        <v>109.859722149967</v>
      </c>
      <c r="D340" s="70">
        <v>2.8819444333333299</v>
      </c>
      <c r="E340" s="70">
        <v>50.080555433333302</v>
      </c>
      <c r="G340" s="70">
        <v>577.38888709996502</v>
      </c>
      <c r="H340" s="70">
        <v>410.673767870228</v>
      </c>
      <c r="I340" s="70">
        <v>721.11749821662397</v>
      </c>
      <c r="J340" s="70">
        <v>14.1049999833333</v>
      </c>
      <c r="K340" s="70">
        <f>SUM(TableCategories[[#This Row],[Commercial Reliability]:[Unspecified]])</f>
        <v>2423.2409519003932</v>
      </c>
    </row>
    <row r="341" spans="1:11">
      <c r="A341" s="56" t="s">
        <v>112</v>
      </c>
      <c r="B341" s="70">
        <v>681.67916652183806</v>
      </c>
      <c r="C341" s="70">
        <v>81.926388833303307</v>
      </c>
      <c r="D341" s="70">
        <v>4.1513888833333299</v>
      </c>
      <c r="E341" s="70">
        <v>33.5222221333227</v>
      </c>
      <c r="G341" s="70">
        <v>600.23333183330305</v>
      </c>
      <c r="H341" s="70">
        <v>613.61511357671498</v>
      </c>
      <c r="I341" s="70">
        <v>581.13055424990296</v>
      </c>
      <c r="J341" s="70">
        <v>1.4666666666666699</v>
      </c>
      <c r="K341" s="70">
        <f>SUM(TableCategories[[#This Row],[Commercial Reliability]:[Unspecified]])</f>
        <v>2597.7248326983849</v>
      </c>
    </row>
    <row r="342" spans="1:11">
      <c r="A342" s="56" t="s">
        <v>881</v>
      </c>
      <c r="B342" s="70">
        <v>878.90999997039501</v>
      </c>
      <c r="C342" s="70">
        <v>308.06027776572</v>
      </c>
      <c r="D342" s="70">
        <v>228.16972221621401</v>
      </c>
      <c r="E342" s="70">
        <v>149.24833333321999</v>
      </c>
      <c r="F342" s="70">
        <v>41.499999999958497</v>
      </c>
      <c r="G342" s="70">
        <v>1473.2883317164201</v>
      </c>
      <c r="H342" s="70">
        <v>26.3955539166666</v>
      </c>
      <c r="I342" s="70">
        <v>1086.8338847162299</v>
      </c>
      <c r="K342" s="70">
        <f>SUM(TableCategories[[#This Row],[Commercial Reliability]:[Unspecified]])</f>
        <v>4192.4061036348239</v>
      </c>
    </row>
    <row r="343" spans="1:11">
      <c r="A343" s="56" t="s">
        <v>882</v>
      </c>
      <c r="B343" s="70">
        <v>883.47888885342195</v>
      </c>
      <c r="C343" s="70">
        <v>310.437499998889</v>
      </c>
      <c r="D343" s="70">
        <v>224.072222216174</v>
      </c>
      <c r="E343" s="70">
        <v>149.06944443321899</v>
      </c>
      <c r="F343" s="70">
        <v>41.499999999958497</v>
      </c>
      <c r="G343" s="70">
        <v>1715.8205536329799</v>
      </c>
      <c r="H343" s="70">
        <v>32.551943233333397</v>
      </c>
      <c r="I343" s="70">
        <v>745.40832938330198</v>
      </c>
      <c r="K343" s="70">
        <f>SUM(TableCategories[[#This Row],[Commercial Reliability]:[Unspecified]])</f>
        <v>4102.3388817512778</v>
      </c>
    </row>
    <row r="344" spans="1:11">
      <c r="A344" s="56" t="s">
        <v>634</v>
      </c>
      <c r="B344" s="70">
        <v>4522.7038888636398</v>
      </c>
      <c r="C344" s="70">
        <v>104.34722221660201</v>
      </c>
      <c r="D344" s="70">
        <v>26.093055549973901</v>
      </c>
      <c r="E344" s="70">
        <v>2.9777777666666698</v>
      </c>
      <c r="G344" s="70">
        <v>925.08777736633294</v>
      </c>
      <c r="H344" s="70">
        <v>6.2627781666667</v>
      </c>
      <c r="I344" s="70">
        <v>1002.86610396653</v>
      </c>
      <c r="K344" s="70">
        <f>SUM(TableCategories[[#This Row],[Commercial Reliability]:[Unspecified]])</f>
        <v>6590.3386038964127</v>
      </c>
    </row>
  </sheetData>
  <hyperlinks>
    <hyperlink ref="A1" r:id="rId1" xr:uid="{D5B83C04-C689-415E-93F0-B5ABD1ABAB47}"/>
  </hyperlinks>
  <pageMargins left="0.7" right="0.7" top="0.75" bottom="0.75" header="0.3" footer="0.3"/>
  <pageSetup orientation="portrait"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3E7EA-B66C-4920-8C9F-C42529E0CB40}">
  <sheetPr codeName="Sheet10">
    <tabColor rgb="FF0070C0"/>
  </sheetPr>
  <dimension ref="A1:NH149"/>
  <sheetViews>
    <sheetView zoomScale="98" zoomScaleNormal="98" workbookViewId="0">
      <selection activeCell="W36" sqref="W36"/>
    </sheetView>
  </sheetViews>
  <sheetFormatPr defaultColWidth="9.140625" defaultRowHeight="12.75"/>
  <cols>
    <col min="1" max="1" width="15.140625" bestFit="1" customWidth="1"/>
    <col min="2" max="2" width="24.42578125" bestFit="1" customWidth="1"/>
    <col min="3" max="3" width="5.5703125" customWidth="1"/>
    <col min="4" max="4" width="5.85546875" bestFit="1" customWidth="1"/>
    <col min="5" max="6" width="7.5703125" bestFit="1" customWidth="1"/>
    <col min="7" max="7" width="2.85546875" customWidth="1"/>
    <col min="8" max="370" width="3.5703125" customWidth="1"/>
    <col min="371" max="371" width="3.28515625" customWidth="1"/>
    <col min="372" max="372" width="104.140625" customWidth="1"/>
  </cols>
  <sheetData>
    <row r="1" spans="1:372" ht="105.6" customHeight="1">
      <c r="A1" s="378" t="s">
        <v>1261</v>
      </c>
      <c r="B1" s="379" t="s">
        <v>1262</v>
      </c>
      <c r="C1" s="345" t="s">
        <v>888</v>
      </c>
      <c r="D1" s="345" t="s">
        <v>889</v>
      </c>
      <c r="E1" s="349" t="s">
        <v>1111</v>
      </c>
      <c r="F1" s="356" t="s">
        <v>993</v>
      </c>
      <c r="G1" s="400" t="s">
        <v>891</v>
      </c>
      <c r="H1" s="401"/>
      <c r="I1" s="401"/>
      <c r="J1" s="401"/>
      <c r="K1" s="401"/>
      <c r="L1" s="401"/>
      <c r="M1" s="401"/>
      <c r="N1" s="401"/>
      <c r="O1" s="401"/>
      <c r="P1" s="401"/>
      <c r="Q1" s="401"/>
      <c r="R1" s="401"/>
      <c r="S1" s="401"/>
      <c r="T1" s="401"/>
      <c r="U1" s="401"/>
      <c r="V1" s="401"/>
      <c r="W1" s="401"/>
      <c r="X1" s="401"/>
      <c r="Y1" s="401"/>
      <c r="Z1" s="401"/>
      <c r="AA1" s="401"/>
      <c r="AB1" s="401"/>
      <c r="AC1" s="401"/>
      <c r="AD1" s="401"/>
      <c r="AE1" s="401"/>
      <c r="AF1" s="401"/>
      <c r="AG1" s="401"/>
      <c r="AH1" s="401"/>
      <c r="AI1" s="401"/>
      <c r="AJ1" s="401"/>
      <c r="AK1" s="402"/>
      <c r="AL1" s="403" t="s">
        <v>1112</v>
      </c>
      <c r="AM1" s="404"/>
      <c r="AN1" s="404"/>
      <c r="AO1" s="404"/>
      <c r="AP1" s="404"/>
      <c r="AQ1" s="404"/>
      <c r="AR1" s="404"/>
      <c r="AS1" s="404"/>
      <c r="AT1" s="404"/>
      <c r="AU1" s="404"/>
      <c r="AV1" s="404"/>
      <c r="AW1" s="404"/>
      <c r="AX1" s="404"/>
      <c r="AY1" s="404"/>
      <c r="AZ1" s="404"/>
      <c r="BA1" s="404"/>
      <c r="BB1" s="404"/>
      <c r="BC1" s="404"/>
      <c r="BD1" s="404"/>
      <c r="BE1" s="404"/>
      <c r="BF1" s="404"/>
      <c r="BG1" s="404"/>
      <c r="BH1" s="404"/>
      <c r="BI1" s="404"/>
      <c r="BJ1" s="404"/>
      <c r="BK1" s="404"/>
      <c r="BL1" s="404"/>
      <c r="BM1" s="405"/>
      <c r="BN1" s="400" t="s">
        <v>892</v>
      </c>
      <c r="BO1" s="401"/>
      <c r="BP1" s="401"/>
      <c r="BQ1" s="401"/>
      <c r="BR1" s="401"/>
      <c r="BS1" s="401"/>
      <c r="BT1" s="401"/>
      <c r="BU1" s="401"/>
      <c r="BV1" s="401"/>
      <c r="BW1" s="401"/>
      <c r="BX1" s="401"/>
      <c r="BY1" s="401"/>
      <c r="BZ1" s="401"/>
      <c r="CA1" s="401"/>
      <c r="CB1" s="401"/>
      <c r="CC1" s="401"/>
      <c r="CD1" s="401"/>
      <c r="CE1" s="401"/>
      <c r="CF1" s="401"/>
      <c r="CG1" s="401"/>
      <c r="CH1" s="401"/>
      <c r="CI1" s="401"/>
      <c r="CJ1" s="401"/>
      <c r="CK1" s="401"/>
      <c r="CL1" s="401"/>
      <c r="CM1" s="401"/>
      <c r="CN1" s="401"/>
      <c r="CO1" s="401"/>
      <c r="CP1" s="401"/>
      <c r="CQ1" s="401"/>
      <c r="CR1" s="402"/>
      <c r="CS1" s="400" t="s">
        <v>893</v>
      </c>
      <c r="CT1" s="401"/>
      <c r="CU1" s="401"/>
      <c r="CV1" s="401"/>
      <c r="CW1" s="401"/>
      <c r="CX1" s="401"/>
      <c r="CY1" s="401"/>
      <c r="CZ1" s="401"/>
      <c r="DA1" s="401"/>
      <c r="DB1" s="401"/>
      <c r="DC1" s="401"/>
      <c r="DD1" s="401"/>
      <c r="DE1" s="401"/>
      <c r="DF1" s="401"/>
      <c r="DG1" s="401"/>
      <c r="DH1" s="401"/>
      <c r="DI1" s="401"/>
      <c r="DJ1" s="401"/>
      <c r="DK1" s="401"/>
      <c r="DL1" s="401"/>
      <c r="DM1" s="401"/>
      <c r="DN1" s="401"/>
      <c r="DO1" s="401"/>
      <c r="DP1" s="401"/>
      <c r="DQ1" s="401"/>
      <c r="DR1" s="401"/>
      <c r="DS1" s="401"/>
      <c r="DT1" s="401"/>
      <c r="DU1" s="401"/>
      <c r="DV1" s="402"/>
      <c r="DW1" s="400" t="s">
        <v>894</v>
      </c>
      <c r="DX1" s="401"/>
      <c r="DY1" s="401"/>
      <c r="DZ1" s="401"/>
      <c r="EA1" s="401"/>
      <c r="EB1" s="401"/>
      <c r="EC1" s="401"/>
      <c r="ED1" s="401"/>
      <c r="EE1" s="401"/>
      <c r="EF1" s="401"/>
      <c r="EG1" s="401"/>
      <c r="EH1" s="401"/>
      <c r="EI1" s="401"/>
      <c r="EJ1" s="401"/>
      <c r="EK1" s="401"/>
      <c r="EL1" s="401"/>
      <c r="EM1" s="401"/>
      <c r="EN1" s="401"/>
      <c r="EO1" s="401"/>
      <c r="EP1" s="401"/>
      <c r="EQ1" s="401"/>
      <c r="ER1" s="401"/>
      <c r="ES1" s="401"/>
      <c r="ET1" s="401"/>
      <c r="EU1" s="401"/>
      <c r="EV1" s="401"/>
      <c r="EW1" s="401"/>
      <c r="EX1" s="401"/>
      <c r="EY1" s="401"/>
      <c r="EZ1" s="401"/>
      <c r="FA1" s="402"/>
      <c r="FB1" s="400" t="s">
        <v>895</v>
      </c>
      <c r="FC1" s="401"/>
      <c r="FD1" s="401"/>
      <c r="FE1" s="401"/>
      <c r="FF1" s="401"/>
      <c r="FG1" s="401"/>
      <c r="FH1" s="401"/>
      <c r="FI1" s="401"/>
      <c r="FJ1" s="401"/>
      <c r="FK1" s="401"/>
      <c r="FL1" s="401"/>
      <c r="FM1" s="401"/>
      <c r="FN1" s="401"/>
      <c r="FO1" s="401"/>
      <c r="FP1" s="401"/>
      <c r="FQ1" s="401"/>
      <c r="FR1" s="401"/>
      <c r="FS1" s="401"/>
      <c r="FT1" s="401"/>
      <c r="FU1" s="401"/>
      <c r="FV1" s="401"/>
      <c r="FW1" s="401"/>
      <c r="FX1" s="401"/>
      <c r="FY1" s="401"/>
      <c r="FZ1" s="401"/>
      <c r="GA1" s="401"/>
      <c r="GB1" s="401"/>
      <c r="GC1" s="401"/>
      <c r="GD1" s="401"/>
      <c r="GE1" s="402"/>
      <c r="GF1" s="400" t="s">
        <v>896</v>
      </c>
      <c r="GG1" s="401"/>
      <c r="GH1" s="401"/>
      <c r="GI1" s="401"/>
      <c r="GJ1" s="401"/>
      <c r="GK1" s="401"/>
      <c r="GL1" s="401"/>
      <c r="GM1" s="401"/>
      <c r="GN1" s="401"/>
      <c r="GO1" s="401"/>
      <c r="GP1" s="401"/>
      <c r="GQ1" s="401"/>
      <c r="GR1" s="401"/>
      <c r="GS1" s="401"/>
      <c r="GT1" s="401"/>
      <c r="GU1" s="401"/>
      <c r="GV1" s="401"/>
      <c r="GW1" s="401"/>
      <c r="GX1" s="401"/>
      <c r="GY1" s="401"/>
      <c r="GZ1" s="401"/>
      <c r="HA1" s="401"/>
      <c r="HB1" s="401"/>
      <c r="HC1" s="401"/>
      <c r="HD1" s="401"/>
      <c r="HE1" s="401"/>
      <c r="HF1" s="401"/>
      <c r="HG1" s="401"/>
      <c r="HH1" s="401"/>
      <c r="HI1" s="402"/>
      <c r="HJ1" s="400" t="s">
        <v>897</v>
      </c>
      <c r="HK1" s="401"/>
      <c r="HL1" s="401"/>
      <c r="HM1" s="401"/>
      <c r="HN1" s="401"/>
      <c r="HO1" s="401"/>
      <c r="HP1" s="401"/>
      <c r="HQ1" s="401"/>
      <c r="HR1" s="401"/>
      <c r="HS1" s="401"/>
      <c r="HT1" s="401"/>
      <c r="HU1" s="401"/>
      <c r="HV1" s="401"/>
      <c r="HW1" s="401"/>
      <c r="HX1" s="401"/>
      <c r="HY1" s="401"/>
      <c r="HZ1" s="401"/>
      <c r="IA1" s="401"/>
      <c r="IB1" s="401"/>
      <c r="IC1" s="401"/>
      <c r="ID1" s="401"/>
      <c r="IE1" s="401"/>
      <c r="IF1" s="401"/>
      <c r="IG1" s="401"/>
      <c r="IH1" s="401"/>
      <c r="II1" s="401"/>
      <c r="IJ1" s="401"/>
      <c r="IK1" s="401"/>
      <c r="IL1" s="401"/>
      <c r="IM1" s="401"/>
      <c r="IN1" s="401"/>
      <c r="IO1" s="402"/>
      <c r="IP1" s="400" t="s">
        <v>898</v>
      </c>
      <c r="IQ1" s="401"/>
      <c r="IR1" s="401"/>
      <c r="IS1" s="401"/>
      <c r="IT1" s="401"/>
      <c r="IU1" s="401"/>
      <c r="IV1" s="401"/>
      <c r="IW1" s="401"/>
      <c r="IX1" s="401"/>
      <c r="IY1" s="401"/>
      <c r="IZ1" s="401"/>
      <c r="JA1" s="401"/>
      <c r="JB1" s="401"/>
      <c r="JC1" s="401"/>
      <c r="JD1" s="401"/>
      <c r="JE1" s="401"/>
      <c r="JF1" s="401"/>
      <c r="JG1" s="401"/>
      <c r="JH1" s="401"/>
      <c r="JI1" s="401"/>
      <c r="JJ1" s="401"/>
      <c r="JK1" s="401"/>
      <c r="JL1" s="401"/>
      <c r="JM1" s="401"/>
      <c r="JN1" s="401"/>
      <c r="JO1" s="401"/>
      <c r="JP1" s="401"/>
      <c r="JQ1" s="401"/>
      <c r="JR1" s="401"/>
      <c r="JS1" s="402"/>
      <c r="JT1" s="400" t="s">
        <v>899</v>
      </c>
      <c r="JU1" s="401"/>
      <c r="JV1" s="401"/>
      <c r="JW1" s="401"/>
      <c r="JX1" s="401"/>
      <c r="JY1" s="401"/>
      <c r="JZ1" s="401"/>
      <c r="KA1" s="401"/>
      <c r="KB1" s="401"/>
      <c r="KC1" s="401"/>
      <c r="KD1" s="401"/>
      <c r="KE1" s="401"/>
      <c r="KF1" s="401"/>
      <c r="KG1" s="401"/>
      <c r="KH1" s="401"/>
      <c r="KI1" s="401"/>
      <c r="KJ1" s="401"/>
      <c r="KK1" s="401"/>
      <c r="KL1" s="401"/>
      <c r="KM1" s="401"/>
      <c r="KN1" s="401"/>
      <c r="KO1" s="401"/>
      <c r="KP1" s="401"/>
      <c r="KQ1" s="401"/>
      <c r="KR1" s="401"/>
      <c r="KS1" s="401"/>
      <c r="KT1" s="401"/>
      <c r="KU1" s="401"/>
      <c r="KV1" s="401"/>
      <c r="KW1" s="401"/>
      <c r="KX1" s="402"/>
      <c r="KY1" s="400" t="s">
        <v>900</v>
      </c>
      <c r="KZ1" s="401"/>
      <c r="LA1" s="401"/>
      <c r="LB1" s="401"/>
      <c r="LC1" s="401"/>
      <c r="LD1" s="401"/>
      <c r="LE1" s="401"/>
      <c r="LF1" s="401"/>
      <c r="LG1" s="401"/>
      <c r="LH1" s="401"/>
      <c r="LI1" s="401"/>
      <c r="LJ1" s="401"/>
      <c r="LK1" s="401"/>
      <c r="LL1" s="401"/>
      <c r="LM1" s="401"/>
      <c r="LN1" s="401"/>
      <c r="LO1" s="401"/>
      <c r="LP1" s="401"/>
      <c r="LQ1" s="401"/>
      <c r="LR1" s="401"/>
      <c r="LS1" s="401"/>
      <c r="LT1" s="401"/>
      <c r="LU1" s="401"/>
      <c r="LV1" s="401"/>
      <c r="LW1" s="401"/>
      <c r="LX1" s="401"/>
      <c r="LY1" s="401"/>
      <c r="LZ1" s="401"/>
      <c r="MA1" s="401"/>
      <c r="MB1" s="402"/>
      <c r="MC1" s="400" t="s">
        <v>901</v>
      </c>
      <c r="MD1" s="401"/>
      <c r="ME1" s="401"/>
      <c r="MF1" s="401"/>
      <c r="MG1" s="401"/>
      <c r="MH1" s="401"/>
      <c r="MI1" s="401"/>
      <c r="MJ1" s="401"/>
      <c r="MK1" s="401"/>
      <c r="ML1" s="401"/>
      <c r="MM1" s="401"/>
      <c r="MN1" s="401"/>
      <c r="MO1" s="401"/>
      <c r="MP1" s="401"/>
      <c r="MQ1" s="401"/>
      <c r="MR1" s="401"/>
      <c r="MS1" s="401"/>
      <c r="MT1" s="401"/>
      <c r="MU1" s="401"/>
      <c r="MV1" s="401"/>
      <c r="MW1" s="401"/>
      <c r="MX1" s="401"/>
      <c r="MY1" s="401"/>
      <c r="MZ1" s="401"/>
      <c r="NA1" s="401"/>
      <c r="NB1" s="401"/>
      <c r="NC1" s="401"/>
      <c r="ND1" s="401"/>
      <c r="NE1" s="401"/>
      <c r="NF1" s="401"/>
      <c r="NG1" s="402"/>
      <c r="NH1" s="406" t="s">
        <v>902</v>
      </c>
    </row>
    <row r="2" spans="1:372" ht="12.95" customHeight="1">
      <c r="A2" s="341"/>
      <c r="B2" s="341"/>
      <c r="C2" s="342"/>
      <c r="D2" s="342"/>
      <c r="E2" s="343"/>
      <c r="F2" s="344"/>
      <c r="G2" s="407"/>
      <c r="H2" s="407"/>
      <c r="I2" s="407"/>
      <c r="J2" s="407"/>
      <c r="K2" s="407"/>
      <c r="L2" s="408" t="s">
        <v>904</v>
      </c>
      <c r="M2" s="409"/>
      <c r="N2" s="409"/>
      <c r="O2" s="409"/>
      <c r="P2" s="409"/>
      <c r="Q2" s="409"/>
      <c r="R2" s="410"/>
      <c r="S2" s="411" t="s">
        <v>905</v>
      </c>
      <c r="T2" s="412"/>
      <c r="U2" s="412"/>
      <c r="V2" s="412"/>
      <c r="W2" s="412"/>
      <c r="X2" s="412"/>
      <c r="Y2" s="413"/>
      <c r="Z2" s="408" t="s">
        <v>906</v>
      </c>
      <c r="AA2" s="409"/>
      <c r="AB2" s="409"/>
      <c r="AC2" s="409"/>
      <c r="AD2" s="409"/>
      <c r="AE2" s="409"/>
      <c r="AF2" s="410"/>
      <c r="AG2" s="411" t="s">
        <v>907</v>
      </c>
      <c r="AH2" s="412"/>
      <c r="AI2" s="412"/>
      <c r="AJ2" s="412"/>
      <c r="AK2" s="412"/>
      <c r="AL2" s="412"/>
      <c r="AM2" s="413"/>
      <c r="AN2" s="408" t="s">
        <v>908</v>
      </c>
      <c r="AO2" s="409"/>
      <c r="AP2" s="409"/>
      <c r="AQ2" s="409"/>
      <c r="AR2" s="409"/>
      <c r="AS2" s="409"/>
      <c r="AT2" s="410"/>
      <c r="AU2" s="411" t="s">
        <v>909</v>
      </c>
      <c r="AV2" s="412"/>
      <c r="AW2" s="412"/>
      <c r="AX2" s="412"/>
      <c r="AY2" s="412"/>
      <c r="AZ2" s="412"/>
      <c r="BA2" s="413"/>
      <c r="BB2" s="408" t="s">
        <v>910</v>
      </c>
      <c r="BC2" s="409"/>
      <c r="BD2" s="409"/>
      <c r="BE2" s="409"/>
      <c r="BF2" s="409"/>
      <c r="BG2" s="409"/>
      <c r="BH2" s="410"/>
      <c r="BI2" s="411" t="s">
        <v>911</v>
      </c>
      <c r="BJ2" s="412"/>
      <c r="BK2" s="412"/>
      <c r="BL2" s="412"/>
      <c r="BM2" s="412"/>
      <c r="BN2" s="412"/>
      <c r="BO2" s="413"/>
      <c r="BP2" s="408" t="s">
        <v>912</v>
      </c>
      <c r="BQ2" s="409"/>
      <c r="BR2" s="409"/>
      <c r="BS2" s="409"/>
      <c r="BT2" s="409"/>
      <c r="BU2" s="409"/>
      <c r="BV2" s="410"/>
      <c r="BW2" s="411" t="s">
        <v>913</v>
      </c>
      <c r="BX2" s="412"/>
      <c r="BY2" s="412"/>
      <c r="BZ2" s="412"/>
      <c r="CA2" s="412"/>
      <c r="CB2" s="412"/>
      <c r="CC2" s="413"/>
      <c r="CD2" s="408" t="s">
        <v>914</v>
      </c>
      <c r="CE2" s="409"/>
      <c r="CF2" s="409"/>
      <c r="CG2" s="409"/>
      <c r="CH2" s="409"/>
      <c r="CI2" s="409"/>
      <c r="CJ2" s="410"/>
      <c r="CK2" s="411" t="s">
        <v>915</v>
      </c>
      <c r="CL2" s="412"/>
      <c r="CM2" s="412"/>
      <c r="CN2" s="412"/>
      <c r="CO2" s="412"/>
      <c r="CP2" s="412"/>
      <c r="CQ2" s="413"/>
      <c r="CR2" s="408" t="s">
        <v>916</v>
      </c>
      <c r="CS2" s="409"/>
      <c r="CT2" s="409"/>
      <c r="CU2" s="409"/>
      <c r="CV2" s="409"/>
      <c r="CW2" s="409"/>
      <c r="CX2" s="410"/>
      <c r="CY2" s="411" t="s">
        <v>917</v>
      </c>
      <c r="CZ2" s="412"/>
      <c r="DA2" s="412"/>
      <c r="DB2" s="412"/>
      <c r="DC2" s="412"/>
      <c r="DD2" s="412"/>
      <c r="DE2" s="413"/>
      <c r="DF2" s="408" t="s">
        <v>918</v>
      </c>
      <c r="DG2" s="409"/>
      <c r="DH2" s="409"/>
      <c r="DI2" s="409"/>
      <c r="DJ2" s="409"/>
      <c r="DK2" s="409"/>
      <c r="DL2" s="410"/>
      <c r="DM2" s="411" t="s">
        <v>919</v>
      </c>
      <c r="DN2" s="412"/>
      <c r="DO2" s="412"/>
      <c r="DP2" s="412"/>
      <c r="DQ2" s="412"/>
      <c r="DR2" s="412"/>
      <c r="DS2" s="413"/>
      <c r="DT2" s="408" t="s">
        <v>920</v>
      </c>
      <c r="DU2" s="409"/>
      <c r="DV2" s="409"/>
      <c r="DW2" s="409"/>
      <c r="DX2" s="409"/>
      <c r="DY2" s="409"/>
      <c r="DZ2" s="410"/>
      <c r="EA2" s="411" t="s">
        <v>921</v>
      </c>
      <c r="EB2" s="412"/>
      <c r="EC2" s="412"/>
      <c r="ED2" s="412"/>
      <c r="EE2" s="412"/>
      <c r="EF2" s="412"/>
      <c r="EG2" s="413"/>
      <c r="EH2" s="408" t="s">
        <v>922</v>
      </c>
      <c r="EI2" s="409"/>
      <c r="EJ2" s="409"/>
      <c r="EK2" s="409"/>
      <c r="EL2" s="409"/>
      <c r="EM2" s="409"/>
      <c r="EN2" s="410"/>
      <c r="EO2" s="411" t="s">
        <v>923</v>
      </c>
      <c r="EP2" s="412"/>
      <c r="EQ2" s="412"/>
      <c r="ER2" s="412"/>
      <c r="ES2" s="412"/>
      <c r="ET2" s="412"/>
      <c r="EU2" s="413"/>
      <c r="EV2" s="408" t="s">
        <v>924</v>
      </c>
      <c r="EW2" s="409"/>
      <c r="EX2" s="409"/>
      <c r="EY2" s="409"/>
      <c r="EZ2" s="409"/>
      <c r="FA2" s="409"/>
      <c r="FB2" s="410"/>
      <c r="FC2" s="411" t="s">
        <v>925</v>
      </c>
      <c r="FD2" s="412"/>
      <c r="FE2" s="412"/>
      <c r="FF2" s="412"/>
      <c r="FG2" s="412"/>
      <c r="FH2" s="412"/>
      <c r="FI2" s="413"/>
      <c r="FJ2" s="408" t="s">
        <v>926</v>
      </c>
      <c r="FK2" s="409"/>
      <c r="FL2" s="409"/>
      <c r="FM2" s="409"/>
      <c r="FN2" s="409"/>
      <c r="FO2" s="409"/>
      <c r="FP2" s="410"/>
      <c r="FQ2" s="411" t="s">
        <v>927</v>
      </c>
      <c r="FR2" s="412"/>
      <c r="FS2" s="412"/>
      <c r="FT2" s="412"/>
      <c r="FU2" s="412"/>
      <c r="FV2" s="412"/>
      <c r="FW2" s="413"/>
      <c r="FX2" s="408" t="s">
        <v>928</v>
      </c>
      <c r="FY2" s="409"/>
      <c r="FZ2" s="409"/>
      <c r="GA2" s="409"/>
      <c r="GB2" s="409"/>
      <c r="GC2" s="409"/>
      <c r="GD2" s="410"/>
      <c r="GE2" s="411" t="s">
        <v>929</v>
      </c>
      <c r="GF2" s="412"/>
      <c r="GG2" s="412"/>
      <c r="GH2" s="412"/>
      <c r="GI2" s="412"/>
      <c r="GJ2" s="412"/>
      <c r="GK2" s="413"/>
      <c r="GL2" s="408" t="s">
        <v>930</v>
      </c>
      <c r="GM2" s="409"/>
      <c r="GN2" s="409"/>
      <c r="GO2" s="409"/>
      <c r="GP2" s="409"/>
      <c r="GQ2" s="409"/>
      <c r="GR2" s="410"/>
      <c r="GS2" s="411" t="s">
        <v>931</v>
      </c>
      <c r="GT2" s="412"/>
      <c r="GU2" s="412"/>
      <c r="GV2" s="412"/>
      <c r="GW2" s="412"/>
      <c r="GX2" s="412"/>
      <c r="GY2" s="413"/>
      <c r="GZ2" s="408" t="s">
        <v>932</v>
      </c>
      <c r="HA2" s="409"/>
      <c r="HB2" s="409"/>
      <c r="HC2" s="409"/>
      <c r="HD2" s="409"/>
      <c r="HE2" s="409"/>
      <c r="HF2" s="410"/>
      <c r="HG2" s="411" t="s">
        <v>933</v>
      </c>
      <c r="HH2" s="412"/>
      <c r="HI2" s="412"/>
      <c r="HJ2" s="412"/>
      <c r="HK2" s="412"/>
      <c r="HL2" s="412"/>
      <c r="HM2" s="413"/>
      <c r="HN2" s="408" t="s">
        <v>934</v>
      </c>
      <c r="HO2" s="409"/>
      <c r="HP2" s="409"/>
      <c r="HQ2" s="409"/>
      <c r="HR2" s="409"/>
      <c r="HS2" s="409"/>
      <c r="HT2" s="410"/>
      <c r="HU2" s="411" t="s">
        <v>935</v>
      </c>
      <c r="HV2" s="412"/>
      <c r="HW2" s="412"/>
      <c r="HX2" s="412"/>
      <c r="HY2" s="412"/>
      <c r="HZ2" s="412"/>
      <c r="IA2" s="413"/>
      <c r="IB2" s="408" t="s">
        <v>936</v>
      </c>
      <c r="IC2" s="409"/>
      <c r="ID2" s="409"/>
      <c r="IE2" s="409"/>
      <c r="IF2" s="409"/>
      <c r="IG2" s="409"/>
      <c r="IH2" s="410"/>
      <c r="II2" s="411" t="s">
        <v>937</v>
      </c>
      <c r="IJ2" s="412"/>
      <c r="IK2" s="412"/>
      <c r="IL2" s="412"/>
      <c r="IM2" s="412"/>
      <c r="IN2" s="412"/>
      <c r="IO2" s="413"/>
      <c r="IP2" s="408" t="s">
        <v>938</v>
      </c>
      <c r="IQ2" s="409"/>
      <c r="IR2" s="409"/>
      <c r="IS2" s="409"/>
      <c r="IT2" s="409"/>
      <c r="IU2" s="409"/>
      <c r="IV2" s="410"/>
      <c r="IW2" s="411" t="s">
        <v>939</v>
      </c>
      <c r="IX2" s="412"/>
      <c r="IY2" s="412"/>
      <c r="IZ2" s="412"/>
      <c r="JA2" s="412"/>
      <c r="JB2" s="412"/>
      <c r="JC2" s="413"/>
      <c r="JD2" s="408" t="s">
        <v>940</v>
      </c>
      <c r="JE2" s="409"/>
      <c r="JF2" s="409"/>
      <c r="JG2" s="409"/>
      <c r="JH2" s="409"/>
      <c r="JI2" s="409"/>
      <c r="JJ2" s="410"/>
      <c r="JK2" s="411" t="s">
        <v>941</v>
      </c>
      <c r="JL2" s="412"/>
      <c r="JM2" s="412"/>
      <c r="JN2" s="412"/>
      <c r="JO2" s="412"/>
      <c r="JP2" s="412"/>
      <c r="JQ2" s="413"/>
      <c r="JR2" s="408" t="s">
        <v>942</v>
      </c>
      <c r="JS2" s="409"/>
      <c r="JT2" s="409"/>
      <c r="JU2" s="409"/>
      <c r="JV2" s="409"/>
      <c r="JW2" s="409"/>
      <c r="JX2" s="410"/>
      <c r="JY2" s="411" t="s">
        <v>943</v>
      </c>
      <c r="JZ2" s="412"/>
      <c r="KA2" s="412"/>
      <c r="KB2" s="412"/>
      <c r="KC2" s="412"/>
      <c r="KD2" s="412"/>
      <c r="KE2" s="413"/>
      <c r="KF2" s="408" t="s">
        <v>944</v>
      </c>
      <c r="KG2" s="409"/>
      <c r="KH2" s="409"/>
      <c r="KI2" s="409"/>
      <c r="KJ2" s="409"/>
      <c r="KK2" s="409"/>
      <c r="KL2" s="410"/>
      <c r="KM2" s="411" t="s">
        <v>945</v>
      </c>
      <c r="KN2" s="412"/>
      <c r="KO2" s="412"/>
      <c r="KP2" s="412"/>
      <c r="KQ2" s="412"/>
      <c r="KR2" s="412"/>
      <c r="KS2" s="413"/>
      <c r="KT2" s="408" t="s">
        <v>946</v>
      </c>
      <c r="KU2" s="409"/>
      <c r="KV2" s="409"/>
      <c r="KW2" s="409"/>
      <c r="KX2" s="409"/>
      <c r="KY2" s="409"/>
      <c r="KZ2" s="410"/>
      <c r="LA2" s="411" t="s">
        <v>947</v>
      </c>
      <c r="LB2" s="412"/>
      <c r="LC2" s="412"/>
      <c r="LD2" s="412"/>
      <c r="LE2" s="412"/>
      <c r="LF2" s="412"/>
      <c r="LG2" s="413"/>
      <c r="LH2" s="408" t="s">
        <v>948</v>
      </c>
      <c r="LI2" s="409"/>
      <c r="LJ2" s="409"/>
      <c r="LK2" s="409"/>
      <c r="LL2" s="409"/>
      <c r="LM2" s="409"/>
      <c r="LN2" s="410"/>
      <c r="LO2" s="411" t="s">
        <v>949</v>
      </c>
      <c r="LP2" s="412"/>
      <c r="LQ2" s="412"/>
      <c r="LR2" s="412"/>
      <c r="LS2" s="412"/>
      <c r="LT2" s="412"/>
      <c r="LU2" s="413"/>
      <c r="LV2" s="408" t="s">
        <v>950</v>
      </c>
      <c r="LW2" s="409"/>
      <c r="LX2" s="409"/>
      <c r="LY2" s="409"/>
      <c r="LZ2" s="409"/>
      <c r="MA2" s="409"/>
      <c r="MB2" s="410"/>
      <c r="MC2" s="411" t="s">
        <v>951</v>
      </c>
      <c r="MD2" s="412"/>
      <c r="ME2" s="412"/>
      <c r="MF2" s="412"/>
      <c r="MG2" s="412"/>
      <c r="MH2" s="412"/>
      <c r="MI2" s="413"/>
      <c r="MJ2" s="408" t="s">
        <v>952</v>
      </c>
      <c r="MK2" s="409"/>
      <c r="ML2" s="409"/>
      <c r="MM2" s="409"/>
      <c r="MN2" s="409"/>
      <c r="MO2" s="409"/>
      <c r="MP2" s="410"/>
      <c r="MQ2" s="411" t="s">
        <v>953</v>
      </c>
      <c r="MR2" s="412"/>
      <c r="MS2" s="412"/>
      <c r="MT2" s="412"/>
      <c r="MU2" s="412"/>
      <c r="MV2" s="412"/>
      <c r="MW2" s="413"/>
      <c r="MX2" s="408" t="s">
        <v>954</v>
      </c>
      <c r="MY2" s="409"/>
      <c r="MZ2" s="409"/>
      <c r="NA2" s="409"/>
      <c r="NB2" s="409"/>
      <c r="NC2" s="409"/>
      <c r="ND2" s="410"/>
      <c r="NE2" s="411" t="s">
        <v>903</v>
      </c>
      <c r="NF2" s="412"/>
      <c r="NG2" s="413"/>
      <c r="NH2" s="406"/>
    </row>
    <row r="3" spans="1:372" ht="62.1" customHeight="1">
      <c r="A3" s="341" t="s">
        <v>887</v>
      </c>
      <c r="B3" s="341" t="s">
        <v>9</v>
      </c>
      <c r="C3" s="342"/>
      <c r="D3" s="342"/>
      <c r="E3" s="343"/>
      <c r="F3" s="357"/>
      <c r="G3" s="332">
        <v>45658</v>
      </c>
      <c r="H3" s="332">
        <f>G3+1</f>
        <v>45659</v>
      </c>
      <c r="I3" s="332">
        <f t="shared" ref="I3:BT3" si="0">H3+1</f>
        <v>45660</v>
      </c>
      <c r="J3" s="332">
        <f t="shared" si="0"/>
        <v>45661</v>
      </c>
      <c r="K3" s="332">
        <f t="shared" si="0"/>
        <v>45662</v>
      </c>
      <c r="L3" s="332">
        <f t="shared" si="0"/>
        <v>45663</v>
      </c>
      <c r="M3" s="332">
        <f t="shared" si="0"/>
        <v>45664</v>
      </c>
      <c r="N3" s="332">
        <f t="shared" si="0"/>
        <v>45665</v>
      </c>
      <c r="O3" s="332">
        <f t="shared" si="0"/>
        <v>45666</v>
      </c>
      <c r="P3" s="332">
        <f t="shared" si="0"/>
        <v>45667</v>
      </c>
      <c r="Q3" s="332">
        <f t="shared" si="0"/>
        <v>45668</v>
      </c>
      <c r="R3" s="332">
        <f t="shared" si="0"/>
        <v>45669</v>
      </c>
      <c r="S3" s="332">
        <f t="shared" si="0"/>
        <v>45670</v>
      </c>
      <c r="T3" s="332">
        <f t="shared" si="0"/>
        <v>45671</v>
      </c>
      <c r="U3" s="332">
        <f t="shared" si="0"/>
        <v>45672</v>
      </c>
      <c r="V3" s="332">
        <f t="shared" si="0"/>
        <v>45673</v>
      </c>
      <c r="W3" s="332">
        <f t="shared" si="0"/>
        <v>45674</v>
      </c>
      <c r="X3" s="332">
        <f t="shared" si="0"/>
        <v>45675</v>
      </c>
      <c r="Y3" s="332">
        <f t="shared" si="0"/>
        <v>45676</v>
      </c>
      <c r="Z3" s="332">
        <f t="shared" si="0"/>
        <v>45677</v>
      </c>
      <c r="AA3" s="332">
        <f t="shared" si="0"/>
        <v>45678</v>
      </c>
      <c r="AB3" s="332">
        <f t="shared" si="0"/>
        <v>45679</v>
      </c>
      <c r="AC3" s="332">
        <f t="shared" si="0"/>
        <v>45680</v>
      </c>
      <c r="AD3" s="332">
        <f t="shared" si="0"/>
        <v>45681</v>
      </c>
      <c r="AE3" s="332">
        <f t="shared" si="0"/>
        <v>45682</v>
      </c>
      <c r="AF3" s="332">
        <f t="shared" si="0"/>
        <v>45683</v>
      </c>
      <c r="AG3" s="332">
        <f t="shared" si="0"/>
        <v>45684</v>
      </c>
      <c r="AH3" s="332">
        <f t="shared" si="0"/>
        <v>45685</v>
      </c>
      <c r="AI3" s="332">
        <f t="shared" si="0"/>
        <v>45686</v>
      </c>
      <c r="AJ3" s="332">
        <f t="shared" si="0"/>
        <v>45687</v>
      </c>
      <c r="AK3" s="332">
        <f t="shared" si="0"/>
        <v>45688</v>
      </c>
      <c r="AL3" s="332">
        <f t="shared" si="0"/>
        <v>45689</v>
      </c>
      <c r="AM3" s="332">
        <f t="shared" si="0"/>
        <v>45690</v>
      </c>
      <c r="AN3" s="332">
        <f t="shared" si="0"/>
        <v>45691</v>
      </c>
      <c r="AO3" s="332">
        <f t="shared" si="0"/>
        <v>45692</v>
      </c>
      <c r="AP3" s="332">
        <f t="shared" si="0"/>
        <v>45693</v>
      </c>
      <c r="AQ3" s="332">
        <f t="shared" si="0"/>
        <v>45694</v>
      </c>
      <c r="AR3" s="332">
        <f t="shared" si="0"/>
        <v>45695</v>
      </c>
      <c r="AS3" s="332">
        <f t="shared" si="0"/>
        <v>45696</v>
      </c>
      <c r="AT3" s="332">
        <f t="shared" si="0"/>
        <v>45697</v>
      </c>
      <c r="AU3" s="332">
        <f t="shared" si="0"/>
        <v>45698</v>
      </c>
      <c r="AV3" s="332">
        <f t="shared" si="0"/>
        <v>45699</v>
      </c>
      <c r="AW3" s="332">
        <f t="shared" si="0"/>
        <v>45700</v>
      </c>
      <c r="AX3" s="332">
        <f t="shared" si="0"/>
        <v>45701</v>
      </c>
      <c r="AY3" s="332">
        <f t="shared" si="0"/>
        <v>45702</v>
      </c>
      <c r="AZ3" s="332">
        <f t="shared" si="0"/>
        <v>45703</v>
      </c>
      <c r="BA3" s="332">
        <f t="shared" si="0"/>
        <v>45704</v>
      </c>
      <c r="BB3" s="332">
        <f t="shared" si="0"/>
        <v>45705</v>
      </c>
      <c r="BC3" s="332">
        <f t="shared" si="0"/>
        <v>45706</v>
      </c>
      <c r="BD3" s="332">
        <f t="shared" si="0"/>
        <v>45707</v>
      </c>
      <c r="BE3" s="332">
        <f t="shared" si="0"/>
        <v>45708</v>
      </c>
      <c r="BF3" s="332">
        <f t="shared" si="0"/>
        <v>45709</v>
      </c>
      <c r="BG3" s="332">
        <f t="shared" si="0"/>
        <v>45710</v>
      </c>
      <c r="BH3" s="332">
        <f t="shared" si="0"/>
        <v>45711</v>
      </c>
      <c r="BI3" s="332">
        <f t="shared" si="0"/>
        <v>45712</v>
      </c>
      <c r="BJ3" s="332">
        <f t="shared" si="0"/>
        <v>45713</v>
      </c>
      <c r="BK3" s="332">
        <f t="shared" si="0"/>
        <v>45714</v>
      </c>
      <c r="BL3" s="332">
        <f t="shared" si="0"/>
        <v>45715</v>
      </c>
      <c r="BM3" s="332">
        <f t="shared" si="0"/>
        <v>45716</v>
      </c>
      <c r="BN3" s="332">
        <f t="shared" si="0"/>
        <v>45717</v>
      </c>
      <c r="BO3" s="332">
        <f t="shared" si="0"/>
        <v>45718</v>
      </c>
      <c r="BP3" s="332">
        <f t="shared" si="0"/>
        <v>45719</v>
      </c>
      <c r="BQ3" s="332">
        <f t="shared" si="0"/>
        <v>45720</v>
      </c>
      <c r="BR3" s="332">
        <f t="shared" si="0"/>
        <v>45721</v>
      </c>
      <c r="BS3" s="332">
        <f t="shared" si="0"/>
        <v>45722</v>
      </c>
      <c r="BT3" s="332">
        <f t="shared" si="0"/>
        <v>45723</v>
      </c>
      <c r="BU3" s="332">
        <f t="shared" ref="BU3:EF3" si="1">BT3+1</f>
        <v>45724</v>
      </c>
      <c r="BV3" s="332">
        <f t="shared" si="1"/>
        <v>45725</v>
      </c>
      <c r="BW3" s="332">
        <f t="shared" si="1"/>
        <v>45726</v>
      </c>
      <c r="BX3" s="332">
        <f t="shared" si="1"/>
        <v>45727</v>
      </c>
      <c r="BY3" s="332">
        <f t="shared" si="1"/>
        <v>45728</v>
      </c>
      <c r="BZ3" s="332">
        <f t="shared" si="1"/>
        <v>45729</v>
      </c>
      <c r="CA3" s="332">
        <f t="shared" si="1"/>
        <v>45730</v>
      </c>
      <c r="CB3" s="332">
        <f t="shared" si="1"/>
        <v>45731</v>
      </c>
      <c r="CC3" s="332">
        <f t="shared" si="1"/>
        <v>45732</v>
      </c>
      <c r="CD3" s="332">
        <f t="shared" si="1"/>
        <v>45733</v>
      </c>
      <c r="CE3" s="332">
        <f t="shared" si="1"/>
        <v>45734</v>
      </c>
      <c r="CF3" s="332">
        <f t="shared" si="1"/>
        <v>45735</v>
      </c>
      <c r="CG3" s="332">
        <f t="shared" si="1"/>
        <v>45736</v>
      </c>
      <c r="CH3" s="332">
        <f t="shared" si="1"/>
        <v>45737</v>
      </c>
      <c r="CI3" s="332">
        <f t="shared" si="1"/>
        <v>45738</v>
      </c>
      <c r="CJ3" s="332">
        <f t="shared" si="1"/>
        <v>45739</v>
      </c>
      <c r="CK3" s="332">
        <f t="shared" si="1"/>
        <v>45740</v>
      </c>
      <c r="CL3" s="332">
        <f t="shared" si="1"/>
        <v>45741</v>
      </c>
      <c r="CM3" s="332">
        <f t="shared" si="1"/>
        <v>45742</v>
      </c>
      <c r="CN3" s="332">
        <f t="shared" si="1"/>
        <v>45743</v>
      </c>
      <c r="CO3" s="332">
        <f t="shared" si="1"/>
        <v>45744</v>
      </c>
      <c r="CP3" s="332">
        <f t="shared" si="1"/>
        <v>45745</v>
      </c>
      <c r="CQ3" s="332">
        <f t="shared" si="1"/>
        <v>45746</v>
      </c>
      <c r="CR3" s="332">
        <f t="shared" si="1"/>
        <v>45747</v>
      </c>
      <c r="CS3" s="332">
        <f t="shared" si="1"/>
        <v>45748</v>
      </c>
      <c r="CT3" s="332">
        <f t="shared" si="1"/>
        <v>45749</v>
      </c>
      <c r="CU3" s="332">
        <f t="shared" si="1"/>
        <v>45750</v>
      </c>
      <c r="CV3" s="332">
        <f t="shared" si="1"/>
        <v>45751</v>
      </c>
      <c r="CW3" s="332">
        <f t="shared" si="1"/>
        <v>45752</v>
      </c>
      <c r="CX3" s="332">
        <f t="shared" si="1"/>
        <v>45753</v>
      </c>
      <c r="CY3" s="332">
        <f t="shared" si="1"/>
        <v>45754</v>
      </c>
      <c r="CZ3" s="332">
        <f t="shared" si="1"/>
        <v>45755</v>
      </c>
      <c r="DA3" s="332">
        <f t="shared" si="1"/>
        <v>45756</v>
      </c>
      <c r="DB3" s="332">
        <f t="shared" si="1"/>
        <v>45757</v>
      </c>
      <c r="DC3" s="332">
        <f t="shared" si="1"/>
        <v>45758</v>
      </c>
      <c r="DD3" s="332">
        <f t="shared" si="1"/>
        <v>45759</v>
      </c>
      <c r="DE3" s="332">
        <f t="shared" si="1"/>
        <v>45760</v>
      </c>
      <c r="DF3" s="332">
        <f t="shared" si="1"/>
        <v>45761</v>
      </c>
      <c r="DG3" s="332">
        <f t="shared" si="1"/>
        <v>45762</v>
      </c>
      <c r="DH3" s="332">
        <f t="shared" si="1"/>
        <v>45763</v>
      </c>
      <c r="DI3" s="332">
        <f t="shared" si="1"/>
        <v>45764</v>
      </c>
      <c r="DJ3" s="332">
        <f t="shared" si="1"/>
        <v>45765</v>
      </c>
      <c r="DK3" s="332">
        <f t="shared" si="1"/>
        <v>45766</v>
      </c>
      <c r="DL3" s="332">
        <f t="shared" si="1"/>
        <v>45767</v>
      </c>
      <c r="DM3" s="332">
        <f t="shared" si="1"/>
        <v>45768</v>
      </c>
      <c r="DN3" s="332">
        <f t="shared" si="1"/>
        <v>45769</v>
      </c>
      <c r="DO3" s="332">
        <f t="shared" si="1"/>
        <v>45770</v>
      </c>
      <c r="DP3" s="332">
        <f t="shared" si="1"/>
        <v>45771</v>
      </c>
      <c r="DQ3" s="332">
        <f t="shared" si="1"/>
        <v>45772</v>
      </c>
      <c r="DR3" s="332">
        <f t="shared" si="1"/>
        <v>45773</v>
      </c>
      <c r="DS3" s="332">
        <f t="shared" si="1"/>
        <v>45774</v>
      </c>
      <c r="DT3" s="332">
        <f t="shared" si="1"/>
        <v>45775</v>
      </c>
      <c r="DU3" s="332">
        <f t="shared" si="1"/>
        <v>45776</v>
      </c>
      <c r="DV3" s="332">
        <f t="shared" si="1"/>
        <v>45777</v>
      </c>
      <c r="DW3" s="332">
        <f t="shared" si="1"/>
        <v>45778</v>
      </c>
      <c r="DX3" s="332">
        <f t="shared" si="1"/>
        <v>45779</v>
      </c>
      <c r="DY3" s="332">
        <f t="shared" si="1"/>
        <v>45780</v>
      </c>
      <c r="DZ3" s="332">
        <f t="shared" si="1"/>
        <v>45781</v>
      </c>
      <c r="EA3" s="332">
        <f t="shared" si="1"/>
        <v>45782</v>
      </c>
      <c r="EB3" s="332">
        <f t="shared" si="1"/>
        <v>45783</v>
      </c>
      <c r="EC3" s="332">
        <f t="shared" si="1"/>
        <v>45784</v>
      </c>
      <c r="ED3" s="332">
        <f t="shared" si="1"/>
        <v>45785</v>
      </c>
      <c r="EE3" s="332">
        <f t="shared" si="1"/>
        <v>45786</v>
      </c>
      <c r="EF3" s="332">
        <f t="shared" si="1"/>
        <v>45787</v>
      </c>
      <c r="EG3" s="332">
        <f t="shared" ref="EG3:GR3" si="2">EF3+1</f>
        <v>45788</v>
      </c>
      <c r="EH3" s="332">
        <f t="shared" si="2"/>
        <v>45789</v>
      </c>
      <c r="EI3" s="332">
        <f t="shared" si="2"/>
        <v>45790</v>
      </c>
      <c r="EJ3" s="332">
        <f t="shared" si="2"/>
        <v>45791</v>
      </c>
      <c r="EK3" s="332">
        <f t="shared" si="2"/>
        <v>45792</v>
      </c>
      <c r="EL3" s="332">
        <f t="shared" si="2"/>
        <v>45793</v>
      </c>
      <c r="EM3" s="332">
        <f t="shared" si="2"/>
        <v>45794</v>
      </c>
      <c r="EN3" s="332">
        <f t="shared" si="2"/>
        <v>45795</v>
      </c>
      <c r="EO3" s="332">
        <f t="shared" si="2"/>
        <v>45796</v>
      </c>
      <c r="EP3" s="332">
        <f t="shared" si="2"/>
        <v>45797</v>
      </c>
      <c r="EQ3" s="332">
        <f t="shared" si="2"/>
        <v>45798</v>
      </c>
      <c r="ER3" s="332">
        <f t="shared" si="2"/>
        <v>45799</v>
      </c>
      <c r="ES3" s="332">
        <f t="shared" si="2"/>
        <v>45800</v>
      </c>
      <c r="ET3" s="332">
        <f t="shared" si="2"/>
        <v>45801</v>
      </c>
      <c r="EU3" s="332">
        <f t="shared" si="2"/>
        <v>45802</v>
      </c>
      <c r="EV3" s="332">
        <f t="shared" si="2"/>
        <v>45803</v>
      </c>
      <c r="EW3" s="332">
        <f t="shared" si="2"/>
        <v>45804</v>
      </c>
      <c r="EX3" s="332">
        <f t="shared" si="2"/>
        <v>45805</v>
      </c>
      <c r="EY3" s="332">
        <f t="shared" si="2"/>
        <v>45806</v>
      </c>
      <c r="EZ3" s="332">
        <f t="shared" si="2"/>
        <v>45807</v>
      </c>
      <c r="FA3" s="332">
        <f t="shared" si="2"/>
        <v>45808</v>
      </c>
      <c r="FB3" s="332">
        <f t="shared" si="2"/>
        <v>45809</v>
      </c>
      <c r="FC3" s="332">
        <f t="shared" si="2"/>
        <v>45810</v>
      </c>
      <c r="FD3" s="332">
        <f t="shared" si="2"/>
        <v>45811</v>
      </c>
      <c r="FE3" s="332">
        <f t="shared" si="2"/>
        <v>45812</v>
      </c>
      <c r="FF3" s="332">
        <f t="shared" si="2"/>
        <v>45813</v>
      </c>
      <c r="FG3" s="332">
        <f t="shared" si="2"/>
        <v>45814</v>
      </c>
      <c r="FH3" s="332">
        <f t="shared" si="2"/>
        <v>45815</v>
      </c>
      <c r="FI3" s="332">
        <f t="shared" si="2"/>
        <v>45816</v>
      </c>
      <c r="FJ3" s="332">
        <f t="shared" si="2"/>
        <v>45817</v>
      </c>
      <c r="FK3" s="332">
        <f t="shared" si="2"/>
        <v>45818</v>
      </c>
      <c r="FL3" s="332">
        <f t="shared" si="2"/>
        <v>45819</v>
      </c>
      <c r="FM3" s="332">
        <f t="shared" si="2"/>
        <v>45820</v>
      </c>
      <c r="FN3" s="332">
        <f t="shared" si="2"/>
        <v>45821</v>
      </c>
      <c r="FO3" s="332">
        <f t="shared" si="2"/>
        <v>45822</v>
      </c>
      <c r="FP3" s="332">
        <f t="shared" si="2"/>
        <v>45823</v>
      </c>
      <c r="FQ3" s="332">
        <f t="shared" si="2"/>
        <v>45824</v>
      </c>
      <c r="FR3" s="332">
        <f t="shared" si="2"/>
        <v>45825</v>
      </c>
      <c r="FS3" s="332">
        <f t="shared" si="2"/>
        <v>45826</v>
      </c>
      <c r="FT3" s="332">
        <f t="shared" si="2"/>
        <v>45827</v>
      </c>
      <c r="FU3" s="332">
        <f t="shared" si="2"/>
        <v>45828</v>
      </c>
      <c r="FV3" s="332">
        <f t="shared" si="2"/>
        <v>45829</v>
      </c>
      <c r="FW3" s="332">
        <f t="shared" si="2"/>
        <v>45830</v>
      </c>
      <c r="FX3" s="332">
        <f t="shared" si="2"/>
        <v>45831</v>
      </c>
      <c r="FY3" s="332">
        <f t="shared" si="2"/>
        <v>45832</v>
      </c>
      <c r="FZ3" s="332">
        <f t="shared" si="2"/>
        <v>45833</v>
      </c>
      <c r="GA3" s="332">
        <f t="shared" si="2"/>
        <v>45834</v>
      </c>
      <c r="GB3" s="332">
        <f t="shared" si="2"/>
        <v>45835</v>
      </c>
      <c r="GC3" s="332">
        <f t="shared" si="2"/>
        <v>45836</v>
      </c>
      <c r="GD3" s="332">
        <f t="shared" si="2"/>
        <v>45837</v>
      </c>
      <c r="GE3" s="332">
        <f t="shared" si="2"/>
        <v>45838</v>
      </c>
      <c r="GF3" s="332">
        <f t="shared" si="2"/>
        <v>45839</v>
      </c>
      <c r="GG3" s="332">
        <f t="shared" si="2"/>
        <v>45840</v>
      </c>
      <c r="GH3" s="332">
        <f t="shared" si="2"/>
        <v>45841</v>
      </c>
      <c r="GI3" s="332">
        <f t="shared" si="2"/>
        <v>45842</v>
      </c>
      <c r="GJ3" s="332">
        <f t="shared" si="2"/>
        <v>45843</v>
      </c>
      <c r="GK3" s="332">
        <f t="shared" si="2"/>
        <v>45844</v>
      </c>
      <c r="GL3" s="332">
        <f t="shared" si="2"/>
        <v>45845</v>
      </c>
      <c r="GM3" s="332">
        <f t="shared" si="2"/>
        <v>45846</v>
      </c>
      <c r="GN3" s="332">
        <f t="shared" si="2"/>
        <v>45847</v>
      </c>
      <c r="GO3" s="332">
        <f t="shared" si="2"/>
        <v>45848</v>
      </c>
      <c r="GP3" s="332">
        <f t="shared" si="2"/>
        <v>45849</v>
      </c>
      <c r="GQ3" s="332">
        <f t="shared" si="2"/>
        <v>45850</v>
      </c>
      <c r="GR3" s="332">
        <f t="shared" si="2"/>
        <v>45851</v>
      </c>
      <c r="GS3" s="332">
        <f t="shared" ref="GS3:JD3" si="3">GR3+1</f>
        <v>45852</v>
      </c>
      <c r="GT3" s="332">
        <f t="shared" si="3"/>
        <v>45853</v>
      </c>
      <c r="GU3" s="332">
        <f t="shared" si="3"/>
        <v>45854</v>
      </c>
      <c r="GV3" s="332">
        <f t="shared" si="3"/>
        <v>45855</v>
      </c>
      <c r="GW3" s="332">
        <f t="shared" si="3"/>
        <v>45856</v>
      </c>
      <c r="GX3" s="332">
        <f t="shared" si="3"/>
        <v>45857</v>
      </c>
      <c r="GY3" s="332">
        <f t="shared" si="3"/>
        <v>45858</v>
      </c>
      <c r="GZ3" s="332">
        <f t="shared" si="3"/>
        <v>45859</v>
      </c>
      <c r="HA3" s="332">
        <f t="shared" si="3"/>
        <v>45860</v>
      </c>
      <c r="HB3" s="332">
        <f t="shared" si="3"/>
        <v>45861</v>
      </c>
      <c r="HC3" s="332">
        <f t="shared" si="3"/>
        <v>45862</v>
      </c>
      <c r="HD3" s="332">
        <f t="shared" si="3"/>
        <v>45863</v>
      </c>
      <c r="HE3" s="332">
        <f t="shared" si="3"/>
        <v>45864</v>
      </c>
      <c r="HF3" s="332">
        <f t="shared" si="3"/>
        <v>45865</v>
      </c>
      <c r="HG3" s="332">
        <f t="shared" si="3"/>
        <v>45866</v>
      </c>
      <c r="HH3" s="332">
        <f t="shared" si="3"/>
        <v>45867</v>
      </c>
      <c r="HI3" s="332">
        <f t="shared" si="3"/>
        <v>45868</v>
      </c>
      <c r="HJ3" s="332">
        <f t="shared" si="3"/>
        <v>45869</v>
      </c>
      <c r="HK3" s="332">
        <f t="shared" si="3"/>
        <v>45870</v>
      </c>
      <c r="HL3" s="332">
        <f t="shared" si="3"/>
        <v>45871</v>
      </c>
      <c r="HM3" s="332">
        <f t="shared" si="3"/>
        <v>45872</v>
      </c>
      <c r="HN3" s="332">
        <f t="shared" si="3"/>
        <v>45873</v>
      </c>
      <c r="HO3" s="332">
        <f t="shared" si="3"/>
        <v>45874</v>
      </c>
      <c r="HP3" s="332">
        <f t="shared" si="3"/>
        <v>45875</v>
      </c>
      <c r="HQ3" s="332">
        <f t="shared" si="3"/>
        <v>45876</v>
      </c>
      <c r="HR3" s="332">
        <f t="shared" si="3"/>
        <v>45877</v>
      </c>
      <c r="HS3" s="332">
        <f t="shared" si="3"/>
        <v>45878</v>
      </c>
      <c r="HT3" s="332">
        <f t="shared" si="3"/>
        <v>45879</v>
      </c>
      <c r="HU3" s="332">
        <f t="shared" si="3"/>
        <v>45880</v>
      </c>
      <c r="HV3" s="332">
        <f t="shared" si="3"/>
        <v>45881</v>
      </c>
      <c r="HW3" s="332">
        <f t="shared" si="3"/>
        <v>45882</v>
      </c>
      <c r="HX3" s="332">
        <f t="shared" si="3"/>
        <v>45883</v>
      </c>
      <c r="HY3" s="332">
        <f t="shared" si="3"/>
        <v>45884</v>
      </c>
      <c r="HZ3" s="332">
        <f t="shared" si="3"/>
        <v>45885</v>
      </c>
      <c r="IA3" s="332">
        <f t="shared" si="3"/>
        <v>45886</v>
      </c>
      <c r="IB3" s="332">
        <f t="shared" si="3"/>
        <v>45887</v>
      </c>
      <c r="IC3" s="332">
        <f t="shared" si="3"/>
        <v>45888</v>
      </c>
      <c r="ID3" s="332">
        <f t="shared" si="3"/>
        <v>45889</v>
      </c>
      <c r="IE3" s="332">
        <f t="shared" si="3"/>
        <v>45890</v>
      </c>
      <c r="IF3" s="332">
        <f t="shared" si="3"/>
        <v>45891</v>
      </c>
      <c r="IG3" s="332">
        <f t="shared" si="3"/>
        <v>45892</v>
      </c>
      <c r="IH3" s="332">
        <f t="shared" si="3"/>
        <v>45893</v>
      </c>
      <c r="II3" s="332">
        <f t="shared" si="3"/>
        <v>45894</v>
      </c>
      <c r="IJ3" s="332">
        <f t="shared" si="3"/>
        <v>45895</v>
      </c>
      <c r="IK3" s="332">
        <f t="shared" si="3"/>
        <v>45896</v>
      </c>
      <c r="IL3" s="332">
        <f t="shared" si="3"/>
        <v>45897</v>
      </c>
      <c r="IM3" s="332">
        <f t="shared" si="3"/>
        <v>45898</v>
      </c>
      <c r="IN3" s="332">
        <f t="shared" si="3"/>
        <v>45899</v>
      </c>
      <c r="IO3" s="332">
        <f t="shared" si="3"/>
        <v>45900</v>
      </c>
      <c r="IP3" s="332">
        <f t="shared" si="3"/>
        <v>45901</v>
      </c>
      <c r="IQ3" s="332">
        <f t="shared" si="3"/>
        <v>45902</v>
      </c>
      <c r="IR3" s="332">
        <f t="shared" si="3"/>
        <v>45903</v>
      </c>
      <c r="IS3" s="332">
        <f t="shared" si="3"/>
        <v>45904</v>
      </c>
      <c r="IT3" s="332">
        <f t="shared" si="3"/>
        <v>45905</v>
      </c>
      <c r="IU3" s="332">
        <f t="shared" si="3"/>
        <v>45906</v>
      </c>
      <c r="IV3" s="332">
        <f t="shared" si="3"/>
        <v>45907</v>
      </c>
      <c r="IW3" s="332">
        <f t="shared" si="3"/>
        <v>45908</v>
      </c>
      <c r="IX3" s="332">
        <f t="shared" si="3"/>
        <v>45909</v>
      </c>
      <c r="IY3" s="332">
        <f t="shared" si="3"/>
        <v>45910</v>
      </c>
      <c r="IZ3" s="332">
        <f t="shared" si="3"/>
        <v>45911</v>
      </c>
      <c r="JA3" s="332">
        <f t="shared" si="3"/>
        <v>45912</v>
      </c>
      <c r="JB3" s="332">
        <f t="shared" si="3"/>
        <v>45913</v>
      </c>
      <c r="JC3" s="332">
        <f t="shared" si="3"/>
        <v>45914</v>
      </c>
      <c r="JD3" s="332">
        <f t="shared" si="3"/>
        <v>45915</v>
      </c>
      <c r="JE3" s="332">
        <f t="shared" ref="JE3:LP3" si="4">JD3+1</f>
        <v>45916</v>
      </c>
      <c r="JF3" s="332">
        <f t="shared" si="4"/>
        <v>45917</v>
      </c>
      <c r="JG3" s="332">
        <f t="shared" si="4"/>
        <v>45918</v>
      </c>
      <c r="JH3" s="332">
        <f t="shared" si="4"/>
        <v>45919</v>
      </c>
      <c r="JI3" s="332">
        <f t="shared" si="4"/>
        <v>45920</v>
      </c>
      <c r="JJ3" s="332">
        <f t="shared" si="4"/>
        <v>45921</v>
      </c>
      <c r="JK3" s="332">
        <f t="shared" si="4"/>
        <v>45922</v>
      </c>
      <c r="JL3" s="332">
        <f t="shared" si="4"/>
        <v>45923</v>
      </c>
      <c r="JM3" s="332">
        <f t="shared" si="4"/>
        <v>45924</v>
      </c>
      <c r="JN3" s="332">
        <f t="shared" si="4"/>
        <v>45925</v>
      </c>
      <c r="JO3" s="332">
        <f t="shared" si="4"/>
        <v>45926</v>
      </c>
      <c r="JP3" s="332">
        <f t="shared" si="4"/>
        <v>45927</v>
      </c>
      <c r="JQ3" s="332">
        <f t="shared" si="4"/>
        <v>45928</v>
      </c>
      <c r="JR3" s="332">
        <f t="shared" si="4"/>
        <v>45929</v>
      </c>
      <c r="JS3" s="332">
        <f t="shared" si="4"/>
        <v>45930</v>
      </c>
      <c r="JT3" s="332">
        <f t="shared" si="4"/>
        <v>45931</v>
      </c>
      <c r="JU3" s="332">
        <f t="shared" si="4"/>
        <v>45932</v>
      </c>
      <c r="JV3" s="332">
        <f t="shared" si="4"/>
        <v>45933</v>
      </c>
      <c r="JW3" s="332">
        <f t="shared" si="4"/>
        <v>45934</v>
      </c>
      <c r="JX3" s="332">
        <f t="shared" si="4"/>
        <v>45935</v>
      </c>
      <c r="JY3" s="332">
        <f t="shared" si="4"/>
        <v>45936</v>
      </c>
      <c r="JZ3" s="332">
        <f t="shared" si="4"/>
        <v>45937</v>
      </c>
      <c r="KA3" s="332">
        <f t="shared" si="4"/>
        <v>45938</v>
      </c>
      <c r="KB3" s="332">
        <f t="shared" si="4"/>
        <v>45939</v>
      </c>
      <c r="KC3" s="332">
        <f t="shared" si="4"/>
        <v>45940</v>
      </c>
      <c r="KD3" s="332">
        <f t="shared" si="4"/>
        <v>45941</v>
      </c>
      <c r="KE3" s="332">
        <f t="shared" si="4"/>
        <v>45942</v>
      </c>
      <c r="KF3" s="332">
        <f t="shared" si="4"/>
        <v>45943</v>
      </c>
      <c r="KG3" s="332">
        <f t="shared" si="4"/>
        <v>45944</v>
      </c>
      <c r="KH3" s="332">
        <f t="shared" si="4"/>
        <v>45945</v>
      </c>
      <c r="KI3" s="332">
        <f t="shared" si="4"/>
        <v>45946</v>
      </c>
      <c r="KJ3" s="332">
        <f t="shared" si="4"/>
        <v>45947</v>
      </c>
      <c r="KK3" s="332">
        <f t="shared" si="4"/>
        <v>45948</v>
      </c>
      <c r="KL3" s="332">
        <f t="shared" si="4"/>
        <v>45949</v>
      </c>
      <c r="KM3" s="332">
        <f t="shared" si="4"/>
        <v>45950</v>
      </c>
      <c r="KN3" s="332">
        <f t="shared" si="4"/>
        <v>45951</v>
      </c>
      <c r="KO3" s="332">
        <f t="shared" si="4"/>
        <v>45952</v>
      </c>
      <c r="KP3" s="332">
        <f t="shared" si="4"/>
        <v>45953</v>
      </c>
      <c r="KQ3" s="332">
        <f t="shared" si="4"/>
        <v>45954</v>
      </c>
      <c r="KR3" s="332">
        <f t="shared" si="4"/>
        <v>45955</v>
      </c>
      <c r="KS3" s="332">
        <f t="shared" si="4"/>
        <v>45956</v>
      </c>
      <c r="KT3" s="332">
        <f t="shared" si="4"/>
        <v>45957</v>
      </c>
      <c r="KU3" s="332">
        <f t="shared" si="4"/>
        <v>45958</v>
      </c>
      <c r="KV3" s="332">
        <f t="shared" si="4"/>
        <v>45959</v>
      </c>
      <c r="KW3" s="332">
        <f t="shared" si="4"/>
        <v>45960</v>
      </c>
      <c r="KX3" s="332">
        <f t="shared" si="4"/>
        <v>45961</v>
      </c>
      <c r="KY3" s="332">
        <f t="shared" si="4"/>
        <v>45962</v>
      </c>
      <c r="KZ3" s="332">
        <f t="shared" si="4"/>
        <v>45963</v>
      </c>
      <c r="LA3" s="332">
        <f t="shared" si="4"/>
        <v>45964</v>
      </c>
      <c r="LB3" s="332">
        <f t="shared" si="4"/>
        <v>45965</v>
      </c>
      <c r="LC3" s="332">
        <f t="shared" si="4"/>
        <v>45966</v>
      </c>
      <c r="LD3" s="332">
        <f t="shared" si="4"/>
        <v>45967</v>
      </c>
      <c r="LE3" s="332">
        <f t="shared" si="4"/>
        <v>45968</v>
      </c>
      <c r="LF3" s="332">
        <f t="shared" si="4"/>
        <v>45969</v>
      </c>
      <c r="LG3" s="332">
        <f t="shared" si="4"/>
        <v>45970</v>
      </c>
      <c r="LH3" s="332">
        <f t="shared" si="4"/>
        <v>45971</v>
      </c>
      <c r="LI3" s="332">
        <f t="shared" si="4"/>
        <v>45972</v>
      </c>
      <c r="LJ3" s="332">
        <f t="shared" si="4"/>
        <v>45973</v>
      </c>
      <c r="LK3" s="332">
        <f t="shared" si="4"/>
        <v>45974</v>
      </c>
      <c r="LL3" s="332">
        <f t="shared" si="4"/>
        <v>45975</v>
      </c>
      <c r="LM3" s="332">
        <f t="shared" si="4"/>
        <v>45976</v>
      </c>
      <c r="LN3" s="332">
        <f t="shared" si="4"/>
        <v>45977</v>
      </c>
      <c r="LO3" s="332">
        <f t="shared" si="4"/>
        <v>45978</v>
      </c>
      <c r="LP3" s="332">
        <f t="shared" si="4"/>
        <v>45979</v>
      </c>
      <c r="LQ3" s="332">
        <f t="shared" ref="LQ3:NG3" si="5">LP3+1</f>
        <v>45980</v>
      </c>
      <c r="LR3" s="332">
        <f t="shared" si="5"/>
        <v>45981</v>
      </c>
      <c r="LS3" s="332">
        <f t="shared" si="5"/>
        <v>45982</v>
      </c>
      <c r="LT3" s="332">
        <f t="shared" si="5"/>
        <v>45983</v>
      </c>
      <c r="LU3" s="332">
        <f t="shared" si="5"/>
        <v>45984</v>
      </c>
      <c r="LV3" s="332">
        <f t="shared" si="5"/>
        <v>45985</v>
      </c>
      <c r="LW3" s="332">
        <f t="shared" si="5"/>
        <v>45986</v>
      </c>
      <c r="LX3" s="332">
        <f t="shared" si="5"/>
        <v>45987</v>
      </c>
      <c r="LY3" s="332">
        <f t="shared" si="5"/>
        <v>45988</v>
      </c>
      <c r="LZ3" s="332">
        <f t="shared" si="5"/>
        <v>45989</v>
      </c>
      <c r="MA3" s="332">
        <f t="shared" si="5"/>
        <v>45990</v>
      </c>
      <c r="MB3" s="332">
        <f t="shared" si="5"/>
        <v>45991</v>
      </c>
      <c r="MC3" s="332">
        <f t="shared" si="5"/>
        <v>45992</v>
      </c>
      <c r="MD3" s="332">
        <f t="shared" si="5"/>
        <v>45993</v>
      </c>
      <c r="ME3" s="332">
        <f t="shared" si="5"/>
        <v>45994</v>
      </c>
      <c r="MF3" s="332">
        <f t="shared" si="5"/>
        <v>45995</v>
      </c>
      <c r="MG3" s="332">
        <f t="shared" si="5"/>
        <v>45996</v>
      </c>
      <c r="MH3" s="332">
        <f t="shared" si="5"/>
        <v>45997</v>
      </c>
      <c r="MI3" s="332">
        <f t="shared" si="5"/>
        <v>45998</v>
      </c>
      <c r="MJ3" s="332">
        <f t="shared" si="5"/>
        <v>45999</v>
      </c>
      <c r="MK3" s="332">
        <f t="shared" si="5"/>
        <v>46000</v>
      </c>
      <c r="ML3" s="332">
        <f t="shared" si="5"/>
        <v>46001</v>
      </c>
      <c r="MM3" s="332">
        <f t="shared" si="5"/>
        <v>46002</v>
      </c>
      <c r="MN3" s="332">
        <f t="shared" si="5"/>
        <v>46003</v>
      </c>
      <c r="MO3" s="332">
        <f t="shared" si="5"/>
        <v>46004</v>
      </c>
      <c r="MP3" s="332">
        <f t="shared" si="5"/>
        <v>46005</v>
      </c>
      <c r="MQ3" s="332">
        <f t="shared" si="5"/>
        <v>46006</v>
      </c>
      <c r="MR3" s="332">
        <f t="shared" si="5"/>
        <v>46007</v>
      </c>
      <c r="MS3" s="332">
        <f t="shared" si="5"/>
        <v>46008</v>
      </c>
      <c r="MT3" s="332">
        <f t="shared" si="5"/>
        <v>46009</v>
      </c>
      <c r="MU3" s="332">
        <f t="shared" si="5"/>
        <v>46010</v>
      </c>
      <c r="MV3" s="332">
        <f t="shared" si="5"/>
        <v>46011</v>
      </c>
      <c r="MW3" s="332">
        <f t="shared" si="5"/>
        <v>46012</v>
      </c>
      <c r="MX3" s="332">
        <f t="shared" si="5"/>
        <v>46013</v>
      </c>
      <c r="MY3" s="332">
        <f t="shared" si="5"/>
        <v>46014</v>
      </c>
      <c r="MZ3" s="332">
        <f t="shared" si="5"/>
        <v>46015</v>
      </c>
      <c r="NA3" s="332">
        <f t="shared" si="5"/>
        <v>46016</v>
      </c>
      <c r="NB3" s="332">
        <f t="shared" si="5"/>
        <v>46017</v>
      </c>
      <c r="NC3" s="332">
        <f t="shared" si="5"/>
        <v>46018</v>
      </c>
      <c r="ND3" s="332">
        <f t="shared" si="5"/>
        <v>46019</v>
      </c>
      <c r="NE3" s="332">
        <f t="shared" si="5"/>
        <v>46020</v>
      </c>
      <c r="NF3" s="332">
        <f t="shared" si="5"/>
        <v>46021</v>
      </c>
      <c r="NG3" s="332">
        <f t="shared" si="5"/>
        <v>46022</v>
      </c>
      <c r="NH3" s="406"/>
    </row>
    <row r="4" spans="1:372">
      <c r="A4" s="251" t="s">
        <v>955</v>
      </c>
      <c r="B4" s="251" t="s">
        <v>334</v>
      </c>
      <c r="C4" s="251" t="s">
        <v>675</v>
      </c>
      <c r="D4" s="251" t="s">
        <v>997</v>
      </c>
      <c r="E4" s="241">
        <v>438.53584988944442</v>
      </c>
      <c r="F4" s="241">
        <v>312</v>
      </c>
      <c r="G4" s="242"/>
      <c r="H4" s="242"/>
      <c r="I4" s="242"/>
      <c r="J4" s="242"/>
      <c r="K4" s="242"/>
      <c r="L4" s="243"/>
      <c r="M4" s="243"/>
      <c r="N4" s="243"/>
      <c r="O4" s="243"/>
      <c r="P4" s="243"/>
      <c r="Q4" s="243"/>
      <c r="R4" s="243"/>
      <c r="S4" s="242"/>
      <c r="T4" s="242"/>
      <c r="U4" s="242"/>
      <c r="V4" s="242"/>
      <c r="W4" s="242"/>
      <c r="X4" s="242"/>
      <c r="Y4" s="242"/>
      <c r="Z4" s="243"/>
      <c r="AA4" s="243"/>
      <c r="AB4" s="243"/>
      <c r="AC4" s="243"/>
      <c r="AD4" s="243"/>
      <c r="AE4" s="243"/>
      <c r="AF4" s="243"/>
      <c r="AG4" s="242"/>
      <c r="AH4" s="242"/>
      <c r="AI4" s="242"/>
      <c r="AJ4" s="242"/>
      <c r="AK4" s="242"/>
      <c r="AL4" s="242"/>
      <c r="AM4" s="242"/>
      <c r="AN4" s="243"/>
      <c r="AO4" s="243"/>
      <c r="AP4" s="243"/>
      <c r="AQ4" s="243"/>
      <c r="AR4" s="243"/>
      <c r="AS4" s="243"/>
      <c r="AT4" s="243"/>
      <c r="AU4" s="242"/>
      <c r="AV4" s="242"/>
      <c r="AW4" s="242"/>
      <c r="AX4" s="242"/>
      <c r="AY4" s="242"/>
      <c r="AZ4" s="242"/>
      <c r="BA4" s="242"/>
      <c r="BB4" s="243"/>
      <c r="BC4" s="243"/>
      <c r="BD4" s="243"/>
      <c r="BE4" s="243"/>
      <c r="BF4" s="243"/>
      <c r="BG4" s="243"/>
      <c r="BH4" s="243"/>
      <c r="BI4" s="242"/>
      <c r="BJ4" s="242"/>
      <c r="BK4" s="242"/>
      <c r="BL4" s="242"/>
      <c r="BM4" s="242"/>
      <c r="BN4" s="242"/>
      <c r="BO4" s="242"/>
      <c r="BP4" s="243"/>
      <c r="BQ4" s="243"/>
      <c r="BR4" s="243"/>
      <c r="BS4" s="243"/>
      <c r="BT4" s="243"/>
      <c r="BU4" s="243"/>
      <c r="BV4" s="243"/>
      <c r="BW4" s="242"/>
      <c r="BX4" s="242"/>
      <c r="BY4" s="242"/>
      <c r="BZ4" s="242"/>
      <c r="CA4" s="242"/>
      <c r="CB4" s="242"/>
      <c r="CC4" s="242"/>
      <c r="CD4" s="243"/>
      <c r="CE4" s="243"/>
      <c r="CF4" s="243">
        <v>24</v>
      </c>
      <c r="CG4" s="243">
        <v>24</v>
      </c>
      <c r="CH4" s="243">
        <v>24</v>
      </c>
      <c r="CI4" s="243"/>
      <c r="CJ4" s="243"/>
      <c r="CK4" s="242"/>
      <c r="CL4" s="242"/>
      <c r="CM4" s="242"/>
      <c r="CN4" s="242"/>
      <c r="CO4" s="242"/>
      <c r="CP4" s="242"/>
      <c r="CQ4" s="242"/>
      <c r="CR4" s="243"/>
      <c r="CS4" s="243"/>
      <c r="CT4" s="243"/>
      <c r="CU4" s="243"/>
      <c r="CV4" s="243"/>
      <c r="CW4" s="243"/>
      <c r="CX4" s="243"/>
      <c r="CY4" s="242"/>
      <c r="CZ4" s="242"/>
      <c r="DA4" s="242"/>
      <c r="DB4" s="242"/>
      <c r="DC4" s="242"/>
      <c r="DD4" s="242"/>
      <c r="DE4" s="242"/>
      <c r="DF4" s="243"/>
      <c r="DG4" s="243"/>
      <c r="DH4" s="243"/>
      <c r="DI4" s="243"/>
      <c r="DJ4" s="243"/>
      <c r="DK4" s="243"/>
      <c r="DL4" s="243"/>
      <c r="DM4" s="242"/>
      <c r="DN4" s="242"/>
      <c r="DO4" s="242"/>
      <c r="DP4" s="242"/>
      <c r="DQ4" s="242"/>
      <c r="DR4" s="242"/>
      <c r="DS4" s="242"/>
      <c r="DT4" s="243"/>
      <c r="DU4" s="243"/>
      <c r="DV4" s="243"/>
      <c r="DW4" s="243"/>
      <c r="DX4" s="243"/>
      <c r="DY4" s="243"/>
      <c r="DZ4" s="243"/>
      <c r="EA4" s="242"/>
      <c r="EB4" s="242"/>
      <c r="EC4" s="242"/>
      <c r="ED4" s="242"/>
      <c r="EE4" s="242"/>
      <c r="EF4" s="242"/>
      <c r="EG4" s="242"/>
      <c r="EH4" s="243"/>
      <c r="EI4" s="243"/>
      <c r="EJ4" s="243"/>
      <c r="EK4" s="243"/>
      <c r="EL4" s="243"/>
      <c r="EM4" s="243"/>
      <c r="EN4" s="243"/>
      <c r="EO4" s="242"/>
      <c r="EP4" s="242">
        <v>24</v>
      </c>
      <c r="EQ4" s="242">
        <v>24</v>
      </c>
      <c r="ER4" s="242">
        <v>24</v>
      </c>
      <c r="ES4" s="242">
        <v>24</v>
      </c>
      <c r="ET4" s="242">
        <v>24</v>
      </c>
      <c r="EU4" s="242"/>
      <c r="EV4" s="243"/>
      <c r="EW4" s="243"/>
      <c r="EX4" s="243"/>
      <c r="EY4" s="243"/>
      <c r="EZ4" s="243"/>
      <c r="FA4" s="243"/>
      <c r="FB4" s="243"/>
      <c r="FC4" s="242"/>
      <c r="FD4" s="242"/>
      <c r="FE4" s="242"/>
      <c r="FF4" s="242"/>
      <c r="FG4" s="242"/>
      <c r="FH4" s="242"/>
      <c r="FI4" s="242"/>
      <c r="FJ4" s="243"/>
      <c r="FK4" s="243"/>
      <c r="FL4" s="243"/>
      <c r="FM4" s="243"/>
      <c r="FN4" s="243"/>
      <c r="FO4" s="243"/>
      <c r="FP4" s="243"/>
      <c r="FQ4" s="242"/>
      <c r="FR4" s="242"/>
      <c r="FS4" s="242"/>
      <c r="FT4" s="242"/>
      <c r="FU4" s="242"/>
      <c r="FV4" s="242"/>
      <c r="FW4" s="242"/>
      <c r="FX4" s="243"/>
      <c r="FY4" s="243"/>
      <c r="FZ4" s="243"/>
      <c r="GA4" s="243"/>
      <c r="GB4" s="243"/>
      <c r="GC4" s="243"/>
      <c r="GD4" s="243"/>
      <c r="GE4" s="242"/>
      <c r="GF4" s="242"/>
      <c r="GG4" s="242"/>
      <c r="GH4" s="242"/>
      <c r="GI4" s="242"/>
      <c r="GJ4" s="242"/>
      <c r="GK4" s="242"/>
      <c r="GL4" s="243"/>
      <c r="GM4" s="243"/>
      <c r="GN4" s="243"/>
      <c r="GO4" s="243"/>
      <c r="GP4" s="243"/>
      <c r="GQ4" s="243"/>
      <c r="GR4" s="243"/>
      <c r="GS4" s="242"/>
      <c r="GT4" s="242"/>
      <c r="GU4" s="242"/>
      <c r="GV4" s="242"/>
      <c r="GW4" s="242"/>
      <c r="GX4" s="242"/>
      <c r="GY4" s="242"/>
      <c r="GZ4" s="243"/>
      <c r="HA4" s="243"/>
      <c r="HB4" s="243"/>
      <c r="HC4" s="243"/>
      <c r="HD4" s="243"/>
      <c r="HE4" s="243"/>
      <c r="HF4" s="243"/>
      <c r="HG4" s="242"/>
      <c r="HH4" s="242"/>
      <c r="HI4" s="242"/>
      <c r="HJ4" s="242"/>
      <c r="HK4" s="242"/>
      <c r="HL4" s="242"/>
      <c r="HM4" s="242"/>
      <c r="HN4" s="243"/>
      <c r="HO4" s="243"/>
      <c r="HP4" s="243"/>
      <c r="HQ4" s="243"/>
      <c r="HR4" s="243"/>
      <c r="HS4" s="243"/>
      <c r="HT4" s="243"/>
      <c r="HU4" s="242"/>
      <c r="HV4" s="242"/>
      <c r="HW4" s="242"/>
      <c r="HX4" s="242">
        <v>24</v>
      </c>
      <c r="HY4" s="242"/>
      <c r="HZ4" s="242"/>
      <c r="IA4" s="242"/>
      <c r="IB4" s="243"/>
      <c r="IC4" s="243"/>
      <c r="ID4" s="243"/>
      <c r="IE4" s="243"/>
      <c r="IF4" s="243"/>
      <c r="IG4" s="243"/>
      <c r="IH4" s="243"/>
      <c r="II4" s="242"/>
      <c r="IJ4" s="242"/>
      <c r="IK4" s="242"/>
      <c r="IL4" s="242"/>
      <c r="IM4" s="242"/>
      <c r="IN4" s="242"/>
      <c r="IO4" s="242"/>
      <c r="IP4" s="243"/>
      <c r="IQ4" s="243"/>
      <c r="IR4" s="243"/>
      <c r="IS4" s="243"/>
      <c r="IT4" s="243"/>
      <c r="IU4" s="243"/>
      <c r="IV4" s="243"/>
      <c r="IW4" s="242"/>
      <c r="IX4" s="242"/>
      <c r="IY4" s="242"/>
      <c r="IZ4" s="242"/>
      <c r="JA4" s="242"/>
      <c r="JB4" s="242"/>
      <c r="JC4" s="242"/>
      <c r="JD4" s="243"/>
      <c r="JE4" s="243"/>
      <c r="JF4" s="243"/>
      <c r="JG4" s="243"/>
      <c r="JH4" s="243"/>
      <c r="JI4" s="243"/>
      <c r="JJ4" s="243"/>
      <c r="JK4" s="242"/>
      <c r="JL4" s="242"/>
      <c r="JM4" s="242"/>
      <c r="JN4" s="242"/>
      <c r="JO4" s="242"/>
      <c r="JP4" s="242"/>
      <c r="JQ4" s="242"/>
      <c r="JR4" s="243">
        <v>24</v>
      </c>
      <c r="JS4" s="243">
        <v>24</v>
      </c>
      <c r="JT4" s="243">
        <v>24</v>
      </c>
      <c r="JU4" s="243">
        <v>24</v>
      </c>
      <c r="JV4" s="243"/>
      <c r="JW4" s="243"/>
      <c r="JX4" s="243"/>
      <c r="JY4" s="242"/>
      <c r="JZ4" s="242"/>
      <c r="KA4" s="242"/>
      <c r="KB4" s="242"/>
      <c r="KC4" s="242"/>
      <c r="KD4" s="242"/>
      <c r="KE4" s="242"/>
      <c r="KF4" s="243"/>
      <c r="KG4" s="243"/>
      <c r="KH4" s="243"/>
      <c r="KI4" s="243"/>
      <c r="KJ4" s="243"/>
      <c r="KK4" s="243"/>
      <c r="KL4" s="243"/>
      <c r="KM4" s="242"/>
      <c r="KN4" s="242"/>
      <c r="KO4" s="242"/>
      <c r="KP4" s="242"/>
      <c r="KQ4" s="242"/>
      <c r="KR4" s="242"/>
      <c r="KS4" s="242"/>
      <c r="KT4" s="243"/>
      <c r="KU4" s="243"/>
      <c r="KV4" s="243"/>
      <c r="KW4" s="243"/>
      <c r="KX4" s="243"/>
      <c r="KY4" s="243"/>
      <c r="KZ4" s="243"/>
      <c r="LA4" s="242"/>
      <c r="LB4" s="242"/>
      <c r="LC4" s="242"/>
      <c r="LD4" s="242"/>
      <c r="LE4" s="242"/>
      <c r="LF4" s="242"/>
      <c r="LG4" s="242"/>
      <c r="LH4" s="243"/>
      <c r="LI4" s="243"/>
      <c r="LJ4" s="243"/>
      <c r="LK4" s="243"/>
      <c r="LL4" s="243"/>
      <c r="LM4" s="243"/>
      <c r="LN4" s="243"/>
      <c r="LO4" s="242"/>
      <c r="LP4" s="242"/>
      <c r="LQ4" s="242"/>
      <c r="LR4" s="242"/>
      <c r="LS4" s="242"/>
      <c r="LT4" s="242"/>
      <c r="LU4" s="242"/>
      <c r="LV4" s="243"/>
      <c r="LW4" s="243"/>
      <c r="LX4" s="243"/>
      <c r="LY4" s="243"/>
      <c r="LZ4" s="243"/>
      <c r="MA4" s="243"/>
      <c r="MB4" s="243"/>
      <c r="MC4" s="242"/>
      <c r="MD4" s="242"/>
      <c r="ME4" s="242"/>
      <c r="MF4" s="242"/>
      <c r="MG4" s="242"/>
      <c r="MH4" s="242"/>
      <c r="MI4" s="242"/>
      <c r="MJ4" s="243"/>
      <c r="MK4" s="243"/>
      <c r="ML4" s="243"/>
      <c r="MM4" s="243"/>
      <c r="MN4" s="243"/>
      <c r="MO4" s="243"/>
      <c r="MP4" s="243"/>
      <c r="MQ4" s="242"/>
      <c r="MR4" s="242"/>
      <c r="MS4" s="242"/>
      <c r="MT4" s="242"/>
      <c r="MU4" s="242"/>
      <c r="MV4" s="242"/>
      <c r="MW4" s="242"/>
      <c r="MX4" s="243"/>
      <c r="MY4" s="243"/>
      <c r="MZ4" s="243"/>
      <c r="NA4" s="243"/>
      <c r="NB4" s="243"/>
      <c r="NC4" s="243"/>
      <c r="ND4" s="243"/>
      <c r="NE4" s="242"/>
      <c r="NF4" s="242"/>
      <c r="NG4" s="242"/>
      <c r="NH4" s="333" t="s">
        <v>1113</v>
      </c>
    </row>
    <row r="5" spans="1:372">
      <c r="A5" s="251" t="s">
        <v>955</v>
      </c>
      <c r="B5" s="251" t="s">
        <v>335</v>
      </c>
      <c r="C5" s="251" t="s">
        <v>674</v>
      </c>
      <c r="D5" s="251" t="s">
        <v>982</v>
      </c>
      <c r="E5" s="241">
        <v>516.82583888258921</v>
      </c>
      <c r="F5" s="241">
        <v>432</v>
      </c>
      <c r="G5" s="242"/>
      <c r="H5" s="242"/>
      <c r="I5" s="242"/>
      <c r="J5" s="242"/>
      <c r="K5" s="242"/>
      <c r="L5" s="243"/>
      <c r="M5" s="243"/>
      <c r="N5" s="243"/>
      <c r="O5" s="243"/>
      <c r="P5" s="243"/>
      <c r="Q5" s="243"/>
      <c r="R5" s="243"/>
      <c r="S5" s="242"/>
      <c r="T5" s="242"/>
      <c r="U5" s="242"/>
      <c r="V5" s="242"/>
      <c r="W5" s="242"/>
      <c r="X5" s="242"/>
      <c r="Y5" s="242"/>
      <c r="Z5" s="243">
        <v>24</v>
      </c>
      <c r="AA5" s="243">
        <v>24</v>
      </c>
      <c r="AB5" s="243">
        <v>24</v>
      </c>
      <c r="AC5" s="243">
        <v>24</v>
      </c>
      <c r="AD5" s="243">
        <v>24</v>
      </c>
      <c r="AE5" s="243"/>
      <c r="AF5" s="243"/>
      <c r="AG5" s="242"/>
      <c r="AH5" s="242"/>
      <c r="AI5" s="242"/>
      <c r="AJ5" s="242"/>
      <c r="AK5" s="242"/>
      <c r="AL5" s="242"/>
      <c r="AM5" s="242"/>
      <c r="AN5" s="243"/>
      <c r="AO5" s="243"/>
      <c r="AP5" s="243"/>
      <c r="AQ5" s="243"/>
      <c r="AR5" s="243"/>
      <c r="AS5" s="243"/>
      <c r="AT5" s="243"/>
      <c r="AU5" s="242"/>
      <c r="AV5" s="242"/>
      <c r="AW5" s="242"/>
      <c r="AX5" s="242"/>
      <c r="AY5" s="242"/>
      <c r="AZ5" s="242"/>
      <c r="BA5" s="242"/>
      <c r="BB5" s="243"/>
      <c r="BC5" s="243"/>
      <c r="BD5" s="243"/>
      <c r="BE5" s="243"/>
      <c r="BF5" s="243"/>
      <c r="BG5" s="243"/>
      <c r="BH5" s="243"/>
      <c r="BI5" s="242"/>
      <c r="BJ5" s="242"/>
      <c r="BK5" s="242"/>
      <c r="BL5" s="242"/>
      <c r="BM5" s="242"/>
      <c r="BN5" s="242"/>
      <c r="BO5" s="242"/>
      <c r="BP5" s="243"/>
      <c r="BQ5" s="243"/>
      <c r="BR5" s="243"/>
      <c r="BS5" s="243"/>
      <c r="BT5" s="243"/>
      <c r="BU5" s="243"/>
      <c r="BV5" s="243"/>
      <c r="BW5" s="242"/>
      <c r="BX5" s="242"/>
      <c r="BY5" s="242"/>
      <c r="BZ5" s="242"/>
      <c r="CA5" s="242"/>
      <c r="CB5" s="242"/>
      <c r="CC5" s="242"/>
      <c r="CD5" s="243"/>
      <c r="CE5" s="243"/>
      <c r="CF5" s="243"/>
      <c r="CG5" s="243"/>
      <c r="CH5" s="243"/>
      <c r="CI5" s="243"/>
      <c r="CJ5" s="243"/>
      <c r="CK5" s="242"/>
      <c r="CL5" s="242"/>
      <c r="CM5" s="242"/>
      <c r="CN5" s="242"/>
      <c r="CO5" s="242"/>
      <c r="CP5" s="242"/>
      <c r="CQ5" s="242"/>
      <c r="CR5" s="243"/>
      <c r="CS5" s="243"/>
      <c r="CT5" s="243"/>
      <c r="CU5" s="243"/>
      <c r="CV5" s="243"/>
      <c r="CW5" s="243"/>
      <c r="CX5" s="243"/>
      <c r="CY5" s="242"/>
      <c r="CZ5" s="242"/>
      <c r="DA5" s="242"/>
      <c r="DB5" s="242"/>
      <c r="DC5" s="242"/>
      <c r="DD5" s="242"/>
      <c r="DE5" s="242"/>
      <c r="DF5" s="243"/>
      <c r="DG5" s="243"/>
      <c r="DH5" s="243"/>
      <c r="DI5" s="243"/>
      <c r="DJ5" s="243"/>
      <c r="DK5" s="243"/>
      <c r="DL5" s="243"/>
      <c r="DM5" s="242"/>
      <c r="DN5" s="242"/>
      <c r="DO5" s="242"/>
      <c r="DP5" s="242"/>
      <c r="DQ5" s="242"/>
      <c r="DR5" s="242"/>
      <c r="DS5" s="242"/>
      <c r="DT5" s="243"/>
      <c r="DU5" s="243"/>
      <c r="DV5" s="243"/>
      <c r="DW5" s="243"/>
      <c r="DX5" s="243"/>
      <c r="DY5" s="243"/>
      <c r="DZ5" s="243"/>
      <c r="EA5" s="242"/>
      <c r="EB5" s="242"/>
      <c r="EC5" s="242"/>
      <c r="ED5" s="242"/>
      <c r="EE5" s="242"/>
      <c r="EF5" s="242"/>
      <c r="EG5" s="242"/>
      <c r="EH5" s="243"/>
      <c r="EI5" s="243"/>
      <c r="EJ5" s="243"/>
      <c r="EK5" s="243"/>
      <c r="EL5" s="243"/>
      <c r="EM5" s="243"/>
      <c r="EN5" s="243"/>
      <c r="EO5" s="242"/>
      <c r="EP5" s="242">
        <v>24</v>
      </c>
      <c r="EQ5" s="242">
        <v>24</v>
      </c>
      <c r="ER5" s="242">
        <v>24</v>
      </c>
      <c r="ES5" s="242">
        <v>24</v>
      </c>
      <c r="ET5" s="242">
        <v>24</v>
      </c>
      <c r="EU5" s="242"/>
      <c r="EV5" s="243"/>
      <c r="EW5" s="243"/>
      <c r="EX5" s="243"/>
      <c r="EY5" s="243"/>
      <c r="EZ5" s="243"/>
      <c r="FA5" s="243"/>
      <c r="FB5" s="243"/>
      <c r="FC5" s="242"/>
      <c r="FD5" s="242"/>
      <c r="FE5" s="242"/>
      <c r="FF5" s="242"/>
      <c r="FG5" s="242"/>
      <c r="FH5" s="242"/>
      <c r="FI5" s="242"/>
      <c r="FJ5" s="243"/>
      <c r="FK5" s="243"/>
      <c r="FL5" s="243"/>
      <c r="FM5" s="243"/>
      <c r="FN5" s="243"/>
      <c r="FO5" s="243"/>
      <c r="FP5" s="243"/>
      <c r="FQ5" s="242"/>
      <c r="FR5" s="242"/>
      <c r="FS5" s="242"/>
      <c r="FT5" s="242"/>
      <c r="FU5" s="242"/>
      <c r="FV5" s="242"/>
      <c r="FW5" s="242"/>
      <c r="FX5" s="243"/>
      <c r="FY5" s="243"/>
      <c r="FZ5" s="243"/>
      <c r="GA5" s="243"/>
      <c r="GB5" s="243"/>
      <c r="GC5" s="243"/>
      <c r="GD5" s="243"/>
      <c r="GE5" s="242"/>
      <c r="GF5" s="242"/>
      <c r="GG5" s="242"/>
      <c r="GH5" s="242"/>
      <c r="GI5" s="242"/>
      <c r="GJ5" s="242"/>
      <c r="GK5" s="242"/>
      <c r="GL5" s="243"/>
      <c r="GM5" s="243">
        <v>24</v>
      </c>
      <c r="GN5" s="243">
        <v>24</v>
      </c>
      <c r="GO5" s="243">
        <v>24</v>
      </c>
      <c r="GP5" s="243">
        <v>24</v>
      </c>
      <c r="GQ5" s="243">
        <v>24</v>
      </c>
      <c r="GR5" s="243"/>
      <c r="GS5" s="242"/>
      <c r="GT5" s="242"/>
      <c r="GU5" s="242"/>
      <c r="GV5" s="242"/>
      <c r="GW5" s="242"/>
      <c r="GX5" s="242"/>
      <c r="GY5" s="242"/>
      <c r="GZ5" s="243"/>
      <c r="HA5" s="243"/>
      <c r="HB5" s="243"/>
      <c r="HC5" s="243"/>
      <c r="HD5" s="243"/>
      <c r="HE5" s="243"/>
      <c r="HF5" s="243"/>
      <c r="HG5" s="242"/>
      <c r="HH5" s="242"/>
      <c r="HI5" s="242"/>
      <c r="HJ5" s="242"/>
      <c r="HK5" s="242"/>
      <c r="HL5" s="242"/>
      <c r="HM5" s="242"/>
      <c r="HN5" s="243"/>
      <c r="HO5" s="243"/>
      <c r="HP5" s="243"/>
      <c r="HQ5" s="243"/>
      <c r="HR5" s="243"/>
      <c r="HS5" s="243"/>
      <c r="HT5" s="243"/>
      <c r="HU5" s="242"/>
      <c r="HV5" s="242"/>
      <c r="HW5" s="242"/>
      <c r="HX5" s="242"/>
      <c r="HY5" s="242"/>
      <c r="HZ5" s="242"/>
      <c r="IA5" s="242"/>
      <c r="IB5" s="243"/>
      <c r="IC5" s="243"/>
      <c r="ID5" s="243"/>
      <c r="IE5" s="243"/>
      <c r="IF5" s="243"/>
      <c r="IG5" s="243"/>
      <c r="IH5" s="243"/>
      <c r="II5" s="242"/>
      <c r="IJ5" s="242"/>
      <c r="IK5" s="242"/>
      <c r="IL5" s="242"/>
      <c r="IM5" s="242"/>
      <c r="IN5" s="242"/>
      <c r="IO5" s="242"/>
      <c r="IP5" s="243"/>
      <c r="IQ5" s="243"/>
      <c r="IR5" s="243"/>
      <c r="IS5" s="243"/>
      <c r="IT5" s="243"/>
      <c r="IU5" s="243"/>
      <c r="IV5" s="243"/>
      <c r="IW5" s="242"/>
      <c r="IX5" s="242"/>
      <c r="IY5" s="242"/>
      <c r="IZ5" s="242"/>
      <c r="JA5" s="242"/>
      <c r="JB5" s="242"/>
      <c r="JC5" s="242"/>
      <c r="JD5" s="243"/>
      <c r="JE5" s="243"/>
      <c r="JF5" s="243"/>
      <c r="JG5" s="243"/>
      <c r="JH5" s="243"/>
      <c r="JI5" s="243"/>
      <c r="JJ5" s="243"/>
      <c r="JK5" s="242"/>
      <c r="JL5" s="242"/>
      <c r="JM5" s="242"/>
      <c r="JN5" s="242"/>
      <c r="JO5" s="242"/>
      <c r="JP5" s="242"/>
      <c r="JQ5" s="242"/>
      <c r="JR5" s="243"/>
      <c r="JS5" s="243"/>
      <c r="JT5" s="243"/>
      <c r="JU5" s="243"/>
      <c r="JV5" s="243"/>
      <c r="JW5" s="243"/>
      <c r="JX5" s="243"/>
      <c r="JY5" s="242"/>
      <c r="JZ5" s="242"/>
      <c r="KA5" s="242"/>
      <c r="KB5" s="242"/>
      <c r="KC5" s="242"/>
      <c r="KD5" s="242"/>
      <c r="KE5" s="242"/>
      <c r="KF5" s="243"/>
      <c r="KG5" s="243"/>
      <c r="KH5" s="243"/>
      <c r="KI5" s="243"/>
      <c r="KJ5" s="243"/>
      <c r="KK5" s="243"/>
      <c r="KL5" s="243"/>
      <c r="KM5" s="242"/>
      <c r="KN5" s="242"/>
      <c r="KO5" s="242"/>
      <c r="KP5" s="242"/>
      <c r="KQ5" s="242"/>
      <c r="KR5" s="242"/>
      <c r="KS5" s="242"/>
      <c r="KT5" s="243"/>
      <c r="KU5" s="243"/>
      <c r="KV5" s="243"/>
      <c r="KW5" s="243"/>
      <c r="KX5" s="243"/>
      <c r="KY5" s="243"/>
      <c r="KZ5" s="243"/>
      <c r="LA5" s="242"/>
      <c r="LB5" s="242"/>
      <c r="LC5" s="242"/>
      <c r="LD5" s="242"/>
      <c r="LE5" s="242"/>
      <c r="LF5" s="242"/>
      <c r="LG5" s="242"/>
      <c r="LH5" s="243"/>
      <c r="LI5" s="243"/>
      <c r="LJ5" s="243"/>
      <c r="LK5" s="243"/>
      <c r="LL5" s="243"/>
      <c r="LM5" s="243"/>
      <c r="LN5" s="243"/>
      <c r="LO5" s="242"/>
      <c r="LP5" s="242"/>
      <c r="LQ5" s="242">
        <v>24</v>
      </c>
      <c r="LR5" s="242">
        <v>24</v>
      </c>
      <c r="LS5" s="242">
        <v>24</v>
      </c>
      <c r="LT5" s="242"/>
      <c r="LU5" s="242"/>
      <c r="LV5" s="243"/>
      <c r="LW5" s="243"/>
      <c r="LX5" s="243"/>
      <c r="LY5" s="243"/>
      <c r="LZ5" s="243"/>
      <c r="MA5" s="243"/>
      <c r="MB5" s="243"/>
      <c r="MC5" s="242"/>
      <c r="MD5" s="242"/>
      <c r="ME5" s="242"/>
      <c r="MF5" s="242"/>
      <c r="MG5" s="242"/>
      <c r="MH5" s="242"/>
      <c r="MI5" s="242"/>
      <c r="MJ5" s="243"/>
      <c r="MK5" s="243"/>
      <c r="ML5" s="243"/>
      <c r="MM5" s="243"/>
      <c r="MN5" s="243"/>
      <c r="MO5" s="243"/>
      <c r="MP5" s="243"/>
      <c r="MQ5" s="242"/>
      <c r="MR5" s="242"/>
      <c r="MS5" s="242"/>
      <c r="MT5" s="242"/>
      <c r="MU5" s="242"/>
      <c r="MV5" s="242"/>
      <c r="MW5" s="242"/>
      <c r="MX5" s="243"/>
      <c r="MY5" s="243"/>
      <c r="MZ5" s="243"/>
      <c r="NA5" s="243"/>
      <c r="NB5" s="243"/>
      <c r="NC5" s="243"/>
      <c r="ND5" s="243"/>
      <c r="NE5" s="242"/>
      <c r="NF5" s="242"/>
      <c r="NG5" s="242"/>
      <c r="NH5" s="333" t="s">
        <v>1114</v>
      </c>
    </row>
    <row r="6" spans="1:372">
      <c r="A6" s="251" t="s">
        <v>955</v>
      </c>
      <c r="B6" s="251" t="s">
        <v>336</v>
      </c>
      <c r="C6" s="251" t="s">
        <v>674</v>
      </c>
      <c r="D6" s="251" t="s">
        <v>982</v>
      </c>
      <c r="E6" s="241">
        <v>491.86466110466893</v>
      </c>
      <c r="F6" s="241">
        <v>432</v>
      </c>
      <c r="G6" s="242"/>
      <c r="H6" s="242"/>
      <c r="I6" s="242"/>
      <c r="J6" s="242"/>
      <c r="K6" s="242"/>
      <c r="L6" s="243"/>
      <c r="M6" s="243"/>
      <c r="N6" s="243"/>
      <c r="O6" s="243"/>
      <c r="P6" s="243"/>
      <c r="Q6" s="243"/>
      <c r="R6" s="243"/>
      <c r="S6" s="242"/>
      <c r="T6" s="242"/>
      <c r="U6" s="242"/>
      <c r="V6" s="242"/>
      <c r="W6" s="242"/>
      <c r="X6" s="242"/>
      <c r="Y6" s="242"/>
      <c r="Z6" s="243">
        <v>24</v>
      </c>
      <c r="AA6" s="243">
        <v>24</v>
      </c>
      <c r="AB6" s="243">
        <v>24</v>
      </c>
      <c r="AC6" s="243">
        <v>24</v>
      </c>
      <c r="AD6" s="243">
        <v>24</v>
      </c>
      <c r="AE6" s="243"/>
      <c r="AF6" s="243"/>
      <c r="AG6" s="242"/>
      <c r="AH6" s="242"/>
      <c r="AI6" s="242"/>
      <c r="AJ6" s="242"/>
      <c r="AK6" s="242"/>
      <c r="AL6" s="242"/>
      <c r="AM6" s="242"/>
      <c r="AN6" s="243"/>
      <c r="AO6" s="243"/>
      <c r="AP6" s="243"/>
      <c r="AQ6" s="243"/>
      <c r="AR6" s="243"/>
      <c r="AS6" s="243"/>
      <c r="AT6" s="243"/>
      <c r="AU6" s="242"/>
      <c r="AV6" s="242"/>
      <c r="AW6" s="242"/>
      <c r="AX6" s="242"/>
      <c r="AY6" s="242"/>
      <c r="AZ6" s="242"/>
      <c r="BA6" s="242"/>
      <c r="BB6" s="243"/>
      <c r="BC6" s="243"/>
      <c r="BD6" s="243"/>
      <c r="BE6" s="243"/>
      <c r="BF6" s="243"/>
      <c r="BG6" s="243"/>
      <c r="BH6" s="243"/>
      <c r="BI6" s="242"/>
      <c r="BJ6" s="242"/>
      <c r="BK6" s="242"/>
      <c r="BL6" s="242"/>
      <c r="BM6" s="242"/>
      <c r="BN6" s="242"/>
      <c r="BO6" s="242"/>
      <c r="BP6" s="243"/>
      <c r="BQ6" s="243"/>
      <c r="BR6" s="243"/>
      <c r="BS6" s="243"/>
      <c r="BT6" s="243"/>
      <c r="BU6" s="243"/>
      <c r="BV6" s="243"/>
      <c r="BW6" s="242"/>
      <c r="BX6" s="242"/>
      <c r="BY6" s="242"/>
      <c r="BZ6" s="242"/>
      <c r="CA6" s="242"/>
      <c r="CB6" s="242"/>
      <c r="CC6" s="242"/>
      <c r="CD6" s="243"/>
      <c r="CE6" s="243"/>
      <c r="CF6" s="243"/>
      <c r="CG6" s="243"/>
      <c r="CH6" s="243"/>
      <c r="CI6" s="243"/>
      <c r="CJ6" s="243"/>
      <c r="CK6" s="242"/>
      <c r="CL6" s="242"/>
      <c r="CM6" s="242"/>
      <c r="CN6" s="242"/>
      <c r="CO6" s="242"/>
      <c r="CP6" s="242"/>
      <c r="CQ6" s="242"/>
      <c r="CR6" s="243"/>
      <c r="CS6" s="243"/>
      <c r="CT6" s="243"/>
      <c r="CU6" s="243"/>
      <c r="CV6" s="243"/>
      <c r="CW6" s="243"/>
      <c r="CX6" s="243"/>
      <c r="CY6" s="242"/>
      <c r="CZ6" s="242"/>
      <c r="DA6" s="242"/>
      <c r="DB6" s="242"/>
      <c r="DC6" s="242"/>
      <c r="DD6" s="242"/>
      <c r="DE6" s="242"/>
      <c r="DF6" s="243"/>
      <c r="DG6" s="243"/>
      <c r="DH6" s="243"/>
      <c r="DI6" s="243"/>
      <c r="DJ6" s="243"/>
      <c r="DK6" s="243"/>
      <c r="DL6" s="243"/>
      <c r="DM6" s="242"/>
      <c r="DN6" s="242"/>
      <c r="DO6" s="242"/>
      <c r="DP6" s="242"/>
      <c r="DQ6" s="242"/>
      <c r="DR6" s="242"/>
      <c r="DS6" s="242"/>
      <c r="DT6" s="243"/>
      <c r="DU6" s="243"/>
      <c r="DV6" s="243"/>
      <c r="DW6" s="243"/>
      <c r="DX6" s="243"/>
      <c r="DY6" s="243"/>
      <c r="DZ6" s="243"/>
      <c r="EA6" s="242"/>
      <c r="EB6" s="242"/>
      <c r="EC6" s="242"/>
      <c r="ED6" s="242"/>
      <c r="EE6" s="242"/>
      <c r="EF6" s="242"/>
      <c r="EG6" s="242"/>
      <c r="EH6" s="243"/>
      <c r="EI6" s="243"/>
      <c r="EJ6" s="243"/>
      <c r="EK6" s="243"/>
      <c r="EL6" s="243"/>
      <c r="EM6" s="243"/>
      <c r="EN6" s="243"/>
      <c r="EO6" s="242"/>
      <c r="EP6" s="242">
        <v>24</v>
      </c>
      <c r="EQ6" s="242">
        <v>24</v>
      </c>
      <c r="ER6" s="242">
        <v>24</v>
      </c>
      <c r="ES6" s="242">
        <v>24</v>
      </c>
      <c r="ET6" s="242">
        <v>24</v>
      </c>
      <c r="EU6" s="242"/>
      <c r="EV6" s="243"/>
      <c r="EW6" s="243"/>
      <c r="EX6" s="243"/>
      <c r="EY6" s="243"/>
      <c r="EZ6" s="243"/>
      <c r="FA6" s="243"/>
      <c r="FB6" s="243"/>
      <c r="FC6" s="242"/>
      <c r="FD6" s="242"/>
      <c r="FE6" s="242"/>
      <c r="FF6" s="242"/>
      <c r="FG6" s="242"/>
      <c r="FH6" s="242"/>
      <c r="FI6" s="242"/>
      <c r="FJ6" s="243"/>
      <c r="FK6" s="243"/>
      <c r="FL6" s="243"/>
      <c r="FM6" s="243"/>
      <c r="FN6" s="243"/>
      <c r="FO6" s="243"/>
      <c r="FP6" s="243"/>
      <c r="FQ6" s="242"/>
      <c r="FR6" s="242"/>
      <c r="FS6" s="242"/>
      <c r="FT6" s="242"/>
      <c r="FU6" s="242"/>
      <c r="FV6" s="242"/>
      <c r="FW6" s="242"/>
      <c r="FX6" s="243"/>
      <c r="FY6" s="243"/>
      <c r="FZ6" s="243"/>
      <c r="GA6" s="243"/>
      <c r="GB6" s="243"/>
      <c r="GC6" s="243"/>
      <c r="GD6" s="243"/>
      <c r="GE6" s="242"/>
      <c r="GF6" s="242"/>
      <c r="GG6" s="242"/>
      <c r="GH6" s="242"/>
      <c r="GI6" s="242"/>
      <c r="GJ6" s="242"/>
      <c r="GK6" s="242"/>
      <c r="GL6" s="243"/>
      <c r="GM6" s="243">
        <v>24</v>
      </c>
      <c r="GN6" s="243">
        <v>24</v>
      </c>
      <c r="GO6" s="243">
        <v>24</v>
      </c>
      <c r="GP6" s="243">
        <v>24</v>
      </c>
      <c r="GQ6" s="243">
        <v>24</v>
      </c>
      <c r="GR6" s="243"/>
      <c r="GS6" s="242"/>
      <c r="GT6" s="242"/>
      <c r="GU6" s="242"/>
      <c r="GV6" s="242"/>
      <c r="GW6" s="242"/>
      <c r="GX6" s="242"/>
      <c r="GY6" s="242"/>
      <c r="GZ6" s="243"/>
      <c r="HA6" s="243"/>
      <c r="HB6" s="243"/>
      <c r="HC6" s="243"/>
      <c r="HD6" s="243"/>
      <c r="HE6" s="243"/>
      <c r="HF6" s="243"/>
      <c r="HG6" s="242"/>
      <c r="HH6" s="242"/>
      <c r="HI6" s="242"/>
      <c r="HJ6" s="242"/>
      <c r="HK6" s="242"/>
      <c r="HL6" s="242"/>
      <c r="HM6" s="242"/>
      <c r="HN6" s="243"/>
      <c r="HO6" s="243"/>
      <c r="HP6" s="243"/>
      <c r="HQ6" s="243"/>
      <c r="HR6" s="243"/>
      <c r="HS6" s="243"/>
      <c r="HT6" s="243"/>
      <c r="HU6" s="242"/>
      <c r="HV6" s="242"/>
      <c r="HW6" s="242"/>
      <c r="HX6" s="242"/>
      <c r="HY6" s="242"/>
      <c r="HZ6" s="242"/>
      <c r="IA6" s="242"/>
      <c r="IB6" s="243"/>
      <c r="IC6" s="243"/>
      <c r="ID6" s="243"/>
      <c r="IE6" s="243"/>
      <c r="IF6" s="243"/>
      <c r="IG6" s="243"/>
      <c r="IH6" s="243"/>
      <c r="II6" s="242"/>
      <c r="IJ6" s="242"/>
      <c r="IK6" s="242"/>
      <c r="IL6" s="242"/>
      <c r="IM6" s="242"/>
      <c r="IN6" s="242"/>
      <c r="IO6" s="242"/>
      <c r="IP6" s="243"/>
      <c r="IQ6" s="243"/>
      <c r="IR6" s="243"/>
      <c r="IS6" s="243"/>
      <c r="IT6" s="243"/>
      <c r="IU6" s="243"/>
      <c r="IV6" s="243"/>
      <c r="IW6" s="242"/>
      <c r="IX6" s="242"/>
      <c r="IY6" s="242"/>
      <c r="IZ6" s="242"/>
      <c r="JA6" s="242"/>
      <c r="JB6" s="242"/>
      <c r="JC6" s="242"/>
      <c r="JD6" s="243"/>
      <c r="JE6" s="243"/>
      <c r="JF6" s="243"/>
      <c r="JG6" s="243"/>
      <c r="JH6" s="243"/>
      <c r="JI6" s="243"/>
      <c r="JJ6" s="243"/>
      <c r="JK6" s="242"/>
      <c r="JL6" s="242"/>
      <c r="JM6" s="242"/>
      <c r="JN6" s="242"/>
      <c r="JO6" s="242"/>
      <c r="JP6" s="242"/>
      <c r="JQ6" s="242"/>
      <c r="JR6" s="243"/>
      <c r="JS6" s="243"/>
      <c r="JT6" s="243"/>
      <c r="JU6" s="243"/>
      <c r="JV6" s="243"/>
      <c r="JW6" s="243"/>
      <c r="JX6" s="243"/>
      <c r="JY6" s="242"/>
      <c r="JZ6" s="242"/>
      <c r="KA6" s="242"/>
      <c r="KB6" s="242"/>
      <c r="KC6" s="242"/>
      <c r="KD6" s="242"/>
      <c r="KE6" s="242"/>
      <c r="KF6" s="243"/>
      <c r="KG6" s="243"/>
      <c r="KH6" s="243"/>
      <c r="KI6" s="243"/>
      <c r="KJ6" s="243"/>
      <c r="KK6" s="243"/>
      <c r="KL6" s="243"/>
      <c r="KM6" s="242"/>
      <c r="KN6" s="242"/>
      <c r="KO6" s="242"/>
      <c r="KP6" s="242"/>
      <c r="KQ6" s="242"/>
      <c r="KR6" s="242"/>
      <c r="KS6" s="242"/>
      <c r="KT6" s="243"/>
      <c r="KU6" s="243"/>
      <c r="KV6" s="243"/>
      <c r="KW6" s="243"/>
      <c r="KX6" s="243"/>
      <c r="KY6" s="243"/>
      <c r="KZ6" s="243"/>
      <c r="LA6" s="242"/>
      <c r="LB6" s="242"/>
      <c r="LC6" s="242"/>
      <c r="LD6" s="242"/>
      <c r="LE6" s="242"/>
      <c r="LF6" s="242"/>
      <c r="LG6" s="242"/>
      <c r="LH6" s="243"/>
      <c r="LI6" s="243"/>
      <c r="LJ6" s="243"/>
      <c r="LK6" s="243"/>
      <c r="LL6" s="243"/>
      <c r="LM6" s="243"/>
      <c r="LN6" s="243"/>
      <c r="LO6" s="242"/>
      <c r="LP6" s="242"/>
      <c r="LQ6" s="242">
        <v>24</v>
      </c>
      <c r="LR6" s="242">
        <v>24</v>
      </c>
      <c r="LS6" s="242">
        <v>24</v>
      </c>
      <c r="LT6" s="242"/>
      <c r="LU6" s="242"/>
      <c r="LV6" s="243"/>
      <c r="LW6" s="243"/>
      <c r="LX6" s="243"/>
      <c r="LY6" s="243"/>
      <c r="LZ6" s="243"/>
      <c r="MA6" s="243"/>
      <c r="MB6" s="243"/>
      <c r="MC6" s="242"/>
      <c r="MD6" s="242"/>
      <c r="ME6" s="242"/>
      <c r="MF6" s="242"/>
      <c r="MG6" s="242"/>
      <c r="MH6" s="242"/>
      <c r="MI6" s="242"/>
      <c r="MJ6" s="243"/>
      <c r="MK6" s="243"/>
      <c r="ML6" s="243"/>
      <c r="MM6" s="243"/>
      <c r="MN6" s="243"/>
      <c r="MO6" s="243"/>
      <c r="MP6" s="243"/>
      <c r="MQ6" s="242"/>
      <c r="MR6" s="242"/>
      <c r="MS6" s="242"/>
      <c r="MT6" s="242"/>
      <c r="MU6" s="242"/>
      <c r="MV6" s="242"/>
      <c r="MW6" s="242"/>
      <c r="MX6" s="243"/>
      <c r="MY6" s="243"/>
      <c r="MZ6" s="243"/>
      <c r="NA6" s="243"/>
      <c r="NB6" s="243"/>
      <c r="NC6" s="243"/>
      <c r="ND6" s="243"/>
      <c r="NE6" s="242"/>
      <c r="NF6" s="242"/>
      <c r="NG6" s="242"/>
      <c r="NH6" s="333" t="s">
        <v>1114</v>
      </c>
    </row>
    <row r="7" spans="1:372">
      <c r="A7" s="251" t="s">
        <v>955</v>
      </c>
      <c r="B7" s="251" t="s">
        <v>337</v>
      </c>
      <c r="C7" s="251" t="s">
        <v>674</v>
      </c>
      <c r="D7" s="251" t="s">
        <v>982</v>
      </c>
      <c r="E7" s="241">
        <v>535.2072777626073</v>
      </c>
      <c r="F7" s="241">
        <v>432</v>
      </c>
      <c r="G7" s="242"/>
      <c r="H7" s="242"/>
      <c r="I7" s="242"/>
      <c r="J7" s="242"/>
      <c r="K7" s="242"/>
      <c r="L7" s="243"/>
      <c r="M7" s="243"/>
      <c r="N7" s="243"/>
      <c r="O7" s="243"/>
      <c r="P7" s="243"/>
      <c r="Q7" s="243"/>
      <c r="R7" s="243"/>
      <c r="S7" s="242"/>
      <c r="T7" s="242"/>
      <c r="U7" s="242"/>
      <c r="V7" s="242"/>
      <c r="W7" s="242"/>
      <c r="X7" s="242"/>
      <c r="Y7" s="242"/>
      <c r="Z7" s="243">
        <v>24</v>
      </c>
      <c r="AA7" s="243">
        <v>24</v>
      </c>
      <c r="AB7" s="243">
        <v>24</v>
      </c>
      <c r="AC7" s="243">
        <v>24</v>
      </c>
      <c r="AD7" s="243">
        <v>24</v>
      </c>
      <c r="AE7" s="243"/>
      <c r="AF7" s="243"/>
      <c r="AG7" s="242"/>
      <c r="AH7" s="242"/>
      <c r="AI7" s="242"/>
      <c r="AJ7" s="242"/>
      <c r="AK7" s="242"/>
      <c r="AL7" s="242"/>
      <c r="AM7" s="242"/>
      <c r="AN7" s="243"/>
      <c r="AO7" s="243"/>
      <c r="AP7" s="243"/>
      <c r="AQ7" s="243"/>
      <c r="AR7" s="243"/>
      <c r="AS7" s="243"/>
      <c r="AT7" s="243"/>
      <c r="AU7" s="242"/>
      <c r="AV7" s="242"/>
      <c r="AW7" s="242"/>
      <c r="AX7" s="242"/>
      <c r="AY7" s="242"/>
      <c r="AZ7" s="242"/>
      <c r="BA7" s="242"/>
      <c r="BB7" s="243"/>
      <c r="BC7" s="243"/>
      <c r="BD7" s="243"/>
      <c r="BE7" s="243"/>
      <c r="BF7" s="243"/>
      <c r="BG7" s="243"/>
      <c r="BH7" s="243"/>
      <c r="BI7" s="242"/>
      <c r="BJ7" s="242"/>
      <c r="BK7" s="242"/>
      <c r="BL7" s="242"/>
      <c r="BM7" s="242"/>
      <c r="BN7" s="242"/>
      <c r="BO7" s="242"/>
      <c r="BP7" s="243"/>
      <c r="BQ7" s="243"/>
      <c r="BR7" s="243"/>
      <c r="BS7" s="243"/>
      <c r="BT7" s="243"/>
      <c r="BU7" s="243"/>
      <c r="BV7" s="243"/>
      <c r="BW7" s="242"/>
      <c r="BX7" s="242"/>
      <c r="BY7" s="242"/>
      <c r="BZ7" s="242"/>
      <c r="CA7" s="242"/>
      <c r="CB7" s="242"/>
      <c r="CC7" s="242"/>
      <c r="CD7" s="243"/>
      <c r="CE7" s="243"/>
      <c r="CF7" s="243"/>
      <c r="CG7" s="243"/>
      <c r="CH7" s="243"/>
      <c r="CI7" s="243"/>
      <c r="CJ7" s="243"/>
      <c r="CK7" s="242"/>
      <c r="CL7" s="242"/>
      <c r="CM7" s="242"/>
      <c r="CN7" s="242"/>
      <c r="CO7" s="242"/>
      <c r="CP7" s="242"/>
      <c r="CQ7" s="242"/>
      <c r="CR7" s="243"/>
      <c r="CS7" s="243"/>
      <c r="CT7" s="243"/>
      <c r="CU7" s="243"/>
      <c r="CV7" s="243"/>
      <c r="CW7" s="243"/>
      <c r="CX7" s="243"/>
      <c r="CY7" s="242"/>
      <c r="CZ7" s="242"/>
      <c r="DA7" s="242"/>
      <c r="DB7" s="242"/>
      <c r="DC7" s="242"/>
      <c r="DD7" s="242"/>
      <c r="DE7" s="242"/>
      <c r="DF7" s="243"/>
      <c r="DG7" s="243"/>
      <c r="DH7" s="243"/>
      <c r="DI7" s="243"/>
      <c r="DJ7" s="243"/>
      <c r="DK7" s="243"/>
      <c r="DL7" s="243"/>
      <c r="DM7" s="242"/>
      <c r="DN7" s="242"/>
      <c r="DO7" s="242"/>
      <c r="DP7" s="242"/>
      <c r="DQ7" s="242"/>
      <c r="DR7" s="242"/>
      <c r="DS7" s="242"/>
      <c r="DT7" s="243"/>
      <c r="DU7" s="243"/>
      <c r="DV7" s="243"/>
      <c r="DW7" s="243"/>
      <c r="DX7" s="243"/>
      <c r="DY7" s="243"/>
      <c r="DZ7" s="243"/>
      <c r="EA7" s="242"/>
      <c r="EB7" s="242"/>
      <c r="EC7" s="242"/>
      <c r="ED7" s="242"/>
      <c r="EE7" s="242"/>
      <c r="EF7" s="242"/>
      <c r="EG7" s="242"/>
      <c r="EH7" s="243"/>
      <c r="EI7" s="243"/>
      <c r="EJ7" s="243"/>
      <c r="EK7" s="243"/>
      <c r="EL7" s="243"/>
      <c r="EM7" s="243"/>
      <c r="EN7" s="243"/>
      <c r="EO7" s="242"/>
      <c r="EP7" s="242">
        <v>24</v>
      </c>
      <c r="EQ7" s="242">
        <v>24</v>
      </c>
      <c r="ER7" s="242">
        <v>24</v>
      </c>
      <c r="ES7" s="242">
        <v>24</v>
      </c>
      <c r="ET7" s="242">
        <v>24</v>
      </c>
      <c r="EU7" s="242"/>
      <c r="EV7" s="243"/>
      <c r="EW7" s="243"/>
      <c r="EX7" s="243"/>
      <c r="EY7" s="243"/>
      <c r="EZ7" s="243"/>
      <c r="FA7" s="243"/>
      <c r="FB7" s="243"/>
      <c r="FC7" s="242"/>
      <c r="FD7" s="242"/>
      <c r="FE7" s="242"/>
      <c r="FF7" s="242"/>
      <c r="FG7" s="242"/>
      <c r="FH7" s="242"/>
      <c r="FI7" s="242"/>
      <c r="FJ7" s="243"/>
      <c r="FK7" s="243"/>
      <c r="FL7" s="243"/>
      <c r="FM7" s="243"/>
      <c r="FN7" s="243"/>
      <c r="FO7" s="243"/>
      <c r="FP7" s="243"/>
      <c r="FQ7" s="242"/>
      <c r="FR7" s="242"/>
      <c r="FS7" s="242"/>
      <c r="FT7" s="242"/>
      <c r="FU7" s="242"/>
      <c r="FV7" s="242"/>
      <c r="FW7" s="242"/>
      <c r="FX7" s="243"/>
      <c r="FY7" s="243"/>
      <c r="FZ7" s="243"/>
      <c r="GA7" s="243"/>
      <c r="GB7" s="243"/>
      <c r="GC7" s="243"/>
      <c r="GD7" s="243"/>
      <c r="GE7" s="242"/>
      <c r="GF7" s="242"/>
      <c r="GG7" s="242"/>
      <c r="GH7" s="242"/>
      <c r="GI7" s="242"/>
      <c r="GJ7" s="242"/>
      <c r="GK7" s="242"/>
      <c r="GL7" s="243"/>
      <c r="GM7" s="243">
        <v>24</v>
      </c>
      <c r="GN7" s="243">
        <v>24</v>
      </c>
      <c r="GO7" s="243">
        <v>24</v>
      </c>
      <c r="GP7" s="243">
        <v>24</v>
      </c>
      <c r="GQ7" s="243">
        <v>24</v>
      </c>
      <c r="GR7" s="243"/>
      <c r="GS7" s="242"/>
      <c r="GT7" s="242"/>
      <c r="GU7" s="242"/>
      <c r="GV7" s="242"/>
      <c r="GW7" s="242"/>
      <c r="GX7" s="242"/>
      <c r="GY7" s="242"/>
      <c r="GZ7" s="243"/>
      <c r="HA7" s="243"/>
      <c r="HB7" s="243"/>
      <c r="HC7" s="243"/>
      <c r="HD7" s="243"/>
      <c r="HE7" s="243"/>
      <c r="HF7" s="243"/>
      <c r="HG7" s="242"/>
      <c r="HH7" s="242"/>
      <c r="HI7" s="242"/>
      <c r="HJ7" s="242"/>
      <c r="HK7" s="242"/>
      <c r="HL7" s="242"/>
      <c r="HM7" s="242"/>
      <c r="HN7" s="243"/>
      <c r="HO7" s="243"/>
      <c r="HP7" s="243"/>
      <c r="HQ7" s="243"/>
      <c r="HR7" s="243"/>
      <c r="HS7" s="243"/>
      <c r="HT7" s="243"/>
      <c r="HU7" s="242"/>
      <c r="HV7" s="242"/>
      <c r="HW7" s="242"/>
      <c r="HX7" s="242"/>
      <c r="HY7" s="242"/>
      <c r="HZ7" s="242"/>
      <c r="IA7" s="242"/>
      <c r="IB7" s="243"/>
      <c r="IC7" s="243"/>
      <c r="ID7" s="243"/>
      <c r="IE7" s="243"/>
      <c r="IF7" s="243"/>
      <c r="IG7" s="243"/>
      <c r="IH7" s="243"/>
      <c r="II7" s="242"/>
      <c r="IJ7" s="242"/>
      <c r="IK7" s="242"/>
      <c r="IL7" s="242"/>
      <c r="IM7" s="242"/>
      <c r="IN7" s="242"/>
      <c r="IO7" s="242"/>
      <c r="IP7" s="243"/>
      <c r="IQ7" s="243"/>
      <c r="IR7" s="243"/>
      <c r="IS7" s="243"/>
      <c r="IT7" s="243"/>
      <c r="IU7" s="243"/>
      <c r="IV7" s="243"/>
      <c r="IW7" s="242"/>
      <c r="IX7" s="242"/>
      <c r="IY7" s="242"/>
      <c r="IZ7" s="242"/>
      <c r="JA7" s="242"/>
      <c r="JB7" s="242"/>
      <c r="JC7" s="242"/>
      <c r="JD7" s="243"/>
      <c r="JE7" s="243"/>
      <c r="JF7" s="243"/>
      <c r="JG7" s="243"/>
      <c r="JH7" s="243"/>
      <c r="JI7" s="243"/>
      <c r="JJ7" s="243"/>
      <c r="JK7" s="242"/>
      <c r="JL7" s="242"/>
      <c r="JM7" s="242"/>
      <c r="JN7" s="242"/>
      <c r="JO7" s="242"/>
      <c r="JP7" s="242"/>
      <c r="JQ7" s="242"/>
      <c r="JR7" s="243"/>
      <c r="JS7" s="243"/>
      <c r="JT7" s="243"/>
      <c r="JU7" s="243"/>
      <c r="JV7" s="243"/>
      <c r="JW7" s="243"/>
      <c r="JX7" s="243"/>
      <c r="JY7" s="242"/>
      <c r="JZ7" s="242"/>
      <c r="KA7" s="242"/>
      <c r="KB7" s="242"/>
      <c r="KC7" s="242"/>
      <c r="KD7" s="242"/>
      <c r="KE7" s="242"/>
      <c r="KF7" s="243"/>
      <c r="KG7" s="243"/>
      <c r="KH7" s="243"/>
      <c r="KI7" s="243"/>
      <c r="KJ7" s="243"/>
      <c r="KK7" s="243"/>
      <c r="KL7" s="243"/>
      <c r="KM7" s="242"/>
      <c r="KN7" s="242"/>
      <c r="KO7" s="242"/>
      <c r="KP7" s="242"/>
      <c r="KQ7" s="242"/>
      <c r="KR7" s="242"/>
      <c r="KS7" s="242"/>
      <c r="KT7" s="243"/>
      <c r="KU7" s="243"/>
      <c r="KV7" s="243"/>
      <c r="KW7" s="243"/>
      <c r="KX7" s="243"/>
      <c r="KY7" s="243"/>
      <c r="KZ7" s="243"/>
      <c r="LA7" s="242"/>
      <c r="LB7" s="242"/>
      <c r="LC7" s="242"/>
      <c r="LD7" s="242"/>
      <c r="LE7" s="242"/>
      <c r="LF7" s="242"/>
      <c r="LG7" s="242"/>
      <c r="LH7" s="243"/>
      <c r="LI7" s="243"/>
      <c r="LJ7" s="243"/>
      <c r="LK7" s="243"/>
      <c r="LL7" s="243"/>
      <c r="LM7" s="243"/>
      <c r="LN7" s="243"/>
      <c r="LO7" s="242"/>
      <c r="LP7" s="242"/>
      <c r="LQ7" s="242">
        <v>24</v>
      </c>
      <c r="LR7" s="242">
        <v>24</v>
      </c>
      <c r="LS7" s="242">
        <v>24</v>
      </c>
      <c r="LT7" s="242"/>
      <c r="LU7" s="242"/>
      <c r="LV7" s="243"/>
      <c r="LW7" s="243"/>
      <c r="LX7" s="243"/>
      <c r="LY7" s="243"/>
      <c r="LZ7" s="243"/>
      <c r="MA7" s="243"/>
      <c r="MB7" s="243"/>
      <c r="MC7" s="242"/>
      <c r="MD7" s="242"/>
      <c r="ME7" s="242"/>
      <c r="MF7" s="242"/>
      <c r="MG7" s="242"/>
      <c r="MH7" s="242"/>
      <c r="MI7" s="242"/>
      <c r="MJ7" s="243"/>
      <c r="MK7" s="243"/>
      <c r="ML7" s="243"/>
      <c r="MM7" s="243"/>
      <c r="MN7" s="243"/>
      <c r="MO7" s="243"/>
      <c r="MP7" s="243"/>
      <c r="MQ7" s="242"/>
      <c r="MR7" s="242"/>
      <c r="MS7" s="242"/>
      <c r="MT7" s="242"/>
      <c r="MU7" s="242"/>
      <c r="MV7" s="242"/>
      <c r="MW7" s="242"/>
      <c r="MX7" s="243"/>
      <c r="MY7" s="243"/>
      <c r="MZ7" s="243"/>
      <c r="NA7" s="243"/>
      <c r="NB7" s="243"/>
      <c r="NC7" s="243"/>
      <c r="ND7" s="243"/>
      <c r="NE7" s="242"/>
      <c r="NF7" s="242"/>
      <c r="NG7" s="242"/>
      <c r="NH7" s="333" t="s">
        <v>1114</v>
      </c>
    </row>
    <row r="8" spans="1:372">
      <c r="A8" s="251" t="s">
        <v>955</v>
      </c>
      <c r="B8" s="251" t="s">
        <v>338</v>
      </c>
      <c r="C8" s="251" t="s">
        <v>675</v>
      </c>
      <c r="D8" s="251" t="s">
        <v>997</v>
      </c>
      <c r="E8" s="241">
        <v>221.8687222010663</v>
      </c>
      <c r="F8" s="241">
        <v>360</v>
      </c>
      <c r="G8" s="242"/>
      <c r="H8" s="242"/>
      <c r="I8" s="242"/>
      <c r="J8" s="242"/>
      <c r="K8" s="242"/>
      <c r="L8" s="243"/>
      <c r="M8" s="243"/>
      <c r="N8" s="243"/>
      <c r="O8" s="243"/>
      <c r="P8" s="243"/>
      <c r="Q8" s="243"/>
      <c r="R8" s="243"/>
      <c r="S8" s="242"/>
      <c r="T8" s="242"/>
      <c r="U8" s="242"/>
      <c r="V8" s="242"/>
      <c r="W8" s="242"/>
      <c r="X8" s="242"/>
      <c r="Y8" s="242"/>
      <c r="Z8" s="243"/>
      <c r="AA8" s="243"/>
      <c r="AB8" s="243"/>
      <c r="AC8" s="243"/>
      <c r="AD8" s="243"/>
      <c r="AE8" s="243"/>
      <c r="AF8" s="243"/>
      <c r="AG8" s="242"/>
      <c r="AH8" s="242">
        <v>24</v>
      </c>
      <c r="AI8" s="242">
        <v>24</v>
      </c>
      <c r="AJ8" s="242"/>
      <c r="AK8" s="242"/>
      <c r="AL8" s="242"/>
      <c r="AM8" s="242"/>
      <c r="AN8" s="243"/>
      <c r="AO8" s="243"/>
      <c r="AP8" s="243"/>
      <c r="AQ8" s="243"/>
      <c r="AR8" s="243"/>
      <c r="AS8" s="243"/>
      <c r="AT8" s="243"/>
      <c r="AU8" s="242"/>
      <c r="AV8" s="242"/>
      <c r="AW8" s="242"/>
      <c r="AX8" s="242"/>
      <c r="AY8" s="242"/>
      <c r="AZ8" s="242"/>
      <c r="BA8" s="242"/>
      <c r="BB8" s="243"/>
      <c r="BC8" s="243"/>
      <c r="BD8" s="243"/>
      <c r="BE8" s="243"/>
      <c r="BF8" s="243"/>
      <c r="BG8" s="243"/>
      <c r="BH8" s="243"/>
      <c r="BI8" s="242"/>
      <c r="BJ8" s="242"/>
      <c r="BK8" s="242"/>
      <c r="BL8" s="242"/>
      <c r="BM8" s="242"/>
      <c r="BN8" s="242"/>
      <c r="BO8" s="242"/>
      <c r="BP8" s="243"/>
      <c r="BQ8" s="243"/>
      <c r="BR8" s="243"/>
      <c r="BS8" s="243"/>
      <c r="BT8" s="243"/>
      <c r="BU8" s="243">
        <v>24</v>
      </c>
      <c r="BV8" s="243"/>
      <c r="BW8" s="242"/>
      <c r="BX8" s="242"/>
      <c r="BY8" s="242"/>
      <c r="BZ8" s="242"/>
      <c r="CA8" s="242"/>
      <c r="CB8" s="242"/>
      <c r="CC8" s="242"/>
      <c r="CD8" s="243"/>
      <c r="CE8" s="243"/>
      <c r="CF8" s="243"/>
      <c r="CG8" s="243"/>
      <c r="CH8" s="243"/>
      <c r="CI8" s="243"/>
      <c r="CJ8" s="243"/>
      <c r="CK8" s="242"/>
      <c r="CL8" s="242"/>
      <c r="CM8" s="242"/>
      <c r="CN8" s="242"/>
      <c r="CO8" s="242"/>
      <c r="CP8" s="242"/>
      <c r="CQ8" s="242"/>
      <c r="CR8" s="243"/>
      <c r="CS8" s="243"/>
      <c r="CT8" s="243"/>
      <c r="CU8" s="243"/>
      <c r="CV8" s="243"/>
      <c r="CW8" s="243"/>
      <c r="CX8" s="243"/>
      <c r="CY8" s="242"/>
      <c r="CZ8" s="242"/>
      <c r="DA8" s="242"/>
      <c r="DB8" s="242"/>
      <c r="DC8" s="242"/>
      <c r="DD8" s="242"/>
      <c r="DE8" s="242"/>
      <c r="DF8" s="243"/>
      <c r="DG8" s="243"/>
      <c r="DH8" s="243"/>
      <c r="DI8" s="243"/>
      <c r="DJ8" s="243"/>
      <c r="DK8" s="243"/>
      <c r="DL8" s="243"/>
      <c r="DM8" s="242"/>
      <c r="DN8" s="242"/>
      <c r="DO8" s="242"/>
      <c r="DP8" s="242"/>
      <c r="DQ8" s="242"/>
      <c r="DR8" s="242"/>
      <c r="DS8" s="242"/>
      <c r="DT8" s="243"/>
      <c r="DU8" s="243"/>
      <c r="DV8" s="243"/>
      <c r="DW8" s="243"/>
      <c r="DX8" s="243"/>
      <c r="DY8" s="243"/>
      <c r="DZ8" s="243"/>
      <c r="EA8" s="242"/>
      <c r="EB8" s="242"/>
      <c r="EC8" s="242"/>
      <c r="ED8" s="242"/>
      <c r="EE8" s="242"/>
      <c r="EF8" s="242"/>
      <c r="EG8" s="242"/>
      <c r="EH8" s="243"/>
      <c r="EI8" s="243"/>
      <c r="EJ8" s="243"/>
      <c r="EK8" s="243"/>
      <c r="EL8" s="243"/>
      <c r="EM8" s="243"/>
      <c r="EN8" s="243"/>
      <c r="EO8" s="242"/>
      <c r="EP8" s="242">
        <v>24</v>
      </c>
      <c r="EQ8" s="242">
        <v>24</v>
      </c>
      <c r="ER8" s="242">
        <v>24</v>
      </c>
      <c r="ES8" s="242">
        <v>24</v>
      </c>
      <c r="ET8" s="242">
        <v>24</v>
      </c>
      <c r="EU8" s="242"/>
      <c r="EV8" s="243"/>
      <c r="EW8" s="243"/>
      <c r="EX8" s="243"/>
      <c r="EY8" s="243"/>
      <c r="EZ8" s="243"/>
      <c r="FA8" s="243"/>
      <c r="FB8" s="243"/>
      <c r="FC8" s="242"/>
      <c r="FD8" s="242"/>
      <c r="FE8" s="242"/>
      <c r="FF8" s="242"/>
      <c r="FG8" s="242"/>
      <c r="FH8" s="242"/>
      <c r="FI8" s="242"/>
      <c r="FJ8" s="243"/>
      <c r="FK8" s="243"/>
      <c r="FL8" s="243"/>
      <c r="FM8" s="243"/>
      <c r="FN8" s="243"/>
      <c r="FO8" s="243"/>
      <c r="FP8" s="243"/>
      <c r="FQ8" s="242"/>
      <c r="FR8" s="242"/>
      <c r="FS8" s="242"/>
      <c r="FT8" s="242"/>
      <c r="FU8" s="242"/>
      <c r="FV8" s="242"/>
      <c r="FW8" s="242"/>
      <c r="FX8" s="243"/>
      <c r="FY8" s="243"/>
      <c r="FZ8" s="243"/>
      <c r="GA8" s="243"/>
      <c r="GB8" s="243"/>
      <c r="GC8" s="243"/>
      <c r="GD8" s="243"/>
      <c r="GE8" s="242"/>
      <c r="GF8" s="242"/>
      <c r="GG8" s="242"/>
      <c r="GH8" s="242"/>
      <c r="GI8" s="242"/>
      <c r="GJ8" s="242"/>
      <c r="GK8" s="242"/>
      <c r="GL8" s="243"/>
      <c r="GM8" s="243"/>
      <c r="GN8" s="243"/>
      <c r="GO8" s="243"/>
      <c r="GP8" s="243"/>
      <c r="GQ8" s="243"/>
      <c r="GR8" s="243"/>
      <c r="GS8" s="242"/>
      <c r="GT8" s="242"/>
      <c r="GU8" s="242"/>
      <c r="GV8" s="242"/>
      <c r="GW8" s="242"/>
      <c r="GX8" s="242"/>
      <c r="GY8" s="242"/>
      <c r="GZ8" s="243"/>
      <c r="HA8" s="243"/>
      <c r="HB8" s="243"/>
      <c r="HC8" s="243"/>
      <c r="HD8" s="243"/>
      <c r="HE8" s="243"/>
      <c r="HF8" s="243"/>
      <c r="HG8" s="242"/>
      <c r="HH8" s="242"/>
      <c r="HI8" s="242"/>
      <c r="HJ8" s="242"/>
      <c r="HK8" s="242"/>
      <c r="HL8" s="242"/>
      <c r="HM8" s="242"/>
      <c r="HN8" s="243"/>
      <c r="HO8" s="243"/>
      <c r="HP8" s="243"/>
      <c r="HQ8" s="243"/>
      <c r="HR8" s="243"/>
      <c r="HS8" s="243"/>
      <c r="HT8" s="243"/>
      <c r="HU8" s="242"/>
      <c r="HV8" s="242"/>
      <c r="HW8" s="242"/>
      <c r="HX8" s="242"/>
      <c r="HY8" s="242"/>
      <c r="HZ8" s="242"/>
      <c r="IA8" s="242"/>
      <c r="IB8" s="243"/>
      <c r="IC8" s="243"/>
      <c r="ID8" s="243"/>
      <c r="IE8" s="243"/>
      <c r="IF8" s="243"/>
      <c r="IG8" s="243"/>
      <c r="IH8" s="243"/>
      <c r="II8" s="242"/>
      <c r="IJ8" s="242"/>
      <c r="IK8" s="242"/>
      <c r="IL8" s="242"/>
      <c r="IM8" s="242"/>
      <c r="IN8" s="242"/>
      <c r="IO8" s="242"/>
      <c r="IP8" s="243"/>
      <c r="IQ8" s="243"/>
      <c r="IR8" s="243"/>
      <c r="IS8" s="243"/>
      <c r="IT8" s="243"/>
      <c r="IU8" s="243"/>
      <c r="IV8" s="243"/>
      <c r="IW8" s="242">
        <v>24</v>
      </c>
      <c r="IX8" s="242">
        <v>24</v>
      </c>
      <c r="IY8" s="242">
        <v>24</v>
      </c>
      <c r="IZ8" s="242">
        <v>24</v>
      </c>
      <c r="JA8" s="242"/>
      <c r="JB8" s="242"/>
      <c r="JC8" s="242"/>
      <c r="JD8" s="243"/>
      <c r="JE8" s="243"/>
      <c r="JF8" s="243"/>
      <c r="JG8" s="243"/>
      <c r="JH8" s="243"/>
      <c r="JI8" s="243"/>
      <c r="JJ8" s="243"/>
      <c r="JK8" s="242"/>
      <c r="JL8" s="242"/>
      <c r="JM8" s="242"/>
      <c r="JN8" s="242"/>
      <c r="JO8" s="242"/>
      <c r="JP8" s="242"/>
      <c r="JQ8" s="242"/>
      <c r="JR8" s="243"/>
      <c r="JS8" s="243"/>
      <c r="JT8" s="243"/>
      <c r="JU8" s="243"/>
      <c r="JV8" s="243"/>
      <c r="JW8" s="243"/>
      <c r="JX8" s="243"/>
      <c r="JY8" s="242"/>
      <c r="JZ8" s="242"/>
      <c r="KA8" s="242"/>
      <c r="KB8" s="242"/>
      <c r="KC8" s="242"/>
      <c r="KD8" s="242"/>
      <c r="KE8" s="242"/>
      <c r="KF8" s="243"/>
      <c r="KG8" s="243"/>
      <c r="KH8" s="243"/>
      <c r="KI8" s="243"/>
      <c r="KJ8" s="243"/>
      <c r="KK8" s="243"/>
      <c r="KL8" s="243"/>
      <c r="KM8" s="242"/>
      <c r="KN8" s="242"/>
      <c r="KO8" s="242"/>
      <c r="KP8" s="242"/>
      <c r="KQ8" s="242"/>
      <c r="KR8" s="242"/>
      <c r="KS8" s="242"/>
      <c r="KT8" s="243"/>
      <c r="KU8" s="243"/>
      <c r="KV8" s="243"/>
      <c r="KW8" s="243"/>
      <c r="KX8" s="243"/>
      <c r="KY8" s="243"/>
      <c r="KZ8" s="243"/>
      <c r="LA8" s="242"/>
      <c r="LB8" s="242">
        <v>24</v>
      </c>
      <c r="LC8" s="242">
        <v>24</v>
      </c>
      <c r="LD8" s="242">
        <v>24</v>
      </c>
      <c r="LE8" s="242"/>
      <c r="LF8" s="242"/>
      <c r="LG8" s="242"/>
      <c r="LH8" s="243"/>
      <c r="LI8" s="243"/>
      <c r="LJ8" s="243"/>
      <c r="LK8" s="243"/>
      <c r="LL8" s="243"/>
      <c r="LM8" s="243"/>
      <c r="LN8" s="243"/>
      <c r="LO8" s="242"/>
      <c r="LP8" s="242"/>
      <c r="LQ8" s="242"/>
      <c r="LR8" s="242"/>
      <c r="LS8" s="242"/>
      <c r="LT8" s="242"/>
      <c r="LU8" s="242"/>
      <c r="LV8" s="243"/>
      <c r="LW8" s="243"/>
      <c r="LX8" s="243"/>
      <c r="LY8" s="243"/>
      <c r="LZ8" s="243"/>
      <c r="MA8" s="243"/>
      <c r="MB8" s="243"/>
      <c r="MC8" s="242"/>
      <c r="MD8" s="242"/>
      <c r="ME8" s="242"/>
      <c r="MF8" s="242"/>
      <c r="MG8" s="242"/>
      <c r="MH8" s="242"/>
      <c r="MI8" s="242"/>
      <c r="MJ8" s="243"/>
      <c r="MK8" s="243"/>
      <c r="ML8" s="243"/>
      <c r="MM8" s="243"/>
      <c r="MN8" s="243"/>
      <c r="MO8" s="243"/>
      <c r="MP8" s="243"/>
      <c r="MQ8" s="242"/>
      <c r="MR8" s="242"/>
      <c r="MS8" s="242"/>
      <c r="MT8" s="242"/>
      <c r="MU8" s="242"/>
      <c r="MV8" s="242"/>
      <c r="MW8" s="242"/>
      <c r="MX8" s="243"/>
      <c r="MY8" s="243"/>
      <c r="MZ8" s="243"/>
      <c r="NA8" s="243"/>
      <c r="NB8" s="243"/>
      <c r="NC8" s="243"/>
      <c r="ND8" s="243"/>
      <c r="NE8" s="242"/>
      <c r="NF8" s="242"/>
      <c r="NG8" s="242"/>
      <c r="NH8" s="333" t="s">
        <v>1115</v>
      </c>
    </row>
    <row r="9" spans="1:372">
      <c r="A9" s="251" t="s">
        <v>956</v>
      </c>
      <c r="B9" s="251" t="s">
        <v>957</v>
      </c>
      <c r="C9" s="251" t="s">
        <v>674</v>
      </c>
      <c r="D9" s="251" t="s">
        <v>982</v>
      </c>
      <c r="E9" s="241">
        <v>0</v>
      </c>
      <c r="F9" s="241">
        <v>0</v>
      </c>
      <c r="G9" s="242"/>
      <c r="H9" s="242"/>
      <c r="I9" s="242"/>
      <c r="J9" s="242"/>
      <c r="K9" s="242"/>
      <c r="L9" s="243"/>
      <c r="M9" s="243"/>
      <c r="N9" s="243"/>
      <c r="O9" s="243"/>
      <c r="P9" s="243"/>
      <c r="Q9" s="243"/>
      <c r="R9" s="243"/>
      <c r="S9" s="242"/>
      <c r="T9" s="242"/>
      <c r="U9" s="242"/>
      <c r="V9" s="242"/>
      <c r="W9" s="242"/>
      <c r="X9" s="242"/>
      <c r="Y9" s="242"/>
      <c r="Z9" s="243"/>
      <c r="AA9" s="243"/>
      <c r="AB9" s="243"/>
      <c r="AC9" s="243"/>
      <c r="AD9" s="243"/>
      <c r="AE9" s="243"/>
      <c r="AF9" s="243"/>
      <c r="AG9" s="242"/>
      <c r="AH9" s="242"/>
      <c r="AI9" s="242"/>
      <c r="AJ9" s="242"/>
      <c r="AK9" s="242"/>
      <c r="AL9" s="242"/>
      <c r="AM9" s="242"/>
      <c r="AN9" s="243"/>
      <c r="AO9" s="243"/>
      <c r="AP9" s="243"/>
      <c r="AQ9" s="243"/>
      <c r="AR9" s="243"/>
      <c r="AS9" s="243"/>
      <c r="AT9" s="243"/>
      <c r="AU9" s="242"/>
      <c r="AV9" s="242"/>
      <c r="AW9" s="242"/>
      <c r="AX9" s="242"/>
      <c r="AY9" s="242"/>
      <c r="AZ9" s="242"/>
      <c r="BA9" s="242"/>
      <c r="BB9" s="243"/>
      <c r="BC9" s="243"/>
      <c r="BD9" s="243"/>
      <c r="BE9" s="243"/>
      <c r="BF9" s="243"/>
      <c r="BG9" s="243"/>
      <c r="BH9" s="243"/>
      <c r="BI9" s="242"/>
      <c r="BJ9" s="242"/>
      <c r="BK9" s="242"/>
      <c r="BL9" s="242"/>
      <c r="BM9" s="242"/>
      <c r="BN9" s="242"/>
      <c r="BO9" s="242"/>
      <c r="BP9" s="243"/>
      <c r="BQ9" s="243"/>
      <c r="BR9" s="243"/>
      <c r="BS9" s="243"/>
      <c r="BT9" s="243"/>
      <c r="BU9" s="243"/>
      <c r="BV9" s="243"/>
      <c r="BW9" s="242"/>
      <c r="BX9" s="242"/>
      <c r="BY9" s="242"/>
      <c r="BZ9" s="242"/>
      <c r="CA9" s="242"/>
      <c r="CB9" s="242"/>
      <c r="CC9" s="242"/>
      <c r="CD9" s="243"/>
      <c r="CE9" s="243"/>
      <c r="CF9" s="243"/>
      <c r="CG9" s="243"/>
      <c r="CH9" s="243"/>
      <c r="CI9" s="243"/>
      <c r="CJ9" s="243"/>
      <c r="CK9" s="242"/>
      <c r="CL9" s="242"/>
      <c r="CM9" s="242"/>
      <c r="CN9" s="242"/>
      <c r="CO9" s="242"/>
      <c r="CP9" s="242"/>
      <c r="CQ9" s="242"/>
      <c r="CR9" s="243"/>
      <c r="CS9" s="243"/>
      <c r="CT9" s="243"/>
      <c r="CU9" s="243"/>
      <c r="CV9" s="243"/>
      <c r="CW9" s="243"/>
      <c r="CX9" s="243"/>
      <c r="CY9" s="242"/>
      <c r="CZ9" s="242"/>
      <c r="DA9" s="242"/>
      <c r="DB9" s="242"/>
      <c r="DC9" s="242"/>
      <c r="DD9" s="242"/>
      <c r="DE9" s="242"/>
      <c r="DF9" s="243"/>
      <c r="DG9" s="243"/>
      <c r="DH9" s="243"/>
      <c r="DI9" s="243"/>
      <c r="DJ9" s="243"/>
      <c r="DK9" s="243"/>
      <c r="DL9" s="243"/>
      <c r="DM9" s="242"/>
      <c r="DN9" s="242"/>
      <c r="DO9" s="242"/>
      <c r="DP9" s="242"/>
      <c r="DQ9" s="242"/>
      <c r="DR9" s="242"/>
      <c r="DS9" s="242"/>
      <c r="DT9" s="243"/>
      <c r="DU9" s="243"/>
      <c r="DV9" s="243"/>
      <c r="DW9" s="243"/>
      <c r="DX9" s="243"/>
      <c r="DY9" s="243"/>
      <c r="DZ9" s="243"/>
      <c r="EA9" s="242"/>
      <c r="EB9" s="242"/>
      <c r="EC9" s="242"/>
      <c r="ED9" s="242"/>
      <c r="EE9" s="242"/>
      <c r="EF9" s="242"/>
      <c r="EG9" s="242"/>
      <c r="EH9" s="243"/>
      <c r="EI9" s="243"/>
      <c r="EJ9" s="243"/>
      <c r="EK9" s="243"/>
      <c r="EL9" s="243"/>
      <c r="EM9" s="243"/>
      <c r="EN9" s="243"/>
      <c r="EO9" s="242"/>
      <c r="EP9" s="242"/>
      <c r="EQ9" s="242"/>
      <c r="ER9" s="242"/>
      <c r="ES9" s="242"/>
      <c r="ET9" s="242"/>
      <c r="EU9" s="242"/>
      <c r="EV9" s="243"/>
      <c r="EW9" s="243"/>
      <c r="EX9" s="243"/>
      <c r="EY9" s="243"/>
      <c r="EZ9" s="243"/>
      <c r="FA9" s="243"/>
      <c r="FB9" s="243"/>
      <c r="FC9" s="242"/>
      <c r="FD9" s="242"/>
      <c r="FE9" s="242"/>
      <c r="FF9" s="242"/>
      <c r="FG9" s="242"/>
      <c r="FH9" s="242"/>
      <c r="FI9" s="242"/>
      <c r="FJ9" s="243"/>
      <c r="FK9" s="243"/>
      <c r="FL9" s="243"/>
      <c r="FM9" s="243"/>
      <c r="FN9" s="243"/>
      <c r="FO9" s="243"/>
      <c r="FP9" s="243"/>
      <c r="FQ9" s="242"/>
      <c r="FR9" s="242"/>
      <c r="FS9" s="242"/>
      <c r="FT9" s="242"/>
      <c r="FU9" s="242"/>
      <c r="FV9" s="242"/>
      <c r="FW9" s="242"/>
      <c r="FX9" s="243"/>
      <c r="FY9" s="243"/>
      <c r="FZ9" s="243"/>
      <c r="GA9" s="243"/>
      <c r="GB9" s="243"/>
      <c r="GC9" s="243"/>
      <c r="GD9" s="243"/>
      <c r="GE9" s="242"/>
      <c r="GF9" s="242"/>
      <c r="GG9" s="242"/>
      <c r="GH9" s="242"/>
      <c r="GI9" s="242"/>
      <c r="GJ9" s="242"/>
      <c r="GK9" s="242"/>
      <c r="GL9" s="243"/>
      <c r="GM9" s="243"/>
      <c r="GN9" s="243"/>
      <c r="GO9" s="243"/>
      <c r="GP9" s="243"/>
      <c r="GQ9" s="243"/>
      <c r="GR9" s="243"/>
      <c r="GS9" s="242"/>
      <c r="GT9" s="242"/>
      <c r="GU9" s="242"/>
      <c r="GV9" s="242"/>
      <c r="GW9" s="242"/>
      <c r="GX9" s="242"/>
      <c r="GY9" s="242"/>
      <c r="GZ9" s="243"/>
      <c r="HA9" s="243"/>
      <c r="HB9" s="243"/>
      <c r="HC9" s="243"/>
      <c r="HD9" s="243"/>
      <c r="HE9" s="243"/>
      <c r="HF9" s="243"/>
      <c r="HG9" s="242"/>
      <c r="HH9" s="242"/>
      <c r="HI9" s="242"/>
      <c r="HJ9" s="242"/>
      <c r="HK9" s="242"/>
      <c r="HL9" s="242"/>
      <c r="HM9" s="242"/>
      <c r="HN9" s="243"/>
      <c r="HO9" s="243"/>
      <c r="HP9" s="243"/>
      <c r="HQ9" s="243"/>
      <c r="HR9" s="243"/>
      <c r="HS9" s="243"/>
      <c r="HT9" s="243"/>
      <c r="HU9" s="242"/>
      <c r="HV9" s="242"/>
      <c r="HW9" s="242"/>
      <c r="HX9" s="242"/>
      <c r="HY9" s="242"/>
      <c r="HZ9" s="242"/>
      <c r="IA9" s="242"/>
      <c r="IB9" s="243"/>
      <c r="IC9" s="243"/>
      <c r="ID9" s="243"/>
      <c r="IE9" s="243"/>
      <c r="IF9" s="243"/>
      <c r="IG9" s="243"/>
      <c r="IH9" s="243"/>
      <c r="II9" s="242"/>
      <c r="IJ9" s="242"/>
      <c r="IK9" s="242"/>
      <c r="IL9" s="242"/>
      <c r="IM9" s="242"/>
      <c r="IN9" s="242"/>
      <c r="IO9" s="242"/>
      <c r="IP9" s="243"/>
      <c r="IQ9" s="243"/>
      <c r="IR9" s="243"/>
      <c r="IS9" s="243"/>
      <c r="IT9" s="243"/>
      <c r="IU9" s="243"/>
      <c r="IV9" s="243"/>
      <c r="IW9" s="242"/>
      <c r="IX9" s="242"/>
      <c r="IY9" s="242"/>
      <c r="IZ9" s="242"/>
      <c r="JA9" s="242"/>
      <c r="JB9" s="242"/>
      <c r="JC9" s="242"/>
      <c r="JD9" s="243"/>
      <c r="JE9" s="243"/>
      <c r="JF9" s="243"/>
      <c r="JG9" s="243"/>
      <c r="JH9" s="243"/>
      <c r="JI9" s="243"/>
      <c r="JJ9" s="243"/>
      <c r="JK9" s="242"/>
      <c r="JL9" s="242"/>
      <c r="JM9" s="242"/>
      <c r="JN9" s="242"/>
      <c r="JO9" s="242"/>
      <c r="JP9" s="242"/>
      <c r="JQ9" s="242"/>
      <c r="JR9" s="243"/>
      <c r="JS9" s="243"/>
      <c r="JT9" s="243"/>
      <c r="JU9" s="243"/>
      <c r="JV9" s="243"/>
      <c r="JW9" s="243"/>
      <c r="JX9" s="243"/>
      <c r="JY9" s="242"/>
      <c r="JZ9" s="242"/>
      <c r="KA9" s="242"/>
      <c r="KB9" s="242"/>
      <c r="KC9" s="242"/>
      <c r="KD9" s="242"/>
      <c r="KE9" s="242"/>
      <c r="KF9" s="243"/>
      <c r="KG9" s="243"/>
      <c r="KH9" s="243"/>
      <c r="KI9" s="243"/>
      <c r="KJ9" s="243"/>
      <c r="KK9" s="243"/>
      <c r="KL9" s="243"/>
      <c r="KM9" s="242"/>
      <c r="KN9" s="242"/>
      <c r="KO9" s="242"/>
      <c r="KP9" s="242"/>
      <c r="KQ9" s="242"/>
      <c r="KR9" s="242"/>
      <c r="KS9" s="242"/>
      <c r="KT9" s="243"/>
      <c r="KU9" s="243"/>
      <c r="KV9" s="243"/>
      <c r="KW9" s="243"/>
      <c r="KX9" s="243"/>
      <c r="KY9" s="243"/>
      <c r="KZ9" s="243"/>
      <c r="LA9" s="242"/>
      <c r="LB9" s="242"/>
      <c r="LC9" s="242"/>
      <c r="LD9" s="242"/>
      <c r="LE9" s="242"/>
      <c r="LF9" s="242"/>
      <c r="LG9" s="242"/>
      <c r="LH9" s="243"/>
      <c r="LI9" s="243"/>
      <c r="LJ9" s="243"/>
      <c r="LK9" s="243"/>
      <c r="LL9" s="243"/>
      <c r="LM9" s="243"/>
      <c r="LN9" s="243"/>
      <c r="LO9" s="242"/>
      <c r="LP9" s="242"/>
      <c r="LQ9" s="242"/>
      <c r="LR9" s="242"/>
      <c r="LS9" s="242"/>
      <c r="LT9" s="242"/>
      <c r="LU9" s="242"/>
      <c r="LV9" s="243"/>
      <c r="LW9" s="243"/>
      <c r="LX9" s="243"/>
      <c r="LY9" s="243"/>
      <c r="LZ9" s="243"/>
      <c r="MA9" s="243"/>
      <c r="MB9" s="243"/>
      <c r="MC9" s="242"/>
      <c r="MD9" s="242"/>
      <c r="ME9" s="242"/>
      <c r="MF9" s="242"/>
      <c r="MG9" s="242"/>
      <c r="MH9" s="242"/>
      <c r="MI9" s="242"/>
      <c r="MJ9" s="243"/>
      <c r="MK9" s="243"/>
      <c r="ML9" s="243"/>
      <c r="MM9" s="243"/>
      <c r="MN9" s="243"/>
      <c r="MO9" s="243"/>
      <c r="MP9" s="243"/>
      <c r="MQ9" s="242"/>
      <c r="MR9" s="242"/>
      <c r="MS9" s="242"/>
      <c r="MT9" s="242"/>
      <c r="MU9" s="242"/>
      <c r="MV9" s="242"/>
      <c r="MW9" s="242"/>
      <c r="MX9" s="243"/>
      <c r="MY9" s="243"/>
      <c r="MZ9" s="243"/>
      <c r="NA9" s="243"/>
      <c r="NB9" s="243"/>
      <c r="NC9" s="243"/>
      <c r="ND9" s="243"/>
      <c r="NE9" s="242"/>
      <c r="NF9" s="242"/>
      <c r="NG9" s="242"/>
      <c r="NH9" s="333"/>
    </row>
    <row r="10" spans="1:372">
      <c r="A10" s="251" t="s">
        <v>956</v>
      </c>
      <c r="B10" s="251" t="s">
        <v>958</v>
      </c>
      <c r="C10" s="251" t="s">
        <v>674</v>
      </c>
      <c r="D10" s="251" t="s">
        <v>982</v>
      </c>
      <c r="E10" s="241">
        <v>0</v>
      </c>
      <c r="F10" s="241">
        <v>0</v>
      </c>
      <c r="G10" s="242"/>
      <c r="H10" s="242"/>
      <c r="I10" s="242"/>
      <c r="J10" s="242"/>
      <c r="K10" s="242"/>
      <c r="L10" s="243"/>
      <c r="M10" s="243"/>
      <c r="N10" s="243"/>
      <c r="O10" s="243"/>
      <c r="P10" s="243"/>
      <c r="Q10" s="243"/>
      <c r="R10" s="243"/>
      <c r="S10" s="242"/>
      <c r="T10" s="242"/>
      <c r="U10" s="242"/>
      <c r="V10" s="242"/>
      <c r="W10" s="242"/>
      <c r="X10" s="242"/>
      <c r="Y10" s="242"/>
      <c r="Z10" s="243"/>
      <c r="AA10" s="243"/>
      <c r="AB10" s="243"/>
      <c r="AC10" s="243"/>
      <c r="AD10" s="243"/>
      <c r="AE10" s="243"/>
      <c r="AF10" s="243"/>
      <c r="AG10" s="242"/>
      <c r="AH10" s="242"/>
      <c r="AI10" s="242"/>
      <c r="AJ10" s="242"/>
      <c r="AK10" s="242"/>
      <c r="AL10" s="242"/>
      <c r="AM10" s="242"/>
      <c r="AN10" s="243"/>
      <c r="AO10" s="243"/>
      <c r="AP10" s="243"/>
      <c r="AQ10" s="243"/>
      <c r="AR10" s="243"/>
      <c r="AS10" s="243"/>
      <c r="AT10" s="243"/>
      <c r="AU10" s="242"/>
      <c r="AV10" s="242"/>
      <c r="AW10" s="242"/>
      <c r="AX10" s="242"/>
      <c r="AY10" s="242"/>
      <c r="AZ10" s="242"/>
      <c r="BA10" s="242"/>
      <c r="BB10" s="243"/>
      <c r="BC10" s="243"/>
      <c r="BD10" s="243"/>
      <c r="BE10" s="243"/>
      <c r="BF10" s="243"/>
      <c r="BG10" s="243"/>
      <c r="BH10" s="243"/>
      <c r="BI10" s="242"/>
      <c r="BJ10" s="242"/>
      <c r="BK10" s="242"/>
      <c r="BL10" s="242"/>
      <c r="BM10" s="242"/>
      <c r="BN10" s="242"/>
      <c r="BO10" s="242"/>
      <c r="BP10" s="243"/>
      <c r="BQ10" s="243"/>
      <c r="BR10" s="243"/>
      <c r="BS10" s="243"/>
      <c r="BT10" s="243"/>
      <c r="BU10" s="243"/>
      <c r="BV10" s="243"/>
      <c r="BW10" s="242"/>
      <c r="BX10" s="242"/>
      <c r="BY10" s="242"/>
      <c r="BZ10" s="242"/>
      <c r="CA10" s="242"/>
      <c r="CB10" s="242"/>
      <c r="CC10" s="242"/>
      <c r="CD10" s="243"/>
      <c r="CE10" s="243"/>
      <c r="CF10" s="243"/>
      <c r="CG10" s="243"/>
      <c r="CH10" s="243"/>
      <c r="CI10" s="243"/>
      <c r="CJ10" s="243"/>
      <c r="CK10" s="242"/>
      <c r="CL10" s="242"/>
      <c r="CM10" s="242"/>
      <c r="CN10" s="242"/>
      <c r="CO10" s="242"/>
      <c r="CP10" s="242"/>
      <c r="CQ10" s="242"/>
      <c r="CR10" s="243"/>
      <c r="CS10" s="243"/>
      <c r="CT10" s="243"/>
      <c r="CU10" s="243"/>
      <c r="CV10" s="243"/>
      <c r="CW10" s="243"/>
      <c r="CX10" s="243"/>
      <c r="CY10" s="242"/>
      <c r="CZ10" s="242"/>
      <c r="DA10" s="242"/>
      <c r="DB10" s="242"/>
      <c r="DC10" s="242"/>
      <c r="DD10" s="242"/>
      <c r="DE10" s="242"/>
      <c r="DF10" s="243"/>
      <c r="DG10" s="243"/>
      <c r="DH10" s="243"/>
      <c r="DI10" s="243"/>
      <c r="DJ10" s="243"/>
      <c r="DK10" s="243"/>
      <c r="DL10" s="243"/>
      <c r="DM10" s="242"/>
      <c r="DN10" s="242"/>
      <c r="DO10" s="242"/>
      <c r="DP10" s="242"/>
      <c r="DQ10" s="242"/>
      <c r="DR10" s="242"/>
      <c r="DS10" s="242"/>
      <c r="DT10" s="243"/>
      <c r="DU10" s="243"/>
      <c r="DV10" s="243"/>
      <c r="DW10" s="243"/>
      <c r="DX10" s="243"/>
      <c r="DY10" s="243"/>
      <c r="DZ10" s="243"/>
      <c r="EA10" s="242"/>
      <c r="EB10" s="242"/>
      <c r="EC10" s="242"/>
      <c r="ED10" s="242"/>
      <c r="EE10" s="242"/>
      <c r="EF10" s="242"/>
      <c r="EG10" s="242"/>
      <c r="EH10" s="243"/>
      <c r="EI10" s="243"/>
      <c r="EJ10" s="243"/>
      <c r="EK10" s="243"/>
      <c r="EL10" s="243"/>
      <c r="EM10" s="243"/>
      <c r="EN10" s="243"/>
      <c r="EO10" s="242"/>
      <c r="EP10" s="242"/>
      <c r="EQ10" s="242"/>
      <c r="ER10" s="242"/>
      <c r="ES10" s="242"/>
      <c r="ET10" s="242"/>
      <c r="EU10" s="242"/>
      <c r="EV10" s="243"/>
      <c r="EW10" s="243"/>
      <c r="EX10" s="243"/>
      <c r="EY10" s="243"/>
      <c r="EZ10" s="243"/>
      <c r="FA10" s="243"/>
      <c r="FB10" s="243"/>
      <c r="FC10" s="242"/>
      <c r="FD10" s="242"/>
      <c r="FE10" s="242"/>
      <c r="FF10" s="242"/>
      <c r="FG10" s="242"/>
      <c r="FH10" s="242"/>
      <c r="FI10" s="242"/>
      <c r="FJ10" s="243"/>
      <c r="FK10" s="243"/>
      <c r="FL10" s="243"/>
      <c r="FM10" s="243"/>
      <c r="FN10" s="243"/>
      <c r="FO10" s="243"/>
      <c r="FP10" s="243"/>
      <c r="FQ10" s="242"/>
      <c r="FR10" s="242"/>
      <c r="FS10" s="242"/>
      <c r="FT10" s="242"/>
      <c r="FU10" s="242"/>
      <c r="FV10" s="242"/>
      <c r="FW10" s="242"/>
      <c r="FX10" s="243"/>
      <c r="FY10" s="243"/>
      <c r="FZ10" s="243"/>
      <c r="GA10" s="243"/>
      <c r="GB10" s="243"/>
      <c r="GC10" s="243"/>
      <c r="GD10" s="243"/>
      <c r="GE10" s="242"/>
      <c r="GF10" s="242"/>
      <c r="GG10" s="242"/>
      <c r="GH10" s="242"/>
      <c r="GI10" s="242"/>
      <c r="GJ10" s="242"/>
      <c r="GK10" s="242"/>
      <c r="GL10" s="243"/>
      <c r="GM10" s="243"/>
      <c r="GN10" s="243"/>
      <c r="GO10" s="243"/>
      <c r="GP10" s="243"/>
      <c r="GQ10" s="243"/>
      <c r="GR10" s="243"/>
      <c r="GS10" s="242"/>
      <c r="GT10" s="242"/>
      <c r="GU10" s="242"/>
      <c r="GV10" s="242"/>
      <c r="GW10" s="242"/>
      <c r="GX10" s="242"/>
      <c r="GY10" s="242"/>
      <c r="GZ10" s="243"/>
      <c r="HA10" s="243"/>
      <c r="HB10" s="243"/>
      <c r="HC10" s="243"/>
      <c r="HD10" s="243"/>
      <c r="HE10" s="243"/>
      <c r="HF10" s="243"/>
      <c r="HG10" s="242"/>
      <c r="HH10" s="242"/>
      <c r="HI10" s="242"/>
      <c r="HJ10" s="242"/>
      <c r="HK10" s="242"/>
      <c r="HL10" s="242"/>
      <c r="HM10" s="242"/>
      <c r="HN10" s="243"/>
      <c r="HO10" s="243"/>
      <c r="HP10" s="243"/>
      <c r="HQ10" s="243"/>
      <c r="HR10" s="243"/>
      <c r="HS10" s="243"/>
      <c r="HT10" s="243"/>
      <c r="HU10" s="242"/>
      <c r="HV10" s="242"/>
      <c r="HW10" s="242"/>
      <c r="HX10" s="242"/>
      <c r="HY10" s="242"/>
      <c r="HZ10" s="242"/>
      <c r="IA10" s="242"/>
      <c r="IB10" s="243"/>
      <c r="IC10" s="243"/>
      <c r="ID10" s="243"/>
      <c r="IE10" s="243"/>
      <c r="IF10" s="243"/>
      <c r="IG10" s="243"/>
      <c r="IH10" s="243"/>
      <c r="II10" s="242"/>
      <c r="IJ10" s="242"/>
      <c r="IK10" s="242"/>
      <c r="IL10" s="242"/>
      <c r="IM10" s="242"/>
      <c r="IN10" s="242"/>
      <c r="IO10" s="242"/>
      <c r="IP10" s="243"/>
      <c r="IQ10" s="243"/>
      <c r="IR10" s="243"/>
      <c r="IS10" s="243"/>
      <c r="IT10" s="243"/>
      <c r="IU10" s="243"/>
      <c r="IV10" s="243"/>
      <c r="IW10" s="242"/>
      <c r="IX10" s="242"/>
      <c r="IY10" s="242"/>
      <c r="IZ10" s="242"/>
      <c r="JA10" s="242"/>
      <c r="JB10" s="242"/>
      <c r="JC10" s="242"/>
      <c r="JD10" s="243"/>
      <c r="JE10" s="243"/>
      <c r="JF10" s="243"/>
      <c r="JG10" s="243"/>
      <c r="JH10" s="243"/>
      <c r="JI10" s="243"/>
      <c r="JJ10" s="243"/>
      <c r="JK10" s="242"/>
      <c r="JL10" s="242"/>
      <c r="JM10" s="242"/>
      <c r="JN10" s="242"/>
      <c r="JO10" s="242"/>
      <c r="JP10" s="242"/>
      <c r="JQ10" s="242"/>
      <c r="JR10" s="243"/>
      <c r="JS10" s="243"/>
      <c r="JT10" s="243"/>
      <c r="JU10" s="243"/>
      <c r="JV10" s="243"/>
      <c r="JW10" s="243"/>
      <c r="JX10" s="243"/>
      <c r="JY10" s="242"/>
      <c r="JZ10" s="242"/>
      <c r="KA10" s="242"/>
      <c r="KB10" s="242"/>
      <c r="KC10" s="242"/>
      <c r="KD10" s="242"/>
      <c r="KE10" s="242"/>
      <c r="KF10" s="243"/>
      <c r="KG10" s="243"/>
      <c r="KH10" s="243"/>
      <c r="KI10" s="243"/>
      <c r="KJ10" s="243"/>
      <c r="KK10" s="243"/>
      <c r="KL10" s="243"/>
      <c r="KM10" s="242"/>
      <c r="KN10" s="242"/>
      <c r="KO10" s="242"/>
      <c r="KP10" s="242"/>
      <c r="KQ10" s="242"/>
      <c r="KR10" s="242"/>
      <c r="KS10" s="242"/>
      <c r="KT10" s="243"/>
      <c r="KU10" s="243"/>
      <c r="KV10" s="243"/>
      <c r="KW10" s="243"/>
      <c r="KX10" s="243"/>
      <c r="KY10" s="243"/>
      <c r="KZ10" s="243"/>
      <c r="LA10" s="242"/>
      <c r="LB10" s="242"/>
      <c r="LC10" s="242"/>
      <c r="LD10" s="242"/>
      <c r="LE10" s="242"/>
      <c r="LF10" s="242"/>
      <c r="LG10" s="242"/>
      <c r="LH10" s="243"/>
      <c r="LI10" s="243"/>
      <c r="LJ10" s="243"/>
      <c r="LK10" s="243"/>
      <c r="LL10" s="243"/>
      <c r="LM10" s="243"/>
      <c r="LN10" s="243"/>
      <c r="LO10" s="242"/>
      <c r="LP10" s="242"/>
      <c r="LQ10" s="242"/>
      <c r="LR10" s="242"/>
      <c r="LS10" s="242"/>
      <c r="LT10" s="242"/>
      <c r="LU10" s="242"/>
      <c r="LV10" s="243"/>
      <c r="LW10" s="243"/>
      <c r="LX10" s="243"/>
      <c r="LY10" s="243"/>
      <c r="LZ10" s="243"/>
      <c r="MA10" s="243"/>
      <c r="MB10" s="243"/>
      <c r="MC10" s="242"/>
      <c r="MD10" s="242"/>
      <c r="ME10" s="242"/>
      <c r="MF10" s="242"/>
      <c r="MG10" s="242"/>
      <c r="MH10" s="242"/>
      <c r="MI10" s="242"/>
      <c r="MJ10" s="243"/>
      <c r="MK10" s="243"/>
      <c r="ML10" s="243"/>
      <c r="MM10" s="243"/>
      <c r="MN10" s="243"/>
      <c r="MO10" s="243"/>
      <c r="MP10" s="243"/>
      <c r="MQ10" s="242"/>
      <c r="MR10" s="242"/>
      <c r="MS10" s="242"/>
      <c r="MT10" s="242"/>
      <c r="MU10" s="242"/>
      <c r="MV10" s="242"/>
      <c r="MW10" s="242"/>
      <c r="MX10" s="243"/>
      <c r="MY10" s="243"/>
      <c r="MZ10" s="243"/>
      <c r="NA10" s="243"/>
      <c r="NB10" s="243"/>
      <c r="NC10" s="243"/>
      <c r="ND10" s="243"/>
      <c r="NE10" s="242"/>
      <c r="NF10" s="242"/>
      <c r="NG10" s="242"/>
      <c r="NH10" s="333"/>
    </row>
    <row r="11" spans="1:372">
      <c r="A11" s="251" t="s">
        <v>956</v>
      </c>
      <c r="B11" s="251" t="s">
        <v>959</v>
      </c>
      <c r="C11" s="251" t="s">
        <v>674</v>
      </c>
      <c r="D11" s="251" t="s">
        <v>982</v>
      </c>
      <c r="E11" s="241">
        <v>0</v>
      </c>
      <c r="F11" s="241">
        <v>336</v>
      </c>
      <c r="G11" s="242"/>
      <c r="H11" s="242"/>
      <c r="I11" s="242"/>
      <c r="J11" s="242"/>
      <c r="K11" s="242"/>
      <c r="L11" s="243"/>
      <c r="M11" s="243"/>
      <c r="N11" s="243"/>
      <c r="O11" s="243"/>
      <c r="P11" s="243"/>
      <c r="Q11" s="243"/>
      <c r="R11" s="243"/>
      <c r="S11" s="242"/>
      <c r="T11" s="242"/>
      <c r="U11" s="242"/>
      <c r="V11" s="242"/>
      <c r="W11" s="242"/>
      <c r="X11" s="242"/>
      <c r="Y11" s="242"/>
      <c r="Z11" s="243"/>
      <c r="AA11" s="243"/>
      <c r="AB11" s="243"/>
      <c r="AC11" s="243"/>
      <c r="AD11" s="243"/>
      <c r="AE11" s="243"/>
      <c r="AF11" s="243"/>
      <c r="AG11" s="242"/>
      <c r="AH11" s="242"/>
      <c r="AI11" s="242"/>
      <c r="AJ11" s="242"/>
      <c r="AK11" s="242"/>
      <c r="AL11" s="242"/>
      <c r="AM11" s="242"/>
      <c r="AN11" s="243"/>
      <c r="AO11" s="243"/>
      <c r="AP11" s="243"/>
      <c r="AQ11" s="243"/>
      <c r="AR11" s="243"/>
      <c r="AS11" s="243"/>
      <c r="AT11" s="243"/>
      <c r="AU11" s="242"/>
      <c r="AV11" s="242"/>
      <c r="AW11" s="242"/>
      <c r="AX11" s="242"/>
      <c r="AY11" s="242"/>
      <c r="AZ11" s="242"/>
      <c r="BA11" s="242"/>
      <c r="BB11" s="243"/>
      <c r="BC11" s="243"/>
      <c r="BD11" s="243"/>
      <c r="BE11" s="243"/>
      <c r="BF11" s="243"/>
      <c r="BG11" s="243"/>
      <c r="BH11" s="243"/>
      <c r="BI11" s="242"/>
      <c r="BJ11" s="242"/>
      <c r="BK11" s="242"/>
      <c r="BL11" s="242"/>
      <c r="BM11" s="242"/>
      <c r="BN11" s="242"/>
      <c r="BO11" s="242"/>
      <c r="BP11" s="243"/>
      <c r="BQ11" s="243"/>
      <c r="BR11" s="243"/>
      <c r="BS11" s="243"/>
      <c r="BT11" s="243"/>
      <c r="BU11" s="243"/>
      <c r="BV11" s="243"/>
      <c r="BW11" s="242"/>
      <c r="BX11" s="242"/>
      <c r="BY11" s="242"/>
      <c r="BZ11" s="242"/>
      <c r="CA11" s="242"/>
      <c r="CB11" s="242"/>
      <c r="CC11" s="242"/>
      <c r="CD11" s="243"/>
      <c r="CE11" s="243"/>
      <c r="CF11" s="243"/>
      <c r="CG11" s="243"/>
      <c r="CH11" s="243"/>
      <c r="CI11" s="243"/>
      <c r="CJ11" s="243"/>
      <c r="CK11" s="242"/>
      <c r="CL11" s="242"/>
      <c r="CM11" s="242"/>
      <c r="CN11" s="242"/>
      <c r="CO11" s="242"/>
      <c r="CP11" s="242"/>
      <c r="CQ11" s="242"/>
      <c r="CR11" s="243"/>
      <c r="CS11" s="243"/>
      <c r="CT11" s="243"/>
      <c r="CU11" s="243"/>
      <c r="CV11" s="243"/>
      <c r="CW11" s="243"/>
      <c r="CX11" s="243"/>
      <c r="CY11" s="242"/>
      <c r="CZ11" s="242"/>
      <c r="DA11" s="242"/>
      <c r="DB11" s="242"/>
      <c r="DC11" s="242"/>
      <c r="DD11" s="242"/>
      <c r="DE11" s="242"/>
      <c r="DF11" s="243"/>
      <c r="DG11" s="243"/>
      <c r="DH11" s="243"/>
      <c r="DI11" s="243"/>
      <c r="DJ11" s="243"/>
      <c r="DK11" s="243"/>
      <c r="DL11" s="243"/>
      <c r="DM11" s="242"/>
      <c r="DN11" s="242"/>
      <c r="DO11" s="242"/>
      <c r="DP11" s="242"/>
      <c r="DQ11" s="242"/>
      <c r="DR11" s="242"/>
      <c r="DS11" s="242"/>
      <c r="DT11" s="243"/>
      <c r="DU11" s="243"/>
      <c r="DV11" s="243"/>
      <c r="DW11" s="243"/>
      <c r="DX11" s="243"/>
      <c r="DY11" s="243"/>
      <c r="DZ11" s="243"/>
      <c r="EA11" s="242"/>
      <c r="EB11" s="242"/>
      <c r="EC11" s="242"/>
      <c r="ED11" s="242"/>
      <c r="EE11" s="242"/>
      <c r="EF11" s="242"/>
      <c r="EG11" s="242"/>
      <c r="EH11" s="243"/>
      <c r="EI11" s="243"/>
      <c r="EJ11" s="243"/>
      <c r="EK11" s="243"/>
      <c r="EL11" s="243"/>
      <c r="EM11" s="243"/>
      <c r="EN11" s="243"/>
      <c r="EO11" s="242"/>
      <c r="EP11" s="242"/>
      <c r="EQ11" s="242"/>
      <c r="ER11" s="242"/>
      <c r="ES11" s="242"/>
      <c r="ET11" s="242"/>
      <c r="EU11" s="242"/>
      <c r="EV11" s="243"/>
      <c r="EW11" s="243"/>
      <c r="EX11" s="243"/>
      <c r="EY11" s="243"/>
      <c r="EZ11" s="243"/>
      <c r="FA11" s="243"/>
      <c r="FB11" s="243"/>
      <c r="FC11" s="242"/>
      <c r="FD11" s="242"/>
      <c r="FE11" s="242"/>
      <c r="FF11" s="242"/>
      <c r="FG11" s="242"/>
      <c r="FH11" s="242"/>
      <c r="FI11" s="242"/>
      <c r="FJ11" s="243"/>
      <c r="FK11" s="243"/>
      <c r="FL11" s="243"/>
      <c r="FM11" s="243"/>
      <c r="FN11" s="243"/>
      <c r="FO11" s="243"/>
      <c r="FP11" s="243"/>
      <c r="FQ11" s="242"/>
      <c r="FR11" s="242"/>
      <c r="FS11" s="242"/>
      <c r="FT11" s="242"/>
      <c r="FU11" s="242"/>
      <c r="FV11" s="242"/>
      <c r="FW11" s="242"/>
      <c r="FX11" s="243"/>
      <c r="FY11" s="243"/>
      <c r="FZ11" s="243"/>
      <c r="GA11" s="243"/>
      <c r="GB11" s="243"/>
      <c r="GC11" s="243"/>
      <c r="GD11" s="243"/>
      <c r="GE11" s="242"/>
      <c r="GF11" s="242"/>
      <c r="GG11" s="242"/>
      <c r="GH11" s="242"/>
      <c r="GI11" s="242"/>
      <c r="GJ11" s="242"/>
      <c r="GK11" s="242"/>
      <c r="GL11" s="243"/>
      <c r="GM11" s="243"/>
      <c r="GN11" s="243"/>
      <c r="GO11" s="243"/>
      <c r="GP11" s="243"/>
      <c r="GQ11" s="243"/>
      <c r="GR11" s="243"/>
      <c r="GS11" s="242"/>
      <c r="GT11" s="242"/>
      <c r="GU11" s="242"/>
      <c r="GV11" s="242"/>
      <c r="GW11" s="242"/>
      <c r="GX11" s="242"/>
      <c r="GY11" s="242"/>
      <c r="GZ11" s="243"/>
      <c r="HA11" s="243"/>
      <c r="HB11" s="243"/>
      <c r="HC11" s="243"/>
      <c r="HD11" s="243"/>
      <c r="HE11" s="243"/>
      <c r="HF11" s="243"/>
      <c r="HG11" s="242"/>
      <c r="HH11" s="242"/>
      <c r="HI11" s="242"/>
      <c r="HJ11" s="242"/>
      <c r="HK11" s="242"/>
      <c r="HL11" s="242"/>
      <c r="HM11" s="242"/>
      <c r="HN11" s="243"/>
      <c r="HO11" s="243"/>
      <c r="HP11" s="243"/>
      <c r="HQ11" s="243"/>
      <c r="HR11" s="243"/>
      <c r="HS11" s="243"/>
      <c r="HT11" s="243"/>
      <c r="HU11" s="242"/>
      <c r="HV11" s="242"/>
      <c r="HW11" s="242"/>
      <c r="HX11" s="242"/>
      <c r="HY11" s="242"/>
      <c r="HZ11" s="242"/>
      <c r="IA11" s="242"/>
      <c r="IB11" s="243"/>
      <c r="IC11" s="243"/>
      <c r="ID11" s="243"/>
      <c r="IE11" s="243"/>
      <c r="IF11" s="243"/>
      <c r="IG11" s="243"/>
      <c r="IH11" s="243"/>
      <c r="II11" s="242"/>
      <c r="IJ11" s="242"/>
      <c r="IK11" s="242"/>
      <c r="IL11" s="242"/>
      <c r="IM11" s="242"/>
      <c r="IN11" s="242"/>
      <c r="IO11" s="242"/>
      <c r="IP11" s="243"/>
      <c r="IQ11" s="243"/>
      <c r="IR11" s="243"/>
      <c r="IS11" s="243"/>
      <c r="IT11" s="243"/>
      <c r="IU11" s="243"/>
      <c r="IV11" s="243"/>
      <c r="IW11" s="242"/>
      <c r="IX11" s="242"/>
      <c r="IY11" s="242"/>
      <c r="IZ11" s="242"/>
      <c r="JA11" s="242"/>
      <c r="JB11" s="242"/>
      <c r="JC11" s="242"/>
      <c r="JD11" s="243"/>
      <c r="JE11" s="243"/>
      <c r="JF11" s="243"/>
      <c r="JG11" s="243"/>
      <c r="JH11" s="243"/>
      <c r="JI11" s="243"/>
      <c r="JJ11" s="243"/>
      <c r="JK11" s="242"/>
      <c r="JL11" s="242"/>
      <c r="JM11" s="242"/>
      <c r="JN11" s="242"/>
      <c r="JO11" s="242"/>
      <c r="JP11" s="242"/>
      <c r="JQ11" s="242"/>
      <c r="JR11" s="243"/>
      <c r="JS11" s="243"/>
      <c r="JT11" s="243"/>
      <c r="JU11" s="243"/>
      <c r="JV11" s="243"/>
      <c r="JW11" s="243"/>
      <c r="JX11" s="243"/>
      <c r="JY11" s="242"/>
      <c r="JZ11" s="242"/>
      <c r="KA11" s="242"/>
      <c r="KB11" s="242"/>
      <c r="KC11" s="242"/>
      <c r="KD11" s="242"/>
      <c r="KE11" s="242"/>
      <c r="KF11" s="243"/>
      <c r="KG11" s="243"/>
      <c r="KH11" s="243"/>
      <c r="KI11" s="243"/>
      <c r="KJ11" s="243"/>
      <c r="KK11" s="243"/>
      <c r="KL11" s="243"/>
      <c r="KM11" s="242"/>
      <c r="KN11" s="242"/>
      <c r="KO11" s="242"/>
      <c r="KP11" s="242"/>
      <c r="KQ11" s="242"/>
      <c r="KR11" s="242"/>
      <c r="KS11" s="242"/>
      <c r="KT11" s="243"/>
      <c r="KU11" s="243"/>
      <c r="KV11" s="243"/>
      <c r="KW11" s="243"/>
      <c r="KX11" s="243"/>
      <c r="KY11" s="243"/>
      <c r="KZ11" s="243"/>
      <c r="LA11" s="242">
        <v>24</v>
      </c>
      <c r="LB11" s="242">
        <v>24</v>
      </c>
      <c r="LC11" s="242">
        <v>24</v>
      </c>
      <c r="LD11" s="242">
        <v>24</v>
      </c>
      <c r="LE11" s="242">
        <v>24</v>
      </c>
      <c r="LF11" s="242">
        <v>24</v>
      </c>
      <c r="LG11" s="242">
        <v>24</v>
      </c>
      <c r="LH11" s="243">
        <v>24</v>
      </c>
      <c r="LI11" s="243">
        <v>24</v>
      </c>
      <c r="LJ11" s="243">
        <v>24</v>
      </c>
      <c r="LK11" s="243">
        <v>24</v>
      </c>
      <c r="LL11" s="243">
        <v>24</v>
      </c>
      <c r="LM11" s="243">
        <v>24</v>
      </c>
      <c r="LN11" s="243">
        <v>24</v>
      </c>
      <c r="LO11" s="242"/>
      <c r="LP11" s="242"/>
      <c r="LQ11" s="242"/>
      <c r="LR11" s="242"/>
      <c r="LS11" s="242"/>
      <c r="LT11" s="242"/>
      <c r="LU11" s="242"/>
      <c r="LV11" s="243"/>
      <c r="LW11" s="243"/>
      <c r="LX11" s="243"/>
      <c r="LY11" s="243"/>
      <c r="LZ11" s="243"/>
      <c r="MA11" s="243"/>
      <c r="MB11" s="243"/>
      <c r="MC11" s="242"/>
      <c r="MD11" s="242"/>
      <c r="ME11" s="242"/>
      <c r="MF11" s="242"/>
      <c r="MG11" s="242"/>
      <c r="MH11" s="242"/>
      <c r="MI11" s="242"/>
      <c r="MJ11" s="243"/>
      <c r="MK11" s="243"/>
      <c r="ML11" s="243"/>
      <c r="MM11" s="243"/>
      <c r="MN11" s="243"/>
      <c r="MO11" s="243"/>
      <c r="MP11" s="243"/>
      <c r="MQ11" s="242"/>
      <c r="MR11" s="242"/>
      <c r="MS11" s="242"/>
      <c r="MT11" s="242"/>
      <c r="MU11" s="242"/>
      <c r="MV11" s="242"/>
      <c r="MW11" s="242"/>
      <c r="MX11" s="243"/>
      <c r="MY11" s="243"/>
      <c r="MZ11" s="243"/>
      <c r="NA11" s="243"/>
      <c r="NB11" s="243"/>
      <c r="NC11" s="243"/>
      <c r="ND11" s="243"/>
      <c r="NE11" s="242"/>
      <c r="NF11" s="242"/>
      <c r="NG11" s="242"/>
      <c r="NH11" s="333" t="s">
        <v>1116</v>
      </c>
    </row>
    <row r="12" spans="1:372">
      <c r="A12" s="251" t="s">
        <v>956</v>
      </c>
      <c r="B12" s="251" t="s">
        <v>960</v>
      </c>
      <c r="C12" s="251" t="s">
        <v>674</v>
      </c>
      <c r="D12" s="251" t="s">
        <v>982</v>
      </c>
      <c r="E12" s="241">
        <v>112.8</v>
      </c>
      <c r="F12" s="241">
        <v>0</v>
      </c>
      <c r="G12" s="242"/>
      <c r="H12" s="242"/>
      <c r="I12" s="242"/>
      <c r="J12" s="242"/>
      <c r="K12" s="242"/>
      <c r="L12" s="243"/>
      <c r="M12" s="243"/>
      <c r="N12" s="243"/>
      <c r="O12" s="243"/>
      <c r="P12" s="243"/>
      <c r="Q12" s="243"/>
      <c r="R12" s="243"/>
      <c r="S12" s="242"/>
      <c r="T12" s="242"/>
      <c r="U12" s="242"/>
      <c r="V12" s="242"/>
      <c r="W12" s="242"/>
      <c r="X12" s="242"/>
      <c r="Y12" s="242"/>
      <c r="Z12" s="243"/>
      <c r="AA12" s="243"/>
      <c r="AB12" s="243"/>
      <c r="AC12" s="243"/>
      <c r="AD12" s="243"/>
      <c r="AE12" s="243"/>
      <c r="AF12" s="243"/>
      <c r="AG12" s="242"/>
      <c r="AH12" s="242"/>
      <c r="AI12" s="242"/>
      <c r="AJ12" s="242"/>
      <c r="AK12" s="242"/>
      <c r="AL12" s="242"/>
      <c r="AM12" s="242"/>
      <c r="AN12" s="243"/>
      <c r="AO12" s="243"/>
      <c r="AP12" s="243"/>
      <c r="AQ12" s="243"/>
      <c r="AR12" s="243"/>
      <c r="AS12" s="243"/>
      <c r="AT12" s="243"/>
      <c r="AU12" s="242"/>
      <c r="AV12" s="242"/>
      <c r="AW12" s="242"/>
      <c r="AX12" s="242"/>
      <c r="AY12" s="242"/>
      <c r="AZ12" s="242"/>
      <c r="BA12" s="242"/>
      <c r="BB12" s="243"/>
      <c r="BC12" s="243"/>
      <c r="BD12" s="243"/>
      <c r="BE12" s="243"/>
      <c r="BF12" s="243"/>
      <c r="BG12" s="243"/>
      <c r="BH12" s="243"/>
      <c r="BI12" s="242"/>
      <c r="BJ12" s="242"/>
      <c r="BK12" s="242"/>
      <c r="BL12" s="242"/>
      <c r="BM12" s="242"/>
      <c r="BN12" s="242"/>
      <c r="BO12" s="242"/>
      <c r="BP12" s="243"/>
      <c r="BQ12" s="243"/>
      <c r="BR12" s="243"/>
      <c r="BS12" s="243"/>
      <c r="BT12" s="243"/>
      <c r="BU12" s="243"/>
      <c r="BV12" s="243"/>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3"/>
      <c r="CS12" s="243"/>
      <c r="CT12" s="243"/>
      <c r="CU12" s="243"/>
      <c r="CV12" s="243"/>
      <c r="CW12" s="243"/>
      <c r="CX12" s="243"/>
      <c r="CY12" s="242"/>
      <c r="CZ12" s="242"/>
      <c r="DA12" s="242"/>
      <c r="DB12" s="242"/>
      <c r="DC12" s="242"/>
      <c r="DD12" s="242"/>
      <c r="DE12" s="242"/>
      <c r="DF12" s="243"/>
      <c r="DG12" s="243"/>
      <c r="DH12" s="243"/>
      <c r="DI12" s="243"/>
      <c r="DJ12" s="243"/>
      <c r="DK12" s="243"/>
      <c r="DL12" s="243"/>
      <c r="DM12" s="242"/>
      <c r="DN12" s="242"/>
      <c r="DO12" s="242"/>
      <c r="DP12" s="242"/>
      <c r="DQ12" s="242"/>
      <c r="DR12" s="242"/>
      <c r="DS12" s="242"/>
      <c r="DT12" s="243"/>
      <c r="DU12" s="243"/>
      <c r="DV12" s="243"/>
      <c r="DW12" s="243"/>
      <c r="DX12" s="243"/>
      <c r="DY12" s="243"/>
      <c r="DZ12" s="243"/>
      <c r="EA12" s="242"/>
      <c r="EB12" s="242"/>
      <c r="EC12" s="242"/>
      <c r="ED12" s="242"/>
      <c r="EE12" s="242"/>
      <c r="EF12" s="242"/>
      <c r="EG12" s="242"/>
      <c r="EH12" s="243"/>
      <c r="EI12" s="243"/>
      <c r="EJ12" s="243"/>
      <c r="EK12" s="243"/>
      <c r="EL12" s="243"/>
      <c r="EM12" s="243"/>
      <c r="EN12" s="243"/>
      <c r="EO12" s="242"/>
      <c r="EP12" s="242"/>
      <c r="EQ12" s="242"/>
      <c r="ER12" s="242"/>
      <c r="ES12" s="242"/>
      <c r="ET12" s="242"/>
      <c r="EU12" s="242"/>
      <c r="EV12" s="243"/>
      <c r="EW12" s="243"/>
      <c r="EX12" s="243"/>
      <c r="EY12" s="243"/>
      <c r="EZ12" s="243"/>
      <c r="FA12" s="243"/>
      <c r="FB12" s="243"/>
      <c r="FC12" s="242"/>
      <c r="FD12" s="242"/>
      <c r="FE12" s="242"/>
      <c r="FF12" s="242"/>
      <c r="FG12" s="242"/>
      <c r="FH12" s="242"/>
      <c r="FI12" s="242"/>
      <c r="FJ12" s="243"/>
      <c r="FK12" s="243"/>
      <c r="FL12" s="243"/>
      <c r="FM12" s="243"/>
      <c r="FN12" s="243"/>
      <c r="FO12" s="243"/>
      <c r="FP12" s="243"/>
      <c r="FQ12" s="242"/>
      <c r="FR12" s="242"/>
      <c r="FS12" s="242"/>
      <c r="FT12" s="242"/>
      <c r="FU12" s="242"/>
      <c r="FV12" s="242"/>
      <c r="FW12" s="242"/>
      <c r="FX12" s="243"/>
      <c r="FY12" s="243"/>
      <c r="FZ12" s="243"/>
      <c r="GA12" s="243"/>
      <c r="GB12" s="243"/>
      <c r="GC12" s="243"/>
      <c r="GD12" s="243"/>
      <c r="GE12" s="242"/>
      <c r="GF12" s="242"/>
      <c r="GG12" s="242"/>
      <c r="GH12" s="242"/>
      <c r="GI12" s="242"/>
      <c r="GJ12" s="242"/>
      <c r="GK12" s="242"/>
      <c r="GL12" s="243"/>
      <c r="GM12" s="243"/>
      <c r="GN12" s="243"/>
      <c r="GO12" s="243"/>
      <c r="GP12" s="243"/>
      <c r="GQ12" s="243"/>
      <c r="GR12" s="243"/>
      <c r="GS12" s="242"/>
      <c r="GT12" s="242"/>
      <c r="GU12" s="242"/>
      <c r="GV12" s="242"/>
      <c r="GW12" s="242"/>
      <c r="GX12" s="242"/>
      <c r="GY12" s="242"/>
      <c r="GZ12" s="243"/>
      <c r="HA12" s="243"/>
      <c r="HB12" s="243"/>
      <c r="HC12" s="243"/>
      <c r="HD12" s="243"/>
      <c r="HE12" s="243"/>
      <c r="HF12" s="243"/>
      <c r="HG12" s="242"/>
      <c r="HH12" s="242"/>
      <c r="HI12" s="242"/>
      <c r="HJ12" s="242"/>
      <c r="HK12" s="242"/>
      <c r="HL12" s="242"/>
      <c r="HM12" s="242"/>
      <c r="HN12" s="243"/>
      <c r="HO12" s="243"/>
      <c r="HP12" s="243"/>
      <c r="HQ12" s="243"/>
      <c r="HR12" s="243"/>
      <c r="HS12" s="243"/>
      <c r="HT12" s="243"/>
      <c r="HU12" s="242"/>
      <c r="HV12" s="242"/>
      <c r="HW12" s="242"/>
      <c r="HX12" s="242"/>
      <c r="HY12" s="242"/>
      <c r="HZ12" s="242"/>
      <c r="IA12" s="242"/>
      <c r="IB12" s="243"/>
      <c r="IC12" s="243"/>
      <c r="ID12" s="243"/>
      <c r="IE12" s="243"/>
      <c r="IF12" s="243"/>
      <c r="IG12" s="243"/>
      <c r="IH12" s="243"/>
      <c r="II12" s="242"/>
      <c r="IJ12" s="242"/>
      <c r="IK12" s="242"/>
      <c r="IL12" s="242"/>
      <c r="IM12" s="242"/>
      <c r="IN12" s="242"/>
      <c r="IO12" s="242"/>
      <c r="IP12" s="243"/>
      <c r="IQ12" s="243"/>
      <c r="IR12" s="243"/>
      <c r="IS12" s="243"/>
      <c r="IT12" s="243"/>
      <c r="IU12" s="243"/>
      <c r="IV12" s="243"/>
      <c r="IW12" s="242"/>
      <c r="IX12" s="242"/>
      <c r="IY12" s="242"/>
      <c r="IZ12" s="242"/>
      <c r="JA12" s="242"/>
      <c r="JB12" s="242"/>
      <c r="JC12" s="242"/>
      <c r="JD12" s="243"/>
      <c r="JE12" s="243"/>
      <c r="JF12" s="243"/>
      <c r="JG12" s="243"/>
      <c r="JH12" s="243"/>
      <c r="JI12" s="243"/>
      <c r="JJ12" s="243"/>
      <c r="JK12" s="242"/>
      <c r="JL12" s="242"/>
      <c r="JM12" s="242"/>
      <c r="JN12" s="242"/>
      <c r="JO12" s="242"/>
      <c r="JP12" s="242"/>
      <c r="JQ12" s="242"/>
      <c r="JR12" s="243"/>
      <c r="JS12" s="243"/>
      <c r="JT12" s="243"/>
      <c r="JU12" s="243"/>
      <c r="JV12" s="243"/>
      <c r="JW12" s="243"/>
      <c r="JX12" s="243"/>
      <c r="JY12" s="242"/>
      <c r="JZ12" s="242"/>
      <c r="KA12" s="242"/>
      <c r="KB12" s="242"/>
      <c r="KC12" s="242"/>
      <c r="KD12" s="242"/>
      <c r="KE12" s="242"/>
      <c r="KF12" s="243"/>
      <c r="KG12" s="243"/>
      <c r="KH12" s="243"/>
      <c r="KI12" s="243"/>
      <c r="KJ12" s="243"/>
      <c r="KK12" s="243"/>
      <c r="KL12" s="243"/>
      <c r="KM12" s="242"/>
      <c r="KN12" s="242"/>
      <c r="KO12" s="242"/>
      <c r="KP12" s="242"/>
      <c r="KQ12" s="242"/>
      <c r="KR12" s="242"/>
      <c r="KS12" s="242"/>
      <c r="KT12" s="243"/>
      <c r="KU12" s="243"/>
      <c r="KV12" s="243"/>
      <c r="KW12" s="243"/>
      <c r="KX12" s="243"/>
      <c r="KY12" s="243"/>
      <c r="KZ12" s="243"/>
      <c r="LA12" s="242"/>
      <c r="LB12" s="242"/>
      <c r="LC12" s="242"/>
      <c r="LD12" s="242"/>
      <c r="LE12" s="242"/>
      <c r="LF12" s="242"/>
      <c r="LG12" s="242"/>
      <c r="LH12" s="243"/>
      <c r="LI12" s="243"/>
      <c r="LJ12" s="243"/>
      <c r="LK12" s="243"/>
      <c r="LL12" s="243"/>
      <c r="LM12" s="243"/>
      <c r="LN12" s="243"/>
      <c r="LO12" s="242"/>
      <c r="LP12" s="242"/>
      <c r="LQ12" s="242"/>
      <c r="LR12" s="242"/>
      <c r="LS12" s="242"/>
      <c r="LT12" s="242"/>
      <c r="LU12" s="242"/>
      <c r="LV12" s="243"/>
      <c r="LW12" s="243"/>
      <c r="LX12" s="243"/>
      <c r="LY12" s="243"/>
      <c r="LZ12" s="243"/>
      <c r="MA12" s="243"/>
      <c r="MB12" s="243"/>
      <c r="MC12" s="242"/>
      <c r="MD12" s="242"/>
      <c r="ME12" s="242"/>
      <c r="MF12" s="242"/>
      <c r="MG12" s="242"/>
      <c r="MH12" s="242"/>
      <c r="MI12" s="242"/>
      <c r="MJ12" s="243"/>
      <c r="MK12" s="243"/>
      <c r="ML12" s="243"/>
      <c r="MM12" s="243"/>
      <c r="MN12" s="243"/>
      <c r="MO12" s="243"/>
      <c r="MP12" s="243"/>
      <c r="MQ12" s="242"/>
      <c r="MR12" s="242"/>
      <c r="MS12" s="242"/>
      <c r="MT12" s="242"/>
      <c r="MU12" s="242"/>
      <c r="MV12" s="242"/>
      <c r="MW12" s="242"/>
      <c r="MX12" s="243"/>
      <c r="MY12" s="243"/>
      <c r="MZ12" s="243"/>
      <c r="NA12" s="243"/>
      <c r="NB12" s="243"/>
      <c r="NC12" s="243"/>
      <c r="ND12" s="243"/>
      <c r="NE12" s="242"/>
      <c r="NF12" s="242"/>
      <c r="NG12" s="242"/>
      <c r="NH12" s="333"/>
    </row>
    <row r="13" spans="1:372">
      <c r="A13" s="251" t="s">
        <v>956</v>
      </c>
      <c r="B13" s="251" t="s">
        <v>961</v>
      </c>
      <c r="C13" s="251" t="s">
        <v>674</v>
      </c>
      <c r="D13" s="251" t="s">
        <v>982</v>
      </c>
      <c r="E13" s="241">
        <v>0</v>
      </c>
      <c r="F13" s="241">
        <v>384</v>
      </c>
      <c r="G13" s="242"/>
      <c r="H13" s="242"/>
      <c r="I13" s="242"/>
      <c r="J13" s="242"/>
      <c r="K13" s="242"/>
      <c r="L13" s="243"/>
      <c r="M13" s="243"/>
      <c r="N13" s="243"/>
      <c r="O13" s="243"/>
      <c r="P13" s="243"/>
      <c r="Q13" s="243"/>
      <c r="R13" s="243"/>
      <c r="S13" s="242"/>
      <c r="T13" s="242"/>
      <c r="U13" s="242"/>
      <c r="V13" s="242"/>
      <c r="W13" s="242"/>
      <c r="X13" s="242"/>
      <c r="Y13" s="242"/>
      <c r="Z13" s="243"/>
      <c r="AA13" s="243"/>
      <c r="AB13" s="243"/>
      <c r="AC13" s="243"/>
      <c r="AD13" s="243"/>
      <c r="AE13" s="243"/>
      <c r="AF13" s="243"/>
      <c r="AG13" s="242"/>
      <c r="AH13" s="242"/>
      <c r="AI13" s="242"/>
      <c r="AJ13" s="242"/>
      <c r="AK13" s="242"/>
      <c r="AL13" s="242"/>
      <c r="AM13" s="242"/>
      <c r="AN13" s="243"/>
      <c r="AO13" s="243"/>
      <c r="AP13" s="243"/>
      <c r="AQ13" s="243"/>
      <c r="AR13" s="243"/>
      <c r="AS13" s="243"/>
      <c r="AT13" s="243"/>
      <c r="AU13" s="242"/>
      <c r="AV13" s="242"/>
      <c r="AW13" s="242"/>
      <c r="AX13" s="242"/>
      <c r="AY13" s="242"/>
      <c r="AZ13" s="242"/>
      <c r="BA13" s="242"/>
      <c r="BB13" s="243"/>
      <c r="BC13" s="243"/>
      <c r="BD13" s="243"/>
      <c r="BE13" s="243"/>
      <c r="BF13" s="243"/>
      <c r="BG13" s="243"/>
      <c r="BH13" s="243"/>
      <c r="BI13" s="242"/>
      <c r="BJ13" s="242"/>
      <c r="BK13" s="242"/>
      <c r="BL13" s="242"/>
      <c r="BM13" s="242"/>
      <c r="BN13" s="242"/>
      <c r="BO13" s="242"/>
      <c r="BP13" s="243"/>
      <c r="BQ13" s="243"/>
      <c r="BR13" s="243"/>
      <c r="BS13" s="243"/>
      <c r="BT13" s="243"/>
      <c r="BU13" s="243"/>
      <c r="BV13" s="243"/>
      <c r="BW13" s="242"/>
      <c r="BX13" s="242"/>
      <c r="BY13" s="242"/>
      <c r="BZ13" s="242"/>
      <c r="CA13" s="242"/>
      <c r="CB13" s="242"/>
      <c r="CC13" s="242"/>
      <c r="CD13" s="243"/>
      <c r="CE13" s="243"/>
      <c r="CF13" s="243"/>
      <c r="CG13" s="243"/>
      <c r="CH13" s="243"/>
      <c r="CI13" s="243"/>
      <c r="CJ13" s="243"/>
      <c r="CK13" s="242"/>
      <c r="CL13" s="242"/>
      <c r="CM13" s="242"/>
      <c r="CN13" s="242"/>
      <c r="CO13" s="242"/>
      <c r="CP13" s="242"/>
      <c r="CQ13" s="242"/>
      <c r="CR13" s="243"/>
      <c r="CS13" s="243"/>
      <c r="CT13" s="243"/>
      <c r="CU13" s="243"/>
      <c r="CV13" s="243"/>
      <c r="CW13" s="243"/>
      <c r="CX13" s="243"/>
      <c r="CY13" s="242"/>
      <c r="CZ13" s="242"/>
      <c r="DA13" s="242"/>
      <c r="DB13" s="242"/>
      <c r="DC13" s="242"/>
      <c r="DD13" s="242"/>
      <c r="DE13" s="242"/>
      <c r="DF13" s="243"/>
      <c r="DG13" s="243"/>
      <c r="DH13" s="243"/>
      <c r="DI13" s="243"/>
      <c r="DJ13" s="243"/>
      <c r="DK13" s="243"/>
      <c r="DL13" s="243"/>
      <c r="DM13" s="242"/>
      <c r="DN13" s="242"/>
      <c r="DO13" s="242"/>
      <c r="DP13" s="242"/>
      <c r="DQ13" s="242"/>
      <c r="DR13" s="242"/>
      <c r="DS13" s="242"/>
      <c r="DT13" s="243"/>
      <c r="DU13" s="243"/>
      <c r="DV13" s="243"/>
      <c r="DW13" s="243"/>
      <c r="DX13" s="243"/>
      <c r="DY13" s="243"/>
      <c r="DZ13" s="243"/>
      <c r="EA13" s="242"/>
      <c r="EB13" s="242"/>
      <c r="EC13" s="242"/>
      <c r="ED13" s="242"/>
      <c r="EE13" s="242"/>
      <c r="EF13" s="242"/>
      <c r="EG13" s="242"/>
      <c r="EH13" s="243"/>
      <c r="EI13" s="243"/>
      <c r="EJ13" s="243"/>
      <c r="EK13" s="243"/>
      <c r="EL13" s="243"/>
      <c r="EM13" s="243"/>
      <c r="EN13" s="243"/>
      <c r="EO13" s="242"/>
      <c r="EP13" s="242"/>
      <c r="EQ13" s="242"/>
      <c r="ER13" s="242"/>
      <c r="ES13" s="242"/>
      <c r="ET13" s="242"/>
      <c r="EU13" s="242"/>
      <c r="EV13" s="243"/>
      <c r="EW13" s="243"/>
      <c r="EX13" s="243"/>
      <c r="EY13" s="243"/>
      <c r="EZ13" s="243"/>
      <c r="FA13" s="243"/>
      <c r="FB13" s="243"/>
      <c r="FC13" s="242"/>
      <c r="FD13" s="242"/>
      <c r="FE13" s="242"/>
      <c r="FF13" s="242"/>
      <c r="FG13" s="242"/>
      <c r="FH13" s="242"/>
      <c r="FI13" s="242"/>
      <c r="FJ13" s="243"/>
      <c r="FK13" s="243"/>
      <c r="FL13" s="243"/>
      <c r="FM13" s="243"/>
      <c r="FN13" s="243"/>
      <c r="FO13" s="243"/>
      <c r="FP13" s="243"/>
      <c r="FQ13" s="242"/>
      <c r="FR13" s="242"/>
      <c r="FS13" s="242"/>
      <c r="FT13" s="242"/>
      <c r="FU13" s="242"/>
      <c r="FV13" s="242"/>
      <c r="FW13" s="242"/>
      <c r="FX13" s="243"/>
      <c r="FY13" s="243"/>
      <c r="FZ13" s="243"/>
      <c r="GA13" s="243"/>
      <c r="GB13" s="243"/>
      <c r="GC13" s="243"/>
      <c r="GD13" s="243"/>
      <c r="GE13" s="242"/>
      <c r="GF13" s="242"/>
      <c r="GG13" s="242"/>
      <c r="GH13" s="242"/>
      <c r="GI13" s="242"/>
      <c r="GJ13" s="242"/>
      <c r="GK13" s="242"/>
      <c r="GL13" s="243"/>
      <c r="GM13" s="243"/>
      <c r="GN13" s="243"/>
      <c r="GO13" s="243"/>
      <c r="GP13" s="243"/>
      <c r="GQ13" s="243"/>
      <c r="GR13" s="243"/>
      <c r="GS13" s="242"/>
      <c r="GT13" s="242"/>
      <c r="GU13" s="242"/>
      <c r="GV13" s="242"/>
      <c r="GW13" s="242"/>
      <c r="GX13" s="242"/>
      <c r="GY13" s="242"/>
      <c r="GZ13" s="243"/>
      <c r="HA13" s="243"/>
      <c r="HB13" s="243"/>
      <c r="HC13" s="243"/>
      <c r="HD13" s="243"/>
      <c r="HE13" s="243"/>
      <c r="HF13" s="243"/>
      <c r="HG13" s="242"/>
      <c r="HH13" s="242"/>
      <c r="HI13" s="242"/>
      <c r="HJ13" s="242"/>
      <c r="HK13" s="242"/>
      <c r="HL13" s="242"/>
      <c r="HM13" s="242"/>
      <c r="HN13" s="243"/>
      <c r="HO13" s="243"/>
      <c r="HP13" s="243"/>
      <c r="HQ13" s="243"/>
      <c r="HR13" s="243"/>
      <c r="HS13" s="243"/>
      <c r="HT13" s="243"/>
      <c r="HU13" s="242"/>
      <c r="HV13" s="242"/>
      <c r="HW13" s="242"/>
      <c r="HX13" s="242"/>
      <c r="HY13" s="242"/>
      <c r="HZ13" s="242"/>
      <c r="IA13" s="242"/>
      <c r="IB13" s="243"/>
      <c r="IC13" s="243"/>
      <c r="ID13" s="243"/>
      <c r="IE13" s="243"/>
      <c r="IF13" s="243"/>
      <c r="IG13" s="243"/>
      <c r="IH13" s="243"/>
      <c r="II13" s="242"/>
      <c r="IJ13" s="242"/>
      <c r="IK13" s="242"/>
      <c r="IL13" s="242"/>
      <c r="IM13" s="242"/>
      <c r="IN13" s="242"/>
      <c r="IO13" s="242"/>
      <c r="IP13" s="243"/>
      <c r="IQ13" s="243"/>
      <c r="IR13" s="243"/>
      <c r="IS13" s="243"/>
      <c r="IT13" s="243"/>
      <c r="IU13" s="243"/>
      <c r="IV13" s="243"/>
      <c r="IW13" s="242"/>
      <c r="IX13" s="242"/>
      <c r="IY13" s="242"/>
      <c r="IZ13" s="242"/>
      <c r="JA13" s="242"/>
      <c r="JB13" s="242"/>
      <c r="JC13" s="242"/>
      <c r="JD13" s="243">
        <v>24</v>
      </c>
      <c r="JE13" s="243">
        <v>24</v>
      </c>
      <c r="JF13" s="243">
        <v>24</v>
      </c>
      <c r="JG13" s="243">
        <v>24</v>
      </c>
      <c r="JH13" s="243">
        <v>24</v>
      </c>
      <c r="JI13" s="243">
        <v>24</v>
      </c>
      <c r="JJ13" s="243">
        <v>24</v>
      </c>
      <c r="JK13" s="242">
        <v>24</v>
      </c>
      <c r="JL13" s="242">
        <v>24</v>
      </c>
      <c r="JM13" s="242">
        <v>24</v>
      </c>
      <c r="JN13" s="242">
        <v>24</v>
      </c>
      <c r="JO13" s="242">
        <v>24</v>
      </c>
      <c r="JP13" s="242">
        <v>24</v>
      </c>
      <c r="JQ13" s="242">
        <v>24</v>
      </c>
      <c r="JR13" s="243">
        <v>24</v>
      </c>
      <c r="JS13" s="243">
        <v>24</v>
      </c>
      <c r="JT13" s="243"/>
      <c r="JU13" s="243"/>
      <c r="JV13" s="243"/>
      <c r="JW13" s="243"/>
      <c r="JX13" s="243"/>
      <c r="JY13" s="242"/>
      <c r="JZ13" s="242"/>
      <c r="KA13" s="242"/>
      <c r="KB13" s="242"/>
      <c r="KC13" s="242"/>
      <c r="KD13" s="242"/>
      <c r="KE13" s="242"/>
      <c r="KF13" s="243"/>
      <c r="KG13" s="243"/>
      <c r="KH13" s="243"/>
      <c r="KI13" s="243"/>
      <c r="KJ13" s="243"/>
      <c r="KK13" s="243"/>
      <c r="KL13" s="243"/>
      <c r="KM13" s="242"/>
      <c r="KN13" s="242"/>
      <c r="KO13" s="242"/>
      <c r="KP13" s="242"/>
      <c r="KQ13" s="242"/>
      <c r="KR13" s="242"/>
      <c r="KS13" s="242"/>
      <c r="KT13" s="243"/>
      <c r="KU13" s="243"/>
      <c r="KV13" s="243"/>
      <c r="KW13" s="243"/>
      <c r="KX13" s="243"/>
      <c r="KY13" s="243"/>
      <c r="KZ13" s="243"/>
      <c r="LA13" s="243"/>
      <c r="LB13" s="243"/>
      <c r="LC13" s="243"/>
      <c r="LD13" s="243"/>
      <c r="LE13" s="243"/>
      <c r="LF13" s="243"/>
      <c r="LG13" s="243"/>
      <c r="LH13" s="243"/>
      <c r="LI13" s="243"/>
      <c r="LJ13" s="243"/>
      <c r="LK13" s="243"/>
      <c r="LL13" s="243"/>
      <c r="LM13" s="243"/>
      <c r="LN13" s="243"/>
      <c r="LO13" s="242"/>
      <c r="LP13" s="242"/>
      <c r="LQ13" s="242"/>
      <c r="LR13" s="242"/>
      <c r="LS13" s="242"/>
      <c r="LT13" s="242"/>
      <c r="LU13" s="242"/>
      <c r="LV13" s="243"/>
      <c r="LW13" s="243"/>
      <c r="LX13" s="243"/>
      <c r="LY13" s="243"/>
      <c r="LZ13" s="243"/>
      <c r="MA13" s="243"/>
      <c r="MB13" s="243"/>
      <c r="MC13" s="242"/>
      <c r="MD13" s="242"/>
      <c r="ME13" s="242"/>
      <c r="MF13" s="242"/>
      <c r="MG13" s="242"/>
      <c r="MH13" s="242"/>
      <c r="MI13" s="242"/>
      <c r="MJ13" s="243"/>
      <c r="MK13" s="243"/>
      <c r="ML13" s="243"/>
      <c r="MM13" s="243"/>
      <c r="MN13" s="243"/>
      <c r="MO13" s="243"/>
      <c r="MP13" s="243"/>
      <c r="MQ13" s="242"/>
      <c r="MR13" s="242"/>
      <c r="MS13" s="242"/>
      <c r="MT13" s="242"/>
      <c r="MU13" s="242"/>
      <c r="MV13" s="242"/>
      <c r="MW13" s="242"/>
      <c r="MX13" s="243"/>
      <c r="MY13" s="243"/>
      <c r="MZ13" s="243"/>
      <c r="NA13" s="243"/>
      <c r="NB13" s="243"/>
      <c r="NC13" s="243"/>
      <c r="ND13" s="243"/>
      <c r="NE13" s="242"/>
      <c r="NF13" s="242"/>
      <c r="NG13" s="242"/>
      <c r="NH13" s="333" t="s">
        <v>1116</v>
      </c>
    </row>
    <row r="14" spans="1:372">
      <c r="A14" s="251" t="s">
        <v>956</v>
      </c>
      <c r="B14" s="251" t="s">
        <v>995</v>
      </c>
      <c r="C14" s="251" t="s">
        <v>674</v>
      </c>
      <c r="D14" s="251" t="s">
        <v>982</v>
      </c>
      <c r="E14" s="241">
        <v>0</v>
      </c>
      <c r="F14" s="241">
        <v>0</v>
      </c>
      <c r="G14" s="242"/>
      <c r="H14" s="242"/>
      <c r="I14" s="242"/>
      <c r="J14" s="242"/>
      <c r="K14" s="242"/>
      <c r="L14" s="243"/>
      <c r="M14" s="243"/>
      <c r="N14" s="243"/>
      <c r="O14" s="243"/>
      <c r="P14" s="243"/>
      <c r="Q14" s="243"/>
      <c r="R14" s="243"/>
      <c r="S14" s="242"/>
      <c r="T14" s="242"/>
      <c r="U14" s="242"/>
      <c r="V14" s="242"/>
      <c r="W14" s="242"/>
      <c r="X14" s="242"/>
      <c r="Y14" s="242"/>
      <c r="Z14" s="243"/>
      <c r="AA14" s="243"/>
      <c r="AB14" s="243"/>
      <c r="AC14" s="243"/>
      <c r="AD14" s="243"/>
      <c r="AE14" s="243"/>
      <c r="AF14" s="243"/>
      <c r="AG14" s="242"/>
      <c r="AH14" s="242"/>
      <c r="AI14" s="242"/>
      <c r="AJ14" s="242"/>
      <c r="AK14" s="242"/>
      <c r="AL14" s="242"/>
      <c r="AM14" s="242"/>
      <c r="AN14" s="243"/>
      <c r="AO14" s="243"/>
      <c r="AP14" s="243"/>
      <c r="AQ14" s="243"/>
      <c r="AR14" s="243"/>
      <c r="AS14" s="243"/>
      <c r="AT14" s="243"/>
      <c r="AU14" s="242"/>
      <c r="AV14" s="242"/>
      <c r="AW14" s="242"/>
      <c r="AX14" s="242"/>
      <c r="AY14" s="242"/>
      <c r="AZ14" s="242"/>
      <c r="BA14" s="242"/>
      <c r="BB14" s="243"/>
      <c r="BC14" s="243"/>
      <c r="BD14" s="243"/>
      <c r="BE14" s="243"/>
      <c r="BF14" s="243"/>
      <c r="BG14" s="243"/>
      <c r="BH14" s="243"/>
      <c r="BI14" s="242"/>
      <c r="BJ14" s="242"/>
      <c r="BK14" s="242"/>
      <c r="BL14" s="242"/>
      <c r="BM14" s="242"/>
      <c r="BN14" s="242"/>
      <c r="BO14" s="242"/>
      <c r="BP14" s="243"/>
      <c r="BQ14" s="243"/>
      <c r="BR14" s="243"/>
      <c r="BS14" s="243"/>
      <c r="BT14" s="243"/>
      <c r="BU14" s="243"/>
      <c r="BV14" s="243"/>
      <c r="BW14" s="242"/>
      <c r="BX14" s="242"/>
      <c r="BY14" s="242"/>
      <c r="BZ14" s="242"/>
      <c r="CA14" s="242"/>
      <c r="CB14" s="242"/>
      <c r="CC14" s="242"/>
      <c r="CD14" s="243"/>
      <c r="CE14" s="243"/>
      <c r="CF14" s="243"/>
      <c r="CG14" s="243"/>
      <c r="CH14" s="243"/>
      <c r="CI14" s="243"/>
      <c r="CJ14" s="243"/>
      <c r="CK14" s="242"/>
      <c r="CL14" s="242"/>
      <c r="CM14" s="242"/>
      <c r="CN14" s="242"/>
      <c r="CO14" s="242"/>
      <c r="CP14" s="242"/>
      <c r="CQ14" s="242"/>
      <c r="CR14" s="243"/>
      <c r="CS14" s="243"/>
      <c r="CT14" s="243"/>
      <c r="CU14" s="243"/>
      <c r="CV14" s="243"/>
      <c r="CW14" s="243"/>
      <c r="CX14" s="243"/>
      <c r="CY14" s="242"/>
      <c r="CZ14" s="242"/>
      <c r="DA14" s="242"/>
      <c r="DB14" s="242"/>
      <c r="DC14" s="242"/>
      <c r="DD14" s="242"/>
      <c r="DE14" s="242"/>
      <c r="DF14" s="243"/>
      <c r="DG14" s="243"/>
      <c r="DH14" s="243"/>
      <c r="DI14" s="243"/>
      <c r="DJ14" s="243"/>
      <c r="DK14" s="243"/>
      <c r="DL14" s="243"/>
      <c r="DM14" s="242"/>
      <c r="DN14" s="242"/>
      <c r="DO14" s="242"/>
      <c r="DP14" s="242"/>
      <c r="DQ14" s="242"/>
      <c r="DR14" s="242"/>
      <c r="DS14" s="242"/>
      <c r="DT14" s="243"/>
      <c r="DU14" s="243"/>
      <c r="DV14" s="243"/>
      <c r="DW14" s="243"/>
      <c r="DX14" s="243"/>
      <c r="DY14" s="243"/>
      <c r="DZ14" s="243"/>
      <c r="EA14" s="242"/>
      <c r="EB14" s="242"/>
      <c r="EC14" s="242"/>
      <c r="ED14" s="242"/>
      <c r="EE14" s="242"/>
      <c r="EF14" s="242"/>
      <c r="EG14" s="242"/>
      <c r="EH14" s="243"/>
      <c r="EI14" s="243"/>
      <c r="EJ14" s="243"/>
      <c r="EK14" s="243"/>
      <c r="EL14" s="243"/>
      <c r="EM14" s="243"/>
      <c r="EN14" s="243"/>
      <c r="EO14" s="242"/>
      <c r="EP14" s="242"/>
      <c r="EQ14" s="242"/>
      <c r="ER14" s="242"/>
      <c r="ES14" s="242"/>
      <c r="ET14" s="242"/>
      <c r="EU14" s="242"/>
      <c r="EV14" s="243"/>
      <c r="EW14" s="243"/>
      <c r="EX14" s="243"/>
      <c r="EY14" s="243"/>
      <c r="EZ14" s="243"/>
      <c r="FA14" s="243"/>
      <c r="FB14" s="243"/>
      <c r="FC14" s="242"/>
      <c r="FD14" s="242"/>
      <c r="FE14" s="242"/>
      <c r="FF14" s="242"/>
      <c r="FG14" s="242"/>
      <c r="FH14" s="242"/>
      <c r="FI14" s="242"/>
      <c r="FJ14" s="243"/>
      <c r="FK14" s="243"/>
      <c r="FL14" s="243"/>
      <c r="FM14" s="243"/>
      <c r="FN14" s="243"/>
      <c r="FO14" s="243"/>
      <c r="FP14" s="243"/>
      <c r="FQ14" s="242"/>
      <c r="FR14" s="242"/>
      <c r="FS14" s="242"/>
      <c r="FT14" s="242"/>
      <c r="FU14" s="242"/>
      <c r="FV14" s="242"/>
      <c r="FW14" s="242"/>
      <c r="FX14" s="243"/>
      <c r="FY14" s="243"/>
      <c r="FZ14" s="243"/>
      <c r="GA14" s="243"/>
      <c r="GB14" s="243"/>
      <c r="GC14" s="243"/>
      <c r="GD14" s="243"/>
      <c r="GE14" s="242"/>
      <c r="GF14" s="242"/>
      <c r="GG14" s="242"/>
      <c r="GH14" s="242"/>
      <c r="GI14" s="242"/>
      <c r="GJ14" s="242"/>
      <c r="GK14" s="242"/>
      <c r="GL14" s="243"/>
      <c r="GM14" s="243"/>
      <c r="GN14" s="243"/>
      <c r="GO14" s="243"/>
      <c r="GP14" s="243"/>
      <c r="GQ14" s="243"/>
      <c r="GR14" s="243"/>
      <c r="GS14" s="242"/>
      <c r="GT14" s="242"/>
      <c r="GU14" s="242"/>
      <c r="GV14" s="242"/>
      <c r="GW14" s="242"/>
      <c r="GX14" s="242"/>
      <c r="GY14" s="242"/>
      <c r="GZ14" s="243"/>
      <c r="HA14" s="243"/>
      <c r="HB14" s="243"/>
      <c r="HC14" s="243"/>
      <c r="HD14" s="243"/>
      <c r="HE14" s="243"/>
      <c r="HF14" s="243"/>
      <c r="HG14" s="242"/>
      <c r="HH14" s="242"/>
      <c r="HI14" s="242"/>
      <c r="HJ14" s="242"/>
      <c r="HK14" s="242"/>
      <c r="HL14" s="242"/>
      <c r="HM14" s="242"/>
      <c r="HN14" s="243"/>
      <c r="HO14" s="243"/>
      <c r="HP14" s="243"/>
      <c r="HQ14" s="243"/>
      <c r="HR14" s="243"/>
      <c r="HS14" s="243"/>
      <c r="HT14" s="243"/>
      <c r="HU14" s="242"/>
      <c r="HV14" s="242"/>
      <c r="HW14" s="242"/>
      <c r="HX14" s="242"/>
      <c r="HY14" s="242"/>
      <c r="HZ14" s="242"/>
      <c r="IA14" s="242"/>
      <c r="IB14" s="243"/>
      <c r="IC14" s="243"/>
      <c r="ID14" s="243"/>
      <c r="IE14" s="243"/>
      <c r="IF14" s="243"/>
      <c r="IG14" s="243"/>
      <c r="IH14" s="243"/>
      <c r="II14" s="242"/>
      <c r="IJ14" s="242"/>
      <c r="IK14" s="242"/>
      <c r="IL14" s="242"/>
      <c r="IM14" s="242"/>
      <c r="IN14" s="242"/>
      <c r="IO14" s="242"/>
      <c r="IP14" s="243"/>
      <c r="IQ14" s="243"/>
      <c r="IR14" s="243"/>
      <c r="IS14" s="243"/>
      <c r="IT14" s="243"/>
      <c r="IU14" s="243"/>
      <c r="IV14" s="243"/>
      <c r="IW14" s="242"/>
      <c r="IX14" s="242"/>
      <c r="IY14" s="242"/>
      <c r="IZ14" s="242"/>
      <c r="JA14" s="242"/>
      <c r="JB14" s="242"/>
      <c r="JC14" s="242"/>
      <c r="JD14" s="243"/>
      <c r="JE14" s="243"/>
      <c r="JF14" s="243"/>
      <c r="JG14" s="243"/>
      <c r="JH14" s="243"/>
      <c r="JI14" s="243"/>
      <c r="JJ14" s="243"/>
      <c r="JK14" s="242"/>
      <c r="JL14" s="242"/>
      <c r="JM14" s="242"/>
      <c r="JN14" s="242"/>
      <c r="JO14" s="242"/>
      <c r="JP14" s="242"/>
      <c r="JQ14" s="242"/>
      <c r="JR14" s="243"/>
      <c r="JS14" s="243"/>
      <c r="JT14" s="243"/>
      <c r="JU14" s="243"/>
      <c r="JV14" s="243"/>
      <c r="JW14" s="243"/>
      <c r="JX14" s="243"/>
      <c r="JY14" s="242"/>
      <c r="JZ14" s="242"/>
      <c r="KA14" s="242"/>
      <c r="KB14" s="242"/>
      <c r="KC14" s="242"/>
      <c r="KD14" s="242"/>
      <c r="KE14" s="242"/>
      <c r="KF14" s="243"/>
      <c r="KG14" s="243"/>
      <c r="KH14" s="243"/>
      <c r="KI14" s="243"/>
      <c r="KJ14" s="243"/>
      <c r="KK14" s="243"/>
      <c r="KL14" s="243"/>
      <c r="KM14" s="242"/>
      <c r="KN14" s="242"/>
      <c r="KO14" s="242"/>
      <c r="KP14" s="242"/>
      <c r="KQ14" s="242"/>
      <c r="KR14" s="242"/>
      <c r="KS14" s="242"/>
      <c r="KT14" s="243"/>
      <c r="KU14" s="243"/>
      <c r="KV14" s="243"/>
      <c r="KW14" s="243"/>
      <c r="KX14" s="243"/>
      <c r="KY14" s="243"/>
      <c r="KZ14" s="243"/>
      <c r="LA14" s="242"/>
      <c r="LB14" s="242"/>
      <c r="LC14" s="242"/>
      <c r="LD14" s="242"/>
      <c r="LE14" s="242"/>
      <c r="LF14" s="242"/>
      <c r="LG14" s="242"/>
      <c r="LH14" s="243"/>
      <c r="LI14" s="243"/>
      <c r="LJ14" s="243"/>
      <c r="LK14" s="243"/>
      <c r="LL14" s="243"/>
      <c r="LM14" s="243"/>
      <c r="LN14" s="243"/>
      <c r="LO14" s="242"/>
      <c r="LP14" s="242"/>
      <c r="LQ14" s="242"/>
      <c r="LR14" s="242"/>
      <c r="LS14" s="242"/>
      <c r="LT14" s="242"/>
      <c r="LU14" s="242"/>
      <c r="LV14" s="243"/>
      <c r="LW14" s="243"/>
      <c r="LX14" s="243"/>
      <c r="LY14" s="243"/>
      <c r="LZ14" s="243"/>
      <c r="MA14" s="243"/>
      <c r="MB14" s="243"/>
      <c r="MC14" s="242"/>
      <c r="MD14" s="242"/>
      <c r="ME14" s="242"/>
      <c r="MF14" s="242"/>
      <c r="MG14" s="242"/>
      <c r="MH14" s="242"/>
      <c r="MI14" s="242"/>
      <c r="MJ14" s="243"/>
      <c r="MK14" s="243"/>
      <c r="ML14" s="243"/>
      <c r="MM14" s="243"/>
      <c r="MN14" s="243"/>
      <c r="MO14" s="243"/>
      <c r="MP14" s="243"/>
      <c r="MQ14" s="242"/>
      <c r="MR14" s="242"/>
      <c r="MS14" s="242"/>
      <c r="MT14" s="242"/>
      <c r="MU14" s="242"/>
      <c r="MV14" s="242"/>
      <c r="MW14" s="242"/>
      <c r="MX14" s="243"/>
      <c r="MY14" s="243"/>
      <c r="MZ14" s="243"/>
      <c r="NA14" s="243"/>
      <c r="NB14" s="243"/>
      <c r="NC14" s="243"/>
      <c r="ND14" s="243"/>
      <c r="NE14" s="242"/>
      <c r="NF14" s="242"/>
      <c r="NG14" s="242"/>
      <c r="NH14" s="333"/>
    </row>
    <row r="15" spans="1:372">
      <c r="A15" s="251" t="s">
        <v>956</v>
      </c>
      <c r="B15" s="251" t="s">
        <v>962</v>
      </c>
      <c r="C15" s="251" t="s">
        <v>674</v>
      </c>
      <c r="D15" s="251" t="s">
        <v>982</v>
      </c>
      <c r="E15" s="241">
        <v>237.65</v>
      </c>
      <c r="F15" s="241">
        <v>120</v>
      </c>
      <c r="G15" s="242"/>
      <c r="H15" s="242"/>
      <c r="I15" s="242"/>
      <c r="J15" s="242"/>
      <c r="K15" s="242"/>
      <c r="L15" s="243"/>
      <c r="M15" s="243"/>
      <c r="N15" s="243"/>
      <c r="O15" s="243"/>
      <c r="P15" s="243"/>
      <c r="Q15" s="243"/>
      <c r="R15" s="243"/>
      <c r="S15" s="242"/>
      <c r="T15" s="242"/>
      <c r="U15" s="242"/>
      <c r="V15" s="242"/>
      <c r="W15" s="242"/>
      <c r="X15" s="242"/>
      <c r="Y15" s="242"/>
      <c r="Z15" s="243"/>
      <c r="AA15" s="243"/>
      <c r="AB15" s="243"/>
      <c r="AC15" s="243"/>
      <c r="AD15" s="243"/>
      <c r="AE15" s="243"/>
      <c r="AF15" s="243"/>
      <c r="AG15" s="242"/>
      <c r="AH15" s="242"/>
      <c r="AI15" s="242"/>
      <c r="AJ15" s="242"/>
      <c r="AK15" s="242"/>
      <c r="AL15" s="242"/>
      <c r="AM15" s="242"/>
      <c r="AN15" s="243"/>
      <c r="AO15" s="243"/>
      <c r="AP15" s="243"/>
      <c r="AQ15" s="243"/>
      <c r="AR15" s="243"/>
      <c r="AS15" s="243"/>
      <c r="AT15" s="243"/>
      <c r="AU15" s="242"/>
      <c r="AV15" s="242"/>
      <c r="AW15" s="242"/>
      <c r="AX15" s="242"/>
      <c r="AY15" s="242"/>
      <c r="AZ15" s="242"/>
      <c r="BA15" s="242"/>
      <c r="BB15" s="243">
        <v>24</v>
      </c>
      <c r="BC15" s="243">
        <v>24</v>
      </c>
      <c r="BD15" s="243"/>
      <c r="BE15" s="243"/>
      <c r="BF15" s="243"/>
      <c r="BG15" s="243"/>
      <c r="BH15" s="243"/>
      <c r="BI15" s="242"/>
      <c r="BJ15" s="242"/>
      <c r="BK15" s="242"/>
      <c r="BL15" s="242"/>
      <c r="BM15" s="242"/>
      <c r="BN15" s="242"/>
      <c r="BO15" s="242"/>
      <c r="BP15" s="243"/>
      <c r="BQ15" s="243"/>
      <c r="BR15" s="243"/>
      <c r="BS15" s="243"/>
      <c r="BT15" s="243"/>
      <c r="BU15" s="243"/>
      <c r="BV15" s="243"/>
      <c r="BW15" s="242"/>
      <c r="BX15" s="242"/>
      <c r="BY15" s="242"/>
      <c r="BZ15" s="242"/>
      <c r="CA15" s="242"/>
      <c r="CB15" s="242"/>
      <c r="CC15" s="242"/>
      <c r="CD15" s="243"/>
      <c r="CE15" s="243"/>
      <c r="CF15" s="243"/>
      <c r="CG15" s="243"/>
      <c r="CH15" s="243"/>
      <c r="CI15" s="243"/>
      <c r="CJ15" s="243"/>
      <c r="CK15" s="242"/>
      <c r="CL15" s="242"/>
      <c r="CM15" s="242"/>
      <c r="CN15" s="242"/>
      <c r="CO15" s="242"/>
      <c r="CP15" s="242"/>
      <c r="CQ15" s="242"/>
      <c r="CR15" s="243"/>
      <c r="CS15" s="243"/>
      <c r="CT15" s="243"/>
      <c r="CU15" s="243"/>
      <c r="CV15" s="243"/>
      <c r="CW15" s="243"/>
      <c r="CX15" s="243"/>
      <c r="CY15" s="242"/>
      <c r="CZ15" s="242"/>
      <c r="DA15" s="242"/>
      <c r="DB15" s="242"/>
      <c r="DC15" s="242"/>
      <c r="DD15" s="242"/>
      <c r="DE15" s="242"/>
      <c r="DF15" s="243"/>
      <c r="DG15" s="243"/>
      <c r="DH15" s="243"/>
      <c r="DI15" s="243"/>
      <c r="DJ15" s="243"/>
      <c r="DK15" s="243"/>
      <c r="DL15" s="243"/>
      <c r="DM15" s="242"/>
      <c r="DN15" s="242"/>
      <c r="DO15" s="242"/>
      <c r="DP15" s="242"/>
      <c r="DQ15" s="242"/>
      <c r="DR15" s="242"/>
      <c r="DS15" s="242"/>
      <c r="DT15" s="243"/>
      <c r="DU15" s="243"/>
      <c r="DV15" s="243"/>
      <c r="DW15" s="243"/>
      <c r="DX15" s="243"/>
      <c r="DY15" s="243"/>
      <c r="DZ15" s="243"/>
      <c r="EA15" s="242"/>
      <c r="EB15" s="242"/>
      <c r="EC15" s="242"/>
      <c r="ED15" s="242"/>
      <c r="EE15" s="242"/>
      <c r="EF15" s="242"/>
      <c r="EG15" s="242"/>
      <c r="EH15" s="243"/>
      <c r="EI15" s="243"/>
      <c r="EJ15" s="243"/>
      <c r="EK15" s="243"/>
      <c r="EL15" s="243"/>
      <c r="EM15" s="243"/>
      <c r="EN15" s="243"/>
      <c r="EO15" s="242"/>
      <c r="EP15" s="242"/>
      <c r="EQ15" s="242"/>
      <c r="ER15" s="242"/>
      <c r="ES15" s="242"/>
      <c r="ET15" s="242"/>
      <c r="EU15" s="242"/>
      <c r="EV15" s="243"/>
      <c r="EW15" s="243"/>
      <c r="EX15" s="243"/>
      <c r="EY15" s="243"/>
      <c r="EZ15" s="243"/>
      <c r="FA15" s="243"/>
      <c r="FB15" s="243"/>
      <c r="FC15" s="242"/>
      <c r="FD15" s="242"/>
      <c r="FE15" s="242"/>
      <c r="FF15" s="242"/>
      <c r="FG15" s="242"/>
      <c r="FH15" s="242"/>
      <c r="FI15" s="242"/>
      <c r="FJ15" s="243"/>
      <c r="FK15" s="243"/>
      <c r="FL15" s="243"/>
      <c r="FM15" s="243"/>
      <c r="FN15" s="243"/>
      <c r="FO15" s="243"/>
      <c r="FP15" s="243"/>
      <c r="FQ15" s="242"/>
      <c r="FR15" s="242"/>
      <c r="FS15" s="242"/>
      <c r="FT15" s="242"/>
      <c r="FU15" s="242"/>
      <c r="FV15" s="242"/>
      <c r="FW15" s="242"/>
      <c r="FX15" s="243"/>
      <c r="FY15" s="243"/>
      <c r="FZ15" s="243"/>
      <c r="GA15" s="243"/>
      <c r="GB15" s="243"/>
      <c r="GC15" s="243"/>
      <c r="GD15" s="243"/>
      <c r="GE15" s="242"/>
      <c r="GF15" s="242"/>
      <c r="GG15" s="242"/>
      <c r="GH15" s="242"/>
      <c r="GI15" s="242"/>
      <c r="GJ15" s="242"/>
      <c r="GK15" s="242"/>
      <c r="GL15" s="243"/>
      <c r="GM15" s="243"/>
      <c r="GN15" s="243"/>
      <c r="GO15" s="243"/>
      <c r="GP15" s="243"/>
      <c r="GQ15" s="243"/>
      <c r="GR15" s="243"/>
      <c r="GS15" s="242"/>
      <c r="GT15" s="242"/>
      <c r="GU15" s="242"/>
      <c r="GV15" s="242"/>
      <c r="GW15" s="242"/>
      <c r="GX15" s="242"/>
      <c r="GY15" s="242"/>
      <c r="GZ15" s="243"/>
      <c r="HA15" s="243"/>
      <c r="HB15" s="243"/>
      <c r="HC15" s="243"/>
      <c r="HD15" s="243"/>
      <c r="HE15" s="243"/>
      <c r="HF15" s="243"/>
      <c r="HG15" s="242"/>
      <c r="HH15" s="242"/>
      <c r="HI15" s="242"/>
      <c r="HJ15" s="242"/>
      <c r="HK15" s="242"/>
      <c r="HL15" s="242"/>
      <c r="HM15" s="242"/>
      <c r="HN15" s="243"/>
      <c r="HO15" s="243"/>
      <c r="HP15" s="243"/>
      <c r="HQ15" s="243"/>
      <c r="HR15" s="243"/>
      <c r="HS15" s="243"/>
      <c r="HT15" s="243"/>
      <c r="HU15" s="242"/>
      <c r="HV15" s="242"/>
      <c r="HW15" s="242"/>
      <c r="HX15" s="242"/>
      <c r="HY15" s="242"/>
      <c r="HZ15" s="242"/>
      <c r="IA15" s="242"/>
      <c r="IB15" s="243"/>
      <c r="IC15" s="243"/>
      <c r="ID15" s="243"/>
      <c r="IE15" s="243"/>
      <c r="IF15" s="243"/>
      <c r="IG15" s="243"/>
      <c r="IH15" s="243"/>
      <c r="II15" s="242"/>
      <c r="IJ15" s="242"/>
      <c r="IK15" s="242"/>
      <c r="IL15" s="242"/>
      <c r="IM15" s="242"/>
      <c r="IN15" s="242"/>
      <c r="IO15" s="242"/>
      <c r="IP15" s="243"/>
      <c r="IQ15" s="243"/>
      <c r="IR15" s="243"/>
      <c r="IS15" s="243"/>
      <c r="IT15" s="243"/>
      <c r="IU15" s="243"/>
      <c r="IV15" s="243"/>
      <c r="IW15" s="242"/>
      <c r="IX15" s="242"/>
      <c r="IY15" s="242"/>
      <c r="IZ15" s="242"/>
      <c r="JA15" s="242"/>
      <c r="JB15" s="242"/>
      <c r="JC15" s="242"/>
      <c r="JD15" s="243">
        <v>24</v>
      </c>
      <c r="JE15" s="243">
        <v>24</v>
      </c>
      <c r="JF15" s="243">
        <v>24</v>
      </c>
      <c r="JG15" s="243"/>
      <c r="JH15" s="243"/>
      <c r="JI15" s="243"/>
      <c r="JJ15" s="243"/>
      <c r="JK15" s="242"/>
      <c r="JL15" s="242"/>
      <c r="JM15" s="242"/>
      <c r="JN15" s="242"/>
      <c r="JO15" s="242"/>
      <c r="JP15" s="242"/>
      <c r="JQ15" s="242"/>
      <c r="JR15" s="243"/>
      <c r="JS15" s="243"/>
      <c r="JT15" s="243"/>
      <c r="JU15" s="243"/>
      <c r="JV15" s="243"/>
      <c r="JW15" s="243"/>
      <c r="JX15" s="243"/>
      <c r="JY15" s="242"/>
      <c r="JZ15" s="242"/>
      <c r="KA15" s="242"/>
      <c r="KB15" s="242"/>
      <c r="KC15" s="242"/>
      <c r="KD15" s="242"/>
      <c r="KE15" s="242"/>
      <c r="KF15" s="243"/>
      <c r="KG15" s="243"/>
      <c r="KH15" s="243"/>
      <c r="KI15" s="243"/>
      <c r="KJ15" s="243"/>
      <c r="KK15" s="243"/>
      <c r="KL15" s="243"/>
      <c r="KM15" s="242"/>
      <c r="KN15" s="242"/>
      <c r="KO15" s="242"/>
      <c r="KP15" s="242"/>
      <c r="KQ15" s="242"/>
      <c r="KR15" s="242"/>
      <c r="KS15" s="242"/>
      <c r="KT15" s="243"/>
      <c r="KU15" s="243"/>
      <c r="KV15" s="243"/>
      <c r="KW15" s="243"/>
      <c r="KX15" s="243"/>
      <c r="KY15" s="243"/>
      <c r="KZ15" s="243"/>
      <c r="LA15" s="242"/>
      <c r="LB15" s="242"/>
      <c r="LC15" s="242"/>
      <c r="LD15" s="242"/>
      <c r="LE15" s="242"/>
      <c r="LF15" s="242"/>
      <c r="LG15" s="242"/>
      <c r="LH15" s="243"/>
      <c r="LI15" s="243"/>
      <c r="LJ15" s="243"/>
      <c r="LK15" s="243"/>
      <c r="LL15" s="243"/>
      <c r="LM15" s="243"/>
      <c r="LN15" s="243"/>
      <c r="LO15" s="242"/>
      <c r="LP15" s="242"/>
      <c r="LQ15" s="242"/>
      <c r="LR15" s="242"/>
      <c r="LS15" s="242"/>
      <c r="LT15" s="242"/>
      <c r="LU15" s="242"/>
      <c r="LV15" s="243"/>
      <c r="LW15" s="243"/>
      <c r="LX15" s="243"/>
      <c r="LY15" s="243"/>
      <c r="LZ15" s="243"/>
      <c r="MA15" s="243"/>
      <c r="MB15" s="243"/>
      <c r="MC15" s="242"/>
      <c r="MD15" s="242"/>
      <c r="ME15" s="242"/>
      <c r="MF15" s="242"/>
      <c r="MG15" s="242"/>
      <c r="MH15" s="242"/>
      <c r="MI15" s="242"/>
      <c r="MJ15" s="243"/>
      <c r="MK15" s="243"/>
      <c r="ML15" s="243"/>
      <c r="MM15" s="243"/>
      <c r="MN15" s="243"/>
      <c r="MO15" s="243"/>
      <c r="MP15" s="243"/>
      <c r="MQ15" s="242"/>
      <c r="MR15" s="242"/>
      <c r="MS15" s="242"/>
      <c r="MT15" s="242"/>
      <c r="MU15" s="242"/>
      <c r="MV15" s="242"/>
      <c r="MW15" s="242"/>
      <c r="MX15" s="243"/>
      <c r="MY15" s="243"/>
      <c r="MZ15" s="243"/>
      <c r="NA15" s="243"/>
      <c r="NB15" s="243"/>
      <c r="NC15" s="243"/>
      <c r="ND15" s="243"/>
      <c r="NE15" s="242"/>
      <c r="NF15" s="242"/>
      <c r="NG15" s="242"/>
      <c r="NH15" s="333"/>
    </row>
    <row r="16" spans="1:372">
      <c r="A16" s="251" t="s">
        <v>956</v>
      </c>
      <c r="B16" s="251" t="s">
        <v>963</v>
      </c>
      <c r="C16" s="251" t="s">
        <v>674</v>
      </c>
      <c r="D16" s="251" t="s">
        <v>982</v>
      </c>
      <c r="E16" s="241">
        <v>0</v>
      </c>
      <c r="F16" s="241">
        <v>0</v>
      </c>
      <c r="G16" s="242"/>
      <c r="H16" s="242"/>
      <c r="I16" s="242"/>
      <c r="J16" s="242"/>
      <c r="K16" s="242"/>
      <c r="L16" s="243"/>
      <c r="M16" s="243"/>
      <c r="N16" s="243"/>
      <c r="O16" s="243"/>
      <c r="P16" s="243"/>
      <c r="Q16" s="243"/>
      <c r="R16" s="243"/>
      <c r="S16" s="242"/>
      <c r="T16" s="242"/>
      <c r="U16" s="242"/>
      <c r="V16" s="242"/>
      <c r="W16" s="242"/>
      <c r="X16" s="242"/>
      <c r="Y16" s="242"/>
      <c r="Z16" s="243"/>
      <c r="AA16" s="243"/>
      <c r="AB16" s="243"/>
      <c r="AC16" s="243"/>
      <c r="AD16" s="243"/>
      <c r="AE16" s="243"/>
      <c r="AF16" s="243"/>
      <c r="AG16" s="242"/>
      <c r="AH16" s="242"/>
      <c r="AI16" s="242"/>
      <c r="AJ16" s="242"/>
      <c r="AK16" s="242"/>
      <c r="AL16" s="242"/>
      <c r="AM16" s="242"/>
      <c r="AN16" s="243"/>
      <c r="AO16" s="243"/>
      <c r="AP16" s="243"/>
      <c r="AQ16" s="243"/>
      <c r="AR16" s="243"/>
      <c r="AS16" s="243"/>
      <c r="AT16" s="243"/>
      <c r="AU16" s="242"/>
      <c r="AV16" s="242"/>
      <c r="AW16" s="242"/>
      <c r="AX16" s="242"/>
      <c r="AY16" s="242"/>
      <c r="AZ16" s="242"/>
      <c r="BA16" s="242"/>
      <c r="BB16" s="243"/>
      <c r="BC16" s="243"/>
      <c r="BD16" s="243"/>
      <c r="BE16" s="243"/>
      <c r="BF16" s="243"/>
      <c r="BG16" s="243"/>
      <c r="BH16" s="243"/>
      <c r="BI16" s="242"/>
      <c r="BJ16" s="242"/>
      <c r="BK16" s="242"/>
      <c r="BL16" s="242"/>
      <c r="BM16" s="242"/>
      <c r="BN16" s="242"/>
      <c r="BO16" s="242"/>
      <c r="BP16" s="243"/>
      <c r="BQ16" s="243"/>
      <c r="BR16" s="243"/>
      <c r="BS16" s="243"/>
      <c r="BT16" s="243"/>
      <c r="BU16" s="243"/>
      <c r="BV16" s="243"/>
      <c r="BW16" s="242"/>
      <c r="BX16" s="242"/>
      <c r="BY16" s="242"/>
      <c r="BZ16" s="242"/>
      <c r="CA16" s="242"/>
      <c r="CB16" s="242"/>
      <c r="CC16" s="242"/>
      <c r="CD16" s="243"/>
      <c r="CE16" s="243"/>
      <c r="CF16" s="243"/>
      <c r="CG16" s="243"/>
      <c r="CH16" s="243"/>
      <c r="CI16" s="243"/>
      <c r="CJ16" s="243"/>
      <c r="CK16" s="242"/>
      <c r="CL16" s="242"/>
      <c r="CM16" s="242"/>
      <c r="CN16" s="242"/>
      <c r="CO16" s="242"/>
      <c r="CP16" s="242"/>
      <c r="CQ16" s="242"/>
      <c r="CR16" s="243"/>
      <c r="CS16" s="243"/>
      <c r="CT16" s="243"/>
      <c r="CU16" s="243"/>
      <c r="CV16" s="243"/>
      <c r="CW16" s="243"/>
      <c r="CX16" s="243"/>
      <c r="CY16" s="242"/>
      <c r="CZ16" s="242"/>
      <c r="DA16" s="242"/>
      <c r="DB16" s="242"/>
      <c r="DC16" s="242"/>
      <c r="DD16" s="242"/>
      <c r="DE16" s="242"/>
      <c r="DF16" s="243"/>
      <c r="DG16" s="243"/>
      <c r="DH16" s="243"/>
      <c r="DI16" s="243"/>
      <c r="DJ16" s="243"/>
      <c r="DK16" s="243"/>
      <c r="DL16" s="243"/>
      <c r="DM16" s="242"/>
      <c r="DN16" s="242"/>
      <c r="DO16" s="242"/>
      <c r="DP16" s="242"/>
      <c r="DQ16" s="242"/>
      <c r="DR16" s="242"/>
      <c r="DS16" s="242"/>
      <c r="DT16" s="243"/>
      <c r="DU16" s="243"/>
      <c r="DV16" s="243"/>
      <c r="DW16" s="243"/>
      <c r="DX16" s="243"/>
      <c r="DY16" s="243"/>
      <c r="DZ16" s="243"/>
      <c r="EA16" s="242"/>
      <c r="EB16" s="242"/>
      <c r="EC16" s="242"/>
      <c r="ED16" s="242"/>
      <c r="EE16" s="242"/>
      <c r="EF16" s="242"/>
      <c r="EG16" s="242"/>
      <c r="EH16" s="243"/>
      <c r="EI16" s="243"/>
      <c r="EJ16" s="243"/>
      <c r="EK16" s="243"/>
      <c r="EL16" s="243"/>
      <c r="EM16" s="243"/>
      <c r="EN16" s="243"/>
      <c r="EO16" s="242"/>
      <c r="EP16" s="242"/>
      <c r="EQ16" s="242"/>
      <c r="ER16" s="242"/>
      <c r="ES16" s="242"/>
      <c r="ET16" s="242"/>
      <c r="EU16" s="242"/>
      <c r="EV16" s="243"/>
      <c r="EW16" s="243"/>
      <c r="EX16" s="243"/>
      <c r="EY16" s="243"/>
      <c r="EZ16" s="243"/>
      <c r="FA16" s="243"/>
      <c r="FB16" s="243"/>
      <c r="FC16" s="242"/>
      <c r="FD16" s="242"/>
      <c r="FE16" s="242"/>
      <c r="FF16" s="242"/>
      <c r="FG16" s="242"/>
      <c r="FH16" s="242"/>
      <c r="FI16" s="242"/>
      <c r="FJ16" s="243"/>
      <c r="FK16" s="243"/>
      <c r="FL16" s="243"/>
      <c r="FM16" s="243"/>
      <c r="FN16" s="243"/>
      <c r="FO16" s="243"/>
      <c r="FP16" s="243"/>
      <c r="FQ16" s="242"/>
      <c r="FR16" s="242"/>
      <c r="FS16" s="242"/>
      <c r="FT16" s="242"/>
      <c r="FU16" s="242"/>
      <c r="FV16" s="242"/>
      <c r="FW16" s="242"/>
      <c r="FX16" s="243"/>
      <c r="FY16" s="243"/>
      <c r="FZ16" s="243"/>
      <c r="GA16" s="243"/>
      <c r="GB16" s="243"/>
      <c r="GC16" s="243"/>
      <c r="GD16" s="243"/>
      <c r="GE16" s="242"/>
      <c r="GF16" s="242"/>
      <c r="GG16" s="242"/>
      <c r="GH16" s="242"/>
      <c r="GI16" s="242"/>
      <c r="GJ16" s="242"/>
      <c r="GK16" s="242"/>
      <c r="GL16" s="243"/>
      <c r="GM16" s="243"/>
      <c r="GN16" s="243"/>
      <c r="GO16" s="243"/>
      <c r="GP16" s="243"/>
      <c r="GQ16" s="243"/>
      <c r="GR16" s="243"/>
      <c r="GS16" s="242"/>
      <c r="GT16" s="242"/>
      <c r="GU16" s="242"/>
      <c r="GV16" s="242"/>
      <c r="GW16" s="242"/>
      <c r="GX16" s="242"/>
      <c r="GY16" s="242"/>
      <c r="GZ16" s="243"/>
      <c r="HA16" s="243"/>
      <c r="HB16" s="243"/>
      <c r="HC16" s="243"/>
      <c r="HD16" s="243"/>
      <c r="HE16" s="243"/>
      <c r="HF16" s="243"/>
      <c r="HG16" s="242"/>
      <c r="HH16" s="242"/>
      <c r="HI16" s="242"/>
      <c r="HJ16" s="242"/>
      <c r="HK16" s="242"/>
      <c r="HL16" s="242"/>
      <c r="HM16" s="242"/>
      <c r="HN16" s="243"/>
      <c r="HO16" s="243"/>
      <c r="HP16" s="243"/>
      <c r="HQ16" s="243"/>
      <c r="HR16" s="243"/>
      <c r="HS16" s="243"/>
      <c r="HT16" s="243"/>
      <c r="HU16" s="242"/>
      <c r="HV16" s="242"/>
      <c r="HW16" s="242"/>
      <c r="HX16" s="242"/>
      <c r="HY16" s="242"/>
      <c r="HZ16" s="242"/>
      <c r="IA16" s="242"/>
      <c r="IB16" s="243"/>
      <c r="IC16" s="243"/>
      <c r="ID16" s="243"/>
      <c r="IE16" s="243"/>
      <c r="IF16" s="243"/>
      <c r="IG16" s="243"/>
      <c r="IH16" s="243"/>
      <c r="II16" s="242"/>
      <c r="IJ16" s="242"/>
      <c r="IK16" s="242"/>
      <c r="IL16" s="242"/>
      <c r="IM16" s="242"/>
      <c r="IN16" s="242"/>
      <c r="IO16" s="242"/>
      <c r="IP16" s="243"/>
      <c r="IQ16" s="243"/>
      <c r="IR16" s="243"/>
      <c r="IS16" s="243"/>
      <c r="IT16" s="243"/>
      <c r="IU16" s="243"/>
      <c r="IV16" s="243"/>
      <c r="IW16" s="242"/>
      <c r="IX16" s="242"/>
      <c r="IY16" s="242"/>
      <c r="IZ16" s="242"/>
      <c r="JA16" s="242"/>
      <c r="JB16" s="242"/>
      <c r="JC16" s="242"/>
      <c r="JD16" s="243"/>
      <c r="JE16" s="243"/>
      <c r="JF16" s="243"/>
      <c r="JG16" s="243"/>
      <c r="JH16" s="243"/>
      <c r="JI16" s="243"/>
      <c r="JJ16" s="243"/>
      <c r="JK16" s="242"/>
      <c r="JL16" s="242"/>
      <c r="JM16" s="242"/>
      <c r="JN16" s="242"/>
      <c r="JO16" s="242"/>
      <c r="JP16" s="242"/>
      <c r="JQ16" s="242"/>
      <c r="JR16" s="243"/>
      <c r="JS16" s="243"/>
      <c r="JT16" s="243"/>
      <c r="JU16" s="243"/>
      <c r="JV16" s="243"/>
      <c r="JW16" s="243"/>
      <c r="JX16" s="243"/>
      <c r="JY16" s="242"/>
      <c r="JZ16" s="242"/>
      <c r="KA16" s="242"/>
      <c r="KB16" s="242"/>
      <c r="KC16" s="242"/>
      <c r="KD16" s="242"/>
      <c r="KE16" s="242"/>
      <c r="KF16" s="243"/>
      <c r="KG16" s="243"/>
      <c r="KH16" s="243"/>
      <c r="KI16" s="243"/>
      <c r="KJ16" s="243"/>
      <c r="KK16" s="243"/>
      <c r="KL16" s="243"/>
      <c r="KM16" s="242"/>
      <c r="KN16" s="242"/>
      <c r="KO16" s="242"/>
      <c r="KP16" s="242"/>
      <c r="KQ16" s="242"/>
      <c r="KR16" s="242"/>
      <c r="KS16" s="242"/>
      <c r="KT16" s="243"/>
      <c r="KU16" s="243"/>
      <c r="KV16" s="243"/>
      <c r="KW16" s="243"/>
      <c r="KX16" s="243"/>
      <c r="KY16" s="243"/>
      <c r="KZ16" s="243"/>
      <c r="LA16" s="242"/>
      <c r="LB16" s="242"/>
      <c r="LC16" s="242"/>
      <c r="LD16" s="242"/>
      <c r="LE16" s="242"/>
      <c r="LF16" s="242"/>
      <c r="LG16" s="242"/>
      <c r="LH16" s="243"/>
      <c r="LI16" s="243"/>
      <c r="LJ16" s="243"/>
      <c r="LK16" s="243"/>
      <c r="LL16" s="243"/>
      <c r="LM16" s="243"/>
      <c r="LN16" s="243"/>
      <c r="LO16" s="242"/>
      <c r="LP16" s="242"/>
      <c r="LQ16" s="242"/>
      <c r="LR16" s="242"/>
      <c r="LS16" s="242"/>
      <c r="LT16" s="242"/>
      <c r="LU16" s="242"/>
      <c r="LV16" s="243"/>
      <c r="LW16" s="243"/>
      <c r="LX16" s="243"/>
      <c r="LY16" s="243"/>
      <c r="LZ16" s="243"/>
      <c r="MA16" s="243"/>
      <c r="MB16" s="243"/>
      <c r="MC16" s="242"/>
      <c r="MD16" s="242"/>
      <c r="ME16" s="242"/>
      <c r="MF16" s="242"/>
      <c r="MG16" s="242"/>
      <c r="MH16" s="242"/>
      <c r="MI16" s="242"/>
      <c r="MJ16" s="243"/>
      <c r="MK16" s="243"/>
      <c r="ML16" s="243"/>
      <c r="MM16" s="243"/>
      <c r="MN16" s="243"/>
      <c r="MO16" s="243"/>
      <c r="MP16" s="243"/>
      <c r="MQ16" s="242"/>
      <c r="MR16" s="242"/>
      <c r="MS16" s="242"/>
      <c r="MT16" s="242"/>
      <c r="MU16" s="242"/>
      <c r="MV16" s="242"/>
      <c r="MW16" s="242"/>
      <c r="MX16" s="243"/>
      <c r="MY16" s="243"/>
      <c r="MZ16" s="243"/>
      <c r="NA16" s="243"/>
      <c r="NB16" s="243"/>
      <c r="NC16" s="243"/>
      <c r="ND16" s="243"/>
      <c r="NE16" s="242"/>
      <c r="NF16" s="242"/>
      <c r="NG16" s="242"/>
      <c r="NH16" s="333"/>
    </row>
    <row r="17" spans="1:372">
      <c r="A17" s="251" t="s">
        <v>964</v>
      </c>
      <c r="B17" s="251" t="s">
        <v>27</v>
      </c>
      <c r="C17" s="251" t="s">
        <v>675</v>
      </c>
      <c r="D17" s="251" t="s">
        <v>997</v>
      </c>
      <c r="E17" s="241">
        <v>11.937197200666668</v>
      </c>
      <c r="F17" s="241">
        <v>246</v>
      </c>
      <c r="G17" s="242"/>
      <c r="H17" s="242"/>
      <c r="I17" s="242"/>
      <c r="J17" s="242"/>
      <c r="K17" s="242"/>
      <c r="L17" s="243"/>
      <c r="M17" s="243"/>
      <c r="N17" s="243"/>
      <c r="O17" s="243"/>
      <c r="P17" s="243"/>
      <c r="Q17" s="243"/>
      <c r="R17" s="243"/>
      <c r="S17" s="242"/>
      <c r="T17" s="242">
        <v>6</v>
      </c>
      <c r="U17" s="242">
        <v>7</v>
      </c>
      <c r="V17" s="242">
        <v>7</v>
      </c>
      <c r="W17" s="242">
        <v>6</v>
      </c>
      <c r="X17" s="242"/>
      <c r="Y17" s="242"/>
      <c r="Z17" s="243"/>
      <c r="AA17" s="243"/>
      <c r="AB17" s="243"/>
      <c r="AC17" s="243"/>
      <c r="AD17" s="243"/>
      <c r="AE17" s="243"/>
      <c r="AF17" s="243"/>
      <c r="AG17" s="242"/>
      <c r="AH17" s="242"/>
      <c r="AI17" s="242"/>
      <c r="AJ17" s="242"/>
      <c r="AK17" s="242"/>
      <c r="AL17" s="242"/>
      <c r="AM17" s="242"/>
      <c r="AN17" s="243"/>
      <c r="AO17" s="243">
        <v>9</v>
      </c>
      <c r="AP17" s="243">
        <v>8</v>
      </c>
      <c r="AQ17" s="243">
        <v>9</v>
      </c>
      <c r="AR17" s="243"/>
      <c r="AS17" s="243"/>
      <c r="AT17" s="243"/>
      <c r="AU17" s="242"/>
      <c r="AV17" s="242"/>
      <c r="AW17" s="242"/>
      <c r="AX17" s="242"/>
      <c r="AY17" s="242"/>
      <c r="AZ17" s="242"/>
      <c r="BA17" s="242"/>
      <c r="BB17" s="243"/>
      <c r="BC17" s="243"/>
      <c r="BD17" s="243"/>
      <c r="BE17" s="243"/>
      <c r="BF17" s="243"/>
      <c r="BG17" s="243"/>
      <c r="BH17" s="243"/>
      <c r="BI17" s="242"/>
      <c r="BJ17" s="242">
        <v>9</v>
      </c>
      <c r="BK17" s="242">
        <v>8</v>
      </c>
      <c r="BL17" s="242">
        <v>9</v>
      </c>
      <c r="BM17" s="242"/>
      <c r="BN17" s="242"/>
      <c r="BO17" s="242"/>
      <c r="BP17" s="243"/>
      <c r="BQ17" s="243"/>
      <c r="BR17" s="243"/>
      <c r="BS17" s="243"/>
      <c r="BT17" s="243"/>
      <c r="BU17" s="243"/>
      <c r="BV17" s="243"/>
      <c r="BW17" s="242"/>
      <c r="BX17" s="242"/>
      <c r="BY17" s="242"/>
      <c r="BZ17" s="242"/>
      <c r="CA17" s="242"/>
      <c r="CB17" s="242"/>
      <c r="CC17" s="242"/>
      <c r="CD17" s="243"/>
      <c r="CE17" s="243"/>
      <c r="CF17" s="243"/>
      <c r="CG17" s="243"/>
      <c r="CH17" s="243"/>
      <c r="CI17" s="243"/>
      <c r="CJ17" s="243"/>
      <c r="CK17" s="242"/>
      <c r="CL17" s="242"/>
      <c r="CM17" s="242"/>
      <c r="CN17" s="242"/>
      <c r="CO17" s="242"/>
      <c r="CP17" s="242"/>
      <c r="CQ17" s="242"/>
      <c r="CR17" s="243"/>
      <c r="CS17" s="243"/>
      <c r="CT17" s="243"/>
      <c r="CU17" s="243"/>
      <c r="CV17" s="243"/>
      <c r="CW17" s="243"/>
      <c r="CX17" s="243"/>
      <c r="CY17" s="242"/>
      <c r="CZ17" s="242">
        <v>24</v>
      </c>
      <c r="DA17" s="242">
        <v>24</v>
      </c>
      <c r="DB17" s="242">
        <v>24</v>
      </c>
      <c r="DC17" s="242"/>
      <c r="DD17" s="242"/>
      <c r="DE17" s="242"/>
      <c r="DF17" s="243"/>
      <c r="DG17" s="243"/>
      <c r="DH17" s="243"/>
      <c r="DI17" s="243"/>
      <c r="DJ17" s="243"/>
      <c r="DK17" s="243"/>
      <c r="DL17" s="243"/>
      <c r="DM17" s="242"/>
      <c r="DN17" s="242"/>
      <c r="DO17" s="242"/>
      <c r="DP17" s="242"/>
      <c r="DQ17" s="242"/>
      <c r="DR17" s="242"/>
      <c r="DS17" s="242"/>
      <c r="DT17" s="243"/>
      <c r="DU17" s="243"/>
      <c r="DV17" s="243"/>
      <c r="DW17" s="243"/>
      <c r="DX17" s="243"/>
      <c r="DY17" s="243"/>
      <c r="DZ17" s="243"/>
      <c r="EA17" s="242"/>
      <c r="EB17" s="242"/>
      <c r="EC17" s="242"/>
      <c r="ED17" s="242"/>
      <c r="EE17" s="242"/>
      <c r="EF17" s="242"/>
      <c r="EG17" s="242"/>
      <c r="EH17" s="243"/>
      <c r="EI17" s="243"/>
      <c r="EJ17" s="243"/>
      <c r="EK17" s="243"/>
      <c r="EL17" s="243"/>
      <c r="EM17" s="243"/>
      <c r="EN17" s="243"/>
      <c r="EO17" s="242"/>
      <c r="EP17" s="242"/>
      <c r="EQ17" s="242"/>
      <c r="ER17" s="242"/>
      <c r="ES17" s="242"/>
      <c r="ET17" s="242"/>
      <c r="EU17" s="242"/>
      <c r="EV17" s="243"/>
      <c r="EW17" s="243"/>
      <c r="EX17" s="243">
        <v>24</v>
      </c>
      <c r="EY17" s="243"/>
      <c r="EZ17" s="243"/>
      <c r="FA17" s="243"/>
      <c r="FB17" s="243"/>
      <c r="FC17" s="242"/>
      <c r="FD17" s="242">
        <v>24</v>
      </c>
      <c r="FE17" s="242"/>
      <c r="FF17" s="242"/>
      <c r="FG17" s="242"/>
      <c r="FH17" s="242"/>
      <c r="FI17" s="242"/>
      <c r="FJ17" s="243"/>
      <c r="FK17" s="243"/>
      <c r="FL17" s="243"/>
      <c r="FM17" s="243"/>
      <c r="FN17" s="243"/>
      <c r="FO17" s="243"/>
      <c r="FP17" s="243"/>
      <c r="FQ17" s="242"/>
      <c r="FR17" s="242"/>
      <c r="FS17" s="242"/>
      <c r="FT17" s="242"/>
      <c r="FU17" s="242"/>
      <c r="FV17" s="242"/>
      <c r="FW17" s="242"/>
      <c r="FX17" s="243"/>
      <c r="FY17" s="243"/>
      <c r="FZ17" s="243"/>
      <c r="GA17" s="243"/>
      <c r="GB17" s="243"/>
      <c r="GC17" s="243"/>
      <c r="GD17" s="243"/>
      <c r="GE17" s="242"/>
      <c r="GF17" s="242"/>
      <c r="GG17" s="242"/>
      <c r="GH17" s="242"/>
      <c r="GI17" s="242"/>
      <c r="GJ17" s="242"/>
      <c r="GK17" s="242"/>
      <c r="GL17" s="243"/>
      <c r="GM17" s="243"/>
      <c r="GN17" s="243"/>
      <c r="GO17" s="243"/>
      <c r="GP17" s="243"/>
      <c r="GQ17" s="243"/>
      <c r="GR17" s="243"/>
      <c r="GS17" s="242"/>
      <c r="GT17" s="242"/>
      <c r="GU17" s="242"/>
      <c r="GV17" s="242"/>
      <c r="GW17" s="242"/>
      <c r="GX17" s="242"/>
      <c r="GY17" s="242"/>
      <c r="GZ17" s="243"/>
      <c r="HA17" s="243"/>
      <c r="HB17" s="243"/>
      <c r="HC17" s="243"/>
      <c r="HD17" s="243"/>
      <c r="HE17" s="243"/>
      <c r="HF17" s="243"/>
      <c r="HG17" s="242"/>
      <c r="HH17" s="242"/>
      <c r="HI17" s="242"/>
      <c r="HJ17" s="242"/>
      <c r="HK17" s="242"/>
      <c r="HL17" s="242"/>
      <c r="HM17" s="242"/>
      <c r="HN17" s="243"/>
      <c r="HO17" s="243"/>
      <c r="HP17" s="243"/>
      <c r="HQ17" s="243"/>
      <c r="HR17" s="243"/>
      <c r="HS17" s="243"/>
      <c r="HT17" s="243"/>
      <c r="HU17" s="242"/>
      <c r="HV17" s="242"/>
      <c r="HW17" s="242"/>
      <c r="HX17" s="242"/>
      <c r="HY17" s="242"/>
      <c r="HZ17" s="242"/>
      <c r="IA17" s="242"/>
      <c r="IB17" s="243"/>
      <c r="IC17" s="243"/>
      <c r="ID17" s="243"/>
      <c r="IE17" s="243"/>
      <c r="IF17" s="243"/>
      <c r="IG17" s="243"/>
      <c r="IH17" s="243"/>
      <c r="II17" s="242"/>
      <c r="IJ17" s="242"/>
      <c r="IK17" s="242"/>
      <c r="IL17" s="242"/>
      <c r="IM17" s="242"/>
      <c r="IN17" s="242"/>
      <c r="IO17" s="242"/>
      <c r="IP17" s="243"/>
      <c r="IQ17" s="243"/>
      <c r="IR17" s="243"/>
      <c r="IS17" s="243"/>
      <c r="IT17" s="243"/>
      <c r="IU17" s="243"/>
      <c r="IV17" s="243"/>
      <c r="IW17" s="242"/>
      <c r="IX17" s="242"/>
      <c r="IY17" s="242"/>
      <c r="IZ17" s="242"/>
      <c r="JA17" s="242"/>
      <c r="JB17" s="242"/>
      <c r="JC17" s="242"/>
      <c r="JD17" s="243"/>
      <c r="JE17" s="243"/>
      <c r="JF17" s="243"/>
      <c r="JG17" s="243"/>
      <c r="JH17" s="243"/>
      <c r="JI17" s="243"/>
      <c r="JJ17" s="243"/>
      <c r="JK17" s="242"/>
      <c r="JL17" s="242"/>
      <c r="JM17" s="242"/>
      <c r="JN17" s="242"/>
      <c r="JO17" s="242"/>
      <c r="JP17" s="242"/>
      <c r="JQ17" s="242"/>
      <c r="JR17" s="243"/>
      <c r="JS17" s="243"/>
      <c r="JT17" s="243"/>
      <c r="JU17" s="243"/>
      <c r="JV17" s="243"/>
      <c r="JW17" s="243"/>
      <c r="JX17" s="243"/>
      <c r="JY17" s="242"/>
      <c r="JZ17" s="242"/>
      <c r="KA17" s="242"/>
      <c r="KB17" s="242"/>
      <c r="KC17" s="242"/>
      <c r="KD17" s="242"/>
      <c r="KE17" s="242"/>
      <c r="KF17" s="243"/>
      <c r="KG17" s="243"/>
      <c r="KH17" s="243"/>
      <c r="KI17" s="243"/>
      <c r="KJ17" s="243"/>
      <c r="KK17" s="243"/>
      <c r="KL17" s="243"/>
      <c r="KM17" s="242"/>
      <c r="KN17" s="242">
        <v>24</v>
      </c>
      <c r="KO17" s="242"/>
      <c r="KP17" s="242"/>
      <c r="KQ17" s="242"/>
      <c r="KR17" s="242"/>
      <c r="KS17" s="242"/>
      <c r="KT17" s="243"/>
      <c r="KU17" s="243"/>
      <c r="KV17" s="243"/>
      <c r="KW17" s="243"/>
      <c r="KX17" s="243"/>
      <c r="KY17" s="243"/>
      <c r="KZ17" s="243"/>
      <c r="LA17" s="242"/>
      <c r="LB17" s="242">
        <v>24</v>
      </c>
      <c r="LC17" s="242"/>
      <c r="LD17" s="242"/>
      <c r="LE17" s="242"/>
      <c r="LF17" s="242"/>
      <c r="LG17" s="242"/>
      <c r="LH17" s="243"/>
      <c r="LI17" s="243"/>
      <c r="LJ17" s="243"/>
      <c r="LK17" s="243"/>
      <c r="LL17" s="243"/>
      <c r="LM17" s="243"/>
      <c r="LN17" s="243"/>
      <c r="LO17" s="242"/>
      <c r="LP17" s="242"/>
      <c r="LQ17" s="242"/>
      <c r="LR17" s="242"/>
      <c r="LS17" s="242"/>
      <c r="LT17" s="242"/>
      <c r="LU17" s="242"/>
      <c r="LV17" s="243"/>
      <c r="LW17" s="243"/>
      <c r="LX17" s="243"/>
      <c r="LY17" s="243"/>
      <c r="LZ17" s="243"/>
      <c r="MA17" s="243"/>
      <c r="MB17" s="243"/>
      <c r="MC17" s="242"/>
      <c r="MD17" s="242"/>
      <c r="ME17" s="242"/>
      <c r="MF17" s="242"/>
      <c r="MG17" s="242"/>
      <c r="MH17" s="242"/>
      <c r="MI17" s="242"/>
      <c r="MJ17" s="243"/>
      <c r="MK17" s="243"/>
      <c r="ML17" s="243"/>
      <c r="MM17" s="243"/>
      <c r="MN17" s="243"/>
      <c r="MO17" s="243"/>
      <c r="MP17" s="243"/>
      <c r="MQ17" s="242"/>
      <c r="MR17" s="242"/>
      <c r="MS17" s="242"/>
      <c r="MT17" s="242"/>
      <c r="MU17" s="242"/>
      <c r="MV17" s="242"/>
      <c r="MW17" s="242"/>
      <c r="MX17" s="243"/>
      <c r="MY17" s="243"/>
      <c r="MZ17" s="243"/>
      <c r="NA17" s="243"/>
      <c r="NB17" s="243"/>
      <c r="NC17" s="243"/>
      <c r="ND17" s="243"/>
      <c r="NE17" s="242"/>
      <c r="NF17" s="242"/>
      <c r="NG17" s="242"/>
      <c r="NH17" s="333"/>
    </row>
    <row r="18" spans="1:372">
      <c r="A18" s="251" t="s">
        <v>964</v>
      </c>
      <c r="B18" s="251" t="s">
        <v>28</v>
      </c>
      <c r="C18" s="251" t="s">
        <v>675</v>
      </c>
      <c r="D18" s="251" t="s">
        <v>997</v>
      </c>
      <c r="E18" s="241">
        <v>3.6978666666666706</v>
      </c>
      <c r="F18" s="241">
        <v>128</v>
      </c>
      <c r="G18" s="242"/>
      <c r="H18" s="242"/>
      <c r="I18" s="242"/>
      <c r="J18" s="242"/>
      <c r="K18" s="242"/>
      <c r="L18" s="243"/>
      <c r="M18" s="243"/>
      <c r="N18" s="243"/>
      <c r="O18" s="243"/>
      <c r="P18" s="243"/>
      <c r="Q18" s="243"/>
      <c r="R18" s="243"/>
      <c r="S18" s="242"/>
      <c r="T18" s="242">
        <v>7</v>
      </c>
      <c r="U18" s="242">
        <v>7</v>
      </c>
      <c r="V18" s="242">
        <v>7</v>
      </c>
      <c r="W18" s="242">
        <v>8</v>
      </c>
      <c r="X18" s="242"/>
      <c r="Y18" s="242"/>
      <c r="Z18" s="243"/>
      <c r="AA18" s="243"/>
      <c r="AB18" s="243"/>
      <c r="AC18" s="243"/>
      <c r="AD18" s="243"/>
      <c r="AE18" s="243"/>
      <c r="AF18" s="243"/>
      <c r="AG18" s="242"/>
      <c r="AH18" s="242"/>
      <c r="AI18" s="242"/>
      <c r="AJ18" s="242"/>
      <c r="AK18" s="242"/>
      <c r="AL18" s="242"/>
      <c r="AM18" s="242"/>
      <c r="AN18" s="243"/>
      <c r="AO18" s="243">
        <v>4</v>
      </c>
      <c r="AP18" s="243">
        <v>4</v>
      </c>
      <c r="AQ18" s="243">
        <v>4</v>
      </c>
      <c r="AR18" s="243"/>
      <c r="AS18" s="243"/>
      <c r="AT18" s="243"/>
      <c r="AU18" s="242"/>
      <c r="AV18" s="242"/>
      <c r="AW18" s="242"/>
      <c r="AX18" s="242"/>
      <c r="AY18" s="242"/>
      <c r="AZ18" s="242"/>
      <c r="BA18" s="242"/>
      <c r="BB18" s="243"/>
      <c r="BC18" s="243"/>
      <c r="BD18" s="243"/>
      <c r="BE18" s="243"/>
      <c r="BF18" s="243"/>
      <c r="BG18" s="243"/>
      <c r="BH18" s="243"/>
      <c r="BI18" s="242"/>
      <c r="BJ18" s="242">
        <v>5</v>
      </c>
      <c r="BK18" s="242">
        <v>5</v>
      </c>
      <c r="BL18" s="242">
        <v>5</v>
      </c>
      <c r="BM18" s="242"/>
      <c r="BN18" s="242"/>
      <c r="BO18" s="242"/>
      <c r="BP18" s="243"/>
      <c r="BQ18" s="243"/>
      <c r="BR18" s="243"/>
      <c r="BS18" s="243"/>
      <c r="BT18" s="243"/>
      <c r="BU18" s="243"/>
      <c r="BV18" s="243"/>
      <c r="BW18" s="242"/>
      <c r="BX18" s="242"/>
      <c r="BY18" s="242"/>
      <c r="BZ18" s="242"/>
      <c r="CA18" s="242"/>
      <c r="CB18" s="242"/>
      <c r="CC18" s="242"/>
      <c r="CD18" s="243"/>
      <c r="CE18" s="243"/>
      <c r="CF18" s="243"/>
      <c r="CG18" s="243"/>
      <c r="CH18" s="243"/>
      <c r="CI18" s="243"/>
      <c r="CJ18" s="243"/>
      <c r="CK18" s="242"/>
      <c r="CL18" s="242"/>
      <c r="CM18" s="242"/>
      <c r="CN18" s="242"/>
      <c r="CO18" s="242"/>
      <c r="CP18" s="242"/>
      <c r="CQ18" s="242"/>
      <c r="CR18" s="243"/>
      <c r="CS18" s="243"/>
      <c r="CT18" s="243"/>
      <c r="CU18" s="243"/>
      <c r="CV18" s="243"/>
      <c r="CW18" s="243"/>
      <c r="CX18" s="243"/>
      <c r="CY18" s="242"/>
      <c r="CZ18" s="242">
        <v>24</v>
      </c>
      <c r="DA18" s="242">
        <v>24</v>
      </c>
      <c r="DB18" s="242">
        <v>24</v>
      </c>
      <c r="DC18" s="242"/>
      <c r="DD18" s="242"/>
      <c r="DE18" s="242"/>
      <c r="DF18" s="243"/>
      <c r="DG18" s="243"/>
      <c r="DH18" s="243"/>
      <c r="DI18" s="243"/>
      <c r="DJ18" s="243"/>
      <c r="DK18" s="243"/>
      <c r="DL18" s="243"/>
      <c r="DM18" s="242"/>
      <c r="DN18" s="242"/>
      <c r="DO18" s="242"/>
      <c r="DP18" s="242"/>
      <c r="DQ18" s="242"/>
      <c r="DR18" s="242"/>
      <c r="DS18" s="242"/>
      <c r="DT18" s="243"/>
      <c r="DU18" s="243"/>
      <c r="DV18" s="243"/>
      <c r="DW18" s="243"/>
      <c r="DX18" s="243"/>
      <c r="DY18" s="243"/>
      <c r="DZ18" s="243"/>
      <c r="EA18" s="242"/>
      <c r="EB18" s="242"/>
      <c r="EC18" s="242"/>
      <c r="ED18" s="242"/>
      <c r="EE18" s="242"/>
      <c r="EF18" s="242"/>
      <c r="EG18" s="242"/>
      <c r="EH18" s="243"/>
      <c r="EI18" s="243"/>
      <c r="EJ18" s="243"/>
      <c r="EK18" s="243"/>
      <c r="EL18" s="243"/>
      <c r="EM18" s="243"/>
      <c r="EN18" s="243"/>
      <c r="EO18" s="242"/>
      <c r="EP18" s="242"/>
      <c r="EQ18" s="242"/>
      <c r="ER18" s="242"/>
      <c r="ES18" s="242"/>
      <c r="ET18" s="242"/>
      <c r="EU18" s="242"/>
      <c r="EV18" s="243"/>
      <c r="EW18" s="243"/>
      <c r="EX18" s="243"/>
      <c r="EY18" s="243"/>
      <c r="EZ18" s="243"/>
      <c r="FA18" s="243"/>
      <c r="FB18" s="243"/>
      <c r="FC18" s="242"/>
      <c r="FD18" s="242"/>
      <c r="FE18" s="242"/>
      <c r="FF18" s="242"/>
      <c r="FG18" s="242"/>
      <c r="FH18" s="242"/>
      <c r="FI18" s="242"/>
      <c r="FJ18" s="243"/>
      <c r="FK18" s="243"/>
      <c r="FL18" s="243"/>
      <c r="FM18" s="243"/>
      <c r="FN18" s="243"/>
      <c r="FO18" s="243"/>
      <c r="FP18" s="243"/>
      <c r="FQ18" s="242"/>
      <c r="FR18" s="242"/>
      <c r="FS18" s="242"/>
      <c r="FT18" s="242"/>
      <c r="FU18" s="242"/>
      <c r="FV18" s="242"/>
      <c r="FW18" s="242"/>
      <c r="FX18" s="243"/>
      <c r="FY18" s="243"/>
      <c r="FZ18" s="243"/>
      <c r="GA18" s="243"/>
      <c r="GB18" s="243"/>
      <c r="GC18" s="243"/>
      <c r="GD18" s="243"/>
      <c r="GE18" s="242"/>
      <c r="GF18" s="242"/>
      <c r="GG18" s="242"/>
      <c r="GH18" s="242"/>
      <c r="GI18" s="242"/>
      <c r="GJ18" s="242"/>
      <c r="GK18" s="242"/>
      <c r="GL18" s="243"/>
      <c r="GM18" s="243"/>
      <c r="GN18" s="243"/>
      <c r="GO18" s="243"/>
      <c r="GP18" s="243"/>
      <c r="GQ18" s="243"/>
      <c r="GR18" s="243"/>
      <c r="GS18" s="242"/>
      <c r="GT18" s="242"/>
      <c r="GU18" s="242"/>
      <c r="GV18" s="242"/>
      <c r="GW18" s="242"/>
      <c r="GX18" s="242"/>
      <c r="GY18" s="242"/>
      <c r="GZ18" s="243"/>
      <c r="HA18" s="243"/>
      <c r="HB18" s="243"/>
      <c r="HC18" s="243"/>
      <c r="HD18" s="243"/>
      <c r="HE18" s="243"/>
      <c r="HF18" s="243"/>
      <c r="HG18" s="242"/>
      <c r="HH18" s="242"/>
      <c r="HI18" s="242"/>
      <c r="HJ18" s="242"/>
      <c r="HK18" s="242"/>
      <c r="HL18" s="242"/>
      <c r="HM18" s="242"/>
      <c r="HN18" s="243"/>
      <c r="HO18" s="243"/>
      <c r="HP18" s="243"/>
      <c r="HQ18" s="243"/>
      <c r="HR18" s="243"/>
      <c r="HS18" s="243"/>
      <c r="HT18" s="243"/>
      <c r="HU18" s="242"/>
      <c r="HV18" s="242"/>
      <c r="HW18" s="242"/>
      <c r="HX18" s="242"/>
      <c r="HY18" s="242"/>
      <c r="HZ18" s="242"/>
      <c r="IA18" s="242"/>
      <c r="IB18" s="243"/>
      <c r="IC18" s="243"/>
      <c r="ID18" s="243"/>
      <c r="IE18" s="243"/>
      <c r="IF18" s="243"/>
      <c r="IG18" s="243"/>
      <c r="IH18" s="243"/>
      <c r="II18" s="242"/>
      <c r="IJ18" s="242"/>
      <c r="IK18" s="242"/>
      <c r="IL18" s="242"/>
      <c r="IM18" s="242"/>
      <c r="IN18" s="242"/>
      <c r="IO18" s="242"/>
      <c r="IP18" s="243"/>
      <c r="IQ18" s="243"/>
      <c r="IR18" s="243"/>
      <c r="IS18" s="243"/>
      <c r="IT18" s="243"/>
      <c r="IU18" s="243"/>
      <c r="IV18" s="243"/>
      <c r="IW18" s="242"/>
      <c r="IX18" s="242"/>
      <c r="IY18" s="242"/>
      <c r="IZ18" s="242"/>
      <c r="JA18" s="242"/>
      <c r="JB18" s="242"/>
      <c r="JC18" s="242"/>
      <c r="JD18" s="243"/>
      <c r="JE18" s="243"/>
      <c r="JF18" s="243"/>
      <c r="JG18" s="243"/>
      <c r="JH18" s="243"/>
      <c r="JI18" s="243"/>
      <c r="JJ18" s="243"/>
      <c r="JK18" s="242"/>
      <c r="JL18" s="242"/>
      <c r="JM18" s="242"/>
      <c r="JN18" s="242"/>
      <c r="JO18" s="242"/>
      <c r="JP18" s="242"/>
      <c r="JQ18" s="242"/>
      <c r="JR18" s="243"/>
      <c r="JS18" s="243"/>
      <c r="JT18" s="243"/>
      <c r="JU18" s="243"/>
      <c r="JV18" s="243"/>
      <c r="JW18" s="243"/>
      <c r="JX18" s="243"/>
      <c r="JY18" s="242"/>
      <c r="JZ18" s="242"/>
      <c r="KA18" s="242"/>
      <c r="KB18" s="242"/>
      <c r="KC18" s="242"/>
      <c r="KD18" s="242"/>
      <c r="KE18" s="242"/>
      <c r="KF18" s="243"/>
      <c r="KG18" s="243"/>
      <c r="KH18" s="243"/>
      <c r="KI18" s="243"/>
      <c r="KJ18" s="243"/>
      <c r="KK18" s="243"/>
      <c r="KL18" s="243"/>
      <c r="KM18" s="242"/>
      <c r="KN18" s="242"/>
      <c r="KO18" s="242"/>
      <c r="KP18" s="242"/>
      <c r="KQ18" s="242"/>
      <c r="KR18" s="242"/>
      <c r="KS18" s="242"/>
      <c r="KT18" s="243"/>
      <c r="KU18" s="243"/>
      <c r="KV18" s="243"/>
      <c r="KW18" s="243"/>
      <c r="KX18" s="243"/>
      <c r="KY18" s="243"/>
      <c r="KZ18" s="243"/>
      <c r="LA18" s="242"/>
      <c r="LB18" s="242"/>
      <c r="LC18" s="242"/>
      <c r="LD18" s="242"/>
      <c r="LE18" s="242"/>
      <c r="LF18" s="242"/>
      <c r="LG18" s="242"/>
      <c r="LH18" s="243"/>
      <c r="LI18" s="243"/>
      <c r="LJ18" s="243"/>
      <c r="LK18" s="243"/>
      <c r="LL18" s="243"/>
      <c r="LM18" s="243"/>
      <c r="LN18" s="243"/>
      <c r="LO18" s="242"/>
      <c r="LP18" s="242"/>
      <c r="LQ18" s="242"/>
      <c r="LR18" s="242"/>
      <c r="LS18" s="242"/>
      <c r="LT18" s="242"/>
      <c r="LU18" s="242"/>
      <c r="LV18" s="243"/>
      <c r="LW18" s="243"/>
      <c r="LX18" s="243"/>
      <c r="LY18" s="243"/>
      <c r="LZ18" s="243"/>
      <c r="MA18" s="243"/>
      <c r="MB18" s="243"/>
      <c r="MC18" s="242"/>
      <c r="MD18" s="242"/>
      <c r="ME18" s="242"/>
      <c r="MF18" s="242"/>
      <c r="MG18" s="242"/>
      <c r="MH18" s="242"/>
      <c r="MI18" s="242"/>
      <c r="MJ18" s="243"/>
      <c r="MK18" s="243"/>
      <c r="ML18" s="243"/>
      <c r="MM18" s="243"/>
      <c r="MN18" s="243"/>
      <c r="MO18" s="243"/>
      <c r="MP18" s="243"/>
      <c r="MQ18" s="242"/>
      <c r="MR18" s="242"/>
      <c r="MS18" s="242"/>
      <c r="MT18" s="242"/>
      <c r="MU18" s="242"/>
      <c r="MV18" s="242"/>
      <c r="MW18" s="242"/>
      <c r="MX18" s="243"/>
      <c r="MY18" s="243"/>
      <c r="MZ18" s="243"/>
      <c r="NA18" s="243"/>
      <c r="NB18" s="243"/>
      <c r="NC18" s="243"/>
      <c r="ND18" s="243"/>
      <c r="NE18" s="242"/>
      <c r="NF18" s="242"/>
      <c r="NG18" s="242"/>
      <c r="NH18" s="333"/>
    </row>
    <row r="19" spans="1:372">
      <c r="A19" s="251" t="s">
        <v>964</v>
      </c>
      <c r="B19" s="251" t="s">
        <v>24</v>
      </c>
      <c r="C19" s="251" t="s">
        <v>675</v>
      </c>
      <c r="D19" s="251" t="s">
        <v>997</v>
      </c>
      <c r="E19" s="241">
        <v>63.005016633949865</v>
      </c>
      <c r="F19" s="241">
        <v>156</v>
      </c>
      <c r="G19" s="242"/>
      <c r="H19" s="242"/>
      <c r="I19" s="242"/>
      <c r="J19" s="242"/>
      <c r="K19" s="242"/>
      <c r="L19" s="243"/>
      <c r="M19" s="243"/>
      <c r="N19" s="243"/>
      <c r="O19" s="243"/>
      <c r="P19" s="243"/>
      <c r="Q19" s="243"/>
      <c r="R19" s="243"/>
      <c r="S19" s="242"/>
      <c r="T19" s="242"/>
      <c r="U19" s="242"/>
      <c r="V19" s="242"/>
      <c r="W19" s="242"/>
      <c r="X19" s="242"/>
      <c r="Y19" s="242"/>
      <c r="Z19" s="243"/>
      <c r="AA19" s="243"/>
      <c r="AB19" s="243"/>
      <c r="AC19" s="243"/>
      <c r="AD19" s="243"/>
      <c r="AE19" s="243"/>
      <c r="AF19" s="243"/>
      <c r="AG19" s="242"/>
      <c r="AH19" s="242"/>
      <c r="AI19" s="242"/>
      <c r="AJ19" s="242"/>
      <c r="AK19" s="242"/>
      <c r="AL19" s="242"/>
      <c r="AM19" s="242"/>
      <c r="AN19" s="243"/>
      <c r="AO19" s="243">
        <v>12</v>
      </c>
      <c r="AP19" s="243">
        <v>12</v>
      </c>
      <c r="AQ19" s="243">
        <v>12</v>
      </c>
      <c r="AR19" s="243"/>
      <c r="AS19" s="243"/>
      <c r="AT19" s="243"/>
      <c r="AU19" s="242"/>
      <c r="AV19" s="242"/>
      <c r="AW19" s="242"/>
      <c r="AX19" s="242"/>
      <c r="AY19" s="242"/>
      <c r="AZ19" s="242"/>
      <c r="BA19" s="242"/>
      <c r="BB19" s="243"/>
      <c r="BC19" s="243"/>
      <c r="BD19" s="243"/>
      <c r="BE19" s="243"/>
      <c r="BF19" s="243"/>
      <c r="BG19" s="243"/>
      <c r="BH19" s="243"/>
      <c r="BI19" s="242"/>
      <c r="BJ19" s="242"/>
      <c r="BK19" s="242"/>
      <c r="BL19" s="242"/>
      <c r="BM19" s="242"/>
      <c r="BN19" s="242"/>
      <c r="BO19" s="242"/>
      <c r="BP19" s="243"/>
      <c r="BQ19" s="243"/>
      <c r="BR19" s="243"/>
      <c r="BS19" s="243"/>
      <c r="BT19" s="243"/>
      <c r="BU19" s="243"/>
      <c r="BV19" s="243"/>
      <c r="BW19" s="242"/>
      <c r="BX19" s="242"/>
      <c r="BY19" s="242"/>
      <c r="BZ19" s="242"/>
      <c r="CA19" s="242"/>
      <c r="CB19" s="242"/>
      <c r="CC19" s="242"/>
      <c r="CD19" s="243"/>
      <c r="CE19" s="243"/>
      <c r="CF19" s="243"/>
      <c r="CG19" s="243"/>
      <c r="CH19" s="243"/>
      <c r="CI19" s="243"/>
      <c r="CJ19" s="243"/>
      <c r="CK19" s="242"/>
      <c r="CL19" s="242"/>
      <c r="CM19" s="242"/>
      <c r="CN19" s="242"/>
      <c r="CO19" s="242"/>
      <c r="CP19" s="242"/>
      <c r="CQ19" s="242"/>
      <c r="CR19" s="243"/>
      <c r="CS19" s="243"/>
      <c r="CT19" s="243"/>
      <c r="CU19" s="243"/>
      <c r="CV19" s="243"/>
      <c r="CW19" s="243"/>
      <c r="CX19" s="243"/>
      <c r="CY19" s="242"/>
      <c r="CZ19" s="242">
        <v>24</v>
      </c>
      <c r="DA19" s="242">
        <v>24</v>
      </c>
      <c r="DB19" s="242">
        <v>24</v>
      </c>
      <c r="DC19" s="242"/>
      <c r="DD19" s="242"/>
      <c r="DE19" s="242"/>
      <c r="DF19" s="243"/>
      <c r="DG19" s="243"/>
      <c r="DH19" s="243"/>
      <c r="DI19" s="243"/>
      <c r="DJ19" s="243"/>
      <c r="DK19" s="243"/>
      <c r="DL19" s="243"/>
      <c r="DM19" s="242"/>
      <c r="DN19" s="242"/>
      <c r="DO19" s="242"/>
      <c r="DP19" s="242"/>
      <c r="DQ19" s="242"/>
      <c r="DR19" s="242"/>
      <c r="DS19" s="242"/>
      <c r="DT19" s="243"/>
      <c r="DU19" s="243"/>
      <c r="DV19" s="243"/>
      <c r="DW19" s="243"/>
      <c r="DX19" s="243"/>
      <c r="DY19" s="243"/>
      <c r="DZ19" s="243"/>
      <c r="EA19" s="242"/>
      <c r="EB19" s="242"/>
      <c r="EC19" s="242"/>
      <c r="ED19" s="242"/>
      <c r="EE19" s="242"/>
      <c r="EF19" s="242"/>
      <c r="EG19" s="242"/>
      <c r="EH19" s="243"/>
      <c r="EI19" s="243"/>
      <c r="EJ19" s="243"/>
      <c r="EK19" s="243"/>
      <c r="EL19" s="243"/>
      <c r="EM19" s="243"/>
      <c r="EN19" s="243"/>
      <c r="EO19" s="242"/>
      <c r="EP19" s="242"/>
      <c r="EQ19" s="242"/>
      <c r="ER19" s="242"/>
      <c r="ES19" s="242"/>
      <c r="ET19" s="242"/>
      <c r="EU19" s="242"/>
      <c r="EV19" s="243"/>
      <c r="EW19" s="243"/>
      <c r="EX19" s="243">
        <v>24</v>
      </c>
      <c r="EY19" s="243"/>
      <c r="EZ19" s="243"/>
      <c r="FA19" s="243"/>
      <c r="FB19" s="243"/>
      <c r="FC19" s="242"/>
      <c r="FD19" s="242"/>
      <c r="FE19" s="242"/>
      <c r="FF19" s="242"/>
      <c r="FG19" s="242"/>
      <c r="FH19" s="242"/>
      <c r="FI19" s="242"/>
      <c r="FJ19" s="243"/>
      <c r="FK19" s="243"/>
      <c r="FL19" s="243"/>
      <c r="FM19" s="243"/>
      <c r="FN19" s="243"/>
      <c r="FO19" s="243"/>
      <c r="FP19" s="243"/>
      <c r="FQ19" s="242"/>
      <c r="FR19" s="242"/>
      <c r="FS19" s="242"/>
      <c r="FT19" s="242"/>
      <c r="FU19" s="242"/>
      <c r="FV19" s="242"/>
      <c r="FW19" s="242"/>
      <c r="FX19" s="243"/>
      <c r="FY19" s="243"/>
      <c r="FZ19" s="243"/>
      <c r="GA19" s="243"/>
      <c r="GB19" s="243"/>
      <c r="GC19" s="243"/>
      <c r="GD19" s="243"/>
      <c r="GE19" s="242"/>
      <c r="GF19" s="242"/>
      <c r="GG19" s="242"/>
      <c r="GH19" s="242"/>
      <c r="GI19" s="242"/>
      <c r="GJ19" s="242"/>
      <c r="GK19" s="242"/>
      <c r="GL19" s="243"/>
      <c r="GM19" s="243"/>
      <c r="GN19" s="243"/>
      <c r="GO19" s="243"/>
      <c r="GP19" s="243"/>
      <c r="GQ19" s="243"/>
      <c r="GR19" s="243"/>
      <c r="GS19" s="242"/>
      <c r="GT19" s="242"/>
      <c r="GU19" s="242"/>
      <c r="GV19" s="242"/>
      <c r="GW19" s="242"/>
      <c r="GX19" s="242"/>
      <c r="GY19" s="242"/>
      <c r="GZ19" s="243"/>
      <c r="HA19" s="243"/>
      <c r="HB19" s="243"/>
      <c r="HC19" s="243"/>
      <c r="HD19" s="243"/>
      <c r="HE19" s="243"/>
      <c r="HF19" s="243"/>
      <c r="HG19" s="242"/>
      <c r="HH19" s="242"/>
      <c r="HI19" s="242"/>
      <c r="HJ19" s="242"/>
      <c r="HK19" s="242"/>
      <c r="HL19" s="242"/>
      <c r="HM19" s="242"/>
      <c r="HN19" s="243"/>
      <c r="HO19" s="243"/>
      <c r="HP19" s="243"/>
      <c r="HQ19" s="243"/>
      <c r="HR19" s="243"/>
      <c r="HS19" s="243"/>
      <c r="HT19" s="243"/>
      <c r="HU19" s="242"/>
      <c r="HV19" s="242"/>
      <c r="HW19" s="242"/>
      <c r="HX19" s="242"/>
      <c r="HY19" s="242"/>
      <c r="HZ19" s="242"/>
      <c r="IA19" s="242"/>
      <c r="IB19" s="243"/>
      <c r="IC19" s="243"/>
      <c r="ID19" s="243"/>
      <c r="IE19" s="243"/>
      <c r="IF19" s="243"/>
      <c r="IG19" s="243"/>
      <c r="IH19" s="243"/>
      <c r="II19" s="242"/>
      <c r="IJ19" s="242"/>
      <c r="IK19" s="242"/>
      <c r="IL19" s="242"/>
      <c r="IM19" s="242"/>
      <c r="IN19" s="242"/>
      <c r="IO19" s="242"/>
      <c r="IP19" s="243"/>
      <c r="IQ19" s="243"/>
      <c r="IR19" s="243"/>
      <c r="IS19" s="243"/>
      <c r="IT19" s="243"/>
      <c r="IU19" s="243"/>
      <c r="IV19" s="243"/>
      <c r="IW19" s="242"/>
      <c r="IX19" s="242"/>
      <c r="IY19" s="242"/>
      <c r="IZ19" s="242"/>
      <c r="JA19" s="242"/>
      <c r="JB19" s="242"/>
      <c r="JC19" s="242"/>
      <c r="JD19" s="243"/>
      <c r="JE19" s="243"/>
      <c r="JF19" s="243"/>
      <c r="JG19" s="243"/>
      <c r="JH19" s="243"/>
      <c r="JI19" s="243"/>
      <c r="JJ19" s="243"/>
      <c r="JK19" s="242"/>
      <c r="JL19" s="242"/>
      <c r="JM19" s="242"/>
      <c r="JN19" s="242"/>
      <c r="JO19" s="242"/>
      <c r="JP19" s="242"/>
      <c r="JQ19" s="242"/>
      <c r="JR19" s="243"/>
      <c r="JS19" s="243"/>
      <c r="JT19" s="243"/>
      <c r="JU19" s="243"/>
      <c r="JV19" s="243"/>
      <c r="JW19" s="243"/>
      <c r="JX19" s="243"/>
      <c r="JY19" s="242"/>
      <c r="JZ19" s="242"/>
      <c r="KA19" s="242"/>
      <c r="KB19" s="242"/>
      <c r="KC19" s="242"/>
      <c r="KD19" s="242"/>
      <c r="KE19" s="242"/>
      <c r="KF19" s="243"/>
      <c r="KG19" s="243"/>
      <c r="KH19" s="243"/>
      <c r="KI19" s="243"/>
      <c r="KJ19" s="243"/>
      <c r="KK19" s="243"/>
      <c r="KL19" s="243"/>
      <c r="KM19" s="242"/>
      <c r="KN19" s="242">
        <v>24</v>
      </c>
      <c r="KO19" s="242"/>
      <c r="KP19" s="242"/>
      <c r="KQ19" s="242"/>
      <c r="KR19" s="242"/>
      <c r="KS19" s="242"/>
      <c r="KT19" s="243"/>
      <c r="KU19" s="243"/>
      <c r="KV19" s="243"/>
      <c r="KW19" s="243"/>
      <c r="KX19" s="243"/>
      <c r="KY19" s="243"/>
      <c r="KZ19" s="243"/>
      <c r="LA19" s="242"/>
      <c r="LB19" s="242"/>
      <c r="LC19" s="242"/>
      <c r="LD19" s="242"/>
      <c r="LE19" s="242"/>
      <c r="LF19" s="242"/>
      <c r="LG19" s="242"/>
      <c r="LH19" s="243"/>
      <c r="LI19" s="243"/>
      <c r="LJ19" s="243"/>
      <c r="LK19" s="243"/>
      <c r="LL19" s="243"/>
      <c r="LM19" s="243"/>
      <c r="LN19" s="243"/>
      <c r="LO19" s="242"/>
      <c r="LP19" s="242"/>
      <c r="LQ19" s="242"/>
      <c r="LR19" s="242"/>
      <c r="LS19" s="242"/>
      <c r="LT19" s="242"/>
      <c r="LU19" s="242"/>
      <c r="LV19" s="243"/>
      <c r="LW19" s="243"/>
      <c r="LX19" s="243"/>
      <c r="LY19" s="243"/>
      <c r="LZ19" s="243"/>
      <c r="MA19" s="243"/>
      <c r="MB19" s="243"/>
      <c r="MC19" s="242"/>
      <c r="MD19" s="242"/>
      <c r="ME19" s="242"/>
      <c r="MF19" s="242"/>
      <c r="MG19" s="242"/>
      <c r="MH19" s="242"/>
      <c r="MI19" s="242"/>
      <c r="MJ19" s="243"/>
      <c r="MK19" s="243"/>
      <c r="ML19" s="243"/>
      <c r="MM19" s="243"/>
      <c r="MN19" s="243"/>
      <c r="MO19" s="243"/>
      <c r="MP19" s="243"/>
      <c r="MQ19" s="242"/>
      <c r="MR19" s="242"/>
      <c r="MS19" s="242"/>
      <c r="MT19" s="242"/>
      <c r="MU19" s="242"/>
      <c r="MV19" s="242"/>
      <c r="MW19" s="242"/>
      <c r="MX19" s="243"/>
      <c r="MY19" s="243"/>
      <c r="MZ19" s="243"/>
      <c r="NA19" s="243"/>
      <c r="NB19" s="243"/>
      <c r="NC19" s="243"/>
      <c r="ND19" s="243"/>
      <c r="NE19" s="242"/>
      <c r="NF19" s="242"/>
      <c r="NG19" s="242"/>
      <c r="NH19" s="333"/>
    </row>
    <row r="20" spans="1:372">
      <c r="A20" s="251" t="s">
        <v>964</v>
      </c>
      <c r="B20" s="251" t="s">
        <v>25</v>
      </c>
      <c r="C20" s="251" t="s">
        <v>675</v>
      </c>
      <c r="D20" s="251" t="s">
        <v>997</v>
      </c>
      <c r="E20" s="241">
        <v>85.611074950378452</v>
      </c>
      <c r="F20" s="241">
        <v>156</v>
      </c>
      <c r="G20" s="242"/>
      <c r="H20" s="242"/>
      <c r="I20" s="242"/>
      <c r="J20" s="242"/>
      <c r="K20" s="242"/>
      <c r="L20" s="243"/>
      <c r="M20" s="243"/>
      <c r="N20" s="243"/>
      <c r="O20" s="243"/>
      <c r="P20" s="243"/>
      <c r="Q20" s="243"/>
      <c r="R20" s="243"/>
      <c r="S20" s="242"/>
      <c r="T20" s="242"/>
      <c r="U20" s="242"/>
      <c r="V20" s="242"/>
      <c r="W20" s="242"/>
      <c r="X20" s="242"/>
      <c r="Y20" s="242"/>
      <c r="Z20" s="243"/>
      <c r="AA20" s="243"/>
      <c r="AB20" s="243"/>
      <c r="AC20" s="243"/>
      <c r="AD20" s="243"/>
      <c r="AE20" s="243"/>
      <c r="AF20" s="243"/>
      <c r="AG20" s="242"/>
      <c r="AH20" s="242"/>
      <c r="AI20" s="242"/>
      <c r="AJ20" s="242"/>
      <c r="AK20" s="242"/>
      <c r="AL20" s="242"/>
      <c r="AM20" s="242"/>
      <c r="AN20" s="243"/>
      <c r="AO20" s="243"/>
      <c r="AP20" s="243"/>
      <c r="AQ20" s="243"/>
      <c r="AR20" s="243"/>
      <c r="AS20" s="243"/>
      <c r="AT20" s="243"/>
      <c r="AU20" s="242"/>
      <c r="AV20" s="242"/>
      <c r="AW20" s="242"/>
      <c r="AX20" s="242"/>
      <c r="AY20" s="242"/>
      <c r="AZ20" s="242"/>
      <c r="BA20" s="242"/>
      <c r="BB20" s="243"/>
      <c r="BC20" s="243"/>
      <c r="BD20" s="243"/>
      <c r="BE20" s="243"/>
      <c r="BF20" s="243"/>
      <c r="BG20" s="243"/>
      <c r="BH20" s="243"/>
      <c r="BI20" s="242"/>
      <c r="BJ20" s="242">
        <v>12</v>
      </c>
      <c r="BK20" s="242">
        <v>12</v>
      </c>
      <c r="BL20" s="242">
        <v>12</v>
      </c>
      <c r="BM20" s="242"/>
      <c r="BN20" s="242"/>
      <c r="BO20" s="242"/>
      <c r="BP20" s="243"/>
      <c r="BQ20" s="243"/>
      <c r="BR20" s="243"/>
      <c r="BS20" s="243"/>
      <c r="BT20" s="243"/>
      <c r="BU20" s="243"/>
      <c r="BV20" s="243"/>
      <c r="BW20" s="242"/>
      <c r="BX20" s="242"/>
      <c r="BY20" s="242"/>
      <c r="BZ20" s="242"/>
      <c r="CA20" s="242"/>
      <c r="CB20" s="242"/>
      <c r="CC20" s="242"/>
      <c r="CD20" s="243"/>
      <c r="CE20" s="243"/>
      <c r="CF20" s="243"/>
      <c r="CG20" s="243"/>
      <c r="CH20" s="243"/>
      <c r="CI20" s="243"/>
      <c r="CJ20" s="243"/>
      <c r="CK20" s="242"/>
      <c r="CL20" s="242"/>
      <c r="CM20" s="242"/>
      <c r="CN20" s="242"/>
      <c r="CO20" s="242"/>
      <c r="CP20" s="242"/>
      <c r="CQ20" s="242"/>
      <c r="CR20" s="243"/>
      <c r="CS20" s="243"/>
      <c r="CT20" s="243"/>
      <c r="CU20" s="243"/>
      <c r="CV20" s="243"/>
      <c r="CW20" s="243"/>
      <c r="CX20" s="243"/>
      <c r="CY20" s="242"/>
      <c r="CZ20" s="242">
        <v>24</v>
      </c>
      <c r="DA20" s="242">
        <v>24</v>
      </c>
      <c r="DB20" s="242">
        <v>24</v>
      </c>
      <c r="DC20" s="242"/>
      <c r="DD20" s="242"/>
      <c r="DE20" s="242"/>
      <c r="DF20" s="243"/>
      <c r="DG20" s="243"/>
      <c r="DH20" s="243"/>
      <c r="DI20" s="243"/>
      <c r="DJ20" s="243"/>
      <c r="DK20" s="243"/>
      <c r="DL20" s="243"/>
      <c r="DM20" s="242"/>
      <c r="DN20" s="242"/>
      <c r="DO20" s="242"/>
      <c r="DP20" s="242"/>
      <c r="DQ20" s="242"/>
      <c r="DR20" s="242"/>
      <c r="DS20" s="242"/>
      <c r="DT20" s="243"/>
      <c r="DU20" s="243"/>
      <c r="DV20" s="243"/>
      <c r="DW20" s="243"/>
      <c r="DX20" s="243"/>
      <c r="DY20" s="243"/>
      <c r="DZ20" s="243"/>
      <c r="EA20" s="242"/>
      <c r="EB20" s="242"/>
      <c r="EC20" s="242"/>
      <c r="ED20" s="242"/>
      <c r="EE20" s="242"/>
      <c r="EF20" s="242"/>
      <c r="EG20" s="242"/>
      <c r="EH20" s="243"/>
      <c r="EI20" s="243"/>
      <c r="EJ20" s="243"/>
      <c r="EK20" s="243"/>
      <c r="EL20" s="243"/>
      <c r="EM20" s="243"/>
      <c r="EN20" s="243"/>
      <c r="EO20" s="242"/>
      <c r="EP20" s="242"/>
      <c r="EQ20" s="242"/>
      <c r="ER20" s="242"/>
      <c r="ES20" s="242"/>
      <c r="ET20" s="242"/>
      <c r="EU20" s="242"/>
      <c r="EV20" s="243"/>
      <c r="EW20" s="243"/>
      <c r="EX20" s="243"/>
      <c r="EY20" s="243"/>
      <c r="EZ20" s="243"/>
      <c r="FA20" s="243"/>
      <c r="FB20" s="243"/>
      <c r="FC20" s="242"/>
      <c r="FD20" s="242">
        <v>24</v>
      </c>
      <c r="FE20" s="242"/>
      <c r="FF20" s="242"/>
      <c r="FG20" s="242"/>
      <c r="FH20" s="242"/>
      <c r="FI20" s="242"/>
      <c r="FJ20" s="243"/>
      <c r="FK20" s="243"/>
      <c r="FL20" s="243"/>
      <c r="FM20" s="243"/>
      <c r="FN20" s="243"/>
      <c r="FO20" s="243"/>
      <c r="FP20" s="243"/>
      <c r="FQ20" s="242"/>
      <c r="FR20" s="242"/>
      <c r="FS20" s="242"/>
      <c r="FT20" s="242"/>
      <c r="FU20" s="242"/>
      <c r="FV20" s="242"/>
      <c r="FW20" s="242"/>
      <c r="FX20" s="243"/>
      <c r="FY20" s="243"/>
      <c r="FZ20" s="243"/>
      <c r="GA20" s="243"/>
      <c r="GB20" s="243"/>
      <c r="GC20" s="243"/>
      <c r="GD20" s="243"/>
      <c r="GE20" s="242"/>
      <c r="GF20" s="242"/>
      <c r="GG20" s="242"/>
      <c r="GH20" s="242"/>
      <c r="GI20" s="242"/>
      <c r="GJ20" s="242"/>
      <c r="GK20" s="242"/>
      <c r="GL20" s="243"/>
      <c r="GM20" s="243"/>
      <c r="GN20" s="243"/>
      <c r="GO20" s="243"/>
      <c r="GP20" s="243"/>
      <c r="GQ20" s="243"/>
      <c r="GR20" s="243"/>
      <c r="GS20" s="242"/>
      <c r="GT20" s="242"/>
      <c r="GU20" s="242"/>
      <c r="GV20" s="242"/>
      <c r="GW20" s="242"/>
      <c r="GX20" s="242"/>
      <c r="GY20" s="242"/>
      <c r="GZ20" s="243"/>
      <c r="HA20" s="243"/>
      <c r="HB20" s="243"/>
      <c r="HC20" s="243"/>
      <c r="HD20" s="243"/>
      <c r="HE20" s="243"/>
      <c r="HF20" s="243"/>
      <c r="HG20" s="242"/>
      <c r="HH20" s="242"/>
      <c r="HI20" s="242"/>
      <c r="HJ20" s="242"/>
      <c r="HK20" s="242"/>
      <c r="HL20" s="242"/>
      <c r="HM20" s="242"/>
      <c r="HN20" s="243"/>
      <c r="HO20" s="243"/>
      <c r="HP20" s="243"/>
      <c r="HQ20" s="243"/>
      <c r="HR20" s="243"/>
      <c r="HS20" s="243"/>
      <c r="HT20" s="243"/>
      <c r="HU20" s="242"/>
      <c r="HV20" s="242"/>
      <c r="HW20" s="242"/>
      <c r="HX20" s="242"/>
      <c r="HY20" s="242"/>
      <c r="HZ20" s="242"/>
      <c r="IA20" s="242"/>
      <c r="IB20" s="243"/>
      <c r="IC20" s="243"/>
      <c r="ID20" s="243"/>
      <c r="IE20" s="243"/>
      <c r="IF20" s="243"/>
      <c r="IG20" s="243"/>
      <c r="IH20" s="243"/>
      <c r="II20" s="242"/>
      <c r="IJ20" s="242"/>
      <c r="IK20" s="242"/>
      <c r="IL20" s="242"/>
      <c r="IM20" s="242"/>
      <c r="IN20" s="242"/>
      <c r="IO20" s="242"/>
      <c r="IP20" s="243"/>
      <c r="IQ20" s="243"/>
      <c r="IR20" s="243"/>
      <c r="IS20" s="243"/>
      <c r="IT20" s="243"/>
      <c r="IU20" s="243"/>
      <c r="IV20" s="243"/>
      <c r="IW20" s="242"/>
      <c r="IX20" s="242"/>
      <c r="IY20" s="242"/>
      <c r="IZ20" s="242"/>
      <c r="JA20" s="242"/>
      <c r="JB20" s="242"/>
      <c r="JC20" s="242"/>
      <c r="JD20" s="243"/>
      <c r="JE20" s="243"/>
      <c r="JF20" s="243"/>
      <c r="JG20" s="243"/>
      <c r="JH20" s="243"/>
      <c r="JI20" s="243"/>
      <c r="JJ20" s="243"/>
      <c r="JK20" s="242"/>
      <c r="JL20" s="242"/>
      <c r="JM20" s="242"/>
      <c r="JN20" s="242"/>
      <c r="JO20" s="242"/>
      <c r="JP20" s="242"/>
      <c r="JQ20" s="242"/>
      <c r="JR20" s="243"/>
      <c r="JS20" s="243"/>
      <c r="JT20" s="243"/>
      <c r="JU20" s="243"/>
      <c r="JV20" s="243"/>
      <c r="JW20" s="243"/>
      <c r="JX20" s="243"/>
      <c r="JY20" s="242"/>
      <c r="JZ20" s="242"/>
      <c r="KA20" s="242"/>
      <c r="KB20" s="242"/>
      <c r="KC20" s="242"/>
      <c r="KD20" s="242"/>
      <c r="KE20" s="242"/>
      <c r="KF20" s="243"/>
      <c r="KG20" s="243"/>
      <c r="KH20" s="243"/>
      <c r="KI20" s="243"/>
      <c r="KJ20" s="243"/>
      <c r="KK20" s="243"/>
      <c r="KL20" s="243"/>
      <c r="KM20" s="242"/>
      <c r="KN20" s="242"/>
      <c r="KO20" s="242"/>
      <c r="KP20" s="242"/>
      <c r="KQ20" s="242"/>
      <c r="KR20" s="242"/>
      <c r="KS20" s="242"/>
      <c r="KT20" s="243"/>
      <c r="KU20" s="243"/>
      <c r="KV20" s="243"/>
      <c r="KW20" s="243"/>
      <c r="KX20" s="243"/>
      <c r="KY20" s="243"/>
      <c r="KZ20" s="243"/>
      <c r="LA20" s="242"/>
      <c r="LB20" s="242">
        <v>24</v>
      </c>
      <c r="LC20" s="242"/>
      <c r="LD20" s="242"/>
      <c r="LE20" s="242"/>
      <c r="LF20" s="242"/>
      <c r="LG20" s="242"/>
      <c r="LH20" s="243"/>
      <c r="LI20" s="243"/>
      <c r="LJ20" s="243"/>
      <c r="LK20" s="243"/>
      <c r="LL20" s="243"/>
      <c r="LM20" s="243"/>
      <c r="LN20" s="243"/>
      <c r="LO20" s="242"/>
      <c r="LP20" s="242"/>
      <c r="LQ20" s="242"/>
      <c r="LR20" s="242"/>
      <c r="LS20" s="242"/>
      <c r="LT20" s="242"/>
      <c r="LU20" s="242"/>
      <c r="LV20" s="243"/>
      <c r="LW20" s="243"/>
      <c r="LX20" s="243"/>
      <c r="LY20" s="243"/>
      <c r="LZ20" s="243"/>
      <c r="MA20" s="243"/>
      <c r="MB20" s="243"/>
      <c r="MC20" s="242"/>
      <c r="MD20" s="242"/>
      <c r="ME20" s="242"/>
      <c r="MF20" s="242"/>
      <c r="MG20" s="242"/>
      <c r="MH20" s="242"/>
      <c r="MI20" s="242"/>
      <c r="MJ20" s="243"/>
      <c r="MK20" s="243"/>
      <c r="ML20" s="243"/>
      <c r="MM20" s="243"/>
      <c r="MN20" s="243"/>
      <c r="MO20" s="243"/>
      <c r="MP20" s="243"/>
      <c r="MQ20" s="242"/>
      <c r="MR20" s="242"/>
      <c r="MS20" s="242"/>
      <c r="MT20" s="242"/>
      <c r="MU20" s="242"/>
      <c r="MV20" s="242"/>
      <c r="MW20" s="242"/>
      <c r="MX20" s="243"/>
      <c r="MY20" s="243"/>
      <c r="MZ20" s="243"/>
      <c r="NA20" s="243"/>
      <c r="NB20" s="243"/>
      <c r="NC20" s="243"/>
      <c r="ND20" s="243"/>
      <c r="NE20" s="242"/>
      <c r="NF20" s="242"/>
      <c r="NG20" s="242"/>
      <c r="NH20" s="333"/>
    </row>
    <row r="21" spans="1:372">
      <c r="A21" s="251" t="s">
        <v>964</v>
      </c>
      <c r="B21" s="251" t="s">
        <v>26</v>
      </c>
      <c r="C21" s="251" t="s">
        <v>675</v>
      </c>
      <c r="D21" s="251" t="s">
        <v>997</v>
      </c>
      <c r="E21" s="241">
        <v>14.843949928499999</v>
      </c>
      <c r="F21" s="241">
        <v>72</v>
      </c>
      <c r="G21" s="242"/>
      <c r="H21" s="242"/>
      <c r="I21" s="242"/>
      <c r="J21" s="242"/>
      <c r="K21" s="242"/>
      <c r="L21" s="243"/>
      <c r="M21" s="243"/>
      <c r="N21" s="243"/>
      <c r="O21" s="243"/>
      <c r="P21" s="243"/>
      <c r="Q21" s="243"/>
      <c r="R21" s="243"/>
      <c r="S21" s="242"/>
      <c r="T21" s="242"/>
      <c r="U21" s="242"/>
      <c r="V21" s="242"/>
      <c r="W21" s="242"/>
      <c r="X21" s="242"/>
      <c r="Y21" s="242"/>
      <c r="Z21" s="243"/>
      <c r="AA21" s="243"/>
      <c r="AB21" s="243"/>
      <c r="AC21" s="243"/>
      <c r="AD21" s="243"/>
      <c r="AE21" s="243"/>
      <c r="AF21" s="243"/>
      <c r="AG21" s="242"/>
      <c r="AH21" s="242"/>
      <c r="AI21" s="242"/>
      <c r="AJ21" s="242"/>
      <c r="AK21" s="242"/>
      <c r="AL21" s="242"/>
      <c r="AM21" s="242"/>
      <c r="AN21" s="243"/>
      <c r="AO21" s="243"/>
      <c r="AP21" s="243"/>
      <c r="AQ21" s="243"/>
      <c r="AR21" s="243"/>
      <c r="AS21" s="243"/>
      <c r="AT21" s="243"/>
      <c r="AU21" s="242"/>
      <c r="AV21" s="242"/>
      <c r="AW21" s="242"/>
      <c r="AX21" s="242"/>
      <c r="AY21" s="242"/>
      <c r="AZ21" s="242"/>
      <c r="BA21" s="242"/>
      <c r="BB21" s="243"/>
      <c r="BC21" s="243"/>
      <c r="BD21" s="243"/>
      <c r="BE21" s="243"/>
      <c r="BF21" s="243"/>
      <c r="BG21" s="243"/>
      <c r="BH21" s="243"/>
      <c r="BI21" s="242"/>
      <c r="BJ21" s="242"/>
      <c r="BK21" s="242"/>
      <c r="BL21" s="242"/>
      <c r="BM21" s="242"/>
      <c r="BN21" s="242"/>
      <c r="BO21" s="242"/>
      <c r="BP21" s="243"/>
      <c r="BQ21" s="243"/>
      <c r="BR21" s="243"/>
      <c r="BS21" s="243"/>
      <c r="BT21" s="243"/>
      <c r="BU21" s="243"/>
      <c r="BV21" s="243"/>
      <c r="BW21" s="242"/>
      <c r="BX21" s="242"/>
      <c r="BY21" s="242"/>
      <c r="BZ21" s="242"/>
      <c r="CA21" s="242"/>
      <c r="CB21" s="242"/>
      <c r="CC21" s="242"/>
      <c r="CD21" s="243"/>
      <c r="CE21" s="243"/>
      <c r="CF21" s="243"/>
      <c r="CG21" s="243"/>
      <c r="CH21" s="243"/>
      <c r="CI21" s="243"/>
      <c r="CJ21" s="243"/>
      <c r="CK21" s="242"/>
      <c r="CL21" s="242"/>
      <c r="CM21" s="242"/>
      <c r="CN21" s="242"/>
      <c r="CO21" s="242"/>
      <c r="CP21" s="242"/>
      <c r="CQ21" s="242"/>
      <c r="CR21" s="243"/>
      <c r="CS21" s="243"/>
      <c r="CT21" s="243"/>
      <c r="CU21" s="243"/>
      <c r="CV21" s="243"/>
      <c r="CW21" s="243"/>
      <c r="CX21" s="243"/>
      <c r="CY21" s="242"/>
      <c r="CZ21" s="242">
        <v>24</v>
      </c>
      <c r="DA21" s="242">
        <v>24</v>
      </c>
      <c r="DB21" s="242">
        <v>24</v>
      </c>
      <c r="DC21" s="242"/>
      <c r="DD21" s="242"/>
      <c r="DE21" s="242"/>
      <c r="DF21" s="243"/>
      <c r="DG21" s="243"/>
      <c r="DH21" s="243"/>
      <c r="DI21" s="243"/>
      <c r="DJ21" s="243"/>
      <c r="DK21" s="243"/>
      <c r="DL21" s="243"/>
      <c r="DM21" s="242"/>
      <c r="DN21" s="242"/>
      <c r="DO21" s="242"/>
      <c r="DP21" s="242"/>
      <c r="DQ21" s="242"/>
      <c r="DR21" s="242"/>
      <c r="DS21" s="242"/>
      <c r="DT21" s="243"/>
      <c r="DU21" s="243"/>
      <c r="DV21" s="243"/>
      <c r="DW21" s="243"/>
      <c r="DX21" s="243"/>
      <c r="DY21" s="243"/>
      <c r="DZ21" s="243"/>
      <c r="EA21" s="242"/>
      <c r="EB21" s="242"/>
      <c r="EC21" s="242"/>
      <c r="ED21" s="242"/>
      <c r="EE21" s="242"/>
      <c r="EF21" s="242"/>
      <c r="EG21" s="242"/>
      <c r="EH21" s="243"/>
      <c r="EI21" s="243"/>
      <c r="EJ21" s="243"/>
      <c r="EK21" s="243"/>
      <c r="EL21" s="243"/>
      <c r="EM21" s="243"/>
      <c r="EN21" s="243"/>
      <c r="EO21" s="242"/>
      <c r="EP21" s="242"/>
      <c r="EQ21" s="242"/>
      <c r="ER21" s="242"/>
      <c r="ES21" s="242"/>
      <c r="ET21" s="242"/>
      <c r="EU21" s="242"/>
      <c r="EV21" s="243"/>
      <c r="EW21" s="243"/>
      <c r="EX21" s="243"/>
      <c r="EY21" s="243"/>
      <c r="EZ21" s="243"/>
      <c r="FA21" s="243"/>
      <c r="FB21" s="243"/>
      <c r="FC21" s="242"/>
      <c r="FD21" s="242"/>
      <c r="FE21" s="242"/>
      <c r="FF21" s="242"/>
      <c r="FG21" s="242"/>
      <c r="FH21" s="242"/>
      <c r="FI21" s="242"/>
      <c r="FJ21" s="243"/>
      <c r="FK21" s="243"/>
      <c r="FL21" s="243"/>
      <c r="FM21" s="243"/>
      <c r="FN21" s="243"/>
      <c r="FO21" s="243"/>
      <c r="FP21" s="243"/>
      <c r="FQ21" s="242"/>
      <c r="FR21" s="242"/>
      <c r="FS21" s="242"/>
      <c r="FT21" s="242"/>
      <c r="FU21" s="242"/>
      <c r="FV21" s="242"/>
      <c r="FW21" s="242"/>
      <c r="FX21" s="243"/>
      <c r="FY21" s="243"/>
      <c r="FZ21" s="243"/>
      <c r="GA21" s="243"/>
      <c r="GB21" s="243"/>
      <c r="GC21" s="243"/>
      <c r="GD21" s="243"/>
      <c r="GE21" s="242"/>
      <c r="GF21" s="242"/>
      <c r="GG21" s="242"/>
      <c r="GH21" s="242"/>
      <c r="GI21" s="242"/>
      <c r="GJ21" s="242"/>
      <c r="GK21" s="242"/>
      <c r="GL21" s="243"/>
      <c r="GM21" s="243"/>
      <c r="GN21" s="243"/>
      <c r="GO21" s="243"/>
      <c r="GP21" s="243"/>
      <c r="GQ21" s="243"/>
      <c r="GR21" s="243"/>
      <c r="GS21" s="242"/>
      <c r="GT21" s="242"/>
      <c r="GU21" s="242"/>
      <c r="GV21" s="242"/>
      <c r="GW21" s="242"/>
      <c r="GX21" s="242"/>
      <c r="GY21" s="242"/>
      <c r="GZ21" s="243"/>
      <c r="HA21" s="243"/>
      <c r="HB21" s="243"/>
      <c r="HC21" s="243"/>
      <c r="HD21" s="243"/>
      <c r="HE21" s="243"/>
      <c r="HF21" s="243"/>
      <c r="HG21" s="242"/>
      <c r="HH21" s="242"/>
      <c r="HI21" s="242"/>
      <c r="HJ21" s="242"/>
      <c r="HK21" s="242"/>
      <c r="HL21" s="242"/>
      <c r="HM21" s="242"/>
      <c r="HN21" s="243"/>
      <c r="HO21" s="243"/>
      <c r="HP21" s="243"/>
      <c r="HQ21" s="243"/>
      <c r="HR21" s="243"/>
      <c r="HS21" s="243"/>
      <c r="HT21" s="243"/>
      <c r="HU21" s="242"/>
      <c r="HV21" s="242"/>
      <c r="HW21" s="242"/>
      <c r="HX21" s="242"/>
      <c r="HY21" s="242"/>
      <c r="HZ21" s="242"/>
      <c r="IA21" s="242"/>
      <c r="IB21" s="243"/>
      <c r="IC21" s="243"/>
      <c r="ID21" s="243"/>
      <c r="IE21" s="243"/>
      <c r="IF21" s="243"/>
      <c r="IG21" s="243"/>
      <c r="IH21" s="243"/>
      <c r="II21" s="242"/>
      <c r="IJ21" s="242"/>
      <c r="IK21" s="242"/>
      <c r="IL21" s="242"/>
      <c r="IM21" s="242"/>
      <c r="IN21" s="242"/>
      <c r="IO21" s="242"/>
      <c r="IP21" s="243"/>
      <c r="IQ21" s="243"/>
      <c r="IR21" s="243"/>
      <c r="IS21" s="243"/>
      <c r="IT21" s="243"/>
      <c r="IU21" s="243"/>
      <c r="IV21" s="243"/>
      <c r="IW21" s="242"/>
      <c r="IX21" s="242"/>
      <c r="IY21" s="242"/>
      <c r="IZ21" s="242"/>
      <c r="JA21" s="242"/>
      <c r="JB21" s="242"/>
      <c r="JC21" s="242"/>
      <c r="JD21" s="243"/>
      <c r="JE21" s="243"/>
      <c r="JF21" s="243"/>
      <c r="JG21" s="243"/>
      <c r="JH21" s="243"/>
      <c r="JI21" s="243"/>
      <c r="JJ21" s="243"/>
      <c r="JK21" s="242"/>
      <c r="JL21" s="242"/>
      <c r="JM21" s="242"/>
      <c r="JN21" s="242"/>
      <c r="JO21" s="242"/>
      <c r="JP21" s="242"/>
      <c r="JQ21" s="242"/>
      <c r="JR21" s="243"/>
      <c r="JS21" s="243"/>
      <c r="JT21" s="243"/>
      <c r="JU21" s="243"/>
      <c r="JV21" s="243"/>
      <c r="JW21" s="243"/>
      <c r="JX21" s="243"/>
      <c r="JY21" s="242"/>
      <c r="JZ21" s="242"/>
      <c r="KA21" s="242"/>
      <c r="KB21" s="242"/>
      <c r="KC21" s="242"/>
      <c r="KD21" s="242"/>
      <c r="KE21" s="242"/>
      <c r="KF21" s="243"/>
      <c r="KG21" s="243"/>
      <c r="KH21" s="243"/>
      <c r="KI21" s="243"/>
      <c r="KJ21" s="243"/>
      <c r="KK21" s="243"/>
      <c r="KL21" s="243"/>
      <c r="KM21" s="242"/>
      <c r="KN21" s="242"/>
      <c r="KO21" s="242"/>
      <c r="KP21" s="242"/>
      <c r="KQ21" s="242"/>
      <c r="KR21" s="242"/>
      <c r="KS21" s="242"/>
      <c r="KT21" s="243"/>
      <c r="KU21" s="243"/>
      <c r="KV21" s="243"/>
      <c r="KW21" s="243"/>
      <c r="KX21" s="243"/>
      <c r="KY21" s="243"/>
      <c r="KZ21" s="243"/>
      <c r="LA21" s="242"/>
      <c r="LB21" s="242"/>
      <c r="LC21" s="242"/>
      <c r="LD21" s="242"/>
      <c r="LE21" s="242"/>
      <c r="LF21" s="242"/>
      <c r="LG21" s="242"/>
      <c r="LH21" s="243"/>
      <c r="LI21" s="243"/>
      <c r="LJ21" s="243"/>
      <c r="LK21" s="243"/>
      <c r="LL21" s="243"/>
      <c r="LM21" s="243"/>
      <c r="LN21" s="243"/>
      <c r="LO21" s="242"/>
      <c r="LP21" s="242"/>
      <c r="LQ21" s="242"/>
      <c r="LR21" s="242"/>
      <c r="LS21" s="242"/>
      <c r="LT21" s="242"/>
      <c r="LU21" s="242"/>
      <c r="LV21" s="243"/>
      <c r="LW21" s="243"/>
      <c r="LX21" s="243"/>
      <c r="LY21" s="243"/>
      <c r="LZ21" s="243"/>
      <c r="MA21" s="243"/>
      <c r="MB21" s="243"/>
      <c r="MC21" s="242"/>
      <c r="MD21" s="242"/>
      <c r="ME21" s="242"/>
      <c r="MF21" s="242"/>
      <c r="MG21" s="242"/>
      <c r="MH21" s="242"/>
      <c r="MI21" s="242"/>
      <c r="MJ21" s="243"/>
      <c r="MK21" s="243"/>
      <c r="ML21" s="243"/>
      <c r="MM21" s="243"/>
      <c r="MN21" s="243"/>
      <c r="MO21" s="243"/>
      <c r="MP21" s="243"/>
      <c r="MQ21" s="242"/>
      <c r="MR21" s="242"/>
      <c r="MS21" s="242"/>
      <c r="MT21" s="242"/>
      <c r="MU21" s="242"/>
      <c r="MV21" s="242"/>
      <c r="MW21" s="242"/>
      <c r="MX21" s="243"/>
      <c r="MY21" s="243"/>
      <c r="MZ21" s="243"/>
      <c r="NA21" s="243"/>
      <c r="NB21" s="243"/>
      <c r="NC21" s="243"/>
      <c r="ND21" s="243"/>
      <c r="NE21" s="242"/>
      <c r="NF21" s="242"/>
      <c r="NG21" s="242"/>
      <c r="NH21" s="333"/>
    </row>
    <row r="22" spans="1:372">
      <c r="A22" s="251" t="s">
        <v>965</v>
      </c>
      <c r="B22" s="251" t="s">
        <v>21</v>
      </c>
      <c r="C22" s="251" t="s">
        <v>675</v>
      </c>
      <c r="D22" s="251" t="s">
        <v>982</v>
      </c>
      <c r="E22" s="241">
        <v>240.9280608253986</v>
      </c>
      <c r="F22" s="241">
        <v>124</v>
      </c>
      <c r="G22" s="242"/>
      <c r="H22" s="242"/>
      <c r="I22" s="242"/>
      <c r="J22" s="242"/>
      <c r="K22" s="242"/>
      <c r="L22" s="243"/>
      <c r="M22" s="243"/>
      <c r="N22" s="243"/>
      <c r="O22" s="243"/>
      <c r="P22" s="243"/>
      <c r="Q22" s="243"/>
      <c r="R22" s="243"/>
      <c r="S22" s="242"/>
      <c r="T22" s="242"/>
      <c r="U22" s="242"/>
      <c r="V22" s="242"/>
      <c r="W22" s="242"/>
      <c r="X22" s="242"/>
      <c r="Y22" s="242"/>
      <c r="Z22" s="243"/>
      <c r="AA22" s="243"/>
      <c r="AB22" s="243">
        <v>24</v>
      </c>
      <c r="AC22" s="243"/>
      <c r="AD22" s="243"/>
      <c r="AE22" s="243"/>
      <c r="AF22" s="243"/>
      <c r="AG22" s="242"/>
      <c r="AH22" s="242"/>
      <c r="AI22" s="242"/>
      <c r="AJ22" s="242"/>
      <c r="AK22" s="242"/>
      <c r="AL22" s="242"/>
      <c r="AM22" s="242"/>
      <c r="AN22" s="243"/>
      <c r="AO22" s="243"/>
      <c r="AP22" s="243"/>
      <c r="AQ22" s="243"/>
      <c r="AR22" s="243"/>
      <c r="AS22" s="243"/>
      <c r="AT22" s="243"/>
      <c r="AU22" s="242"/>
      <c r="AV22" s="242"/>
      <c r="AW22" s="242"/>
      <c r="AX22" s="242"/>
      <c r="AY22" s="242"/>
      <c r="AZ22" s="242"/>
      <c r="BA22" s="242"/>
      <c r="BB22" s="243"/>
      <c r="BC22" s="243"/>
      <c r="BD22" s="243"/>
      <c r="BE22" s="243"/>
      <c r="BF22" s="243"/>
      <c r="BG22" s="243"/>
      <c r="BH22" s="243"/>
      <c r="BI22" s="242"/>
      <c r="BJ22" s="242"/>
      <c r="BK22" s="242"/>
      <c r="BL22" s="242"/>
      <c r="BM22" s="242"/>
      <c r="BN22" s="242"/>
      <c r="BO22" s="242"/>
      <c r="BP22" s="243"/>
      <c r="BQ22" s="243"/>
      <c r="BR22" s="243">
        <v>14</v>
      </c>
      <c r="BS22" s="243"/>
      <c r="BT22" s="243"/>
      <c r="BU22" s="243"/>
      <c r="BV22" s="243"/>
      <c r="BW22" s="242"/>
      <c r="BX22" s="242"/>
      <c r="BY22" s="242"/>
      <c r="BZ22" s="242"/>
      <c r="CA22" s="242"/>
      <c r="CB22" s="242"/>
      <c r="CC22" s="242"/>
      <c r="CD22" s="243"/>
      <c r="CE22" s="243"/>
      <c r="CF22" s="243"/>
      <c r="CG22" s="243"/>
      <c r="CH22" s="243"/>
      <c r="CI22" s="243"/>
      <c r="CJ22" s="243"/>
      <c r="CK22" s="242"/>
      <c r="CL22" s="242"/>
      <c r="CM22" s="242"/>
      <c r="CN22" s="242"/>
      <c r="CO22" s="242"/>
      <c r="CP22" s="242"/>
      <c r="CQ22" s="242"/>
      <c r="CR22" s="243"/>
      <c r="CS22" s="243"/>
      <c r="CT22" s="243"/>
      <c r="CU22" s="243"/>
      <c r="CV22" s="243"/>
      <c r="CW22" s="243"/>
      <c r="CX22" s="243"/>
      <c r="CY22" s="242"/>
      <c r="CZ22" s="242"/>
      <c r="DA22" s="242"/>
      <c r="DB22" s="242"/>
      <c r="DC22" s="242"/>
      <c r="DD22" s="242"/>
      <c r="DE22" s="242"/>
      <c r="DF22" s="243"/>
      <c r="DG22" s="243">
        <v>24</v>
      </c>
      <c r="DH22" s="243">
        <v>24</v>
      </c>
      <c r="DI22" s="243">
        <v>24</v>
      </c>
      <c r="DJ22" s="243"/>
      <c r="DK22" s="243"/>
      <c r="DL22" s="243"/>
      <c r="DM22" s="242"/>
      <c r="DN22" s="242"/>
      <c r="DO22" s="242"/>
      <c r="DP22" s="242"/>
      <c r="DQ22" s="242"/>
      <c r="DR22" s="242"/>
      <c r="DS22" s="242"/>
      <c r="DT22" s="243"/>
      <c r="DU22" s="243"/>
      <c r="DV22" s="243"/>
      <c r="DW22" s="243"/>
      <c r="DX22" s="243"/>
      <c r="DY22" s="243"/>
      <c r="DZ22" s="243"/>
      <c r="EA22" s="242"/>
      <c r="EB22" s="242"/>
      <c r="EC22" s="242"/>
      <c r="ED22" s="242"/>
      <c r="EE22" s="242"/>
      <c r="EF22" s="242"/>
      <c r="EG22" s="242"/>
      <c r="EH22" s="243"/>
      <c r="EI22" s="243"/>
      <c r="EJ22" s="243">
        <v>14</v>
      </c>
      <c r="EK22" s="243"/>
      <c r="EL22" s="243"/>
      <c r="EM22" s="243"/>
      <c r="EN22" s="243"/>
      <c r="EO22" s="242"/>
      <c r="EP22" s="242"/>
      <c r="EQ22" s="242"/>
      <c r="ER22" s="242"/>
      <c r="ES22" s="242"/>
      <c r="ET22" s="242"/>
      <c r="EU22" s="242"/>
      <c r="EV22" s="243"/>
      <c r="EW22" s="243"/>
      <c r="EX22" s="243"/>
      <c r="EY22" s="243"/>
      <c r="EZ22" s="243"/>
      <c r="FA22" s="243"/>
      <c r="FB22" s="243"/>
      <c r="FC22" s="242"/>
      <c r="FD22" s="242"/>
      <c r="FE22" s="242"/>
      <c r="FF22" s="242"/>
      <c r="FG22" s="242"/>
      <c r="FH22" s="242"/>
      <c r="FI22" s="242"/>
      <c r="FJ22" s="243"/>
      <c r="FK22" s="243"/>
      <c r="FL22" s="243"/>
      <c r="FM22" s="243"/>
      <c r="FN22" s="243"/>
      <c r="FO22" s="243"/>
      <c r="FP22" s="243"/>
      <c r="FQ22" s="242"/>
      <c r="FR22" s="242"/>
      <c r="FS22" s="242"/>
      <c r="FT22" s="242"/>
      <c r="FU22" s="242"/>
      <c r="FV22" s="242"/>
      <c r="FW22" s="242"/>
      <c r="FX22" s="243"/>
      <c r="FY22" s="243"/>
      <c r="FZ22" s="243"/>
      <c r="GA22" s="243"/>
      <c r="GB22" s="243"/>
      <c r="GC22" s="243"/>
      <c r="GD22" s="243"/>
      <c r="GE22" s="242"/>
      <c r="GF22" s="242"/>
      <c r="GG22" s="242"/>
      <c r="GH22" s="242"/>
      <c r="GI22" s="242"/>
      <c r="GJ22" s="242"/>
      <c r="GK22" s="242"/>
      <c r="GL22" s="243"/>
      <c r="GM22" s="243"/>
      <c r="GN22" s="243"/>
      <c r="GO22" s="243"/>
      <c r="GP22" s="243"/>
      <c r="GQ22" s="243"/>
      <c r="GR22" s="243"/>
      <c r="GS22" s="242"/>
      <c r="GT22" s="242"/>
      <c r="GU22" s="242"/>
      <c r="GV22" s="242"/>
      <c r="GW22" s="242"/>
      <c r="GX22" s="242"/>
      <c r="GY22" s="242"/>
      <c r="GZ22" s="243"/>
      <c r="HA22" s="243"/>
      <c r="HB22" s="243"/>
      <c r="HC22" s="243"/>
      <c r="HD22" s="243"/>
      <c r="HE22" s="243"/>
      <c r="HF22" s="243"/>
      <c r="HG22" s="242"/>
      <c r="HH22" s="242"/>
      <c r="HI22" s="242"/>
      <c r="HJ22" s="242"/>
      <c r="HK22" s="242"/>
      <c r="HL22" s="242"/>
      <c r="HM22" s="242"/>
      <c r="HN22" s="243"/>
      <c r="HO22" s="243"/>
      <c r="HP22" s="243"/>
      <c r="HQ22" s="243"/>
      <c r="HR22" s="243"/>
      <c r="HS22" s="243"/>
      <c r="HT22" s="243"/>
      <c r="HU22" s="242"/>
      <c r="HV22" s="242"/>
      <c r="HW22" s="242"/>
      <c r="HX22" s="242"/>
      <c r="HY22" s="242"/>
      <c r="HZ22" s="242"/>
      <c r="IA22" s="242"/>
      <c r="IB22" s="243"/>
      <c r="IC22" s="243"/>
      <c r="ID22" s="243"/>
      <c r="IE22" s="243"/>
      <c r="IF22" s="243"/>
      <c r="IG22" s="243"/>
      <c r="IH22" s="243"/>
      <c r="II22" s="242"/>
      <c r="IJ22" s="242"/>
      <c r="IK22" s="242"/>
      <c r="IL22" s="242"/>
      <c r="IM22" s="242"/>
      <c r="IN22" s="242"/>
      <c r="IO22" s="242"/>
      <c r="IP22" s="243"/>
      <c r="IQ22" s="243"/>
      <c r="IR22" s="243"/>
      <c r="IS22" s="243"/>
      <c r="IT22" s="243"/>
      <c r="IU22" s="243"/>
      <c r="IV22" s="243"/>
      <c r="IW22" s="242"/>
      <c r="IX22" s="242"/>
      <c r="IY22" s="242"/>
      <c r="IZ22" s="242"/>
      <c r="JA22" s="242"/>
      <c r="JB22" s="242"/>
      <c r="JC22" s="242"/>
      <c r="JD22" s="243"/>
      <c r="JE22" s="243"/>
      <c r="JF22" s="243"/>
      <c r="JG22" s="243"/>
      <c r="JH22" s="243"/>
      <c r="JI22" s="243"/>
      <c r="JJ22" s="243"/>
      <c r="JK22" s="242"/>
      <c r="JL22" s="242"/>
      <c r="JM22" s="242"/>
      <c r="JN22" s="242"/>
      <c r="JO22" s="242"/>
      <c r="JP22" s="242"/>
      <c r="JQ22" s="242"/>
      <c r="JR22" s="243"/>
      <c r="JS22" s="243"/>
      <c r="JT22" s="243"/>
      <c r="JU22" s="243"/>
      <c r="JV22" s="243"/>
      <c r="JW22" s="243"/>
      <c r="JX22" s="243"/>
      <c r="JY22" s="242"/>
      <c r="JZ22" s="242"/>
      <c r="KA22" s="242"/>
      <c r="KB22" s="242"/>
      <c r="KC22" s="242"/>
      <c r="KD22" s="242"/>
      <c r="KE22" s="242"/>
      <c r="KF22" s="243"/>
      <c r="KG22" s="243"/>
      <c r="KH22" s="243"/>
      <c r="KI22" s="243"/>
      <c r="KJ22" s="243"/>
      <c r="KK22" s="243"/>
      <c r="KL22" s="243"/>
      <c r="KM22" s="242"/>
      <c r="KN22" s="242"/>
      <c r="KO22" s="242"/>
      <c r="KP22" s="242"/>
      <c r="KQ22" s="242"/>
      <c r="KR22" s="242"/>
      <c r="KS22" s="242"/>
      <c r="KT22" s="243"/>
      <c r="KU22" s="243"/>
      <c r="KV22" s="243"/>
      <c r="KW22" s="243"/>
      <c r="KX22" s="243"/>
      <c r="KY22" s="243"/>
      <c r="KZ22" s="243"/>
      <c r="LA22" s="242"/>
      <c r="LB22" s="242"/>
      <c r="LC22" s="242"/>
      <c r="LD22" s="242"/>
      <c r="LE22" s="242"/>
      <c r="LF22" s="242"/>
      <c r="LG22" s="242"/>
      <c r="LH22" s="243"/>
      <c r="LI22" s="243"/>
      <c r="LJ22" s="243"/>
      <c r="LK22" s="243"/>
      <c r="LL22" s="243"/>
      <c r="LM22" s="243"/>
      <c r="LN22" s="243"/>
      <c r="LO22" s="242"/>
      <c r="LP22" s="242"/>
      <c r="LQ22" s="242"/>
      <c r="LR22" s="242"/>
      <c r="LS22" s="242"/>
      <c r="LT22" s="242"/>
      <c r="LU22" s="242"/>
      <c r="LV22" s="243"/>
      <c r="LW22" s="243"/>
      <c r="LX22" s="243"/>
      <c r="LY22" s="243"/>
      <c r="LZ22" s="243"/>
      <c r="MA22" s="243"/>
      <c r="MB22" s="243"/>
      <c r="MC22" s="242"/>
      <c r="MD22" s="242"/>
      <c r="ME22" s="242"/>
      <c r="MF22" s="242"/>
      <c r="MG22" s="242"/>
      <c r="MH22" s="242"/>
      <c r="MI22" s="242"/>
      <c r="MJ22" s="243"/>
      <c r="MK22" s="243"/>
      <c r="ML22" s="243"/>
      <c r="MM22" s="243"/>
      <c r="MN22" s="243"/>
      <c r="MO22" s="243"/>
      <c r="MP22" s="243"/>
      <c r="MQ22" s="242"/>
      <c r="MR22" s="242"/>
      <c r="MS22" s="242"/>
      <c r="MT22" s="242"/>
      <c r="MU22" s="242"/>
      <c r="MV22" s="242"/>
      <c r="MW22" s="242"/>
      <c r="MX22" s="243"/>
      <c r="MY22" s="243"/>
      <c r="MZ22" s="243"/>
      <c r="NA22" s="243"/>
      <c r="NB22" s="243"/>
      <c r="NC22" s="243"/>
      <c r="ND22" s="243"/>
      <c r="NE22" s="242"/>
      <c r="NF22" s="242"/>
      <c r="NG22" s="242"/>
      <c r="NH22" s="333"/>
    </row>
    <row r="23" spans="1:372" ht="11.1" customHeight="1">
      <c r="A23" s="251" t="s">
        <v>965</v>
      </c>
      <c r="B23" s="251" t="s">
        <v>22</v>
      </c>
      <c r="C23" s="251" t="s">
        <v>675</v>
      </c>
      <c r="D23" s="251" t="s">
        <v>982</v>
      </c>
      <c r="E23" s="241">
        <v>199.32206639174032</v>
      </c>
      <c r="F23" s="241">
        <v>110</v>
      </c>
      <c r="G23" s="242"/>
      <c r="H23" s="242"/>
      <c r="I23" s="242"/>
      <c r="J23" s="242"/>
      <c r="K23" s="242"/>
      <c r="L23" s="243"/>
      <c r="M23" s="243"/>
      <c r="N23" s="243"/>
      <c r="O23" s="243"/>
      <c r="P23" s="243"/>
      <c r="Q23" s="243"/>
      <c r="R23" s="243"/>
      <c r="S23" s="242"/>
      <c r="T23" s="242"/>
      <c r="U23" s="242"/>
      <c r="V23" s="242"/>
      <c r="W23" s="242"/>
      <c r="X23" s="242"/>
      <c r="Y23" s="242"/>
      <c r="Z23" s="243"/>
      <c r="AA23" s="243"/>
      <c r="AB23" s="243"/>
      <c r="AC23" s="243"/>
      <c r="AD23" s="243"/>
      <c r="AE23" s="243"/>
      <c r="AF23" s="243"/>
      <c r="AG23" s="242"/>
      <c r="AH23" s="242"/>
      <c r="AI23" s="242"/>
      <c r="AJ23" s="242"/>
      <c r="AK23" s="242"/>
      <c r="AL23" s="242"/>
      <c r="AM23" s="242"/>
      <c r="AN23" s="243"/>
      <c r="AO23" s="243"/>
      <c r="AP23" s="243"/>
      <c r="AQ23" s="243"/>
      <c r="AR23" s="243"/>
      <c r="AS23" s="243"/>
      <c r="AT23" s="243"/>
      <c r="AU23" s="242"/>
      <c r="AV23" s="242"/>
      <c r="AW23" s="242">
        <v>24</v>
      </c>
      <c r="AX23" s="242"/>
      <c r="AY23" s="242"/>
      <c r="AZ23" s="242"/>
      <c r="BA23" s="242"/>
      <c r="BB23" s="243"/>
      <c r="BC23" s="243"/>
      <c r="BD23" s="243"/>
      <c r="BE23" s="243"/>
      <c r="BF23" s="243"/>
      <c r="BG23" s="243"/>
      <c r="BH23" s="243"/>
      <c r="BI23" s="242"/>
      <c r="BJ23" s="242"/>
      <c r="BK23" s="242"/>
      <c r="BL23" s="242"/>
      <c r="BM23" s="242"/>
      <c r="BN23" s="242"/>
      <c r="BO23" s="242"/>
      <c r="BP23" s="243"/>
      <c r="BQ23" s="243"/>
      <c r="BR23" s="243"/>
      <c r="BS23" s="243"/>
      <c r="BT23" s="243"/>
      <c r="BU23" s="243"/>
      <c r="BV23" s="243"/>
      <c r="BW23" s="242"/>
      <c r="BX23" s="242"/>
      <c r="BY23" s="242"/>
      <c r="BZ23" s="242"/>
      <c r="CA23" s="242"/>
      <c r="CB23" s="242"/>
      <c r="CC23" s="242"/>
      <c r="CD23" s="243"/>
      <c r="CE23" s="243"/>
      <c r="CF23" s="243"/>
      <c r="CG23" s="243"/>
      <c r="CH23" s="243"/>
      <c r="CI23" s="243"/>
      <c r="CJ23" s="243"/>
      <c r="CK23" s="242"/>
      <c r="CL23" s="242"/>
      <c r="CM23" s="242"/>
      <c r="CN23" s="242"/>
      <c r="CO23" s="242"/>
      <c r="CP23" s="242"/>
      <c r="CQ23" s="242"/>
      <c r="CR23" s="243"/>
      <c r="CS23" s="243"/>
      <c r="CT23" s="243"/>
      <c r="CU23" s="243"/>
      <c r="CV23" s="243"/>
      <c r="CW23" s="243"/>
      <c r="CX23" s="243"/>
      <c r="CY23" s="242"/>
      <c r="CZ23" s="242"/>
      <c r="DA23" s="242"/>
      <c r="DB23" s="242"/>
      <c r="DC23" s="242"/>
      <c r="DD23" s="242"/>
      <c r="DE23" s="242"/>
      <c r="DF23" s="243"/>
      <c r="DG23" s="243">
        <v>24</v>
      </c>
      <c r="DH23" s="243">
        <v>24</v>
      </c>
      <c r="DI23" s="243">
        <v>24</v>
      </c>
      <c r="DJ23" s="243"/>
      <c r="DK23" s="243"/>
      <c r="DL23" s="243"/>
      <c r="DM23" s="242"/>
      <c r="DN23" s="242"/>
      <c r="DO23" s="242"/>
      <c r="DP23" s="242"/>
      <c r="DQ23" s="242"/>
      <c r="DR23" s="242"/>
      <c r="DS23" s="242"/>
      <c r="DT23" s="243"/>
      <c r="DU23" s="243"/>
      <c r="DV23" s="243"/>
      <c r="DW23" s="243"/>
      <c r="DX23" s="243"/>
      <c r="DY23" s="243"/>
      <c r="DZ23" s="243"/>
      <c r="EA23" s="242"/>
      <c r="EB23" s="242"/>
      <c r="EC23" s="242"/>
      <c r="ED23" s="242"/>
      <c r="EE23" s="242"/>
      <c r="EF23" s="242"/>
      <c r="EG23" s="242"/>
      <c r="EH23" s="243"/>
      <c r="EI23" s="243"/>
      <c r="EJ23" s="243"/>
      <c r="EK23" s="243"/>
      <c r="EL23" s="243"/>
      <c r="EM23" s="243"/>
      <c r="EN23" s="243"/>
      <c r="EO23" s="242"/>
      <c r="EP23" s="242"/>
      <c r="EQ23" s="242"/>
      <c r="ER23" s="242"/>
      <c r="ES23" s="242"/>
      <c r="ET23" s="242"/>
      <c r="EU23" s="242"/>
      <c r="EV23" s="243"/>
      <c r="EW23" s="243"/>
      <c r="EX23" s="243"/>
      <c r="EY23" s="243"/>
      <c r="EZ23" s="243"/>
      <c r="FA23" s="243"/>
      <c r="FB23" s="243"/>
      <c r="FC23" s="242"/>
      <c r="FD23" s="242"/>
      <c r="FE23" s="242">
        <v>14</v>
      </c>
      <c r="FF23" s="242"/>
      <c r="FG23" s="242"/>
      <c r="FH23" s="242"/>
      <c r="FI23" s="242"/>
      <c r="FJ23" s="243"/>
      <c r="FK23" s="243"/>
      <c r="FL23" s="243"/>
      <c r="FM23" s="243"/>
      <c r="FN23" s="243"/>
      <c r="FO23" s="243"/>
      <c r="FP23" s="243"/>
      <c r="FQ23" s="242"/>
      <c r="FR23" s="242"/>
      <c r="FS23" s="242"/>
      <c r="FT23" s="242"/>
      <c r="FU23" s="242"/>
      <c r="FV23" s="242"/>
      <c r="FW23" s="242"/>
      <c r="FX23" s="243"/>
      <c r="FY23" s="243"/>
      <c r="FZ23" s="243"/>
      <c r="GA23" s="243"/>
      <c r="GB23" s="243"/>
      <c r="GC23" s="243"/>
      <c r="GD23" s="243"/>
      <c r="GE23" s="242"/>
      <c r="GF23" s="242"/>
      <c r="GG23" s="242"/>
      <c r="GH23" s="242"/>
      <c r="GI23" s="242"/>
      <c r="GJ23" s="242"/>
      <c r="GK23" s="242"/>
      <c r="GL23" s="243"/>
      <c r="GM23" s="243"/>
      <c r="GN23" s="243"/>
      <c r="GO23" s="243"/>
      <c r="GP23" s="243"/>
      <c r="GQ23" s="243"/>
      <c r="GR23" s="243"/>
      <c r="GS23" s="242"/>
      <c r="GT23" s="242"/>
      <c r="GU23" s="242"/>
      <c r="GV23" s="242"/>
      <c r="GW23" s="242"/>
      <c r="GX23" s="242"/>
      <c r="GY23" s="242"/>
      <c r="GZ23" s="243"/>
      <c r="HA23" s="243"/>
      <c r="HB23" s="243"/>
      <c r="HC23" s="243"/>
      <c r="HD23" s="243"/>
      <c r="HE23" s="243"/>
      <c r="HF23" s="243"/>
      <c r="HG23" s="242"/>
      <c r="HH23" s="242"/>
      <c r="HI23" s="242"/>
      <c r="HJ23" s="242"/>
      <c r="HK23" s="242"/>
      <c r="HL23" s="242"/>
      <c r="HM23" s="242"/>
      <c r="HN23" s="243"/>
      <c r="HO23" s="243"/>
      <c r="HP23" s="243"/>
      <c r="HQ23" s="243"/>
      <c r="HR23" s="243"/>
      <c r="HS23" s="243"/>
      <c r="HT23" s="243"/>
      <c r="HU23" s="242"/>
      <c r="HV23" s="242"/>
      <c r="HW23" s="242"/>
      <c r="HX23" s="242"/>
      <c r="HY23" s="242"/>
      <c r="HZ23" s="242"/>
      <c r="IA23" s="242"/>
      <c r="IB23" s="243"/>
      <c r="IC23" s="243"/>
      <c r="ID23" s="243"/>
      <c r="IE23" s="243"/>
      <c r="IF23" s="243"/>
      <c r="IG23" s="243"/>
      <c r="IH23" s="243"/>
      <c r="II23" s="242"/>
      <c r="IJ23" s="242"/>
      <c r="IK23" s="242"/>
      <c r="IL23" s="242"/>
      <c r="IM23" s="242"/>
      <c r="IN23" s="242"/>
      <c r="IO23" s="242"/>
      <c r="IP23" s="243"/>
      <c r="IQ23" s="243"/>
      <c r="IR23" s="243"/>
      <c r="IS23" s="243"/>
      <c r="IT23" s="243"/>
      <c r="IU23" s="243"/>
      <c r="IV23" s="243"/>
      <c r="IW23" s="242"/>
      <c r="IX23" s="242"/>
      <c r="IY23" s="242"/>
      <c r="IZ23" s="242"/>
      <c r="JA23" s="242"/>
      <c r="JB23" s="242"/>
      <c r="JC23" s="242"/>
      <c r="JD23" s="243"/>
      <c r="JE23" s="243"/>
      <c r="JF23" s="243"/>
      <c r="JG23" s="243"/>
      <c r="JH23" s="243"/>
      <c r="JI23" s="243"/>
      <c r="JJ23" s="243"/>
      <c r="JK23" s="242"/>
      <c r="JL23" s="242"/>
      <c r="JM23" s="242"/>
      <c r="JN23" s="242"/>
      <c r="JO23" s="242"/>
      <c r="JP23" s="242"/>
      <c r="JQ23" s="242"/>
      <c r="JR23" s="243"/>
      <c r="JS23" s="243"/>
      <c r="JT23" s="243"/>
      <c r="JU23" s="243"/>
      <c r="JV23" s="243"/>
      <c r="JW23" s="243"/>
      <c r="JX23" s="243"/>
      <c r="JY23" s="242"/>
      <c r="JZ23" s="242"/>
      <c r="KA23" s="242"/>
      <c r="KB23" s="242"/>
      <c r="KC23" s="242"/>
      <c r="KD23" s="242"/>
      <c r="KE23" s="242"/>
      <c r="KF23" s="243"/>
      <c r="KG23" s="243"/>
      <c r="KH23" s="243"/>
      <c r="KI23" s="243"/>
      <c r="KJ23" s="243"/>
      <c r="KK23" s="243"/>
      <c r="KL23" s="243"/>
      <c r="KM23" s="242"/>
      <c r="KN23" s="242"/>
      <c r="KO23" s="242"/>
      <c r="KP23" s="242"/>
      <c r="KQ23" s="242"/>
      <c r="KR23" s="242"/>
      <c r="KS23" s="242"/>
      <c r="KT23" s="243"/>
      <c r="KU23" s="243"/>
      <c r="KV23" s="243"/>
      <c r="KW23" s="243"/>
      <c r="KX23" s="243"/>
      <c r="KY23" s="243"/>
      <c r="KZ23" s="243"/>
      <c r="LA23" s="242"/>
      <c r="LB23" s="242"/>
      <c r="LC23" s="242"/>
      <c r="LD23" s="242"/>
      <c r="LE23" s="242"/>
      <c r="LF23" s="242"/>
      <c r="LG23" s="242"/>
      <c r="LH23" s="243"/>
      <c r="LI23" s="243"/>
      <c r="LJ23" s="243"/>
      <c r="LK23" s="243"/>
      <c r="LL23" s="243"/>
      <c r="LM23" s="243"/>
      <c r="LN23" s="243"/>
      <c r="LO23" s="242"/>
      <c r="LP23" s="242"/>
      <c r="LQ23" s="242"/>
      <c r="LR23" s="242"/>
      <c r="LS23" s="242"/>
      <c r="LT23" s="242"/>
      <c r="LU23" s="242"/>
      <c r="LV23" s="243"/>
      <c r="LW23" s="243"/>
      <c r="LX23" s="243"/>
      <c r="LY23" s="243"/>
      <c r="LZ23" s="243"/>
      <c r="MA23" s="243"/>
      <c r="MB23" s="243"/>
      <c r="MC23" s="242"/>
      <c r="MD23" s="242"/>
      <c r="ME23" s="242"/>
      <c r="MF23" s="242"/>
      <c r="MG23" s="242"/>
      <c r="MH23" s="242"/>
      <c r="MI23" s="242"/>
      <c r="MJ23" s="243"/>
      <c r="MK23" s="243"/>
      <c r="ML23" s="243"/>
      <c r="MM23" s="243"/>
      <c r="MN23" s="243"/>
      <c r="MO23" s="243"/>
      <c r="MP23" s="243"/>
      <c r="MQ23" s="242"/>
      <c r="MR23" s="242"/>
      <c r="MS23" s="242"/>
      <c r="MT23" s="242"/>
      <c r="MU23" s="242"/>
      <c r="MV23" s="242"/>
      <c r="MW23" s="242"/>
      <c r="MX23" s="243"/>
      <c r="MY23" s="243"/>
      <c r="MZ23" s="243"/>
      <c r="NA23" s="243"/>
      <c r="NB23" s="243"/>
      <c r="NC23" s="243"/>
      <c r="ND23" s="243"/>
      <c r="NE23" s="242"/>
      <c r="NF23" s="242"/>
      <c r="NG23" s="242"/>
      <c r="NH23" s="333"/>
    </row>
    <row r="24" spans="1:372" ht="38.25">
      <c r="A24" s="251" t="s">
        <v>966</v>
      </c>
      <c r="B24" s="251" t="s">
        <v>47</v>
      </c>
      <c r="C24" s="251" t="s">
        <v>674</v>
      </c>
      <c r="D24" s="251" t="s">
        <v>997</v>
      </c>
      <c r="E24" s="241">
        <v>461.85724998347399</v>
      </c>
      <c r="F24" s="241">
        <v>384</v>
      </c>
      <c r="G24" s="242"/>
      <c r="H24" s="242"/>
      <c r="I24" s="242"/>
      <c r="J24" s="242"/>
      <c r="K24" s="242"/>
      <c r="L24" s="243"/>
      <c r="M24" s="243"/>
      <c r="N24" s="243"/>
      <c r="O24" s="243"/>
      <c r="P24" s="243"/>
      <c r="Q24" s="243"/>
      <c r="R24" s="243"/>
      <c r="S24" s="242"/>
      <c r="T24" s="242"/>
      <c r="U24" s="242"/>
      <c r="V24" s="242"/>
      <c r="W24" s="242"/>
      <c r="X24" s="242"/>
      <c r="Y24" s="242"/>
      <c r="Z24" s="243"/>
      <c r="AA24" s="243"/>
      <c r="AB24" s="243"/>
      <c r="AC24" s="243"/>
      <c r="AD24" s="243"/>
      <c r="AE24" s="243"/>
      <c r="AF24" s="243"/>
      <c r="AG24" s="242"/>
      <c r="AH24" s="242"/>
      <c r="AI24" s="242"/>
      <c r="AJ24" s="242"/>
      <c r="AK24" s="242"/>
      <c r="AL24" s="242"/>
      <c r="AM24" s="242"/>
      <c r="AN24" s="243"/>
      <c r="AO24" s="243"/>
      <c r="AP24" s="243"/>
      <c r="AQ24" s="243"/>
      <c r="AR24" s="243"/>
      <c r="AS24" s="243"/>
      <c r="AT24" s="243"/>
      <c r="AU24" s="242"/>
      <c r="AV24" s="242"/>
      <c r="AW24" s="242"/>
      <c r="AX24" s="242"/>
      <c r="AY24" s="242"/>
      <c r="AZ24" s="242"/>
      <c r="BA24" s="242"/>
      <c r="BB24" s="243"/>
      <c r="BC24" s="243"/>
      <c r="BD24" s="243"/>
      <c r="BE24" s="243"/>
      <c r="BF24" s="243"/>
      <c r="BG24" s="243"/>
      <c r="BH24" s="243"/>
      <c r="BI24" s="242"/>
      <c r="BJ24" s="242"/>
      <c r="BK24" s="242"/>
      <c r="BL24" s="242"/>
      <c r="BM24" s="242"/>
      <c r="BN24" s="242"/>
      <c r="BO24" s="242"/>
      <c r="BP24" s="243"/>
      <c r="BQ24" s="243"/>
      <c r="BR24" s="243"/>
      <c r="BS24" s="243"/>
      <c r="BT24" s="243"/>
      <c r="BU24" s="243"/>
      <c r="BV24" s="243"/>
      <c r="BW24" s="242"/>
      <c r="BX24" s="242"/>
      <c r="BY24" s="242"/>
      <c r="BZ24" s="242"/>
      <c r="CA24" s="242"/>
      <c r="CB24" s="242"/>
      <c r="CC24" s="242"/>
      <c r="CD24" s="243"/>
      <c r="CE24" s="243"/>
      <c r="CF24" s="243"/>
      <c r="CG24" s="243"/>
      <c r="CH24" s="243"/>
      <c r="CI24" s="243"/>
      <c r="CJ24" s="243">
        <v>24</v>
      </c>
      <c r="CK24" s="242">
        <v>24</v>
      </c>
      <c r="CL24" s="242">
        <v>24</v>
      </c>
      <c r="CM24" s="242">
        <v>24</v>
      </c>
      <c r="CN24" s="242">
        <v>24</v>
      </c>
      <c r="CO24" s="242">
        <v>24</v>
      </c>
      <c r="CP24" s="242">
        <v>24</v>
      </c>
      <c r="CQ24" s="242">
        <v>24</v>
      </c>
      <c r="CR24" s="243"/>
      <c r="CS24" s="243"/>
      <c r="CT24" s="243"/>
      <c r="CU24" s="243"/>
      <c r="CV24" s="243"/>
      <c r="CW24" s="243"/>
      <c r="CX24" s="243"/>
      <c r="CY24" s="242"/>
      <c r="CZ24" s="242"/>
      <c r="DA24" s="242"/>
      <c r="DB24" s="242"/>
      <c r="DC24" s="242"/>
      <c r="DD24" s="242"/>
      <c r="DE24" s="242"/>
      <c r="DF24" s="243"/>
      <c r="DG24" s="243"/>
      <c r="DH24" s="243"/>
      <c r="DI24" s="243"/>
      <c r="DJ24" s="243"/>
      <c r="DK24" s="243"/>
      <c r="DL24" s="243"/>
      <c r="DM24" s="242"/>
      <c r="DN24" s="242"/>
      <c r="DO24" s="242"/>
      <c r="DP24" s="242"/>
      <c r="DQ24" s="242"/>
      <c r="DR24" s="242"/>
      <c r="DS24" s="242"/>
      <c r="DT24" s="243"/>
      <c r="DU24" s="243"/>
      <c r="DV24" s="243"/>
      <c r="DW24" s="243"/>
      <c r="DX24" s="243"/>
      <c r="DY24" s="243"/>
      <c r="DZ24" s="243"/>
      <c r="EA24" s="242"/>
      <c r="EB24" s="242"/>
      <c r="EC24" s="242"/>
      <c r="ED24" s="242"/>
      <c r="EE24" s="242"/>
      <c r="EF24" s="242"/>
      <c r="EG24" s="242"/>
      <c r="EH24" s="243"/>
      <c r="EI24" s="243"/>
      <c r="EJ24" s="243"/>
      <c r="EK24" s="243"/>
      <c r="EL24" s="243"/>
      <c r="EM24" s="243"/>
      <c r="EN24" s="243"/>
      <c r="EO24" s="242"/>
      <c r="EP24" s="242"/>
      <c r="EQ24" s="242"/>
      <c r="ER24" s="242"/>
      <c r="ES24" s="242"/>
      <c r="ET24" s="242"/>
      <c r="EU24" s="242"/>
      <c r="EV24" s="243"/>
      <c r="EW24" s="243"/>
      <c r="EX24" s="243"/>
      <c r="EY24" s="243"/>
      <c r="EZ24" s="243"/>
      <c r="FA24" s="243"/>
      <c r="FB24" s="243"/>
      <c r="FC24" s="242"/>
      <c r="FD24" s="242"/>
      <c r="FE24" s="242"/>
      <c r="FF24" s="242"/>
      <c r="FG24" s="242"/>
      <c r="FH24" s="242"/>
      <c r="FI24" s="242"/>
      <c r="FJ24" s="243"/>
      <c r="FK24" s="243"/>
      <c r="FL24" s="243"/>
      <c r="FM24" s="243"/>
      <c r="FN24" s="243"/>
      <c r="FO24" s="243"/>
      <c r="FP24" s="243">
        <v>24</v>
      </c>
      <c r="FQ24" s="242">
        <v>24</v>
      </c>
      <c r="FR24" s="242">
        <v>24</v>
      </c>
      <c r="FS24" s="242">
        <v>24</v>
      </c>
      <c r="FT24" s="242">
        <v>24</v>
      </c>
      <c r="FU24" s="242">
        <v>24</v>
      </c>
      <c r="FV24" s="242">
        <v>24</v>
      </c>
      <c r="FW24" s="242">
        <v>24</v>
      </c>
      <c r="FX24" s="243"/>
      <c r="FY24" s="243"/>
      <c r="FZ24" s="243"/>
      <c r="GA24" s="243"/>
      <c r="GB24" s="243"/>
      <c r="GC24" s="243"/>
      <c r="GD24" s="243"/>
      <c r="GE24" s="242"/>
      <c r="GF24" s="242"/>
      <c r="GG24" s="242"/>
      <c r="GH24" s="242"/>
      <c r="GI24" s="242"/>
      <c r="GJ24" s="242"/>
      <c r="GK24" s="242"/>
      <c r="GL24" s="243"/>
      <c r="GM24" s="243"/>
      <c r="GN24" s="243"/>
      <c r="GO24" s="243"/>
      <c r="GP24" s="243"/>
      <c r="GQ24" s="243"/>
      <c r="GR24" s="243"/>
      <c r="GS24" s="242"/>
      <c r="GT24" s="242"/>
      <c r="GU24" s="242"/>
      <c r="GV24" s="242"/>
      <c r="GW24" s="242"/>
      <c r="GX24" s="242"/>
      <c r="GY24" s="242"/>
      <c r="GZ24" s="243"/>
      <c r="HA24" s="243"/>
      <c r="HB24" s="243"/>
      <c r="HC24" s="243"/>
      <c r="HD24" s="243"/>
      <c r="HE24" s="243"/>
      <c r="HF24" s="243"/>
      <c r="HG24" s="242"/>
      <c r="HH24" s="242"/>
      <c r="HI24" s="242"/>
      <c r="HJ24" s="242"/>
      <c r="HK24" s="242"/>
      <c r="HL24" s="242"/>
      <c r="HM24" s="242"/>
      <c r="HN24" s="243"/>
      <c r="HO24" s="243"/>
      <c r="HP24" s="243"/>
      <c r="HQ24" s="243"/>
      <c r="HR24" s="243"/>
      <c r="HS24" s="243"/>
      <c r="HT24" s="243"/>
      <c r="HU24" s="242"/>
      <c r="HV24" s="242"/>
      <c r="HW24" s="242"/>
      <c r="HX24" s="242"/>
      <c r="HY24" s="242"/>
      <c r="HZ24" s="242"/>
      <c r="IA24" s="242"/>
      <c r="IB24" s="243"/>
      <c r="IC24" s="243"/>
      <c r="ID24" s="243"/>
      <c r="IE24" s="243"/>
      <c r="IF24" s="243"/>
      <c r="IG24" s="243"/>
      <c r="IH24" s="243"/>
      <c r="II24" s="242"/>
      <c r="IJ24" s="242"/>
      <c r="IK24" s="242"/>
      <c r="IL24" s="242"/>
      <c r="IM24" s="242"/>
      <c r="IN24" s="242"/>
      <c r="IO24" s="242"/>
      <c r="IP24" s="243"/>
      <c r="IQ24" s="243"/>
      <c r="IR24" s="243"/>
      <c r="IS24" s="243"/>
      <c r="IT24" s="243"/>
      <c r="IU24" s="243"/>
      <c r="IV24" s="243"/>
      <c r="IW24" s="242"/>
      <c r="IX24" s="242"/>
      <c r="IY24" s="242"/>
      <c r="IZ24" s="242"/>
      <c r="JA24" s="242"/>
      <c r="JB24" s="242"/>
      <c r="JC24" s="242"/>
      <c r="JD24" s="243"/>
      <c r="JE24" s="243"/>
      <c r="JF24" s="243"/>
      <c r="JG24" s="243"/>
      <c r="JH24" s="243"/>
      <c r="JI24" s="243"/>
      <c r="JJ24" s="243"/>
      <c r="JK24" s="242"/>
      <c r="JL24" s="242"/>
      <c r="JM24" s="242"/>
      <c r="JN24" s="242"/>
      <c r="JO24" s="242"/>
      <c r="JP24" s="242"/>
      <c r="JQ24" s="242"/>
      <c r="JR24" s="243"/>
      <c r="JS24" s="243"/>
      <c r="JT24" s="243"/>
      <c r="JU24" s="243"/>
      <c r="JV24" s="243"/>
      <c r="JW24" s="243"/>
      <c r="JX24" s="243"/>
      <c r="JY24" s="242"/>
      <c r="JZ24" s="242"/>
      <c r="KA24" s="242"/>
      <c r="KB24" s="242"/>
      <c r="KC24" s="242"/>
      <c r="KD24" s="242"/>
      <c r="KE24" s="242"/>
      <c r="KF24" s="243"/>
      <c r="KG24" s="243"/>
      <c r="KH24" s="243"/>
      <c r="KI24" s="243"/>
      <c r="KJ24" s="243"/>
      <c r="KK24" s="243"/>
      <c r="KL24" s="243"/>
      <c r="KM24" s="242"/>
      <c r="KN24" s="242"/>
      <c r="KO24" s="242"/>
      <c r="KP24" s="242"/>
      <c r="KQ24" s="242"/>
      <c r="KR24" s="242"/>
      <c r="KS24" s="242"/>
      <c r="KT24" s="243"/>
      <c r="KU24" s="243"/>
      <c r="KV24" s="243"/>
      <c r="KW24" s="243"/>
      <c r="KX24" s="243"/>
      <c r="KY24" s="243"/>
      <c r="KZ24" s="243"/>
      <c r="LA24" s="242"/>
      <c r="LB24" s="242"/>
      <c r="LC24" s="242"/>
      <c r="LD24" s="242"/>
      <c r="LE24" s="242"/>
      <c r="LF24" s="242"/>
      <c r="LG24" s="242"/>
      <c r="LH24" s="243"/>
      <c r="LI24" s="243"/>
      <c r="LJ24" s="243"/>
      <c r="LK24" s="243"/>
      <c r="LL24" s="243"/>
      <c r="LM24" s="243"/>
      <c r="LN24" s="243"/>
      <c r="LO24" s="242"/>
      <c r="LP24" s="242"/>
      <c r="LQ24" s="242"/>
      <c r="LR24" s="242"/>
      <c r="LS24" s="242"/>
      <c r="LT24" s="242"/>
      <c r="LU24" s="242"/>
      <c r="LV24" s="243"/>
      <c r="LW24" s="243"/>
      <c r="LX24" s="243"/>
      <c r="LY24" s="243"/>
      <c r="LZ24" s="243"/>
      <c r="MA24" s="243"/>
      <c r="MB24" s="243"/>
      <c r="MC24" s="242"/>
      <c r="MD24" s="242"/>
      <c r="ME24" s="242"/>
      <c r="MF24" s="242"/>
      <c r="MG24" s="242"/>
      <c r="MH24" s="242"/>
      <c r="MI24" s="242"/>
      <c r="MJ24" s="243"/>
      <c r="MK24" s="243"/>
      <c r="ML24" s="243"/>
      <c r="MM24" s="243"/>
      <c r="MN24" s="243"/>
      <c r="MO24" s="243"/>
      <c r="MP24" s="243"/>
      <c r="MQ24" s="242"/>
      <c r="MR24" s="242"/>
      <c r="MS24" s="242"/>
      <c r="MT24" s="242"/>
      <c r="MU24" s="242"/>
      <c r="MV24" s="242"/>
      <c r="MW24" s="242"/>
      <c r="MX24" s="243"/>
      <c r="MY24" s="243"/>
      <c r="MZ24" s="243"/>
      <c r="NA24" s="243"/>
      <c r="NB24" s="243"/>
      <c r="NC24" s="243"/>
      <c r="ND24" s="243"/>
      <c r="NE24" s="242"/>
      <c r="NF24" s="242"/>
      <c r="NG24" s="242"/>
      <c r="NH24" s="334" t="s">
        <v>1117</v>
      </c>
    </row>
    <row r="25" spans="1:372" ht="38.25">
      <c r="A25" s="251" t="s">
        <v>966</v>
      </c>
      <c r="B25" s="251" t="s">
        <v>48</v>
      </c>
      <c r="C25" s="251" t="s">
        <v>674</v>
      </c>
      <c r="D25" s="251" t="s">
        <v>997</v>
      </c>
      <c r="E25" s="241">
        <v>259.47916661945749</v>
      </c>
      <c r="F25" s="241">
        <v>384</v>
      </c>
      <c r="G25" s="242"/>
      <c r="H25" s="242"/>
      <c r="I25" s="242"/>
      <c r="J25" s="242"/>
      <c r="K25" s="242"/>
      <c r="L25" s="243"/>
      <c r="M25" s="243"/>
      <c r="N25" s="243"/>
      <c r="O25" s="243"/>
      <c r="P25" s="243"/>
      <c r="Q25" s="243"/>
      <c r="R25" s="243"/>
      <c r="S25" s="242"/>
      <c r="T25" s="242"/>
      <c r="U25" s="242"/>
      <c r="V25" s="242"/>
      <c r="W25" s="242"/>
      <c r="X25" s="242"/>
      <c r="Y25" s="242"/>
      <c r="Z25" s="243"/>
      <c r="AA25" s="243"/>
      <c r="AB25" s="243"/>
      <c r="AC25" s="243"/>
      <c r="AD25" s="243"/>
      <c r="AE25" s="243"/>
      <c r="AF25" s="243"/>
      <c r="AG25" s="242"/>
      <c r="AH25" s="242"/>
      <c r="AI25" s="242"/>
      <c r="AJ25" s="242"/>
      <c r="AK25" s="242"/>
      <c r="AL25" s="242"/>
      <c r="AM25" s="242"/>
      <c r="AN25" s="243"/>
      <c r="AO25" s="243"/>
      <c r="AP25" s="243"/>
      <c r="AQ25" s="243"/>
      <c r="AR25" s="243"/>
      <c r="AS25" s="243"/>
      <c r="AT25" s="243"/>
      <c r="AU25" s="242"/>
      <c r="AV25" s="242"/>
      <c r="AW25" s="242"/>
      <c r="AX25" s="242"/>
      <c r="AY25" s="242"/>
      <c r="AZ25" s="242"/>
      <c r="BA25" s="242"/>
      <c r="BB25" s="243"/>
      <c r="BC25" s="243"/>
      <c r="BD25" s="243"/>
      <c r="BE25" s="243"/>
      <c r="BF25" s="243"/>
      <c r="BG25" s="243"/>
      <c r="BH25" s="243"/>
      <c r="BI25" s="242"/>
      <c r="BJ25" s="242"/>
      <c r="BK25" s="242"/>
      <c r="BL25" s="242"/>
      <c r="BM25" s="242"/>
      <c r="BN25" s="242"/>
      <c r="BO25" s="242"/>
      <c r="BP25" s="243"/>
      <c r="BQ25" s="243"/>
      <c r="BR25" s="243"/>
      <c r="BS25" s="243"/>
      <c r="BT25" s="243"/>
      <c r="BU25" s="243"/>
      <c r="BV25" s="243"/>
      <c r="BW25" s="242"/>
      <c r="BX25" s="242"/>
      <c r="BY25" s="242"/>
      <c r="BZ25" s="242"/>
      <c r="CA25" s="242"/>
      <c r="CB25" s="242"/>
      <c r="CC25" s="242"/>
      <c r="CD25" s="243"/>
      <c r="CE25" s="243"/>
      <c r="CF25" s="243"/>
      <c r="CG25" s="243"/>
      <c r="CH25" s="243"/>
      <c r="CI25" s="243"/>
      <c r="CJ25" s="243">
        <v>24</v>
      </c>
      <c r="CK25" s="242">
        <v>24</v>
      </c>
      <c r="CL25" s="242">
        <v>24</v>
      </c>
      <c r="CM25" s="242">
        <v>24</v>
      </c>
      <c r="CN25" s="242">
        <v>24</v>
      </c>
      <c r="CO25" s="242">
        <v>24</v>
      </c>
      <c r="CP25" s="242">
        <v>24</v>
      </c>
      <c r="CQ25" s="242">
        <v>24</v>
      </c>
      <c r="CR25" s="243"/>
      <c r="CS25" s="243"/>
      <c r="CT25" s="243"/>
      <c r="CU25" s="243"/>
      <c r="CV25" s="243"/>
      <c r="CW25" s="243"/>
      <c r="CX25" s="243"/>
      <c r="CY25" s="242"/>
      <c r="CZ25" s="242"/>
      <c r="DA25" s="242"/>
      <c r="DB25" s="242"/>
      <c r="DC25" s="242"/>
      <c r="DD25" s="242"/>
      <c r="DE25" s="242"/>
      <c r="DF25" s="243"/>
      <c r="DG25" s="243"/>
      <c r="DH25" s="243"/>
      <c r="DI25" s="243"/>
      <c r="DJ25" s="243"/>
      <c r="DK25" s="243"/>
      <c r="DL25" s="243"/>
      <c r="DM25" s="242"/>
      <c r="DN25" s="242"/>
      <c r="DO25" s="242"/>
      <c r="DP25" s="242"/>
      <c r="DQ25" s="242"/>
      <c r="DR25" s="242"/>
      <c r="DS25" s="242"/>
      <c r="DT25" s="243"/>
      <c r="DU25" s="243"/>
      <c r="DV25" s="243"/>
      <c r="DW25" s="243"/>
      <c r="DX25" s="243"/>
      <c r="DY25" s="243"/>
      <c r="DZ25" s="243"/>
      <c r="EA25" s="242"/>
      <c r="EB25" s="242"/>
      <c r="EC25" s="242"/>
      <c r="ED25" s="242"/>
      <c r="EE25" s="242"/>
      <c r="EF25" s="242"/>
      <c r="EG25" s="242"/>
      <c r="EH25" s="243"/>
      <c r="EI25" s="243"/>
      <c r="EJ25" s="243"/>
      <c r="EK25" s="243"/>
      <c r="EL25" s="243"/>
      <c r="EM25" s="243"/>
      <c r="EN25" s="243"/>
      <c r="EO25" s="242"/>
      <c r="EP25" s="242"/>
      <c r="EQ25" s="242"/>
      <c r="ER25" s="242"/>
      <c r="ES25" s="242"/>
      <c r="ET25" s="242"/>
      <c r="EU25" s="242"/>
      <c r="EV25" s="243"/>
      <c r="EW25" s="243"/>
      <c r="EX25" s="243"/>
      <c r="EY25" s="243"/>
      <c r="EZ25" s="243"/>
      <c r="FA25" s="243"/>
      <c r="FB25" s="243"/>
      <c r="FC25" s="242"/>
      <c r="FD25" s="242"/>
      <c r="FE25" s="242"/>
      <c r="FF25" s="242"/>
      <c r="FG25" s="242"/>
      <c r="FH25" s="242"/>
      <c r="FI25" s="242"/>
      <c r="FJ25" s="243"/>
      <c r="FK25" s="243"/>
      <c r="FL25" s="243"/>
      <c r="FM25" s="243"/>
      <c r="FN25" s="243"/>
      <c r="FO25" s="243"/>
      <c r="FP25" s="243">
        <v>24</v>
      </c>
      <c r="FQ25" s="242">
        <v>24</v>
      </c>
      <c r="FR25" s="242">
        <v>24</v>
      </c>
      <c r="FS25" s="242">
        <v>24</v>
      </c>
      <c r="FT25" s="242">
        <v>24</v>
      </c>
      <c r="FU25" s="242">
        <v>24</v>
      </c>
      <c r="FV25" s="242">
        <v>24</v>
      </c>
      <c r="FW25" s="242">
        <v>24</v>
      </c>
      <c r="FX25" s="243"/>
      <c r="FY25" s="243"/>
      <c r="FZ25" s="243"/>
      <c r="GA25" s="243"/>
      <c r="GB25" s="243"/>
      <c r="GC25" s="243"/>
      <c r="GD25" s="243"/>
      <c r="GE25" s="242"/>
      <c r="GF25" s="242"/>
      <c r="GG25" s="242"/>
      <c r="GH25" s="242"/>
      <c r="GI25" s="242"/>
      <c r="GJ25" s="242"/>
      <c r="GK25" s="242"/>
      <c r="GL25" s="243"/>
      <c r="GM25" s="243"/>
      <c r="GN25" s="243"/>
      <c r="GO25" s="243"/>
      <c r="GP25" s="243"/>
      <c r="GQ25" s="243"/>
      <c r="GR25" s="243"/>
      <c r="GS25" s="242"/>
      <c r="GT25" s="242"/>
      <c r="GU25" s="242"/>
      <c r="GV25" s="242"/>
      <c r="GW25" s="242"/>
      <c r="GX25" s="242"/>
      <c r="GY25" s="242"/>
      <c r="GZ25" s="243"/>
      <c r="HA25" s="243"/>
      <c r="HB25" s="243"/>
      <c r="HC25" s="243"/>
      <c r="HD25" s="243"/>
      <c r="HE25" s="243"/>
      <c r="HF25" s="243"/>
      <c r="HG25" s="242"/>
      <c r="HH25" s="242"/>
      <c r="HI25" s="242"/>
      <c r="HJ25" s="242"/>
      <c r="HK25" s="242"/>
      <c r="HL25" s="242"/>
      <c r="HM25" s="242"/>
      <c r="HN25" s="243"/>
      <c r="HO25" s="243"/>
      <c r="HP25" s="243"/>
      <c r="HQ25" s="243"/>
      <c r="HR25" s="243"/>
      <c r="HS25" s="243"/>
      <c r="HT25" s="243"/>
      <c r="HU25" s="242"/>
      <c r="HV25" s="242"/>
      <c r="HW25" s="242"/>
      <c r="HX25" s="242"/>
      <c r="HY25" s="242"/>
      <c r="HZ25" s="242"/>
      <c r="IA25" s="242"/>
      <c r="IB25" s="243"/>
      <c r="IC25" s="243"/>
      <c r="ID25" s="243"/>
      <c r="IE25" s="243"/>
      <c r="IF25" s="243"/>
      <c r="IG25" s="243"/>
      <c r="IH25" s="243"/>
      <c r="II25" s="242"/>
      <c r="IJ25" s="242"/>
      <c r="IK25" s="242"/>
      <c r="IL25" s="242"/>
      <c r="IM25" s="242"/>
      <c r="IN25" s="242"/>
      <c r="IO25" s="242"/>
      <c r="IP25" s="243"/>
      <c r="IQ25" s="243"/>
      <c r="IR25" s="243"/>
      <c r="IS25" s="243"/>
      <c r="IT25" s="243"/>
      <c r="IU25" s="243"/>
      <c r="IV25" s="243"/>
      <c r="IW25" s="242"/>
      <c r="IX25" s="242"/>
      <c r="IY25" s="242"/>
      <c r="IZ25" s="242"/>
      <c r="JA25" s="242"/>
      <c r="JB25" s="242"/>
      <c r="JC25" s="242"/>
      <c r="JD25" s="243"/>
      <c r="JE25" s="243"/>
      <c r="JF25" s="243"/>
      <c r="JG25" s="243"/>
      <c r="JH25" s="243"/>
      <c r="JI25" s="243"/>
      <c r="JJ25" s="243"/>
      <c r="JK25" s="242"/>
      <c r="JL25" s="242"/>
      <c r="JM25" s="242"/>
      <c r="JN25" s="242"/>
      <c r="JO25" s="242"/>
      <c r="JP25" s="242"/>
      <c r="JQ25" s="242"/>
      <c r="JR25" s="243"/>
      <c r="JS25" s="243"/>
      <c r="JT25" s="243"/>
      <c r="JU25" s="243"/>
      <c r="JV25" s="243"/>
      <c r="JW25" s="243"/>
      <c r="JX25" s="243"/>
      <c r="JY25" s="242"/>
      <c r="JZ25" s="242"/>
      <c r="KA25" s="242"/>
      <c r="KB25" s="242"/>
      <c r="KC25" s="242"/>
      <c r="KD25" s="242"/>
      <c r="KE25" s="242"/>
      <c r="KF25" s="243"/>
      <c r="KG25" s="243"/>
      <c r="KH25" s="243"/>
      <c r="KI25" s="243"/>
      <c r="KJ25" s="243"/>
      <c r="KK25" s="243"/>
      <c r="KL25" s="243"/>
      <c r="KM25" s="242"/>
      <c r="KN25" s="242"/>
      <c r="KO25" s="242"/>
      <c r="KP25" s="242"/>
      <c r="KQ25" s="242"/>
      <c r="KR25" s="242"/>
      <c r="KS25" s="242"/>
      <c r="KT25" s="243"/>
      <c r="KU25" s="243"/>
      <c r="KV25" s="243"/>
      <c r="KW25" s="243"/>
      <c r="KX25" s="243"/>
      <c r="KY25" s="243"/>
      <c r="KZ25" s="243"/>
      <c r="LA25" s="242"/>
      <c r="LB25" s="242"/>
      <c r="LC25" s="242"/>
      <c r="LD25" s="242"/>
      <c r="LE25" s="242"/>
      <c r="LF25" s="242"/>
      <c r="LG25" s="242"/>
      <c r="LH25" s="243"/>
      <c r="LI25" s="243"/>
      <c r="LJ25" s="243"/>
      <c r="LK25" s="243"/>
      <c r="LL25" s="243"/>
      <c r="LM25" s="243"/>
      <c r="LN25" s="243"/>
      <c r="LO25" s="242"/>
      <c r="LP25" s="242"/>
      <c r="LQ25" s="242"/>
      <c r="LR25" s="242"/>
      <c r="LS25" s="242"/>
      <c r="LT25" s="242"/>
      <c r="LU25" s="242"/>
      <c r="LV25" s="243"/>
      <c r="LW25" s="243"/>
      <c r="LX25" s="243"/>
      <c r="LY25" s="243"/>
      <c r="LZ25" s="243"/>
      <c r="MA25" s="243"/>
      <c r="MB25" s="243"/>
      <c r="MC25" s="242"/>
      <c r="MD25" s="242"/>
      <c r="ME25" s="242"/>
      <c r="MF25" s="242"/>
      <c r="MG25" s="242"/>
      <c r="MH25" s="242"/>
      <c r="MI25" s="242"/>
      <c r="MJ25" s="243"/>
      <c r="MK25" s="243"/>
      <c r="ML25" s="243"/>
      <c r="MM25" s="243"/>
      <c r="MN25" s="243"/>
      <c r="MO25" s="243"/>
      <c r="MP25" s="243"/>
      <c r="MQ25" s="242"/>
      <c r="MR25" s="242"/>
      <c r="MS25" s="242"/>
      <c r="MT25" s="242"/>
      <c r="MU25" s="242"/>
      <c r="MV25" s="242"/>
      <c r="MW25" s="242"/>
      <c r="MX25" s="243"/>
      <c r="MY25" s="243"/>
      <c r="MZ25" s="243"/>
      <c r="NA25" s="243"/>
      <c r="NB25" s="243"/>
      <c r="NC25" s="243"/>
      <c r="ND25" s="243"/>
      <c r="NE25" s="242"/>
      <c r="NF25" s="242"/>
      <c r="NG25" s="242"/>
      <c r="NH25" s="334" t="s">
        <v>1117</v>
      </c>
    </row>
    <row r="26" spans="1:372" ht="38.25">
      <c r="A26" s="251" t="s">
        <v>966</v>
      </c>
      <c r="B26" s="251" t="s">
        <v>357</v>
      </c>
      <c r="C26" s="251" t="s">
        <v>674</v>
      </c>
      <c r="D26" s="251" t="s">
        <v>997</v>
      </c>
      <c r="E26" s="241">
        <v>71.584916635288366</v>
      </c>
      <c r="F26" s="241">
        <v>384</v>
      </c>
      <c r="G26" s="242"/>
      <c r="H26" s="242"/>
      <c r="I26" s="242"/>
      <c r="J26" s="242"/>
      <c r="K26" s="242"/>
      <c r="L26" s="243"/>
      <c r="M26" s="243"/>
      <c r="N26" s="243"/>
      <c r="O26" s="243"/>
      <c r="P26" s="243"/>
      <c r="Q26" s="243"/>
      <c r="R26" s="243"/>
      <c r="S26" s="242"/>
      <c r="T26" s="242"/>
      <c r="U26" s="242"/>
      <c r="V26" s="242"/>
      <c r="W26" s="242"/>
      <c r="X26" s="242"/>
      <c r="Y26" s="242"/>
      <c r="Z26" s="243"/>
      <c r="AA26" s="243"/>
      <c r="AB26" s="243"/>
      <c r="AC26" s="243"/>
      <c r="AD26" s="243"/>
      <c r="AE26" s="243"/>
      <c r="AF26" s="243"/>
      <c r="AG26" s="242"/>
      <c r="AH26" s="242"/>
      <c r="AI26" s="242"/>
      <c r="AJ26" s="242"/>
      <c r="AK26" s="242"/>
      <c r="AL26" s="242"/>
      <c r="AM26" s="242"/>
      <c r="AN26" s="243"/>
      <c r="AO26" s="243"/>
      <c r="AP26" s="243"/>
      <c r="AQ26" s="243"/>
      <c r="AR26" s="243"/>
      <c r="AS26" s="243"/>
      <c r="AT26" s="243"/>
      <c r="AU26" s="242"/>
      <c r="AV26" s="242"/>
      <c r="AW26" s="242"/>
      <c r="AX26" s="242"/>
      <c r="AY26" s="242"/>
      <c r="AZ26" s="242"/>
      <c r="BA26" s="242"/>
      <c r="BB26" s="243"/>
      <c r="BC26" s="243"/>
      <c r="BD26" s="243"/>
      <c r="BE26" s="243"/>
      <c r="BF26" s="243"/>
      <c r="BG26" s="243"/>
      <c r="BH26" s="243"/>
      <c r="BI26" s="242"/>
      <c r="BJ26" s="242"/>
      <c r="BK26" s="242"/>
      <c r="BL26" s="242"/>
      <c r="BM26" s="242"/>
      <c r="BN26" s="242"/>
      <c r="BO26" s="242"/>
      <c r="BP26" s="243"/>
      <c r="BQ26" s="243"/>
      <c r="BR26" s="243"/>
      <c r="BS26" s="243"/>
      <c r="BT26" s="243"/>
      <c r="BU26" s="243"/>
      <c r="BV26" s="243"/>
      <c r="BW26" s="242"/>
      <c r="BX26" s="242"/>
      <c r="BY26" s="242"/>
      <c r="BZ26" s="242"/>
      <c r="CA26" s="242"/>
      <c r="CB26" s="242"/>
      <c r="CC26" s="242"/>
      <c r="CD26" s="243"/>
      <c r="CE26" s="243"/>
      <c r="CF26" s="243"/>
      <c r="CG26" s="243"/>
      <c r="CH26" s="243"/>
      <c r="CI26" s="243"/>
      <c r="CJ26" s="243">
        <v>24</v>
      </c>
      <c r="CK26" s="242">
        <v>24</v>
      </c>
      <c r="CL26" s="242">
        <v>24</v>
      </c>
      <c r="CM26" s="242">
        <v>24</v>
      </c>
      <c r="CN26" s="242">
        <v>24</v>
      </c>
      <c r="CO26" s="242">
        <v>24</v>
      </c>
      <c r="CP26" s="242">
        <v>24</v>
      </c>
      <c r="CQ26" s="242">
        <v>24</v>
      </c>
      <c r="CR26" s="243"/>
      <c r="CS26" s="243"/>
      <c r="CT26" s="243"/>
      <c r="CU26" s="243"/>
      <c r="CV26" s="243"/>
      <c r="CW26" s="243"/>
      <c r="CX26" s="243"/>
      <c r="CY26" s="242"/>
      <c r="CZ26" s="242"/>
      <c r="DA26" s="242"/>
      <c r="DB26" s="242"/>
      <c r="DC26" s="242"/>
      <c r="DD26" s="242"/>
      <c r="DE26" s="242"/>
      <c r="DF26" s="243"/>
      <c r="DG26" s="243"/>
      <c r="DH26" s="243"/>
      <c r="DI26" s="243"/>
      <c r="DJ26" s="243"/>
      <c r="DK26" s="243"/>
      <c r="DL26" s="243"/>
      <c r="DM26" s="242"/>
      <c r="DN26" s="242"/>
      <c r="DO26" s="242"/>
      <c r="DP26" s="242"/>
      <c r="DQ26" s="242"/>
      <c r="DR26" s="242"/>
      <c r="DS26" s="242"/>
      <c r="DT26" s="243"/>
      <c r="DU26" s="243"/>
      <c r="DV26" s="243"/>
      <c r="DW26" s="243"/>
      <c r="DX26" s="243"/>
      <c r="DY26" s="243"/>
      <c r="DZ26" s="243"/>
      <c r="EA26" s="242"/>
      <c r="EB26" s="242"/>
      <c r="EC26" s="242"/>
      <c r="ED26" s="242"/>
      <c r="EE26" s="242"/>
      <c r="EF26" s="242"/>
      <c r="EG26" s="242"/>
      <c r="EH26" s="243"/>
      <c r="EI26" s="243"/>
      <c r="EJ26" s="243"/>
      <c r="EK26" s="243"/>
      <c r="EL26" s="243"/>
      <c r="EM26" s="243"/>
      <c r="EN26" s="243"/>
      <c r="EO26" s="242"/>
      <c r="EP26" s="242"/>
      <c r="EQ26" s="242"/>
      <c r="ER26" s="242"/>
      <c r="ES26" s="242"/>
      <c r="ET26" s="242"/>
      <c r="EU26" s="242"/>
      <c r="EV26" s="243"/>
      <c r="EW26" s="243"/>
      <c r="EX26" s="243"/>
      <c r="EY26" s="243"/>
      <c r="EZ26" s="243"/>
      <c r="FA26" s="243"/>
      <c r="FB26" s="243"/>
      <c r="FC26" s="242"/>
      <c r="FD26" s="242"/>
      <c r="FE26" s="242"/>
      <c r="FF26" s="242"/>
      <c r="FG26" s="242"/>
      <c r="FH26" s="242"/>
      <c r="FI26" s="242"/>
      <c r="FJ26" s="243"/>
      <c r="FK26" s="243"/>
      <c r="FL26" s="243"/>
      <c r="FM26" s="243"/>
      <c r="FN26" s="243"/>
      <c r="FO26" s="243"/>
      <c r="FP26" s="243">
        <v>24</v>
      </c>
      <c r="FQ26" s="242">
        <v>24</v>
      </c>
      <c r="FR26" s="242">
        <v>24</v>
      </c>
      <c r="FS26" s="242">
        <v>24</v>
      </c>
      <c r="FT26" s="242">
        <v>24</v>
      </c>
      <c r="FU26" s="242">
        <v>24</v>
      </c>
      <c r="FV26" s="242">
        <v>24</v>
      </c>
      <c r="FW26" s="242">
        <v>24</v>
      </c>
      <c r="FX26" s="243"/>
      <c r="FY26" s="243"/>
      <c r="FZ26" s="243"/>
      <c r="GA26" s="243"/>
      <c r="GB26" s="243"/>
      <c r="GC26" s="243"/>
      <c r="GD26" s="243"/>
      <c r="GE26" s="242"/>
      <c r="GF26" s="242"/>
      <c r="GG26" s="242"/>
      <c r="GH26" s="242"/>
      <c r="GI26" s="242"/>
      <c r="GJ26" s="242"/>
      <c r="GK26" s="242"/>
      <c r="GL26" s="243"/>
      <c r="GM26" s="243"/>
      <c r="GN26" s="243"/>
      <c r="GO26" s="243"/>
      <c r="GP26" s="243"/>
      <c r="GQ26" s="243"/>
      <c r="GR26" s="243"/>
      <c r="GS26" s="242"/>
      <c r="GT26" s="242"/>
      <c r="GU26" s="242"/>
      <c r="GV26" s="242"/>
      <c r="GW26" s="242"/>
      <c r="GX26" s="242"/>
      <c r="GY26" s="242"/>
      <c r="GZ26" s="243"/>
      <c r="HA26" s="243"/>
      <c r="HB26" s="243"/>
      <c r="HC26" s="243"/>
      <c r="HD26" s="243"/>
      <c r="HE26" s="243"/>
      <c r="HF26" s="243"/>
      <c r="HG26" s="242"/>
      <c r="HH26" s="242"/>
      <c r="HI26" s="242"/>
      <c r="HJ26" s="242"/>
      <c r="HK26" s="242"/>
      <c r="HL26" s="242"/>
      <c r="HM26" s="242"/>
      <c r="HN26" s="243"/>
      <c r="HO26" s="243"/>
      <c r="HP26" s="243"/>
      <c r="HQ26" s="243"/>
      <c r="HR26" s="243"/>
      <c r="HS26" s="243"/>
      <c r="HT26" s="243"/>
      <c r="HU26" s="242"/>
      <c r="HV26" s="242"/>
      <c r="HW26" s="242"/>
      <c r="HX26" s="242"/>
      <c r="HY26" s="242"/>
      <c r="HZ26" s="242"/>
      <c r="IA26" s="242"/>
      <c r="IB26" s="243"/>
      <c r="IC26" s="243"/>
      <c r="ID26" s="243"/>
      <c r="IE26" s="243"/>
      <c r="IF26" s="243"/>
      <c r="IG26" s="243"/>
      <c r="IH26" s="243"/>
      <c r="II26" s="242"/>
      <c r="IJ26" s="242"/>
      <c r="IK26" s="242"/>
      <c r="IL26" s="242"/>
      <c r="IM26" s="242"/>
      <c r="IN26" s="242"/>
      <c r="IO26" s="242"/>
      <c r="IP26" s="243"/>
      <c r="IQ26" s="243"/>
      <c r="IR26" s="243"/>
      <c r="IS26" s="243"/>
      <c r="IT26" s="243"/>
      <c r="IU26" s="243"/>
      <c r="IV26" s="243"/>
      <c r="IW26" s="242"/>
      <c r="IX26" s="242"/>
      <c r="IY26" s="242"/>
      <c r="IZ26" s="242"/>
      <c r="JA26" s="242"/>
      <c r="JB26" s="242"/>
      <c r="JC26" s="242"/>
      <c r="JD26" s="243"/>
      <c r="JE26" s="243"/>
      <c r="JF26" s="243"/>
      <c r="JG26" s="243"/>
      <c r="JH26" s="243"/>
      <c r="JI26" s="243"/>
      <c r="JJ26" s="243"/>
      <c r="JK26" s="242"/>
      <c r="JL26" s="242"/>
      <c r="JM26" s="242"/>
      <c r="JN26" s="242"/>
      <c r="JO26" s="242"/>
      <c r="JP26" s="242"/>
      <c r="JQ26" s="242"/>
      <c r="JR26" s="243"/>
      <c r="JS26" s="243"/>
      <c r="JT26" s="243"/>
      <c r="JU26" s="243"/>
      <c r="JV26" s="243"/>
      <c r="JW26" s="243"/>
      <c r="JX26" s="243"/>
      <c r="JY26" s="242"/>
      <c r="JZ26" s="242"/>
      <c r="KA26" s="242"/>
      <c r="KB26" s="242"/>
      <c r="KC26" s="242"/>
      <c r="KD26" s="242"/>
      <c r="KE26" s="242"/>
      <c r="KF26" s="243"/>
      <c r="KG26" s="243"/>
      <c r="KH26" s="243"/>
      <c r="KI26" s="243"/>
      <c r="KJ26" s="243"/>
      <c r="KK26" s="243"/>
      <c r="KL26" s="243"/>
      <c r="KM26" s="242"/>
      <c r="KN26" s="242"/>
      <c r="KO26" s="242"/>
      <c r="KP26" s="242"/>
      <c r="KQ26" s="242"/>
      <c r="KR26" s="242"/>
      <c r="KS26" s="242"/>
      <c r="KT26" s="243"/>
      <c r="KU26" s="243"/>
      <c r="KV26" s="243"/>
      <c r="KW26" s="243"/>
      <c r="KX26" s="243"/>
      <c r="KY26" s="243"/>
      <c r="KZ26" s="243"/>
      <c r="LA26" s="242"/>
      <c r="LB26" s="242"/>
      <c r="LC26" s="242"/>
      <c r="LD26" s="242"/>
      <c r="LE26" s="242"/>
      <c r="LF26" s="242"/>
      <c r="LG26" s="242"/>
      <c r="LH26" s="243"/>
      <c r="LI26" s="243"/>
      <c r="LJ26" s="243"/>
      <c r="LK26" s="243"/>
      <c r="LL26" s="243"/>
      <c r="LM26" s="243"/>
      <c r="LN26" s="243"/>
      <c r="LO26" s="242"/>
      <c r="LP26" s="242"/>
      <c r="LQ26" s="242"/>
      <c r="LR26" s="242"/>
      <c r="LS26" s="242"/>
      <c r="LT26" s="242"/>
      <c r="LU26" s="242"/>
      <c r="LV26" s="243"/>
      <c r="LW26" s="243"/>
      <c r="LX26" s="243"/>
      <c r="LY26" s="243"/>
      <c r="LZ26" s="243"/>
      <c r="MA26" s="243"/>
      <c r="MB26" s="243"/>
      <c r="MC26" s="242"/>
      <c r="MD26" s="242"/>
      <c r="ME26" s="242"/>
      <c r="MF26" s="242"/>
      <c r="MG26" s="242"/>
      <c r="MH26" s="242"/>
      <c r="MI26" s="242"/>
      <c r="MJ26" s="243"/>
      <c r="MK26" s="243"/>
      <c r="ML26" s="243"/>
      <c r="MM26" s="243"/>
      <c r="MN26" s="243"/>
      <c r="MO26" s="243"/>
      <c r="MP26" s="243"/>
      <c r="MQ26" s="242"/>
      <c r="MR26" s="242"/>
      <c r="MS26" s="242"/>
      <c r="MT26" s="242"/>
      <c r="MU26" s="242"/>
      <c r="MV26" s="242"/>
      <c r="MW26" s="242"/>
      <c r="MX26" s="243"/>
      <c r="MY26" s="243"/>
      <c r="MZ26" s="243"/>
      <c r="NA26" s="243"/>
      <c r="NB26" s="243"/>
      <c r="NC26" s="243"/>
      <c r="ND26" s="243"/>
      <c r="NE26" s="242"/>
      <c r="NF26" s="242"/>
      <c r="NG26" s="242"/>
      <c r="NH26" s="334" t="s">
        <v>1117</v>
      </c>
    </row>
    <row r="27" spans="1:372">
      <c r="A27" s="251" t="s">
        <v>967</v>
      </c>
      <c r="B27" s="251" t="s">
        <v>32</v>
      </c>
      <c r="C27" s="251" t="s">
        <v>674</v>
      </c>
      <c r="D27" s="251" t="s">
        <v>997</v>
      </c>
      <c r="E27" s="241">
        <v>101.01814443379783</v>
      </c>
      <c r="F27" s="241">
        <v>134</v>
      </c>
      <c r="G27" s="242"/>
      <c r="H27" s="242"/>
      <c r="I27" s="242"/>
      <c r="J27" s="242"/>
      <c r="K27" s="242"/>
      <c r="L27" s="243"/>
      <c r="M27" s="243"/>
      <c r="N27" s="243"/>
      <c r="O27" s="243"/>
      <c r="P27" s="243"/>
      <c r="Q27" s="243"/>
      <c r="R27" s="243"/>
      <c r="S27" s="242"/>
      <c r="T27" s="242"/>
      <c r="U27" s="242"/>
      <c r="V27" s="242"/>
      <c r="W27" s="242"/>
      <c r="X27" s="242"/>
      <c r="Y27" s="242"/>
      <c r="Z27" s="243"/>
      <c r="AA27" s="243"/>
      <c r="AB27" s="243"/>
      <c r="AC27" s="243"/>
      <c r="AD27" s="243"/>
      <c r="AE27" s="243"/>
      <c r="AF27" s="243"/>
      <c r="AG27" s="242"/>
      <c r="AH27" s="242"/>
      <c r="AI27" s="242"/>
      <c r="AJ27" s="242"/>
      <c r="AK27" s="242"/>
      <c r="AL27" s="242"/>
      <c r="AM27" s="242"/>
      <c r="AN27" s="243"/>
      <c r="AO27" s="243"/>
      <c r="AP27" s="243"/>
      <c r="AQ27" s="243"/>
      <c r="AR27" s="243"/>
      <c r="AS27" s="243"/>
      <c r="AT27" s="243"/>
      <c r="AU27" s="242"/>
      <c r="AV27" s="242"/>
      <c r="AW27" s="242"/>
      <c r="AX27" s="242"/>
      <c r="AY27" s="242"/>
      <c r="AZ27" s="242"/>
      <c r="BA27" s="242"/>
      <c r="BB27" s="243"/>
      <c r="BC27" s="243"/>
      <c r="BD27" s="243"/>
      <c r="BE27" s="243"/>
      <c r="BF27" s="243"/>
      <c r="BG27" s="243"/>
      <c r="BH27" s="243"/>
      <c r="BI27" s="242"/>
      <c r="BJ27" s="242"/>
      <c r="BK27" s="242"/>
      <c r="BL27" s="242"/>
      <c r="BM27" s="242"/>
      <c r="BN27" s="242"/>
      <c r="BO27" s="242"/>
      <c r="BP27" s="243"/>
      <c r="BQ27" s="243">
        <v>8</v>
      </c>
      <c r="BR27" s="243">
        <v>24</v>
      </c>
      <c r="BS27" s="243"/>
      <c r="BT27" s="243"/>
      <c r="BU27" s="243"/>
      <c r="BV27" s="243"/>
      <c r="BW27" s="242"/>
      <c r="BX27" s="242"/>
      <c r="BY27" s="242"/>
      <c r="BZ27" s="242"/>
      <c r="CA27" s="242"/>
      <c r="CB27" s="242"/>
      <c r="CC27" s="242"/>
      <c r="CD27" s="243"/>
      <c r="CE27" s="243"/>
      <c r="CF27" s="243"/>
      <c r="CG27" s="243"/>
      <c r="CH27" s="243"/>
      <c r="CI27" s="243"/>
      <c r="CJ27" s="243"/>
      <c r="CK27" s="242"/>
      <c r="CL27" s="242"/>
      <c r="CM27" s="242"/>
      <c r="CN27" s="242"/>
      <c r="CO27" s="242"/>
      <c r="CP27" s="242"/>
      <c r="CQ27" s="242"/>
      <c r="CR27" s="243"/>
      <c r="CS27" s="243"/>
      <c r="CT27" s="243"/>
      <c r="CU27" s="243"/>
      <c r="CV27" s="243"/>
      <c r="CW27" s="243"/>
      <c r="CX27" s="243"/>
      <c r="CY27" s="242"/>
      <c r="CZ27" s="242"/>
      <c r="DA27" s="242"/>
      <c r="DB27" s="242"/>
      <c r="DC27" s="242"/>
      <c r="DD27" s="242"/>
      <c r="DE27" s="242"/>
      <c r="DF27" s="243"/>
      <c r="DG27" s="243"/>
      <c r="DH27" s="243"/>
      <c r="DI27" s="243"/>
      <c r="DJ27" s="243"/>
      <c r="DK27" s="243"/>
      <c r="DL27" s="243"/>
      <c r="DM27" s="242"/>
      <c r="DN27" s="242"/>
      <c r="DO27" s="242"/>
      <c r="DP27" s="242"/>
      <c r="DQ27" s="242"/>
      <c r="DR27" s="242"/>
      <c r="DS27" s="242"/>
      <c r="DT27" s="243"/>
      <c r="DU27" s="243"/>
      <c r="DV27" s="243"/>
      <c r="DW27" s="243"/>
      <c r="DX27" s="243"/>
      <c r="DY27" s="243"/>
      <c r="DZ27" s="243"/>
      <c r="EA27" s="242"/>
      <c r="EB27" s="242"/>
      <c r="EC27" s="242"/>
      <c r="ED27" s="242"/>
      <c r="EE27" s="242"/>
      <c r="EF27" s="242"/>
      <c r="EG27" s="242">
        <v>12</v>
      </c>
      <c r="EH27" s="243">
        <v>24</v>
      </c>
      <c r="EI27" s="243">
        <v>24</v>
      </c>
      <c r="EJ27" s="243">
        <v>24</v>
      </c>
      <c r="EK27" s="243">
        <v>18</v>
      </c>
      <c r="EL27" s="243"/>
      <c r="EM27" s="243"/>
      <c r="EN27" s="243"/>
      <c r="EO27" s="242"/>
      <c r="EP27" s="242"/>
      <c r="EQ27" s="242"/>
      <c r="ER27" s="242"/>
      <c r="ES27" s="242"/>
      <c r="ET27" s="242"/>
      <c r="EU27" s="242"/>
      <c r="EV27" s="243"/>
      <c r="EW27" s="243"/>
      <c r="EX27" s="243"/>
      <c r="EY27" s="243"/>
      <c r="EZ27" s="243"/>
      <c r="FA27" s="243"/>
      <c r="FB27" s="243"/>
      <c r="FC27" s="242"/>
      <c r="FD27" s="242"/>
      <c r="FE27" s="242"/>
      <c r="FF27" s="242"/>
      <c r="FG27" s="242"/>
      <c r="FH27" s="242"/>
      <c r="FI27" s="242"/>
      <c r="FJ27" s="243"/>
      <c r="FK27" s="243"/>
      <c r="FL27" s="243"/>
      <c r="FM27" s="243"/>
      <c r="FN27" s="243"/>
      <c r="FO27" s="243"/>
      <c r="FP27" s="243"/>
      <c r="FQ27" s="242"/>
      <c r="FR27" s="242"/>
      <c r="FS27" s="242"/>
      <c r="FT27" s="242"/>
      <c r="FU27" s="242"/>
      <c r="FV27" s="242"/>
      <c r="FW27" s="242"/>
      <c r="FX27" s="243"/>
      <c r="FY27" s="243"/>
      <c r="FZ27" s="243"/>
      <c r="GA27" s="243"/>
      <c r="GB27" s="243"/>
      <c r="GC27" s="243"/>
      <c r="GD27" s="243"/>
      <c r="GE27" s="242"/>
      <c r="GF27" s="242"/>
      <c r="GG27" s="242"/>
      <c r="GH27" s="242"/>
      <c r="GI27" s="242"/>
      <c r="GJ27" s="242"/>
      <c r="GK27" s="242"/>
      <c r="GL27" s="243"/>
      <c r="GM27" s="243"/>
      <c r="GN27" s="243"/>
      <c r="GO27" s="243"/>
      <c r="GP27" s="243"/>
      <c r="GQ27" s="243"/>
      <c r="GR27" s="243"/>
      <c r="GS27" s="242"/>
      <c r="GT27" s="242"/>
      <c r="GU27" s="242"/>
      <c r="GV27" s="242"/>
      <c r="GW27" s="242"/>
      <c r="GX27" s="242"/>
      <c r="GY27" s="242"/>
      <c r="GZ27" s="243"/>
      <c r="HA27" s="243"/>
      <c r="HB27" s="243"/>
      <c r="HC27" s="243"/>
      <c r="HD27" s="243"/>
      <c r="HE27" s="243"/>
      <c r="HF27" s="243"/>
      <c r="HG27" s="242"/>
      <c r="HH27" s="242"/>
      <c r="HI27" s="242"/>
      <c r="HJ27" s="242"/>
      <c r="HK27" s="242"/>
      <c r="HL27" s="242"/>
      <c r="HM27" s="242"/>
      <c r="HN27" s="243"/>
      <c r="HO27" s="243"/>
      <c r="HP27" s="243"/>
      <c r="HQ27" s="243"/>
      <c r="HR27" s="243"/>
      <c r="HS27" s="243"/>
      <c r="HT27" s="243"/>
      <c r="HU27" s="242"/>
      <c r="HV27" s="242"/>
      <c r="HW27" s="242"/>
      <c r="HX27" s="242"/>
      <c r="HY27" s="242"/>
      <c r="HZ27" s="242"/>
      <c r="IA27" s="242"/>
      <c r="IB27" s="243"/>
      <c r="IC27" s="243"/>
      <c r="ID27" s="243"/>
      <c r="IE27" s="243"/>
      <c r="IF27" s="243"/>
      <c r="IG27" s="243"/>
      <c r="IH27" s="243"/>
      <c r="II27" s="242"/>
      <c r="IJ27" s="242"/>
      <c r="IK27" s="242"/>
      <c r="IL27" s="242"/>
      <c r="IM27" s="242"/>
      <c r="IN27" s="242"/>
      <c r="IO27" s="242"/>
      <c r="IP27" s="243"/>
      <c r="IQ27" s="243"/>
      <c r="IR27" s="243"/>
      <c r="IS27" s="243"/>
      <c r="IT27" s="243"/>
      <c r="IU27" s="243"/>
      <c r="IV27" s="243"/>
      <c r="IW27" s="242"/>
      <c r="IX27" s="242"/>
      <c r="IY27" s="242"/>
      <c r="IZ27" s="242"/>
      <c r="JA27" s="242"/>
      <c r="JB27" s="242"/>
      <c r="JC27" s="242"/>
      <c r="JD27" s="243"/>
      <c r="JE27" s="243"/>
      <c r="JF27" s="243"/>
      <c r="JG27" s="243"/>
      <c r="JH27" s="243"/>
      <c r="JI27" s="243"/>
      <c r="JJ27" s="243"/>
      <c r="JK27" s="242"/>
      <c r="JL27" s="242"/>
      <c r="JM27" s="242"/>
      <c r="JN27" s="242"/>
      <c r="JO27" s="242"/>
      <c r="JP27" s="242"/>
      <c r="JQ27" s="242"/>
      <c r="JR27" s="243"/>
      <c r="JS27" s="243"/>
      <c r="JT27" s="243"/>
      <c r="JU27" s="243"/>
      <c r="JV27" s="243"/>
      <c r="JW27" s="243"/>
      <c r="JX27" s="243"/>
      <c r="JY27" s="242"/>
      <c r="JZ27" s="242"/>
      <c r="KA27" s="242"/>
      <c r="KB27" s="242"/>
      <c r="KC27" s="242"/>
      <c r="KD27" s="242"/>
      <c r="KE27" s="242"/>
      <c r="KF27" s="243"/>
      <c r="KG27" s="243"/>
      <c r="KH27" s="243"/>
      <c r="KI27" s="243"/>
      <c r="KJ27" s="243"/>
      <c r="KK27" s="243"/>
      <c r="KL27" s="243"/>
      <c r="KM27" s="242"/>
      <c r="KN27" s="242"/>
      <c r="KO27" s="242"/>
      <c r="KP27" s="242"/>
      <c r="KQ27" s="242"/>
      <c r="KR27" s="242"/>
      <c r="KS27" s="242"/>
      <c r="KT27" s="243"/>
      <c r="KU27" s="243"/>
      <c r="KV27" s="243"/>
      <c r="KW27" s="243"/>
      <c r="KX27" s="243"/>
      <c r="KY27" s="243"/>
      <c r="KZ27" s="243"/>
      <c r="LA27" s="242"/>
      <c r="LB27" s="242"/>
      <c r="LC27" s="242"/>
      <c r="LD27" s="242"/>
      <c r="LE27" s="242"/>
      <c r="LF27" s="242"/>
      <c r="LG27" s="242"/>
      <c r="LH27" s="243"/>
      <c r="LI27" s="243"/>
      <c r="LJ27" s="243"/>
      <c r="LK27" s="243"/>
      <c r="LL27" s="243"/>
      <c r="LM27" s="243"/>
      <c r="LN27" s="243"/>
      <c r="LO27" s="242"/>
      <c r="LP27" s="242"/>
      <c r="LQ27" s="242"/>
      <c r="LR27" s="242"/>
      <c r="LS27" s="242"/>
      <c r="LT27" s="242"/>
      <c r="LU27" s="242"/>
      <c r="LV27" s="243"/>
      <c r="LW27" s="243"/>
      <c r="LX27" s="243"/>
      <c r="LY27" s="243"/>
      <c r="LZ27" s="243"/>
      <c r="MA27" s="243"/>
      <c r="MB27" s="243"/>
      <c r="MC27" s="242"/>
      <c r="MD27" s="242"/>
      <c r="ME27" s="242"/>
      <c r="MF27" s="242"/>
      <c r="MG27" s="242"/>
      <c r="MH27" s="242"/>
      <c r="MI27" s="242"/>
      <c r="MJ27" s="243"/>
      <c r="MK27" s="243"/>
      <c r="ML27" s="243"/>
      <c r="MM27" s="243"/>
      <c r="MN27" s="243"/>
      <c r="MO27" s="243"/>
      <c r="MP27" s="243"/>
      <c r="MQ27" s="242"/>
      <c r="MR27" s="242"/>
      <c r="MS27" s="242"/>
      <c r="MT27" s="242"/>
      <c r="MU27" s="242"/>
      <c r="MV27" s="242"/>
      <c r="MW27" s="242"/>
      <c r="MX27" s="243"/>
      <c r="MY27" s="243"/>
      <c r="MZ27" s="243"/>
      <c r="NA27" s="243"/>
      <c r="NB27" s="243"/>
      <c r="NC27" s="243"/>
      <c r="ND27" s="243"/>
      <c r="NE27" s="242"/>
      <c r="NF27" s="242"/>
      <c r="NG27" s="242"/>
      <c r="NH27" s="333" t="s">
        <v>1118</v>
      </c>
    </row>
    <row r="28" spans="1:372">
      <c r="A28" s="251" t="s">
        <v>967</v>
      </c>
      <c r="B28" s="251" t="s">
        <v>30</v>
      </c>
      <c r="C28" s="251" t="s">
        <v>674</v>
      </c>
      <c r="D28" s="251" t="s">
        <v>997</v>
      </c>
      <c r="E28" s="241">
        <v>91.90066666648292</v>
      </c>
      <c r="F28" s="241">
        <v>84</v>
      </c>
      <c r="G28" s="242"/>
      <c r="H28" s="242"/>
      <c r="I28" s="242"/>
      <c r="J28" s="242"/>
      <c r="K28" s="242"/>
      <c r="L28" s="243"/>
      <c r="M28" s="243"/>
      <c r="N28" s="243"/>
      <c r="O28" s="243"/>
      <c r="P28" s="243"/>
      <c r="Q28" s="243"/>
      <c r="R28" s="243"/>
      <c r="S28" s="242"/>
      <c r="T28" s="242"/>
      <c r="U28" s="242"/>
      <c r="V28" s="242"/>
      <c r="W28" s="242"/>
      <c r="X28" s="242"/>
      <c r="Y28" s="242"/>
      <c r="Z28" s="243"/>
      <c r="AA28" s="243"/>
      <c r="AB28" s="243"/>
      <c r="AC28" s="243"/>
      <c r="AD28" s="243"/>
      <c r="AE28" s="243"/>
      <c r="AF28" s="243"/>
      <c r="AG28" s="242"/>
      <c r="AH28" s="242"/>
      <c r="AI28" s="242"/>
      <c r="AJ28" s="242"/>
      <c r="AK28" s="242"/>
      <c r="AL28" s="242"/>
      <c r="AM28" s="242"/>
      <c r="AN28" s="243"/>
      <c r="AO28" s="243"/>
      <c r="AP28" s="243"/>
      <c r="AQ28" s="243"/>
      <c r="AR28" s="243"/>
      <c r="AS28" s="243"/>
      <c r="AT28" s="243"/>
      <c r="AU28" s="242"/>
      <c r="AV28" s="242"/>
      <c r="AW28" s="242"/>
      <c r="AX28" s="242"/>
      <c r="AY28" s="242"/>
      <c r="AZ28" s="242"/>
      <c r="BA28" s="242"/>
      <c r="BB28" s="243"/>
      <c r="BC28" s="243"/>
      <c r="BD28" s="243"/>
      <c r="BE28" s="243"/>
      <c r="BF28" s="243"/>
      <c r="BG28" s="243"/>
      <c r="BH28" s="243"/>
      <c r="BI28" s="242"/>
      <c r="BJ28" s="242"/>
      <c r="BK28" s="242"/>
      <c r="BL28" s="242"/>
      <c r="BM28" s="242"/>
      <c r="BN28" s="242"/>
      <c r="BO28" s="242"/>
      <c r="BP28" s="243"/>
      <c r="BQ28" s="243"/>
      <c r="BR28" s="243"/>
      <c r="BS28" s="243"/>
      <c r="BT28" s="243"/>
      <c r="BU28" s="243"/>
      <c r="BV28" s="243"/>
      <c r="BW28" s="242"/>
      <c r="BX28" s="242"/>
      <c r="BY28" s="242"/>
      <c r="BZ28" s="242"/>
      <c r="CA28" s="242"/>
      <c r="CB28" s="242"/>
      <c r="CC28" s="242"/>
      <c r="CD28" s="243"/>
      <c r="CE28" s="243"/>
      <c r="CF28" s="243"/>
      <c r="CG28" s="243"/>
      <c r="CH28" s="243"/>
      <c r="CI28" s="243"/>
      <c r="CJ28" s="243"/>
      <c r="CK28" s="242"/>
      <c r="CL28" s="242"/>
      <c r="CM28" s="242"/>
      <c r="CN28" s="242"/>
      <c r="CO28" s="242"/>
      <c r="CP28" s="242"/>
      <c r="CQ28" s="242"/>
      <c r="CR28" s="243"/>
      <c r="CS28" s="243"/>
      <c r="CT28" s="243"/>
      <c r="CU28" s="243"/>
      <c r="CV28" s="243"/>
      <c r="CW28" s="243"/>
      <c r="CX28" s="243"/>
      <c r="CY28" s="242"/>
      <c r="CZ28" s="242"/>
      <c r="DA28" s="242"/>
      <c r="DB28" s="242"/>
      <c r="DC28" s="242"/>
      <c r="DD28" s="242"/>
      <c r="DE28" s="242"/>
      <c r="DF28" s="243"/>
      <c r="DG28" s="243"/>
      <c r="DH28" s="243"/>
      <c r="DI28" s="243"/>
      <c r="DJ28" s="243"/>
      <c r="DK28" s="243"/>
      <c r="DL28" s="243"/>
      <c r="DM28" s="242"/>
      <c r="DN28" s="242"/>
      <c r="DO28" s="242"/>
      <c r="DP28" s="242"/>
      <c r="DQ28" s="242"/>
      <c r="DR28" s="242"/>
      <c r="DS28" s="242"/>
      <c r="DT28" s="243"/>
      <c r="DU28" s="243"/>
      <c r="DV28" s="243"/>
      <c r="DW28" s="243"/>
      <c r="DX28" s="243"/>
      <c r="DY28" s="243"/>
      <c r="DZ28" s="243"/>
      <c r="EA28" s="242"/>
      <c r="EB28" s="242"/>
      <c r="EC28" s="242"/>
      <c r="ED28" s="242"/>
      <c r="EE28" s="242"/>
      <c r="EF28" s="242"/>
      <c r="EG28" s="242"/>
      <c r="EH28" s="243">
        <v>18</v>
      </c>
      <c r="EI28" s="243">
        <v>24</v>
      </c>
      <c r="EJ28" s="243">
        <v>24</v>
      </c>
      <c r="EK28" s="243">
        <v>18</v>
      </c>
      <c r="EL28" s="243"/>
      <c r="EM28" s="243"/>
      <c r="EN28" s="243"/>
      <c r="EO28" s="242"/>
      <c r="EP28" s="242"/>
      <c r="EQ28" s="242"/>
      <c r="ER28" s="242"/>
      <c r="ES28" s="242"/>
      <c r="ET28" s="242"/>
      <c r="EU28" s="242"/>
      <c r="EV28" s="243"/>
      <c r="EW28" s="243"/>
      <c r="EX28" s="243"/>
      <c r="EY28" s="243"/>
      <c r="EZ28" s="243"/>
      <c r="FA28" s="243"/>
      <c r="FB28" s="243"/>
      <c r="FC28" s="242"/>
      <c r="FD28" s="242"/>
      <c r="FE28" s="242"/>
      <c r="FF28" s="242"/>
      <c r="FG28" s="242"/>
      <c r="FH28" s="242"/>
      <c r="FI28" s="242"/>
      <c r="FJ28" s="243"/>
      <c r="FK28" s="243"/>
      <c r="FL28" s="243"/>
      <c r="FM28" s="243"/>
      <c r="FN28" s="243"/>
      <c r="FO28" s="243"/>
      <c r="FP28" s="243"/>
      <c r="FQ28" s="242"/>
      <c r="FR28" s="242"/>
      <c r="FS28" s="242"/>
      <c r="FT28" s="242"/>
      <c r="FU28" s="242"/>
      <c r="FV28" s="242"/>
      <c r="FW28" s="242"/>
      <c r="FX28" s="243"/>
      <c r="FY28" s="243"/>
      <c r="FZ28" s="243"/>
      <c r="GA28" s="243"/>
      <c r="GB28" s="243"/>
      <c r="GC28" s="243"/>
      <c r="GD28" s="243"/>
      <c r="GE28" s="242"/>
      <c r="GF28" s="242"/>
      <c r="GG28" s="242"/>
      <c r="GH28" s="242"/>
      <c r="GI28" s="242"/>
      <c r="GJ28" s="242"/>
      <c r="GK28" s="242"/>
      <c r="GL28" s="243"/>
      <c r="GM28" s="243"/>
      <c r="GN28" s="243"/>
      <c r="GO28" s="243"/>
      <c r="GP28" s="243"/>
      <c r="GQ28" s="243"/>
      <c r="GR28" s="243"/>
      <c r="GS28" s="242"/>
      <c r="GT28" s="242"/>
      <c r="GU28" s="242"/>
      <c r="GV28" s="242"/>
      <c r="GW28" s="242"/>
      <c r="GX28" s="242"/>
      <c r="GY28" s="242"/>
      <c r="GZ28" s="243"/>
      <c r="HA28" s="243"/>
      <c r="HB28" s="243"/>
      <c r="HC28" s="243"/>
      <c r="HD28" s="243"/>
      <c r="HE28" s="243"/>
      <c r="HF28" s="243"/>
      <c r="HG28" s="242"/>
      <c r="HH28" s="242"/>
      <c r="HI28" s="242"/>
      <c r="HJ28" s="242"/>
      <c r="HK28" s="242"/>
      <c r="HL28" s="242"/>
      <c r="HM28" s="242"/>
      <c r="HN28" s="243"/>
      <c r="HO28" s="243"/>
      <c r="HP28" s="243"/>
      <c r="HQ28" s="243"/>
      <c r="HR28" s="243"/>
      <c r="HS28" s="243"/>
      <c r="HT28" s="243"/>
      <c r="HU28" s="242"/>
      <c r="HV28" s="242"/>
      <c r="HW28" s="242"/>
      <c r="HX28" s="242"/>
      <c r="HY28" s="242"/>
      <c r="HZ28" s="242"/>
      <c r="IA28" s="242"/>
      <c r="IB28" s="243"/>
      <c r="IC28" s="243"/>
      <c r="ID28" s="243"/>
      <c r="IE28" s="243"/>
      <c r="IF28" s="243"/>
      <c r="IG28" s="243"/>
      <c r="IH28" s="243"/>
      <c r="II28" s="242"/>
      <c r="IJ28" s="242"/>
      <c r="IK28" s="242"/>
      <c r="IL28" s="242"/>
      <c r="IM28" s="242"/>
      <c r="IN28" s="242"/>
      <c r="IO28" s="242"/>
      <c r="IP28" s="243"/>
      <c r="IQ28" s="243"/>
      <c r="IR28" s="243"/>
      <c r="IS28" s="243"/>
      <c r="IT28" s="243"/>
      <c r="IU28" s="243"/>
      <c r="IV28" s="243"/>
      <c r="IW28" s="242"/>
      <c r="IX28" s="242"/>
      <c r="IY28" s="242"/>
      <c r="IZ28" s="242"/>
      <c r="JA28" s="242"/>
      <c r="JB28" s="242"/>
      <c r="JC28" s="242"/>
      <c r="JD28" s="243"/>
      <c r="JE28" s="243"/>
      <c r="JF28" s="243"/>
      <c r="JG28" s="243"/>
      <c r="JH28" s="243"/>
      <c r="JI28" s="243"/>
      <c r="JJ28" s="243"/>
      <c r="JK28" s="242"/>
      <c r="JL28" s="242"/>
      <c r="JM28" s="242"/>
      <c r="JN28" s="242"/>
      <c r="JO28" s="242"/>
      <c r="JP28" s="242"/>
      <c r="JQ28" s="242"/>
      <c r="JR28" s="243"/>
      <c r="JS28" s="243"/>
      <c r="JT28" s="243"/>
      <c r="JU28" s="243"/>
      <c r="JV28" s="243"/>
      <c r="JW28" s="243"/>
      <c r="JX28" s="243"/>
      <c r="JY28" s="242"/>
      <c r="JZ28" s="242"/>
      <c r="KA28" s="242"/>
      <c r="KB28" s="242"/>
      <c r="KC28" s="242"/>
      <c r="KD28" s="242"/>
      <c r="KE28" s="242"/>
      <c r="KF28" s="243"/>
      <c r="KG28" s="243"/>
      <c r="KH28" s="243"/>
      <c r="KI28" s="243"/>
      <c r="KJ28" s="243"/>
      <c r="KK28" s="243"/>
      <c r="KL28" s="243"/>
      <c r="KM28" s="242"/>
      <c r="KN28" s="242"/>
      <c r="KO28" s="242"/>
      <c r="KP28" s="242"/>
      <c r="KQ28" s="242"/>
      <c r="KR28" s="242"/>
      <c r="KS28" s="242"/>
      <c r="KT28" s="243"/>
      <c r="KU28" s="243"/>
      <c r="KV28" s="243"/>
      <c r="KW28" s="243"/>
      <c r="KX28" s="243"/>
      <c r="KY28" s="243"/>
      <c r="KZ28" s="243"/>
      <c r="LA28" s="242"/>
      <c r="LB28" s="242"/>
      <c r="LC28" s="242"/>
      <c r="LD28" s="242"/>
      <c r="LE28" s="242"/>
      <c r="LF28" s="242"/>
      <c r="LG28" s="242"/>
      <c r="LH28" s="243"/>
      <c r="LI28" s="243"/>
      <c r="LJ28" s="243"/>
      <c r="LK28" s="243"/>
      <c r="LL28" s="243"/>
      <c r="LM28" s="243"/>
      <c r="LN28" s="243"/>
      <c r="LO28" s="242"/>
      <c r="LP28" s="242"/>
      <c r="LQ28" s="242"/>
      <c r="LR28" s="242"/>
      <c r="LS28" s="242"/>
      <c r="LT28" s="242"/>
      <c r="LU28" s="242"/>
      <c r="LV28" s="243"/>
      <c r="LW28" s="243"/>
      <c r="LX28" s="243"/>
      <c r="LY28" s="243"/>
      <c r="LZ28" s="243"/>
      <c r="MA28" s="243"/>
      <c r="MB28" s="243"/>
      <c r="MC28" s="242"/>
      <c r="MD28" s="242"/>
      <c r="ME28" s="242"/>
      <c r="MF28" s="242"/>
      <c r="MG28" s="242"/>
      <c r="MH28" s="242"/>
      <c r="MI28" s="242"/>
      <c r="MJ28" s="243"/>
      <c r="MK28" s="243"/>
      <c r="ML28" s="243"/>
      <c r="MM28" s="243"/>
      <c r="MN28" s="243"/>
      <c r="MO28" s="243"/>
      <c r="MP28" s="243"/>
      <c r="MQ28" s="242"/>
      <c r="MR28" s="242"/>
      <c r="MS28" s="242"/>
      <c r="MT28" s="242"/>
      <c r="MU28" s="242"/>
      <c r="MV28" s="242"/>
      <c r="MW28" s="242"/>
      <c r="MX28" s="243"/>
      <c r="MY28" s="243"/>
      <c r="MZ28" s="243"/>
      <c r="NA28" s="243"/>
      <c r="NB28" s="243"/>
      <c r="NC28" s="243"/>
      <c r="ND28" s="243"/>
      <c r="NE28" s="242"/>
      <c r="NF28" s="242"/>
      <c r="NG28" s="242"/>
      <c r="NH28" s="333"/>
    </row>
    <row r="29" spans="1:372">
      <c r="A29" s="251" t="s">
        <v>967</v>
      </c>
      <c r="B29" s="251" t="s">
        <v>33</v>
      </c>
      <c r="C29" s="251" t="s">
        <v>674</v>
      </c>
      <c r="D29" s="251" t="s">
        <v>997</v>
      </c>
      <c r="E29" s="241">
        <v>102.40386110056407</v>
      </c>
      <c r="F29" s="241">
        <v>134</v>
      </c>
      <c r="G29" s="242"/>
      <c r="H29" s="242"/>
      <c r="I29" s="242"/>
      <c r="J29" s="242"/>
      <c r="K29" s="242"/>
      <c r="L29" s="243"/>
      <c r="M29" s="243"/>
      <c r="N29" s="243"/>
      <c r="O29" s="243"/>
      <c r="P29" s="243"/>
      <c r="Q29" s="243"/>
      <c r="R29" s="243"/>
      <c r="S29" s="242"/>
      <c r="T29" s="242"/>
      <c r="U29" s="242"/>
      <c r="V29" s="242"/>
      <c r="W29" s="242"/>
      <c r="X29" s="242"/>
      <c r="Y29" s="242"/>
      <c r="Z29" s="243"/>
      <c r="AA29" s="243"/>
      <c r="AB29" s="243"/>
      <c r="AC29" s="243"/>
      <c r="AD29" s="243"/>
      <c r="AE29" s="243"/>
      <c r="AF29" s="243"/>
      <c r="AG29" s="242"/>
      <c r="AH29" s="242"/>
      <c r="AI29" s="242"/>
      <c r="AJ29" s="242"/>
      <c r="AK29" s="242"/>
      <c r="AL29" s="242"/>
      <c r="AM29" s="242"/>
      <c r="AN29" s="243"/>
      <c r="AO29" s="243"/>
      <c r="AP29" s="243"/>
      <c r="AQ29" s="243"/>
      <c r="AR29" s="243"/>
      <c r="AS29" s="243"/>
      <c r="AT29" s="243"/>
      <c r="AU29" s="242"/>
      <c r="AV29" s="242"/>
      <c r="AW29" s="242"/>
      <c r="AX29" s="242"/>
      <c r="AY29" s="242"/>
      <c r="AZ29" s="242"/>
      <c r="BA29" s="242"/>
      <c r="BB29" s="243"/>
      <c r="BC29" s="243"/>
      <c r="BD29" s="243"/>
      <c r="BE29" s="243"/>
      <c r="BF29" s="243"/>
      <c r="BG29" s="243"/>
      <c r="BH29" s="243"/>
      <c r="BI29" s="242"/>
      <c r="BJ29" s="242"/>
      <c r="BK29" s="242"/>
      <c r="BL29" s="242"/>
      <c r="BM29" s="242"/>
      <c r="BN29" s="242"/>
      <c r="BO29" s="242"/>
      <c r="BP29" s="243"/>
      <c r="BQ29" s="243">
        <v>8</v>
      </c>
      <c r="BR29" s="243">
        <v>24</v>
      </c>
      <c r="BS29" s="243"/>
      <c r="BT29" s="243"/>
      <c r="BU29" s="243"/>
      <c r="BV29" s="243"/>
      <c r="BW29" s="242"/>
      <c r="BX29" s="242"/>
      <c r="BY29" s="242"/>
      <c r="BZ29" s="242"/>
      <c r="CA29" s="242"/>
      <c r="CB29" s="242"/>
      <c r="CC29" s="242"/>
      <c r="CD29" s="243"/>
      <c r="CE29" s="243"/>
      <c r="CF29" s="243"/>
      <c r="CG29" s="243"/>
      <c r="CH29" s="243"/>
      <c r="CI29" s="243"/>
      <c r="CJ29" s="243"/>
      <c r="CK29" s="242"/>
      <c r="CL29" s="242"/>
      <c r="CM29" s="242"/>
      <c r="CN29" s="242"/>
      <c r="CO29" s="242"/>
      <c r="CP29" s="242"/>
      <c r="CQ29" s="242"/>
      <c r="CR29" s="243"/>
      <c r="CS29" s="243"/>
      <c r="CT29" s="243"/>
      <c r="CU29" s="243"/>
      <c r="CV29" s="243"/>
      <c r="CW29" s="243"/>
      <c r="CX29" s="243"/>
      <c r="CY29" s="242"/>
      <c r="CZ29" s="242"/>
      <c r="DA29" s="242"/>
      <c r="DB29" s="242"/>
      <c r="DC29" s="242"/>
      <c r="DD29" s="242"/>
      <c r="DE29" s="242"/>
      <c r="DF29" s="243"/>
      <c r="DG29" s="243"/>
      <c r="DH29" s="243"/>
      <c r="DI29" s="243"/>
      <c r="DJ29" s="243"/>
      <c r="DK29" s="243"/>
      <c r="DL29" s="243"/>
      <c r="DM29" s="242"/>
      <c r="DN29" s="242"/>
      <c r="DO29" s="242"/>
      <c r="DP29" s="242"/>
      <c r="DQ29" s="242"/>
      <c r="DR29" s="242"/>
      <c r="DS29" s="242"/>
      <c r="DT29" s="243"/>
      <c r="DU29" s="243"/>
      <c r="DV29" s="243"/>
      <c r="DW29" s="243"/>
      <c r="DX29" s="243"/>
      <c r="DY29" s="243"/>
      <c r="DZ29" s="243"/>
      <c r="EA29" s="242"/>
      <c r="EB29" s="242"/>
      <c r="EC29" s="242"/>
      <c r="ED29" s="242"/>
      <c r="EE29" s="242"/>
      <c r="EF29" s="242"/>
      <c r="EG29" s="242">
        <v>12</v>
      </c>
      <c r="EH29" s="243">
        <v>24</v>
      </c>
      <c r="EI29" s="243">
        <v>24</v>
      </c>
      <c r="EJ29" s="243">
        <v>24</v>
      </c>
      <c r="EK29" s="243">
        <v>18</v>
      </c>
      <c r="EL29" s="243"/>
      <c r="EM29" s="243"/>
      <c r="EN29" s="243"/>
      <c r="EO29" s="242"/>
      <c r="EP29" s="242"/>
      <c r="EQ29" s="242"/>
      <c r="ER29" s="242"/>
      <c r="ES29" s="242"/>
      <c r="ET29" s="242"/>
      <c r="EU29" s="242"/>
      <c r="EV29" s="243"/>
      <c r="EW29" s="243"/>
      <c r="EX29" s="243"/>
      <c r="EY29" s="243"/>
      <c r="EZ29" s="243"/>
      <c r="FA29" s="243"/>
      <c r="FB29" s="243"/>
      <c r="FC29" s="242"/>
      <c r="FD29" s="242"/>
      <c r="FE29" s="242"/>
      <c r="FF29" s="242"/>
      <c r="FG29" s="242"/>
      <c r="FH29" s="242"/>
      <c r="FI29" s="242"/>
      <c r="FJ29" s="243"/>
      <c r="FK29" s="243"/>
      <c r="FL29" s="243"/>
      <c r="FM29" s="243"/>
      <c r="FN29" s="243"/>
      <c r="FO29" s="243"/>
      <c r="FP29" s="243"/>
      <c r="FQ29" s="242"/>
      <c r="FR29" s="242"/>
      <c r="FS29" s="242"/>
      <c r="FT29" s="242"/>
      <c r="FU29" s="242"/>
      <c r="FV29" s="242"/>
      <c r="FW29" s="242"/>
      <c r="FX29" s="243"/>
      <c r="FY29" s="243"/>
      <c r="FZ29" s="243"/>
      <c r="GA29" s="243"/>
      <c r="GB29" s="243"/>
      <c r="GC29" s="243"/>
      <c r="GD29" s="243"/>
      <c r="GE29" s="242"/>
      <c r="GF29" s="242"/>
      <c r="GG29" s="242"/>
      <c r="GH29" s="242"/>
      <c r="GI29" s="242"/>
      <c r="GJ29" s="242"/>
      <c r="GK29" s="242"/>
      <c r="GL29" s="243"/>
      <c r="GM29" s="243"/>
      <c r="GN29" s="243"/>
      <c r="GO29" s="243"/>
      <c r="GP29" s="243"/>
      <c r="GQ29" s="243"/>
      <c r="GR29" s="243"/>
      <c r="GS29" s="242"/>
      <c r="GT29" s="242"/>
      <c r="GU29" s="242"/>
      <c r="GV29" s="242"/>
      <c r="GW29" s="242"/>
      <c r="GX29" s="242"/>
      <c r="GY29" s="242"/>
      <c r="GZ29" s="243"/>
      <c r="HA29" s="243"/>
      <c r="HB29" s="243"/>
      <c r="HC29" s="243"/>
      <c r="HD29" s="243"/>
      <c r="HE29" s="243"/>
      <c r="HF29" s="243"/>
      <c r="HG29" s="242"/>
      <c r="HH29" s="242"/>
      <c r="HI29" s="242"/>
      <c r="HJ29" s="242"/>
      <c r="HK29" s="242"/>
      <c r="HL29" s="242"/>
      <c r="HM29" s="242"/>
      <c r="HN29" s="243"/>
      <c r="HO29" s="243"/>
      <c r="HP29" s="243"/>
      <c r="HQ29" s="243"/>
      <c r="HR29" s="243"/>
      <c r="HS29" s="243"/>
      <c r="HT29" s="243"/>
      <c r="HU29" s="242"/>
      <c r="HV29" s="242"/>
      <c r="HW29" s="242"/>
      <c r="HX29" s="242"/>
      <c r="HY29" s="242"/>
      <c r="HZ29" s="242"/>
      <c r="IA29" s="242"/>
      <c r="IB29" s="243"/>
      <c r="IC29" s="243"/>
      <c r="ID29" s="243"/>
      <c r="IE29" s="243"/>
      <c r="IF29" s="243"/>
      <c r="IG29" s="243"/>
      <c r="IH29" s="243"/>
      <c r="II29" s="242"/>
      <c r="IJ29" s="242"/>
      <c r="IK29" s="242"/>
      <c r="IL29" s="242"/>
      <c r="IM29" s="242"/>
      <c r="IN29" s="242"/>
      <c r="IO29" s="242"/>
      <c r="IP29" s="243"/>
      <c r="IQ29" s="243"/>
      <c r="IR29" s="243"/>
      <c r="IS29" s="243"/>
      <c r="IT29" s="243"/>
      <c r="IU29" s="243"/>
      <c r="IV29" s="243"/>
      <c r="IW29" s="242"/>
      <c r="IX29" s="242"/>
      <c r="IY29" s="242"/>
      <c r="IZ29" s="242"/>
      <c r="JA29" s="242"/>
      <c r="JB29" s="242"/>
      <c r="JC29" s="242"/>
      <c r="JD29" s="243"/>
      <c r="JE29" s="243"/>
      <c r="JF29" s="243"/>
      <c r="JG29" s="243"/>
      <c r="JH29" s="243"/>
      <c r="JI29" s="243"/>
      <c r="JJ29" s="243"/>
      <c r="JK29" s="242"/>
      <c r="JL29" s="242"/>
      <c r="JM29" s="242"/>
      <c r="JN29" s="242"/>
      <c r="JO29" s="242"/>
      <c r="JP29" s="242"/>
      <c r="JQ29" s="242"/>
      <c r="JR29" s="243"/>
      <c r="JS29" s="243"/>
      <c r="JT29" s="243"/>
      <c r="JU29" s="243"/>
      <c r="JV29" s="243"/>
      <c r="JW29" s="243"/>
      <c r="JX29" s="243"/>
      <c r="JY29" s="242"/>
      <c r="JZ29" s="242"/>
      <c r="KA29" s="242"/>
      <c r="KB29" s="242"/>
      <c r="KC29" s="242"/>
      <c r="KD29" s="242"/>
      <c r="KE29" s="242"/>
      <c r="KF29" s="243"/>
      <c r="KG29" s="243"/>
      <c r="KH29" s="243"/>
      <c r="KI29" s="243"/>
      <c r="KJ29" s="243"/>
      <c r="KK29" s="243"/>
      <c r="KL29" s="243"/>
      <c r="KM29" s="242"/>
      <c r="KN29" s="242"/>
      <c r="KO29" s="242"/>
      <c r="KP29" s="242"/>
      <c r="KQ29" s="242"/>
      <c r="KR29" s="242"/>
      <c r="KS29" s="242"/>
      <c r="KT29" s="243"/>
      <c r="KU29" s="243"/>
      <c r="KV29" s="243"/>
      <c r="KW29" s="243"/>
      <c r="KX29" s="243"/>
      <c r="KY29" s="243"/>
      <c r="KZ29" s="243"/>
      <c r="LA29" s="242"/>
      <c r="LB29" s="242"/>
      <c r="LC29" s="242"/>
      <c r="LD29" s="242"/>
      <c r="LE29" s="242"/>
      <c r="LF29" s="242"/>
      <c r="LG29" s="242"/>
      <c r="LH29" s="243"/>
      <c r="LI29" s="243"/>
      <c r="LJ29" s="243"/>
      <c r="LK29" s="243"/>
      <c r="LL29" s="243"/>
      <c r="LM29" s="243"/>
      <c r="LN29" s="243"/>
      <c r="LO29" s="242"/>
      <c r="LP29" s="242"/>
      <c r="LQ29" s="242"/>
      <c r="LR29" s="242"/>
      <c r="LS29" s="242"/>
      <c r="LT29" s="242"/>
      <c r="LU29" s="242"/>
      <c r="LV29" s="243"/>
      <c r="LW29" s="243"/>
      <c r="LX29" s="243"/>
      <c r="LY29" s="243"/>
      <c r="LZ29" s="243"/>
      <c r="MA29" s="243"/>
      <c r="MB29" s="243"/>
      <c r="MC29" s="242"/>
      <c r="MD29" s="242"/>
      <c r="ME29" s="242"/>
      <c r="MF29" s="242"/>
      <c r="MG29" s="242"/>
      <c r="MH29" s="242"/>
      <c r="MI29" s="242"/>
      <c r="MJ29" s="243"/>
      <c r="MK29" s="243"/>
      <c r="ML29" s="243"/>
      <c r="MM29" s="243"/>
      <c r="MN29" s="243"/>
      <c r="MO29" s="243"/>
      <c r="MP29" s="243"/>
      <c r="MQ29" s="242"/>
      <c r="MR29" s="242"/>
      <c r="MS29" s="242"/>
      <c r="MT29" s="242"/>
      <c r="MU29" s="242"/>
      <c r="MV29" s="242"/>
      <c r="MW29" s="242"/>
      <c r="MX29" s="243"/>
      <c r="MY29" s="243"/>
      <c r="MZ29" s="243"/>
      <c r="NA29" s="243"/>
      <c r="NB29" s="243"/>
      <c r="NC29" s="243"/>
      <c r="ND29" s="243"/>
      <c r="NE29" s="242"/>
      <c r="NF29" s="242"/>
      <c r="NG29" s="242"/>
      <c r="NH29" s="333" t="s">
        <v>1118</v>
      </c>
    </row>
    <row r="30" spans="1:372">
      <c r="A30" s="251" t="s">
        <v>967</v>
      </c>
      <c r="B30" s="251" t="s">
        <v>31</v>
      </c>
      <c r="C30" s="251" t="s">
        <v>675</v>
      </c>
      <c r="D30" s="251" t="s">
        <v>982</v>
      </c>
      <c r="E30" s="241">
        <v>0</v>
      </c>
      <c r="F30" s="241">
        <v>128</v>
      </c>
      <c r="G30" s="242"/>
      <c r="H30" s="242"/>
      <c r="I30" s="242"/>
      <c r="J30" s="242"/>
      <c r="K30" s="242"/>
      <c r="L30" s="243"/>
      <c r="M30" s="243"/>
      <c r="N30" s="243"/>
      <c r="O30" s="243"/>
      <c r="P30" s="243"/>
      <c r="Q30" s="243"/>
      <c r="R30" s="243"/>
      <c r="S30" s="242"/>
      <c r="T30" s="242"/>
      <c r="U30" s="242"/>
      <c r="V30" s="242"/>
      <c r="W30" s="242"/>
      <c r="X30" s="242"/>
      <c r="Y30" s="242"/>
      <c r="Z30" s="243"/>
      <c r="AA30" s="243"/>
      <c r="AB30" s="243"/>
      <c r="AC30" s="243"/>
      <c r="AD30" s="243"/>
      <c r="AE30" s="243"/>
      <c r="AF30" s="243"/>
      <c r="AG30" s="242"/>
      <c r="AH30" s="242"/>
      <c r="AI30" s="242"/>
      <c r="AJ30" s="242"/>
      <c r="AK30" s="242"/>
      <c r="AL30" s="242"/>
      <c r="AM30" s="242"/>
      <c r="AN30" s="243"/>
      <c r="AO30" s="243"/>
      <c r="AP30" s="243"/>
      <c r="AQ30" s="243"/>
      <c r="AR30" s="243"/>
      <c r="AS30" s="243"/>
      <c r="AT30" s="243"/>
      <c r="AU30" s="242"/>
      <c r="AV30" s="242"/>
      <c r="AW30" s="242"/>
      <c r="AX30" s="242"/>
      <c r="AY30" s="242"/>
      <c r="AZ30" s="242"/>
      <c r="BA30" s="242"/>
      <c r="BB30" s="243"/>
      <c r="BC30" s="243"/>
      <c r="BD30" s="243"/>
      <c r="BE30" s="243"/>
      <c r="BF30" s="243"/>
      <c r="BG30" s="243"/>
      <c r="BH30" s="243"/>
      <c r="BI30" s="242"/>
      <c r="BJ30" s="242"/>
      <c r="BK30" s="242"/>
      <c r="BL30" s="242"/>
      <c r="BM30" s="242"/>
      <c r="BN30" s="242"/>
      <c r="BO30" s="242"/>
      <c r="BP30" s="243"/>
      <c r="BQ30" s="243"/>
      <c r="BR30" s="243"/>
      <c r="BS30" s="243"/>
      <c r="BT30" s="243"/>
      <c r="BU30" s="243"/>
      <c r="BV30" s="243"/>
      <c r="BW30" s="242"/>
      <c r="BX30" s="242"/>
      <c r="BY30" s="242"/>
      <c r="BZ30" s="242"/>
      <c r="CA30" s="242"/>
      <c r="CB30" s="242"/>
      <c r="CC30" s="242"/>
      <c r="CD30" s="243"/>
      <c r="CE30" s="243"/>
      <c r="CF30" s="243"/>
      <c r="CG30" s="243"/>
      <c r="CH30" s="243"/>
      <c r="CI30" s="243"/>
      <c r="CJ30" s="243"/>
      <c r="CK30" s="242"/>
      <c r="CL30" s="242"/>
      <c r="CM30" s="242"/>
      <c r="CN30" s="242"/>
      <c r="CO30" s="242"/>
      <c r="CP30" s="242"/>
      <c r="CQ30" s="242"/>
      <c r="CR30" s="243"/>
      <c r="CS30" s="243"/>
      <c r="CT30" s="243"/>
      <c r="CU30" s="243"/>
      <c r="CV30" s="243"/>
      <c r="CW30" s="243"/>
      <c r="CX30" s="243"/>
      <c r="CY30" s="242"/>
      <c r="CZ30" s="242"/>
      <c r="DA30" s="242"/>
      <c r="DB30" s="242"/>
      <c r="DC30" s="242"/>
      <c r="DD30" s="242"/>
      <c r="DE30" s="242"/>
      <c r="DF30" s="243"/>
      <c r="DG30" s="243"/>
      <c r="DH30" s="243"/>
      <c r="DI30" s="243"/>
      <c r="DJ30" s="243"/>
      <c r="DK30" s="243"/>
      <c r="DL30" s="243"/>
      <c r="DM30" s="242"/>
      <c r="DN30" s="242"/>
      <c r="DO30" s="242"/>
      <c r="DP30" s="242"/>
      <c r="DQ30" s="242"/>
      <c r="DR30" s="242"/>
      <c r="DS30" s="242"/>
      <c r="DT30" s="243"/>
      <c r="DU30" s="243"/>
      <c r="DV30" s="243"/>
      <c r="DW30" s="243"/>
      <c r="DX30" s="243"/>
      <c r="DY30" s="243"/>
      <c r="DZ30" s="243"/>
      <c r="EA30" s="242"/>
      <c r="EB30" s="242"/>
      <c r="EC30" s="242"/>
      <c r="ED30" s="242"/>
      <c r="EE30" s="242"/>
      <c r="EF30" s="242">
        <v>16</v>
      </c>
      <c r="EG30" s="242">
        <v>24</v>
      </c>
      <c r="EH30" s="243">
        <v>24</v>
      </c>
      <c r="EI30" s="243">
        <v>24</v>
      </c>
      <c r="EJ30" s="243">
        <v>24</v>
      </c>
      <c r="EK30" s="243">
        <v>16</v>
      </c>
      <c r="EL30" s="243"/>
      <c r="EM30" s="243"/>
      <c r="EN30" s="243"/>
      <c r="EO30" s="242"/>
      <c r="EP30" s="242"/>
      <c r="EQ30" s="242"/>
      <c r="ER30" s="242"/>
      <c r="ES30" s="242"/>
      <c r="ET30" s="242"/>
      <c r="EU30" s="242"/>
      <c r="EV30" s="243"/>
      <c r="EW30" s="243"/>
      <c r="EX30" s="243"/>
      <c r="EY30" s="243"/>
      <c r="EZ30" s="243"/>
      <c r="FA30" s="243"/>
      <c r="FB30" s="243"/>
      <c r="FC30" s="242"/>
      <c r="FD30" s="242"/>
      <c r="FE30" s="242"/>
      <c r="FF30" s="242"/>
      <c r="FG30" s="242"/>
      <c r="FH30" s="242"/>
      <c r="FI30" s="242"/>
      <c r="FJ30" s="243"/>
      <c r="FK30" s="243"/>
      <c r="FL30" s="243"/>
      <c r="FM30" s="243"/>
      <c r="FN30" s="243"/>
      <c r="FO30" s="243"/>
      <c r="FP30" s="243"/>
      <c r="FQ30" s="242"/>
      <c r="FR30" s="242"/>
      <c r="FS30" s="242"/>
      <c r="FT30" s="242"/>
      <c r="FU30" s="242"/>
      <c r="FV30" s="242"/>
      <c r="FW30" s="242"/>
      <c r="FX30" s="243"/>
      <c r="FY30" s="243"/>
      <c r="FZ30" s="243"/>
      <c r="GA30" s="243"/>
      <c r="GB30" s="243"/>
      <c r="GC30" s="243"/>
      <c r="GD30" s="243"/>
      <c r="GE30" s="242"/>
      <c r="GF30" s="242"/>
      <c r="GG30" s="242"/>
      <c r="GH30" s="242"/>
      <c r="GI30" s="242"/>
      <c r="GJ30" s="242"/>
      <c r="GK30" s="242"/>
      <c r="GL30" s="243"/>
      <c r="GM30" s="243"/>
      <c r="GN30" s="243"/>
      <c r="GO30" s="243"/>
      <c r="GP30" s="243"/>
      <c r="GQ30" s="243"/>
      <c r="GR30" s="243"/>
      <c r="GS30" s="242"/>
      <c r="GT30" s="242"/>
      <c r="GU30" s="242"/>
      <c r="GV30" s="242"/>
      <c r="GW30" s="242"/>
      <c r="GX30" s="242"/>
      <c r="GY30" s="242"/>
      <c r="GZ30" s="243"/>
      <c r="HA30" s="243"/>
      <c r="HB30" s="243"/>
      <c r="HC30" s="243"/>
      <c r="HD30" s="243"/>
      <c r="HE30" s="243"/>
      <c r="HF30" s="243"/>
      <c r="HG30" s="242"/>
      <c r="HH30" s="242"/>
      <c r="HI30" s="242"/>
      <c r="HJ30" s="242"/>
      <c r="HK30" s="242"/>
      <c r="HL30" s="242"/>
      <c r="HM30" s="242"/>
      <c r="HN30" s="243"/>
      <c r="HO30" s="243"/>
      <c r="HP30" s="243"/>
      <c r="HQ30" s="243"/>
      <c r="HR30" s="243"/>
      <c r="HS30" s="243"/>
      <c r="HT30" s="243"/>
      <c r="HU30" s="242"/>
      <c r="HV30" s="242"/>
      <c r="HW30" s="242"/>
      <c r="HX30" s="242"/>
      <c r="HY30" s="242"/>
      <c r="HZ30" s="242"/>
      <c r="IA30" s="242"/>
      <c r="IB30" s="243"/>
      <c r="IC30" s="243"/>
      <c r="ID30" s="243"/>
      <c r="IE30" s="243"/>
      <c r="IF30" s="243"/>
      <c r="IG30" s="243"/>
      <c r="IH30" s="243"/>
      <c r="II30" s="242"/>
      <c r="IJ30" s="242"/>
      <c r="IK30" s="242"/>
      <c r="IL30" s="242"/>
      <c r="IM30" s="242"/>
      <c r="IN30" s="242"/>
      <c r="IO30" s="242"/>
      <c r="IP30" s="243"/>
      <c r="IQ30" s="243"/>
      <c r="IR30" s="243"/>
      <c r="IS30" s="243"/>
      <c r="IT30" s="243"/>
      <c r="IU30" s="243"/>
      <c r="IV30" s="243"/>
      <c r="IW30" s="242"/>
      <c r="IX30" s="242"/>
      <c r="IY30" s="242"/>
      <c r="IZ30" s="242"/>
      <c r="JA30" s="242"/>
      <c r="JB30" s="242"/>
      <c r="JC30" s="242"/>
      <c r="JD30" s="243"/>
      <c r="JE30" s="243"/>
      <c r="JF30" s="243"/>
      <c r="JG30" s="243"/>
      <c r="JH30" s="243"/>
      <c r="JI30" s="243"/>
      <c r="JJ30" s="243"/>
      <c r="JK30" s="242"/>
      <c r="JL30" s="242"/>
      <c r="JM30" s="242"/>
      <c r="JN30" s="242"/>
      <c r="JO30" s="242"/>
      <c r="JP30" s="242"/>
      <c r="JQ30" s="242"/>
      <c r="JR30" s="243"/>
      <c r="JS30" s="243"/>
      <c r="JT30" s="243"/>
      <c r="JU30" s="243"/>
      <c r="JV30" s="243"/>
      <c r="JW30" s="243"/>
      <c r="JX30" s="243"/>
      <c r="JY30" s="242"/>
      <c r="JZ30" s="242"/>
      <c r="KA30" s="242"/>
      <c r="KB30" s="242"/>
      <c r="KC30" s="242"/>
      <c r="KD30" s="242"/>
      <c r="KE30" s="242"/>
      <c r="KF30" s="243"/>
      <c r="KG30" s="243"/>
      <c r="KH30" s="243"/>
      <c r="KI30" s="243"/>
      <c r="KJ30" s="243"/>
      <c r="KK30" s="243"/>
      <c r="KL30" s="243"/>
      <c r="KM30" s="242"/>
      <c r="KN30" s="242"/>
      <c r="KO30" s="242"/>
      <c r="KP30" s="242"/>
      <c r="KQ30" s="242"/>
      <c r="KR30" s="242"/>
      <c r="KS30" s="242"/>
      <c r="KT30" s="243"/>
      <c r="KU30" s="243"/>
      <c r="KV30" s="243"/>
      <c r="KW30" s="243"/>
      <c r="KX30" s="243"/>
      <c r="KY30" s="243"/>
      <c r="KZ30" s="243"/>
      <c r="LA30" s="242"/>
      <c r="LB30" s="242"/>
      <c r="LC30" s="242"/>
      <c r="LD30" s="242"/>
      <c r="LE30" s="242"/>
      <c r="LF30" s="242"/>
      <c r="LG30" s="242"/>
      <c r="LH30" s="243"/>
      <c r="LI30" s="243"/>
      <c r="LJ30" s="243"/>
      <c r="LK30" s="243"/>
      <c r="LL30" s="243"/>
      <c r="LM30" s="243"/>
      <c r="LN30" s="243"/>
      <c r="LO30" s="242"/>
      <c r="LP30" s="242"/>
      <c r="LQ30" s="242"/>
      <c r="LR30" s="242"/>
      <c r="LS30" s="242"/>
      <c r="LT30" s="242"/>
      <c r="LU30" s="242"/>
      <c r="LV30" s="243"/>
      <c r="LW30" s="243"/>
      <c r="LX30" s="243"/>
      <c r="LY30" s="243"/>
      <c r="LZ30" s="243"/>
      <c r="MA30" s="243"/>
      <c r="MB30" s="243"/>
      <c r="MC30" s="242"/>
      <c r="MD30" s="242"/>
      <c r="ME30" s="242"/>
      <c r="MF30" s="242"/>
      <c r="MG30" s="242"/>
      <c r="MH30" s="242"/>
      <c r="MI30" s="242"/>
      <c r="MJ30" s="243"/>
      <c r="MK30" s="243"/>
      <c r="ML30" s="243"/>
      <c r="MM30" s="243"/>
      <c r="MN30" s="243"/>
      <c r="MO30" s="243"/>
      <c r="MP30" s="243"/>
      <c r="MQ30" s="242"/>
      <c r="MR30" s="242"/>
      <c r="MS30" s="242"/>
      <c r="MT30" s="242"/>
      <c r="MU30" s="242"/>
      <c r="MV30" s="242"/>
      <c r="MW30" s="242"/>
      <c r="MX30" s="243"/>
      <c r="MY30" s="243"/>
      <c r="MZ30" s="243"/>
      <c r="NA30" s="243"/>
      <c r="NB30" s="243"/>
      <c r="NC30" s="243"/>
      <c r="ND30" s="243"/>
      <c r="NE30" s="242"/>
      <c r="NF30" s="242"/>
      <c r="NG30" s="242"/>
      <c r="NH30" s="333"/>
    </row>
    <row r="31" spans="1:372">
      <c r="A31" s="251" t="s">
        <v>968</v>
      </c>
      <c r="B31" s="251" t="s">
        <v>350</v>
      </c>
      <c r="C31" s="251" t="s">
        <v>675</v>
      </c>
      <c r="D31" s="251" t="s">
        <v>997</v>
      </c>
      <c r="E31" s="241">
        <v>0</v>
      </c>
      <c r="F31" s="241">
        <v>0</v>
      </c>
      <c r="G31" s="242"/>
      <c r="H31" s="242"/>
      <c r="I31" s="242"/>
      <c r="J31" s="242"/>
      <c r="K31" s="242"/>
      <c r="L31" s="243"/>
      <c r="M31" s="243"/>
      <c r="N31" s="243"/>
      <c r="O31" s="243"/>
      <c r="P31" s="243"/>
      <c r="Q31" s="243"/>
      <c r="R31" s="243"/>
      <c r="S31" s="242"/>
      <c r="T31" s="242"/>
      <c r="U31" s="242"/>
      <c r="V31" s="242"/>
      <c r="W31" s="242"/>
      <c r="X31" s="242"/>
      <c r="Y31" s="242"/>
      <c r="Z31" s="243"/>
      <c r="AA31" s="243"/>
      <c r="AB31" s="243"/>
      <c r="AC31" s="243"/>
      <c r="AD31" s="243"/>
      <c r="AE31" s="243"/>
      <c r="AF31" s="243"/>
      <c r="AG31" s="242"/>
      <c r="AH31" s="242"/>
      <c r="AI31" s="242"/>
      <c r="AJ31" s="242"/>
      <c r="AK31" s="242"/>
      <c r="AL31" s="242"/>
      <c r="AM31" s="242"/>
      <c r="AN31" s="243"/>
      <c r="AO31" s="243"/>
      <c r="AP31" s="243"/>
      <c r="AQ31" s="243"/>
      <c r="AR31" s="243"/>
      <c r="AS31" s="243"/>
      <c r="AT31" s="243"/>
      <c r="AU31" s="242"/>
      <c r="AV31" s="242"/>
      <c r="AW31" s="242"/>
      <c r="AX31" s="242"/>
      <c r="AY31" s="242"/>
      <c r="AZ31" s="242"/>
      <c r="BA31" s="242"/>
      <c r="BB31" s="243"/>
      <c r="BC31" s="243"/>
      <c r="BD31" s="243"/>
      <c r="BE31" s="243"/>
      <c r="BF31" s="243"/>
      <c r="BG31" s="243"/>
      <c r="BH31" s="243"/>
      <c r="BI31" s="242"/>
      <c r="BJ31" s="242"/>
      <c r="BK31" s="242"/>
      <c r="BL31" s="242"/>
      <c r="BM31" s="242"/>
      <c r="BN31" s="242"/>
      <c r="BO31" s="242"/>
      <c r="BP31" s="243"/>
      <c r="BQ31" s="243"/>
      <c r="BR31" s="243"/>
      <c r="BS31" s="243"/>
      <c r="BT31" s="243"/>
      <c r="BU31" s="243"/>
      <c r="BV31" s="243"/>
      <c r="BW31" s="242"/>
      <c r="BX31" s="242"/>
      <c r="BY31" s="242"/>
      <c r="BZ31" s="242"/>
      <c r="CA31" s="242"/>
      <c r="CB31" s="242"/>
      <c r="CC31" s="242"/>
      <c r="CD31" s="243"/>
      <c r="CE31" s="243"/>
      <c r="CF31" s="243"/>
      <c r="CG31" s="243"/>
      <c r="CH31" s="243"/>
      <c r="CI31" s="243"/>
      <c r="CJ31" s="243"/>
      <c r="CK31" s="242"/>
      <c r="CL31" s="242"/>
      <c r="CM31" s="242"/>
      <c r="CN31" s="242"/>
      <c r="CO31" s="242"/>
      <c r="CP31" s="242"/>
      <c r="CQ31" s="242"/>
      <c r="CR31" s="243"/>
      <c r="CS31" s="243"/>
      <c r="CT31" s="243"/>
      <c r="CU31" s="243"/>
      <c r="CV31" s="243"/>
      <c r="CW31" s="243"/>
      <c r="CX31" s="243"/>
      <c r="CY31" s="242"/>
      <c r="CZ31" s="242"/>
      <c r="DA31" s="242"/>
      <c r="DB31" s="242"/>
      <c r="DC31" s="242"/>
      <c r="DD31" s="242"/>
      <c r="DE31" s="242"/>
      <c r="DF31" s="243"/>
      <c r="DG31" s="243"/>
      <c r="DH31" s="243"/>
      <c r="DI31" s="243"/>
      <c r="DJ31" s="243"/>
      <c r="DK31" s="243"/>
      <c r="DL31" s="243"/>
      <c r="DM31" s="242"/>
      <c r="DN31" s="242"/>
      <c r="DO31" s="242"/>
      <c r="DP31" s="242"/>
      <c r="DQ31" s="242"/>
      <c r="DR31" s="242"/>
      <c r="DS31" s="242"/>
      <c r="DT31" s="243"/>
      <c r="DU31" s="243"/>
      <c r="DV31" s="243"/>
      <c r="DW31" s="243"/>
      <c r="DX31" s="243"/>
      <c r="DY31" s="243"/>
      <c r="DZ31" s="243"/>
      <c r="EA31" s="242"/>
      <c r="EB31" s="242"/>
      <c r="EC31" s="242"/>
      <c r="ED31" s="242"/>
      <c r="EE31" s="242"/>
      <c r="EF31" s="242"/>
      <c r="EG31" s="242"/>
      <c r="EH31" s="243"/>
      <c r="EI31" s="243"/>
      <c r="EJ31" s="243"/>
      <c r="EK31" s="243"/>
      <c r="EL31" s="243"/>
      <c r="EM31" s="243"/>
      <c r="EN31" s="243"/>
      <c r="EO31" s="242"/>
      <c r="EP31" s="242"/>
      <c r="EQ31" s="242"/>
      <c r="ER31" s="242"/>
      <c r="ES31" s="242"/>
      <c r="ET31" s="242"/>
      <c r="EU31" s="242"/>
      <c r="EV31" s="243"/>
      <c r="EW31" s="243"/>
      <c r="EX31" s="243"/>
      <c r="EY31" s="243"/>
      <c r="EZ31" s="243"/>
      <c r="FA31" s="243"/>
      <c r="FB31" s="243"/>
      <c r="FC31" s="242"/>
      <c r="FD31" s="242"/>
      <c r="FE31" s="242"/>
      <c r="FF31" s="242"/>
      <c r="FG31" s="242"/>
      <c r="FH31" s="242"/>
      <c r="FI31" s="242"/>
      <c r="FJ31" s="243"/>
      <c r="FK31" s="243"/>
      <c r="FL31" s="243"/>
      <c r="FM31" s="243"/>
      <c r="FN31" s="243"/>
      <c r="FO31" s="243"/>
      <c r="FP31" s="243"/>
      <c r="FQ31" s="242"/>
      <c r="FR31" s="242"/>
      <c r="FS31" s="242"/>
      <c r="FT31" s="242"/>
      <c r="FU31" s="242"/>
      <c r="FV31" s="242"/>
      <c r="FW31" s="242"/>
      <c r="FX31" s="243"/>
      <c r="FY31" s="243"/>
      <c r="FZ31" s="243"/>
      <c r="GA31" s="243"/>
      <c r="GB31" s="243"/>
      <c r="GC31" s="243"/>
      <c r="GD31" s="243"/>
      <c r="GE31" s="242"/>
      <c r="GF31" s="242"/>
      <c r="GG31" s="242"/>
      <c r="GH31" s="242"/>
      <c r="GI31" s="242"/>
      <c r="GJ31" s="242"/>
      <c r="GK31" s="242"/>
      <c r="GL31" s="243"/>
      <c r="GM31" s="243"/>
      <c r="GN31" s="243"/>
      <c r="GO31" s="243"/>
      <c r="GP31" s="243"/>
      <c r="GQ31" s="243"/>
      <c r="GR31" s="243"/>
      <c r="GS31" s="242"/>
      <c r="GT31" s="242"/>
      <c r="GU31" s="242"/>
      <c r="GV31" s="242"/>
      <c r="GW31" s="242"/>
      <c r="GX31" s="242"/>
      <c r="GY31" s="242"/>
      <c r="GZ31" s="243"/>
      <c r="HA31" s="243"/>
      <c r="HB31" s="243"/>
      <c r="HC31" s="243"/>
      <c r="HD31" s="243"/>
      <c r="HE31" s="243"/>
      <c r="HF31" s="243"/>
      <c r="HG31" s="242"/>
      <c r="HH31" s="242"/>
      <c r="HI31" s="242"/>
      <c r="HJ31" s="242"/>
      <c r="HK31" s="242"/>
      <c r="HL31" s="242"/>
      <c r="HM31" s="242"/>
      <c r="HN31" s="243"/>
      <c r="HO31" s="243"/>
      <c r="HP31" s="243"/>
      <c r="HQ31" s="243"/>
      <c r="HR31" s="243"/>
      <c r="HS31" s="243"/>
      <c r="HT31" s="243"/>
      <c r="HU31" s="242"/>
      <c r="HV31" s="242"/>
      <c r="HW31" s="242"/>
      <c r="HX31" s="242"/>
      <c r="HY31" s="242"/>
      <c r="HZ31" s="242"/>
      <c r="IA31" s="242"/>
      <c r="IB31" s="243"/>
      <c r="IC31" s="243"/>
      <c r="ID31" s="243"/>
      <c r="IE31" s="243"/>
      <c r="IF31" s="243"/>
      <c r="IG31" s="243"/>
      <c r="IH31" s="243"/>
      <c r="II31" s="242"/>
      <c r="IJ31" s="242"/>
      <c r="IK31" s="242"/>
      <c r="IL31" s="242"/>
      <c r="IM31" s="242"/>
      <c r="IN31" s="242"/>
      <c r="IO31" s="242"/>
      <c r="IP31" s="243"/>
      <c r="IQ31" s="243"/>
      <c r="IR31" s="243"/>
      <c r="IS31" s="243"/>
      <c r="IT31" s="243"/>
      <c r="IU31" s="243"/>
      <c r="IV31" s="243"/>
      <c r="IW31" s="242"/>
      <c r="IX31" s="242"/>
      <c r="IY31" s="242"/>
      <c r="IZ31" s="242"/>
      <c r="JA31" s="242"/>
      <c r="JB31" s="242"/>
      <c r="JC31" s="242"/>
      <c r="JD31" s="243"/>
      <c r="JE31" s="243"/>
      <c r="JF31" s="243"/>
      <c r="JG31" s="243"/>
      <c r="JH31" s="243"/>
      <c r="JI31" s="243"/>
      <c r="JJ31" s="243"/>
      <c r="JK31" s="242"/>
      <c r="JL31" s="242"/>
      <c r="JM31" s="242"/>
      <c r="JN31" s="242"/>
      <c r="JO31" s="242"/>
      <c r="JP31" s="242"/>
      <c r="JQ31" s="242"/>
      <c r="JR31" s="243"/>
      <c r="JS31" s="243"/>
      <c r="JT31" s="243"/>
      <c r="JU31" s="243"/>
      <c r="JV31" s="243"/>
      <c r="JW31" s="243"/>
      <c r="JX31" s="243"/>
      <c r="JY31" s="242"/>
      <c r="JZ31" s="242"/>
      <c r="KA31" s="242"/>
      <c r="KB31" s="242"/>
      <c r="KC31" s="242"/>
      <c r="KD31" s="242"/>
      <c r="KE31" s="242"/>
      <c r="KF31" s="243"/>
      <c r="KG31" s="243"/>
      <c r="KH31" s="243"/>
      <c r="KI31" s="243"/>
      <c r="KJ31" s="243"/>
      <c r="KK31" s="243"/>
      <c r="KL31" s="243"/>
      <c r="KM31" s="242"/>
      <c r="KN31" s="242"/>
      <c r="KO31" s="242"/>
      <c r="KP31" s="242"/>
      <c r="KQ31" s="242"/>
      <c r="KR31" s="242"/>
      <c r="KS31" s="242"/>
      <c r="KT31" s="243"/>
      <c r="KU31" s="243"/>
      <c r="KV31" s="243"/>
      <c r="KW31" s="243"/>
      <c r="KX31" s="243"/>
      <c r="KY31" s="243"/>
      <c r="KZ31" s="243"/>
      <c r="LA31" s="242"/>
      <c r="LB31" s="242"/>
      <c r="LC31" s="242"/>
      <c r="LD31" s="242"/>
      <c r="LE31" s="242"/>
      <c r="LF31" s="242"/>
      <c r="LG31" s="242"/>
      <c r="LH31" s="243"/>
      <c r="LI31" s="243"/>
      <c r="LJ31" s="243"/>
      <c r="LK31" s="243"/>
      <c r="LL31" s="243"/>
      <c r="LM31" s="243"/>
      <c r="LN31" s="243"/>
      <c r="LO31" s="242"/>
      <c r="LP31" s="242"/>
      <c r="LQ31" s="242"/>
      <c r="LR31" s="242"/>
      <c r="LS31" s="242"/>
      <c r="LT31" s="242"/>
      <c r="LU31" s="242"/>
      <c r="LV31" s="243"/>
      <c r="LW31" s="243"/>
      <c r="LX31" s="243"/>
      <c r="LY31" s="243"/>
      <c r="LZ31" s="243"/>
      <c r="MA31" s="243"/>
      <c r="MB31" s="243"/>
      <c r="MC31" s="242"/>
      <c r="MD31" s="242"/>
      <c r="ME31" s="242"/>
      <c r="MF31" s="242"/>
      <c r="MG31" s="242"/>
      <c r="MH31" s="242"/>
      <c r="MI31" s="242"/>
      <c r="MJ31" s="243"/>
      <c r="MK31" s="243"/>
      <c r="ML31" s="243"/>
      <c r="MM31" s="243"/>
      <c r="MN31" s="243"/>
      <c r="MO31" s="243"/>
      <c r="MP31" s="243"/>
      <c r="MQ31" s="242"/>
      <c r="MR31" s="242"/>
      <c r="MS31" s="242"/>
      <c r="MT31" s="242"/>
      <c r="MU31" s="242"/>
      <c r="MV31" s="242"/>
      <c r="MW31" s="242"/>
      <c r="MX31" s="243"/>
      <c r="MY31" s="243"/>
      <c r="MZ31" s="243"/>
      <c r="NA31" s="243"/>
      <c r="NB31" s="243"/>
      <c r="NC31" s="243"/>
      <c r="ND31" s="243"/>
      <c r="NE31" s="242"/>
      <c r="NF31" s="242"/>
      <c r="NG31" s="242"/>
      <c r="NH31" s="333"/>
    </row>
    <row r="32" spans="1:372">
      <c r="A32" s="251" t="s">
        <v>969</v>
      </c>
      <c r="B32" s="251" t="s">
        <v>581</v>
      </c>
      <c r="C32" s="251" t="s">
        <v>674</v>
      </c>
      <c r="D32" s="251" t="s">
        <v>982</v>
      </c>
      <c r="E32" s="241">
        <v>204.70368054978152</v>
      </c>
      <c r="F32" s="241">
        <v>216</v>
      </c>
      <c r="G32" s="242"/>
      <c r="H32" s="242"/>
      <c r="I32" s="242"/>
      <c r="J32" s="242"/>
      <c r="K32" s="242"/>
      <c r="L32" s="243"/>
      <c r="M32" s="243"/>
      <c r="N32" s="243"/>
      <c r="O32" s="243"/>
      <c r="P32" s="243"/>
      <c r="Q32" s="243"/>
      <c r="R32" s="243"/>
      <c r="S32" s="242"/>
      <c r="T32" s="242"/>
      <c r="U32" s="242"/>
      <c r="V32" s="242"/>
      <c r="W32" s="242"/>
      <c r="X32" s="242"/>
      <c r="Y32" s="242"/>
      <c r="Z32" s="243"/>
      <c r="AA32" s="243"/>
      <c r="AB32" s="243"/>
      <c r="AC32" s="243"/>
      <c r="AD32" s="243"/>
      <c r="AE32" s="243"/>
      <c r="AF32" s="243"/>
      <c r="AG32" s="242"/>
      <c r="AH32" s="242"/>
      <c r="AI32" s="242"/>
      <c r="AJ32" s="242"/>
      <c r="AK32" s="242"/>
      <c r="AL32" s="242"/>
      <c r="AM32" s="242"/>
      <c r="AN32" s="243"/>
      <c r="AO32" s="243"/>
      <c r="AP32" s="243"/>
      <c r="AQ32" s="243"/>
      <c r="AR32" s="243"/>
      <c r="AS32" s="243"/>
      <c r="AT32" s="243"/>
      <c r="AU32" s="242"/>
      <c r="AV32" s="242"/>
      <c r="AW32" s="242"/>
      <c r="AX32" s="242"/>
      <c r="AY32" s="242"/>
      <c r="AZ32" s="242"/>
      <c r="BA32" s="242"/>
      <c r="BB32" s="243"/>
      <c r="BC32" s="243"/>
      <c r="BD32" s="243"/>
      <c r="BE32" s="243"/>
      <c r="BF32" s="243"/>
      <c r="BG32" s="243"/>
      <c r="BH32" s="243"/>
      <c r="BI32" s="242"/>
      <c r="BJ32" s="242"/>
      <c r="BK32" s="242"/>
      <c r="BL32" s="242"/>
      <c r="BM32" s="242"/>
      <c r="BN32" s="242"/>
      <c r="BO32" s="242"/>
      <c r="BP32" s="243"/>
      <c r="BQ32" s="243"/>
      <c r="BR32" s="243"/>
      <c r="BS32" s="243"/>
      <c r="BT32" s="243"/>
      <c r="BU32" s="243"/>
      <c r="BV32" s="243"/>
      <c r="BW32" s="242"/>
      <c r="BX32" s="242"/>
      <c r="BY32" s="242"/>
      <c r="BZ32" s="242"/>
      <c r="CA32" s="242"/>
      <c r="CB32" s="242"/>
      <c r="CC32" s="242"/>
      <c r="CD32" s="243"/>
      <c r="CE32" s="243"/>
      <c r="CF32" s="243"/>
      <c r="CG32" s="243"/>
      <c r="CH32" s="243"/>
      <c r="CI32" s="243"/>
      <c r="CJ32" s="243"/>
      <c r="CK32" s="242"/>
      <c r="CL32" s="242"/>
      <c r="CM32" s="242"/>
      <c r="CN32" s="242"/>
      <c r="CO32" s="242"/>
      <c r="CP32" s="242"/>
      <c r="CQ32" s="242"/>
      <c r="CR32" s="243"/>
      <c r="CS32" s="243"/>
      <c r="CT32" s="243"/>
      <c r="CU32" s="243"/>
      <c r="CV32" s="243"/>
      <c r="CW32" s="243"/>
      <c r="CX32" s="243"/>
      <c r="CY32" s="242"/>
      <c r="CZ32" s="242"/>
      <c r="DA32" s="242"/>
      <c r="DB32" s="242"/>
      <c r="DC32" s="242"/>
      <c r="DD32" s="242"/>
      <c r="DE32" s="242"/>
      <c r="DF32" s="243"/>
      <c r="DG32" s="243"/>
      <c r="DH32" s="243"/>
      <c r="DI32" s="243"/>
      <c r="DJ32" s="243"/>
      <c r="DK32" s="243"/>
      <c r="DL32" s="243"/>
      <c r="DM32" s="242"/>
      <c r="DN32" s="242"/>
      <c r="DO32" s="242"/>
      <c r="DP32" s="242"/>
      <c r="DQ32" s="242"/>
      <c r="DR32" s="242"/>
      <c r="DS32" s="242"/>
      <c r="DT32" s="243"/>
      <c r="DU32" s="243"/>
      <c r="DV32" s="243"/>
      <c r="DW32" s="243"/>
      <c r="DX32" s="243"/>
      <c r="DY32" s="243"/>
      <c r="DZ32" s="243"/>
      <c r="EA32" s="242"/>
      <c r="EB32" s="242"/>
      <c r="EC32" s="242"/>
      <c r="ED32" s="242"/>
      <c r="EE32" s="242"/>
      <c r="EF32" s="242"/>
      <c r="EG32" s="242"/>
      <c r="EH32" s="243"/>
      <c r="EI32" s="243"/>
      <c r="EJ32" s="243"/>
      <c r="EK32" s="243"/>
      <c r="EL32" s="243"/>
      <c r="EM32" s="243"/>
      <c r="EN32" s="243"/>
      <c r="EO32" s="242"/>
      <c r="EP32" s="242"/>
      <c r="EQ32" s="242"/>
      <c r="ER32" s="242"/>
      <c r="ES32" s="242"/>
      <c r="ET32" s="242"/>
      <c r="EU32" s="242"/>
      <c r="EV32" s="243"/>
      <c r="EW32" s="243"/>
      <c r="EX32" s="243"/>
      <c r="EY32" s="243"/>
      <c r="EZ32" s="243"/>
      <c r="FA32" s="243"/>
      <c r="FB32" s="243"/>
      <c r="FC32" s="242"/>
      <c r="FD32" s="242"/>
      <c r="FE32" s="242"/>
      <c r="FF32" s="242"/>
      <c r="FG32" s="242"/>
      <c r="FH32" s="242"/>
      <c r="FI32" s="242"/>
      <c r="FJ32" s="243"/>
      <c r="FK32" s="243"/>
      <c r="FL32" s="243"/>
      <c r="FM32" s="243"/>
      <c r="FN32" s="243"/>
      <c r="FO32" s="243"/>
      <c r="FP32" s="243"/>
      <c r="FQ32" s="242"/>
      <c r="FR32" s="242"/>
      <c r="FS32" s="242"/>
      <c r="FT32" s="242"/>
      <c r="FU32" s="242"/>
      <c r="FV32" s="242"/>
      <c r="FW32" s="242"/>
      <c r="FX32" s="243"/>
      <c r="FY32" s="243"/>
      <c r="FZ32" s="243"/>
      <c r="GA32" s="243"/>
      <c r="GB32" s="243"/>
      <c r="GC32" s="243"/>
      <c r="GD32" s="243"/>
      <c r="GE32" s="242"/>
      <c r="GF32" s="242"/>
      <c r="GG32" s="242"/>
      <c r="GH32" s="242"/>
      <c r="GI32" s="242"/>
      <c r="GJ32" s="242"/>
      <c r="GK32" s="242"/>
      <c r="GL32" s="243"/>
      <c r="GM32" s="243"/>
      <c r="GN32" s="243"/>
      <c r="GO32" s="243"/>
      <c r="GP32" s="243"/>
      <c r="GQ32" s="243"/>
      <c r="GR32" s="243"/>
      <c r="GS32" s="242"/>
      <c r="GT32" s="242"/>
      <c r="GU32" s="242"/>
      <c r="GV32" s="242"/>
      <c r="GW32" s="242"/>
      <c r="GX32" s="242"/>
      <c r="GY32" s="242"/>
      <c r="GZ32" s="243"/>
      <c r="HA32" s="243"/>
      <c r="HB32" s="243"/>
      <c r="HC32" s="243"/>
      <c r="HD32" s="243"/>
      <c r="HE32" s="243"/>
      <c r="HF32" s="243"/>
      <c r="HG32" s="242"/>
      <c r="HH32" s="242"/>
      <c r="HI32" s="242"/>
      <c r="HJ32" s="242"/>
      <c r="HK32" s="242"/>
      <c r="HL32" s="242"/>
      <c r="HM32" s="242"/>
      <c r="HN32" s="243"/>
      <c r="HO32" s="243"/>
      <c r="HP32" s="243"/>
      <c r="HQ32" s="243"/>
      <c r="HR32" s="243"/>
      <c r="HS32" s="243"/>
      <c r="HT32" s="243"/>
      <c r="HU32" s="242"/>
      <c r="HV32" s="242"/>
      <c r="HW32" s="242"/>
      <c r="HX32" s="242"/>
      <c r="HY32" s="242"/>
      <c r="HZ32" s="242"/>
      <c r="IA32" s="242"/>
      <c r="IB32" s="243"/>
      <c r="IC32" s="243"/>
      <c r="ID32" s="243"/>
      <c r="IE32" s="243"/>
      <c r="IF32" s="243"/>
      <c r="IG32" s="243"/>
      <c r="IH32" s="243"/>
      <c r="II32" s="242"/>
      <c r="IJ32" s="242"/>
      <c r="IK32" s="242"/>
      <c r="IL32" s="242"/>
      <c r="IM32" s="242"/>
      <c r="IN32" s="242"/>
      <c r="IO32" s="242"/>
      <c r="IP32" s="243"/>
      <c r="IQ32" s="243"/>
      <c r="IR32" s="243"/>
      <c r="IS32" s="243"/>
      <c r="IT32" s="243"/>
      <c r="IU32" s="243"/>
      <c r="IV32" s="243"/>
      <c r="IW32" s="242"/>
      <c r="IX32" s="242">
        <v>24</v>
      </c>
      <c r="IY32" s="242">
        <v>24</v>
      </c>
      <c r="IZ32" s="242">
        <v>24</v>
      </c>
      <c r="JA32" s="242">
        <v>24</v>
      </c>
      <c r="JB32" s="242"/>
      <c r="JC32" s="242"/>
      <c r="JD32" s="243">
        <v>24</v>
      </c>
      <c r="JE32" s="243">
        <v>24</v>
      </c>
      <c r="JF32" s="243">
        <v>24</v>
      </c>
      <c r="JG32" s="243">
        <v>24</v>
      </c>
      <c r="JH32" s="243">
        <v>24</v>
      </c>
      <c r="JI32" s="243"/>
      <c r="JJ32" s="243"/>
      <c r="JK32" s="242"/>
      <c r="JL32" s="242"/>
      <c r="JM32" s="242"/>
      <c r="JN32" s="242"/>
      <c r="JO32" s="242"/>
      <c r="JP32" s="242"/>
      <c r="JQ32" s="242"/>
      <c r="JR32" s="243"/>
      <c r="JS32" s="243"/>
      <c r="JT32" s="243"/>
      <c r="JU32" s="243"/>
      <c r="JV32" s="243"/>
      <c r="JW32" s="243"/>
      <c r="JX32" s="243"/>
      <c r="JY32" s="242"/>
      <c r="JZ32" s="242"/>
      <c r="KA32" s="242"/>
      <c r="KB32" s="242"/>
      <c r="KC32" s="242"/>
      <c r="KD32" s="242"/>
      <c r="KE32" s="242"/>
      <c r="KF32" s="243"/>
      <c r="KG32" s="243"/>
      <c r="KH32" s="243"/>
      <c r="KI32" s="243"/>
      <c r="KJ32" s="243"/>
      <c r="KK32" s="243"/>
      <c r="KL32" s="243"/>
      <c r="KM32" s="242"/>
      <c r="KN32" s="242"/>
      <c r="KO32" s="242"/>
      <c r="KP32" s="242"/>
      <c r="KQ32" s="242"/>
      <c r="KR32" s="242"/>
      <c r="KS32" s="242"/>
      <c r="KT32" s="243"/>
      <c r="KU32" s="243"/>
      <c r="KV32" s="243"/>
      <c r="KW32" s="243"/>
      <c r="KX32" s="243"/>
      <c r="KY32" s="243"/>
      <c r="KZ32" s="243"/>
      <c r="LA32" s="242"/>
      <c r="LB32" s="242"/>
      <c r="LC32" s="242"/>
      <c r="LD32" s="242"/>
      <c r="LE32" s="242"/>
      <c r="LF32" s="242"/>
      <c r="LG32" s="242"/>
      <c r="LH32" s="243"/>
      <c r="LI32" s="243"/>
      <c r="LJ32" s="243"/>
      <c r="LK32" s="243"/>
      <c r="LL32" s="243"/>
      <c r="LM32" s="243"/>
      <c r="LN32" s="243"/>
      <c r="LO32" s="242"/>
      <c r="LP32" s="242"/>
      <c r="LQ32" s="242"/>
      <c r="LR32" s="242"/>
      <c r="LS32" s="242"/>
      <c r="LT32" s="242"/>
      <c r="LU32" s="242"/>
      <c r="LV32" s="243"/>
      <c r="LW32" s="243"/>
      <c r="LX32" s="243"/>
      <c r="LY32" s="243"/>
      <c r="LZ32" s="243"/>
      <c r="MA32" s="243"/>
      <c r="MB32" s="243"/>
      <c r="MC32" s="242"/>
      <c r="MD32" s="242"/>
      <c r="ME32" s="242"/>
      <c r="MF32" s="242"/>
      <c r="MG32" s="242"/>
      <c r="MH32" s="242"/>
      <c r="MI32" s="242"/>
      <c r="MJ32" s="243"/>
      <c r="MK32" s="243"/>
      <c r="ML32" s="243"/>
      <c r="MM32" s="243"/>
      <c r="MN32" s="243"/>
      <c r="MO32" s="243"/>
      <c r="MP32" s="243"/>
      <c r="MQ32" s="242"/>
      <c r="MR32" s="242"/>
      <c r="MS32" s="242"/>
      <c r="MT32" s="242"/>
      <c r="MU32" s="242"/>
      <c r="MV32" s="242"/>
      <c r="MW32" s="242"/>
      <c r="MX32" s="243"/>
      <c r="MY32" s="243"/>
      <c r="MZ32" s="243"/>
      <c r="NA32" s="243"/>
      <c r="NB32" s="243"/>
      <c r="NC32" s="243"/>
      <c r="ND32" s="243"/>
      <c r="NE32" s="242"/>
      <c r="NF32" s="242"/>
      <c r="NG32" s="242"/>
      <c r="NH32" s="333"/>
    </row>
    <row r="33" spans="1:372">
      <c r="A33" s="251" t="s">
        <v>969</v>
      </c>
      <c r="B33" s="251" t="s">
        <v>582</v>
      </c>
      <c r="C33" s="251" t="s">
        <v>674</v>
      </c>
      <c r="D33" s="251" t="s">
        <v>982</v>
      </c>
      <c r="E33" s="241">
        <v>205.16577776661441</v>
      </c>
      <c r="F33" s="241">
        <v>216</v>
      </c>
      <c r="G33" s="242"/>
      <c r="H33" s="242"/>
      <c r="I33" s="242"/>
      <c r="J33" s="242"/>
      <c r="K33" s="242"/>
      <c r="L33" s="243"/>
      <c r="M33" s="243"/>
      <c r="N33" s="243"/>
      <c r="O33" s="243"/>
      <c r="P33" s="243"/>
      <c r="Q33" s="243"/>
      <c r="R33" s="243"/>
      <c r="S33" s="242"/>
      <c r="T33" s="242"/>
      <c r="U33" s="242"/>
      <c r="V33" s="242"/>
      <c r="W33" s="242"/>
      <c r="X33" s="242"/>
      <c r="Y33" s="242"/>
      <c r="Z33" s="243"/>
      <c r="AA33" s="243"/>
      <c r="AB33" s="243"/>
      <c r="AC33" s="243"/>
      <c r="AD33" s="243"/>
      <c r="AE33" s="243"/>
      <c r="AF33" s="243"/>
      <c r="AG33" s="242"/>
      <c r="AH33" s="242"/>
      <c r="AI33" s="242"/>
      <c r="AJ33" s="242"/>
      <c r="AK33" s="242"/>
      <c r="AL33" s="242"/>
      <c r="AM33" s="242"/>
      <c r="AN33" s="243"/>
      <c r="AO33" s="243"/>
      <c r="AP33" s="243"/>
      <c r="AQ33" s="243"/>
      <c r="AR33" s="243"/>
      <c r="AS33" s="243"/>
      <c r="AT33" s="243"/>
      <c r="AU33" s="242"/>
      <c r="AV33" s="242"/>
      <c r="AW33" s="242"/>
      <c r="AX33" s="242"/>
      <c r="AY33" s="242"/>
      <c r="AZ33" s="242"/>
      <c r="BA33" s="242"/>
      <c r="BB33" s="243"/>
      <c r="BC33" s="243"/>
      <c r="BD33" s="243"/>
      <c r="BE33" s="243"/>
      <c r="BF33" s="243"/>
      <c r="BG33" s="243"/>
      <c r="BH33" s="243"/>
      <c r="BI33" s="242"/>
      <c r="BJ33" s="242"/>
      <c r="BK33" s="242"/>
      <c r="BL33" s="242"/>
      <c r="BM33" s="242"/>
      <c r="BN33" s="242"/>
      <c r="BO33" s="242"/>
      <c r="BP33" s="243"/>
      <c r="BQ33" s="243"/>
      <c r="BR33" s="243"/>
      <c r="BS33" s="243"/>
      <c r="BT33" s="243"/>
      <c r="BU33" s="243"/>
      <c r="BV33" s="243"/>
      <c r="BW33" s="242"/>
      <c r="BX33" s="242"/>
      <c r="BY33" s="242"/>
      <c r="BZ33" s="242"/>
      <c r="CA33" s="242"/>
      <c r="CB33" s="242"/>
      <c r="CC33" s="242"/>
      <c r="CD33" s="243"/>
      <c r="CE33" s="243"/>
      <c r="CF33" s="243"/>
      <c r="CG33" s="243"/>
      <c r="CH33" s="243"/>
      <c r="CI33" s="243"/>
      <c r="CJ33" s="243"/>
      <c r="CK33" s="242"/>
      <c r="CL33" s="242"/>
      <c r="CM33" s="242"/>
      <c r="CN33" s="242"/>
      <c r="CO33" s="242"/>
      <c r="CP33" s="242"/>
      <c r="CQ33" s="242"/>
      <c r="CR33" s="243"/>
      <c r="CS33" s="243"/>
      <c r="CT33" s="243"/>
      <c r="CU33" s="243"/>
      <c r="CV33" s="243"/>
      <c r="CW33" s="243"/>
      <c r="CX33" s="243"/>
      <c r="CY33" s="242"/>
      <c r="CZ33" s="242"/>
      <c r="DA33" s="242"/>
      <c r="DB33" s="242"/>
      <c r="DC33" s="242"/>
      <c r="DD33" s="242"/>
      <c r="DE33" s="242"/>
      <c r="DF33" s="243"/>
      <c r="DG33" s="243"/>
      <c r="DH33" s="243"/>
      <c r="DI33" s="243"/>
      <c r="DJ33" s="243"/>
      <c r="DK33" s="243"/>
      <c r="DL33" s="243"/>
      <c r="DM33" s="242"/>
      <c r="DN33" s="242"/>
      <c r="DO33" s="242"/>
      <c r="DP33" s="242"/>
      <c r="DQ33" s="242"/>
      <c r="DR33" s="242"/>
      <c r="DS33" s="242"/>
      <c r="DT33" s="243"/>
      <c r="DU33" s="243"/>
      <c r="DV33" s="243"/>
      <c r="DW33" s="243"/>
      <c r="DX33" s="243"/>
      <c r="DY33" s="243"/>
      <c r="DZ33" s="243"/>
      <c r="EA33" s="242"/>
      <c r="EB33" s="242"/>
      <c r="EC33" s="242"/>
      <c r="ED33" s="242"/>
      <c r="EE33" s="242"/>
      <c r="EF33" s="242"/>
      <c r="EG33" s="242"/>
      <c r="EH33" s="243"/>
      <c r="EI33" s="243"/>
      <c r="EJ33" s="243"/>
      <c r="EK33" s="243"/>
      <c r="EL33" s="243"/>
      <c r="EM33" s="243"/>
      <c r="EN33" s="243"/>
      <c r="EO33" s="242"/>
      <c r="EP33" s="242"/>
      <c r="EQ33" s="242"/>
      <c r="ER33" s="242"/>
      <c r="ES33" s="242"/>
      <c r="ET33" s="242"/>
      <c r="EU33" s="242"/>
      <c r="EV33" s="243"/>
      <c r="EW33" s="243"/>
      <c r="EX33" s="243"/>
      <c r="EY33" s="243"/>
      <c r="EZ33" s="243"/>
      <c r="FA33" s="243"/>
      <c r="FB33" s="243"/>
      <c r="FC33" s="242"/>
      <c r="FD33" s="242"/>
      <c r="FE33" s="242"/>
      <c r="FF33" s="242"/>
      <c r="FG33" s="242"/>
      <c r="FH33" s="242"/>
      <c r="FI33" s="242"/>
      <c r="FJ33" s="243"/>
      <c r="FK33" s="243"/>
      <c r="FL33" s="243"/>
      <c r="FM33" s="243"/>
      <c r="FN33" s="243"/>
      <c r="FO33" s="243"/>
      <c r="FP33" s="243"/>
      <c r="FQ33" s="242"/>
      <c r="FR33" s="242"/>
      <c r="FS33" s="242"/>
      <c r="FT33" s="242"/>
      <c r="FU33" s="242"/>
      <c r="FV33" s="242"/>
      <c r="FW33" s="242"/>
      <c r="FX33" s="243"/>
      <c r="FY33" s="243"/>
      <c r="FZ33" s="243"/>
      <c r="GA33" s="243"/>
      <c r="GB33" s="243"/>
      <c r="GC33" s="243"/>
      <c r="GD33" s="243"/>
      <c r="GE33" s="242"/>
      <c r="GF33" s="242"/>
      <c r="GG33" s="242"/>
      <c r="GH33" s="242"/>
      <c r="GI33" s="242"/>
      <c r="GJ33" s="242"/>
      <c r="GK33" s="242"/>
      <c r="GL33" s="243"/>
      <c r="GM33" s="243"/>
      <c r="GN33" s="243"/>
      <c r="GO33" s="243"/>
      <c r="GP33" s="243"/>
      <c r="GQ33" s="243"/>
      <c r="GR33" s="243"/>
      <c r="GS33" s="242"/>
      <c r="GT33" s="242"/>
      <c r="GU33" s="242"/>
      <c r="GV33" s="242"/>
      <c r="GW33" s="242"/>
      <c r="GX33" s="242"/>
      <c r="GY33" s="242"/>
      <c r="GZ33" s="243"/>
      <c r="HA33" s="243"/>
      <c r="HB33" s="243"/>
      <c r="HC33" s="243"/>
      <c r="HD33" s="243"/>
      <c r="HE33" s="243"/>
      <c r="HF33" s="243"/>
      <c r="HG33" s="242"/>
      <c r="HH33" s="242"/>
      <c r="HI33" s="242"/>
      <c r="HJ33" s="242"/>
      <c r="HK33" s="242"/>
      <c r="HL33" s="242"/>
      <c r="HM33" s="242"/>
      <c r="HN33" s="243"/>
      <c r="HO33" s="243"/>
      <c r="HP33" s="243"/>
      <c r="HQ33" s="243"/>
      <c r="HR33" s="243"/>
      <c r="HS33" s="243"/>
      <c r="HT33" s="243"/>
      <c r="HU33" s="242"/>
      <c r="HV33" s="242"/>
      <c r="HW33" s="242"/>
      <c r="HX33" s="242"/>
      <c r="HY33" s="242"/>
      <c r="HZ33" s="242"/>
      <c r="IA33" s="242"/>
      <c r="IB33" s="243"/>
      <c r="IC33" s="243"/>
      <c r="ID33" s="243"/>
      <c r="IE33" s="243"/>
      <c r="IF33" s="243"/>
      <c r="IG33" s="243"/>
      <c r="IH33" s="243"/>
      <c r="II33" s="242"/>
      <c r="IJ33" s="242"/>
      <c r="IK33" s="242"/>
      <c r="IL33" s="242"/>
      <c r="IM33" s="242"/>
      <c r="IN33" s="242"/>
      <c r="IO33" s="242"/>
      <c r="IP33" s="243"/>
      <c r="IQ33" s="243"/>
      <c r="IR33" s="243"/>
      <c r="IS33" s="243"/>
      <c r="IT33" s="243"/>
      <c r="IU33" s="243"/>
      <c r="IV33" s="243"/>
      <c r="IW33" s="242"/>
      <c r="IX33" s="242">
        <v>24</v>
      </c>
      <c r="IY33" s="242">
        <v>24</v>
      </c>
      <c r="IZ33" s="242">
        <v>24</v>
      </c>
      <c r="JA33" s="242">
        <v>24</v>
      </c>
      <c r="JB33" s="242"/>
      <c r="JC33" s="242"/>
      <c r="JD33" s="243">
        <v>24</v>
      </c>
      <c r="JE33" s="243">
        <v>24</v>
      </c>
      <c r="JF33" s="243">
        <v>24</v>
      </c>
      <c r="JG33" s="243">
        <v>24</v>
      </c>
      <c r="JH33" s="243">
        <v>24</v>
      </c>
      <c r="JI33" s="243"/>
      <c r="JJ33" s="243"/>
      <c r="JK33" s="242"/>
      <c r="JL33" s="242"/>
      <c r="JM33" s="242"/>
      <c r="JN33" s="242"/>
      <c r="JO33" s="242"/>
      <c r="JP33" s="242"/>
      <c r="JQ33" s="242"/>
      <c r="JR33" s="243"/>
      <c r="JS33" s="243"/>
      <c r="JT33" s="243"/>
      <c r="JU33" s="243"/>
      <c r="JV33" s="243"/>
      <c r="JW33" s="243"/>
      <c r="JX33" s="243"/>
      <c r="JY33" s="242"/>
      <c r="JZ33" s="242"/>
      <c r="KA33" s="242"/>
      <c r="KB33" s="242"/>
      <c r="KC33" s="242"/>
      <c r="KD33" s="242"/>
      <c r="KE33" s="242"/>
      <c r="KF33" s="243"/>
      <c r="KG33" s="243"/>
      <c r="KH33" s="243"/>
      <c r="KI33" s="243"/>
      <c r="KJ33" s="243"/>
      <c r="KK33" s="243"/>
      <c r="KL33" s="243"/>
      <c r="KM33" s="242"/>
      <c r="KN33" s="242"/>
      <c r="KO33" s="242"/>
      <c r="KP33" s="242"/>
      <c r="KQ33" s="242"/>
      <c r="KR33" s="242"/>
      <c r="KS33" s="242"/>
      <c r="KT33" s="243"/>
      <c r="KU33" s="243"/>
      <c r="KV33" s="243"/>
      <c r="KW33" s="243"/>
      <c r="KX33" s="243"/>
      <c r="KY33" s="243"/>
      <c r="KZ33" s="243"/>
      <c r="LA33" s="242"/>
      <c r="LB33" s="242"/>
      <c r="LC33" s="242"/>
      <c r="LD33" s="242"/>
      <c r="LE33" s="242"/>
      <c r="LF33" s="242"/>
      <c r="LG33" s="242"/>
      <c r="LH33" s="243"/>
      <c r="LI33" s="243"/>
      <c r="LJ33" s="243"/>
      <c r="LK33" s="243"/>
      <c r="LL33" s="243"/>
      <c r="LM33" s="243"/>
      <c r="LN33" s="243"/>
      <c r="LO33" s="242"/>
      <c r="LP33" s="242"/>
      <c r="LQ33" s="242"/>
      <c r="LR33" s="242"/>
      <c r="LS33" s="242"/>
      <c r="LT33" s="242"/>
      <c r="LU33" s="242"/>
      <c r="LV33" s="243"/>
      <c r="LW33" s="243"/>
      <c r="LX33" s="243"/>
      <c r="LY33" s="243"/>
      <c r="LZ33" s="243"/>
      <c r="MA33" s="243"/>
      <c r="MB33" s="243"/>
      <c r="MC33" s="242"/>
      <c r="MD33" s="242"/>
      <c r="ME33" s="242"/>
      <c r="MF33" s="242"/>
      <c r="MG33" s="242"/>
      <c r="MH33" s="242"/>
      <c r="MI33" s="242"/>
      <c r="MJ33" s="243"/>
      <c r="MK33" s="243"/>
      <c r="ML33" s="243"/>
      <c r="MM33" s="243"/>
      <c r="MN33" s="243"/>
      <c r="MO33" s="243"/>
      <c r="MP33" s="243"/>
      <c r="MQ33" s="242"/>
      <c r="MR33" s="242"/>
      <c r="MS33" s="242"/>
      <c r="MT33" s="242"/>
      <c r="MU33" s="242"/>
      <c r="MV33" s="242"/>
      <c r="MW33" s="242"/>
      <c r="MX33" s="243"/>
      <c r="MY33" s="243"/>
      <c r="MZ33" s="243"/>
      <c r="NA33" s="243"/>
      <c r="NB33" s="243"/>
      <c r="NC33" s="243"/>
      <c r="ND33" s="243"/>
      <c r="NE33" s="242"/>
      <c r="NF33" s="242"/>
      <c r="NG33" s="242"/>
      <c r="NH33" s="333"/>
    </row>
    <row r="34" spans="1:372">
      <c r="A34" s="251" t="s">
        <v>969</v>
      </c>
      <c r="B34" s="251" t="s">
        <v>583</v>
      </c>
      <c r="C34" s="251" t="s">
        <v>674</v>
      </c>
      <c r="D34" s="251" t="s">
        <v>982</v>
      </c>
      <c r="E34" s="241">
        <v>205.889236099947</v>
      </c>
      <c r="F34" s="241">
        <v>216</v>
      </c>
      <c r="G34" s="242"/>
      <c r="H34" s="242"/>
      <c r="I34" s="242"/>
      <c r="J34" s="242"/>
      <c r="K34" s="242"/>
      <c r="L34" s="243"/>
      <c r="M34" s="243"/>
      <c r="N34" s="243"/>
      <c r="O34" s="243"/>
      <c r="P34" s="243"/>
      <c r="Q34" s="243"/>
      <c r="R34" s="243"/>
      <c r="S34" s="242"/>
      <c r="T34" s="242"/>
      <c r="U34" s="242"/>
      <c r="V34" s="242"/>
      <c r="W34" s="242"/>
      <c r="X34" s="242"/>
      <c r="Y34" s="242"/>
      <c r="Z34" s="243"/>
      <c r="AA34" s="243"/>
      <c r="AB34" s="243"/>
      <c r="AC34" s="243"/>
      <c r="AD34" s="243"/>
      <c r="AE34" s="243"/>
      <c r="AF34" s="243"/>
      <c r="AG34" s="242"/>
      <c r="AH34" s="242"/>
      <c r="AI34" s="242"/>
      <c r="AJ34" s="242"/>
      <c r="AK34" s="242"/>
      <c r="AL34" s="242"/>
      <c r="AM34" s="242"/>
      <c r="AN34" s="243"/>
      <c r="AO34" s="243"/>
      <c r="AP34" s="243"/>
      <c r="AQ34" s="243"/>
      <c r="AR34" s="243"/>
      <c r="AS34" s="243"/>
      <c r="AT34" s="243"/>
      <c r="AU34" s="242"/>
      <c r="AV34" s="242"/>
      <c r="AW34" s="242"/>
      <c r="AX34" s="242"/>
      <c r="AY34" s="242"/>
      <c r="AZ34" s="242"/>
      <c r="BA34" s="242"/>
      <c r="BB34" s="243"/>
      <c r="BC34" s="243"/>
      <c r="BD34" s="243"/>
      <c r="BE34" s="243"/>
      <c r="BF34" s="243"/>
      <c r="BG34" s="243"/>
      <c r="BH34" s="243"/>
      <c r="BI34" s="242"/>
      <c r="BJ34" s="242"/>
      <c r="BK34" s="242"/>
      <c r="BL34" s="242"/>
      <c r="BM34" s="242"/>
      <c r="BN34" s="242"/>
      <c r="BO34" s="242"/>
      <c r="BP34" s="243"/>
      <c r="BQ34" s="243"/>
      <c r="BR34" s="243"/>
      <c r="BS34" s="243"/>
      <c r="BT34" s="243"/>
      <c r="BU34" s="243"/>
      <c r="BV34" s="243"/>
      <c r="BW34" s="242"/>
      <c r="BX34" s="242"/>
      <c r="BY34" s="242"/>
      <c r="BZ34" s="242"/>
      <c r="CA34" s="242"/>
      <c r="CB34" s="242"/>
      <c r="CC34" s="242"/>
      <c r="CD34" s="243"/>
      <c r="CE34" s="243"/>
      <c r="CF34" s="243"/>
      <c r="CG34" s="243"/>
      <c r="CH34" s="243"/>
      <c r="CI34" s="243"/>
      <c r="CJ34" s="243"/>
      <c r="CK34" s="242"/>
      <c r="CL34" s="242"/>
      <c r="CM34" s="242"/>
      <c r="CN34" s="242"/>
      <c r="CO34" s="242"/>
      <c r="CP34" s="242"/>
      <c r="CQ34" s="242"/>
      <c r="CR34" s="243"/>
      <c r="CS34" s="243"/>
      <c r="CT34" s="243"/>
      <c r="CU34" s="243"/>
      <c r="CV34" s="243"/>
      <c r="CW34" s="243"/>
      <c r="CX34" s="243"/>
      <c r="CY34" s="242"/>
      <c r="CZ34" s="242"/>
      <c r="DA34" s="242"/>
      <c r="DB34" s="242"/>
      <c r="DC34" s="242"/>
      <c r="DD34" s="242"/>
      <c r="DE34" s="242"/>
      <c r="DF34" s="243"/>
      <c r="DG34" s="243"/>
      <c r="DH34" s="243"/>
      <c r="DI34" s="243"/>
      <c r="DJ34" s="243"/>
      <c r="DK34" s="243"/>
      <c r="DL34" s="243"/>
      <c r="DM34" s="242"/>
      <c r="DN34" s="242"/>
      <c r="DO34" s="242"/>
      <c r="DP34" s="242"/>
      <c r="DQ34" s="242"/>
      <c r="DR34" s="242"/>
      <c r="DS34" s="242"/>
      <c r="DT34" s="243"/>
      <c r="DU34" s="243"/>
      <c r="DV34" s="243"/>
      <c r="DW34" s="243"/>
      <c r="DX34" s="243"/>
      <c r="DY34" s="243"/>
      <c r="DZ34" s="243"/>
      <c r="EA34" s="242"/>
      <c r="EB34" s="242"/>
      <c r="EC34" s="242"/>
      <c r="ED34" s="242"/>
      <c r="EE34" s="242"/>
      <c r="EF34" s="242"/>
      <c r="EG34" s="242"/>
      <c r="EH34" s="243"/>
      <c r="EI34" s="243"/>
      <c r="EJ34" s="243"/>
      <c r="EK34" s="243"/>
      <c r="EL34" s="243"/>
      <c r="EM34" s="243"/>
      <c r="EN34" s="243"/>
      <c r="EO34" s="242"/>
      <c r="EP34" s="242"/>
      <c r="EQ34" s="242"/>
      <c r="ER34" s="242"/>
      <c r="ES34" s="242"/>
      <c r="ET34" s="242"/>
      <c r="EU34" s="242"/>
      <c r="EV34" s="243"/>
      <c r="EW34" s="243"/>
      <c r="EX34" s="243"/>
      <c r="EY34" s="243"/>
      <c r="EZ34" s="243"/>
      <c r="FA34" s="243"/>
      <c r="FB34" s="243"/>
      <c r="FC34" s="242"/>
      <c r="FD34" s="242"/>
      <c r="FE34" s="242"/>
      <c r="FF34" s="242"/>
      <c r="FG34" s="242"/>
      <c r="FH34" s="242"/>
      <c r="FI34" s="242"/>
      <c r="FJ34" s="243"/>
      <c r="FK34" s="243"/>
      <c r="FL34" s="243"/>
      <c r="FM34" s="243"/>
      <c r="FN34" s="243"/>
      <c r="FO34" s="243"/>
      <c r="FP34" s="243"/>
      <c r="FQ34" s="242"/>
      <c r="FR34" s="242"/>
      <c r="FS34" s="242"/>
      <c r="FT34" s="242"/>
      <c r="FU34" s="242"/>
      <c r="FV34" s="242"/>
      <c r="FW34" s="242"/>
      <c r="FX34" s="243"/>
      <c r="FY34" s="243"/>
      <c r="FZ34" s="243"/>
      <c r="GA34" s="243"/>
      <c r="GB34" s="243"/>
      <c r="GC34" s="243"/>
      <c r="GD34" s="243"/>
      <c r="GE34" s="242"/>
      <c r="GF34" s="242"/>
      <c r="GG34" s="242"/>
      <c r="GH34" s="242"/>
      <c r="GI34" s="242"/>
      <c r="GJ34" s="242"/>
      <c r="GK34" s="242"/>
      <c r="GL34" s="243"/>
      <c r="GM34" s="243"/>
      <c r="GN34" s="243"/>
      <c r="GO34" s="243"/>
      <c r="GP34" s="243"/>
      <c r="GQ34" s="243"/>
      <c r="GR34" s="243"/>
      <c r="GS34" s="242"/>
      <c r="GT34" s="242"/>
      <c r="GU34" s="242"/>
      <c r="GV34" s="242"/>
      <c r="GW34" s="242"/>
      <c r="GX34" s="242"/>
      <c r="GY34" s="242"/>
      <c r="GZ34" s="243"/>
      <c r="HA34" s="243"/>
      <c r="HB34" s="243"/>
      <c r="HC34" s="243"/>
      <c r="HD34" s="243"/>
      <c r="HE34" s="243"/>
      <c r="HF34" s="243"/>
      <c r="HG34" s="242"/>
      <c r="HH34" s="242"/>
      <c r="HI34" s="242"/>
      <c r="HJ34" s="242"/>
      <c r="HK34" s="242"/>
      <c r="HL34" s="242"/>
      <c r="HM34" s="242"/>
      <c r="HN34" s="243"/>
      <c r="HO34" s="243"/>
      <c r="HP34" s="243"/>
      <c r="HQ34" s="243"/>
      <c r="HR34" s="243"/>
      <c r="HS34" s="243"/>
      <c r="HT34" s="243"/>
      <c r="HU34" s="242"/>
      <c r="HV34" s="242"/>
      <c r="HW34" s="242"/>
      <c r="HX34" s="242"/>
      <c r="HY34" s="242"/>
      <c r="HZ34" s="242"/>
      <c r="IA34" s="242"/>
      <c r="IB34" s="243"/>
      <c r="IC34" s="243"/>
      <c r="ID34" s="243"/>
      <c r="IE34" s="243"/>
      <c r="IF34" s="243"/>
      <c r="IG34" s="243"/>
      <c r="IH34" s="243"/>
      <c r="II34" s="242"/>
      <c r="IJ34" s="242"/>
      <c r="IK34" s="242"/>
      <c r="IL34" s="242"/>
      <c r="IM34" s="242"/>
      <c r="IN34" s="242"/>
      <c r="IO34" s="242"/>
      <c r="IP34" s="243"/>
      <c r="IQ34" s="243"/>
      <c r="IR34" s="243"/>
      <c r="IS34" s="243"/>
      <c r="IT34" s="243"/>
      <c r="IU34" s="243"/>
      <c r="IV34" s="243"/>
      <c r="IW34" s="242"/>
      <c r="IX34" s="242">
        <v>24</v>
      </c>
      <c r="IY34" s="242">
        <v>24</v>
      </c>
      <c r="IZ34" s="242">
        <v>24</v>
      </c>
      <c r="JA34" s="242">
        <v>24</v>
      </c>
      <c r="JB34" s="242"/>
      <c r="JC34" s="242"/>
      <c r="JD34" s="243">
        <v>24</v>
      </c>
      <c r="JE34" s="243">
        <v>24</v>
      </c>
      <c r="JF34" s="243">
        <v>24</v>
      </c>
      <c r="JG34" s="243">
        <v>24</v>
      </c>
      <c r="JH34" s="243">
        <v>24</v>
      </c>
      <c r="JI34" s="243"/>
      <c r="JJ34" s="243"/>
      <c r="JK34" s="242"/>
      <c r="JL34" s="242"/>
      <c r="JM34" s="242"/>
      <c r="JN34" s="242"/>
      <c r="JO34" s="242"/>
      <c r="JP34" s="242"/>
      <c r="JQ34" s="242"/>
      <c r="JR34" s="243"/>
      <c r="JS34" s="243"/>
      <c r="JT34" s="243"/>
      <c r="JU34" s="243"/>
      <c r="JV34" s="243"/>
      <c r="JW34" s="243"/>
      <c r="JX34" s="243"/>
      <c r="JY34" s="242"/>
      <c r="JZ34" s="242"/>
      <c r="KA34" s="242"/>
      <c r="KB34" s="242"/>
      <c r="KC34" s="242"/>
      <c r="KD34" s="242"/>
      <c r="KE34" s="242"/>
      <c r="KF34" s="243"/>
      <c r="KG34" s="243"/>
      <c r="KH34" s="243"/>
      <c r="KI34" s="243"/>
      <c r="KJ34" s="243"/>
      <c r="KK34" s="243"/>
      <c r="KL34" s="243"/>
      <c r="KM34" s="242"/>
      <c r="KN34" s="242"/>
      <c r="KO34" s="242"/>
      <c r="KP34" s="242"/>
      <c r="KQ34" s="242"/>
      <c r="KR34" s="242"/>
      <c r="KS34" s="242"/>
      <c r="KT34" s="243"/>
      <c r="KU34" s="243"/>
      <c r="KV34" s="243"/>
      <c r="KW34" s="243"/>
      <c r="KX34" s="243"/>
      <c r="KY34" s="243"/>
      <c r="KZ34" s="243"/>
      <c r="LA34" s="242"/>
      <c r="LB34" s="242"/>
      <c r="LC34" s="242"/>
      <c r="LD34" s="242"/>
      <c r="LE34" s="242"/>
      <c r="LF34" s="242"/>
      <c r="LG34" s="242"/>
      <c r="LH34" s="243"/>
      <c r="LI34" s="243"/>
      <c r="LJ34" s="243"/>
      <c r="LK34" s="243"/>
      <c r="LL34" s="243"/>
      <c r="LM34" s="243"/>
      <c r="LN34" s="243"/>
      <c r="LO34" s="242"/>
      <c r="LP34" s="242"/>
      <c r="LQ34" s="242"/>
      <c r="LR34" s="242"/>
      <c r="LS34" s="242"/>
      <c r="LT34" s="242"/>
      <c r="LU34" s="242"/>
      <c r="LV34" s="243"/>
      <c r="LW34" s="243"/>
      <c r="LX34" s="243"/>
      <c r="LY34" s="243"/>
      <c r="LZ34" s="243"/>
      <c r="MA34" s="243"/>
      <c r="MB34" s="243"/>
      <c r="MC34" s="242"/>
      <c r="MD34" s="242"/>
      <c r="ME34" s="242"/>
      <c r="MF34" s="242"/>
      <c r="MG34" s="242"/>
      <c r="MH34" s="242"/>
      <c r="MI34" s="242"/>
      <c r="MJ34" s="243"/>
      <c r="MK34" s="243"/>
      <c r="ML34" s="243"/>
      <c r="MM34" s="243"/>
      <c r="MN34" s="243"/>
      <c r="MO34" s="243"/>
      <c r="MP34" s="243"/>
      <c r="MQ34" s="242"/>
      <c r="MR34" s="242"/>
      <c r="MS34" s="242"/>
      <c r="MT34" s="242"/>
      <c r="MU34" s="242"/>
      <c r="MV34" s="242"/>
      <c r="MW34" s="242"/>
      <c r="MX34" s="243"/>
      <c r="MY34" s="243"/>
      <c r="MZ34" s="243"/>
      <c r="NA34" s="243"/>
      <c r="NB34" s="243"/>
      <c r="NC34" s="243"/>
      <c r="ND34" s="243"/>
      <c r="NE34" s="242"/>
      <c r="NF34" s="242"/>
      <c r="NG34" s="242"/>
      <c r="NH34" s="333"/>
    </row>
    <row r="35" spans="1:372">
      <c r="A35" s="251" t="s">
        <v>969</v>
      </c>
      <c r="B35" s="251" t="s">
        <v>584</v>
      </c>
      <c r="C35" s="251" t="s">
        <v>674</v>
      </c>
      <c r="D35" s="251" t="s">
        <v>982</v>
      </c>
      <c r="E35" s="241">
        <v>206.41168888319172</v>
      </c>
      <c r="F35" s="241">
        <v>216</v>
      </c>
      <c r="G35" s="242"/>
      <c r="H35" s="242"/>
      <c r="I35" s="242"/>
      <c r="J35" s="242"/>
      <c r="K35" s="242"/>
      <c r="L35" s="243"/>
      <c r="M35" s="243"/>
      <c r="N35" s="243"/>
      <c r="O35" s="243"/>
      <c r="P35" s="243"/>
      <c r="Q35" s="243"/>
      <c r="R35" s="243"/>
      <c r="S35" s="242"/>
      <c r="T35" s="242"/>
      <c r="U35" s="242"/>
      <c r="V35" s="242"/>
      <c r="W35" s="242"/>
      <c r="X35" s="242"/>
      <c r="Y35" s="242"/>
      <c r="Z35" s="243"/>
      <c r="AA35" s="243"/>
      <c r="AB35" s="243"/>
      <c r="AC35" s="243"/>
      <c r="AD35" s="243"/>
      <c r="AE35" s="243"/>
      <c r="AF35" s="243"/>
      <c r="AG35" s="242"/>
      <c r="AH35" s="242"/>
      <c r="AI35" s="242"/>
      <c r="AJ35" s="242"/>
      <c r="AK35" s="242"/>
      <c r="AL35" s="242"/>
      <c r="AM35" s="242"/>
      <c r="AN35" s="243"/>
      <c r="AO35" s="243"/>
      <c r="AP35" s="243"/>
      <c r="AQ35" s="243"/>
      <c r="AR35" s="243"/>
      <c r="AS35" s="243"/>
      <c r="AT35" s="243"/>
      <c r="AU35" s="242"/>
      <c r="AV35" s="242"/>
      <c r="AW35" s="242"/>
      <c r="AX35" s="242"/>
      <c r="AY35" s="242"/>
      <c r="AZ35" s="242"/>
      <c r="BA35" s="242"/>
      <c r="BB35" s="243"/>
      <c r="BC35" s="243"/>
      <c r="BD35" s="243"/>
      <c r="BE35" s="243"/>
      <c r="BF35" s="243"/>
      <c r="BG35" s="243"/>
      <c r="BH35" s="243"/>
      <c r="BI35" s="242"/>
      <c r="BJ35" s="242"/>
      <c r="BK35" s="242"/>
      <c r="BL35" s="242"/>
      <c r="BM35" s="242"/>
      <c r="BN35" s="242"/>
      <c r="BO35" s="242"/>
      <c r="BP35" s="243"/>
      <c r="BQ35" s="243"/>
      <c r="BR35" s="243"/>
      <c r="BS35" s="243"/>
      <c r="BT35" s="243"/>
      <c r="BU35" s="243"/>
      <c r="BV35" s="243"/>
      <c r="BW35" s="242"/>
      <c r="BX35" s="242"/>
      <c r="BY35" s="242"/>
      <c r="BZ35" s="242"/>
      <c r="CA35" s="242"/>
      <c r="CB35" s="242"/>
      <c r="CC35" s="242"/>
      <c r="CD35" s="243"/>
      <c r="CE35" s="243"/>
      <c r="CF35" s="243"/>
      <c r="CG35" s="243"/>
      <c r="CH35" s="243"/>
      <c r="CI35" s="243"/>
      <c r="CJ35" s="243"/>
      <c r="CK35" s="242"/>
      <c r="CL35" s="242"/>
      <c r="CM35" s="242"/>
      <c r="CN35" s="242"/>
      <c r="CO35" s="242"/>
      <c r="CP35" s="242"/>
      <c r="CQ35" s="242"/>
      <c r="CR35" s="243"/>
      <c r="CS35" s="243"/>
      <c r="CT35" s="243"/>
      <c r="CU35" s="243"/>
      <c r="CV35" s="243"/>
      <c r="CW35" s="243"/>
      <c r="CX35" s="243"/>
      <c r="CY35" s="242"/>
      <c r="CZ35" s="242"/>
      <c r="DA35" s="242"/>
      <c r="DB35" s="242"/>
      <c r="DC35" s="242"/>
      <c r="DD35" s="242"/>
      <c r="DE35" s="242"/>
      <c r="DF35" s="243"/>
      <c r="DG35" s="243"/>
      <c r="DH35" s="243"/>
      <c r="DI35" s="243"/>
      <c r="DJ35" s="243"/>
      <c r="DK35" s="243"/>
      <c r="DL35" s="243"/>
      <c r="DM35" s="242"/>
      <c r="DN35" s="242"/>
      <c r="DO35" s="242"/>
      <c r="DP35" s="242"/>
      <c r="DQ35" s="242"/>
      <c r="DR35" s="242"/>
      <c r="DS35" s="242"/>
      <c r="DT35" s="243"/>
      <c r="DU35" s="243"/>
      <c r="DV35" s="243"/>
      <c r="DW35" s="243"/>
      <c r="DX35" s="243"/>
      <c r="DY35" s="243"/>
      <c r="DZ35" s="243"/>
      <c r="EA35" s="242"/>
      <c r="EB35" s="242"/>
      <c r="EC35" s="242"/>
      <c r="ED35" s="242"/>
      <c r="EE35" s="242"/>
      <c r="EF35" s="242"/>
      <c r="EG35" s="242"/>
      <c r="EH35" s="243"/>
      <c r="EI35" s="243"/>
      <c r="EJ35" s="243"/>
      <c r="EK35" s="243"/>
      <c r="EL35" s="243"/>
      <c r="EM35" s="243"/>
      <c r="EN35" s="243"/>
      <c r="EO35" s="242"/>
      <c r="EP35" s="242"/>
      <c r="EQ35" s="242"/>
      <c r="ER35" s="242"/>
      <c r="ES35" s="242"/>
      <c r="ET35" s="242"/>
      <c r="EU35" s="242"/>
      <c r="EV35" s="243"/>
      <c r="EW35" s="243"/>
      <c r="EX35" s="243"/>
      <c r="EY35" s="243"/>
      <c r="EZ35" s="243"/>
      <c r="FA35" s="243"/>
      <c r="FB35" s="243"/>
      <c r="FC35" s="242"/>
      <c r="FD35" s="242"/>
      <c r="FE35" s="242"/>
      <c r="FF35" s="242"/>
      <c r="FG35" s="242"/>
      <c r="FH35" s="242"/>
      <c r="FI35" s="242"/>
      <c r="FJ35" s="243"/>
      <c r="FK35" s="243"/>
      <c r="FL35" s="243"/>
      <c r="FM35" s="243"/>
      <c r="FN35" s="243"/>
      <c r="FO35" s="243"/>
      <c r="FP35" s="243"/>
      <c r="FQ35" s="242"/>
      <c r="FR35" s="242"/>
      <c r="FS35" s="242"/>
      <c r="FT35" s="242"/>
      <c r="FU35" s="242"/>
      <c r="FV35" s="242"/>
      <c r="FW35" s="242"/>
      <c r="FX35" s="243"/>
      <c r="FY35" s="243"/>
      <c r="FZ35" s="243"/>
      <c r="GA35" s="243"/>
      <c r="GB35" s="243"/>
      <c r="GC35" s="243"/>
      <c r="GD35" s="243"/>
      <c r="GE35" s="242"/>
      <c r="GF35" s="242"/>
      <c r="GG35" s="242"/>
      <c r="GH35" s="242"/>
      <c r="GI35" s="242"/>
      <c r="GJ35" s="242"/>
      <c r="GK35" s="242"/>
      <c r="GL35" s="243"/>
      <c r="GM35" s="243"/>
      <c r="GN35" s="243"/>
      <c r="GO35" s="243"/>
      <c r="GP35" s="243"/>
      <c r="GQ35" s="243"/>
      <c r="GR35" s="243"/>
      <c r="GS35" s="242"/>
      <c r="GT35" s="242"/>
      <c r="GU35" s="242"/>
      <c r="GV35" s="242"/>
      <c r="GW35" s="242"/>
      <c r="GX35" s="242"/>
      <c r="GY35" s="242"/>
      <c r="GZ35" s="243"/>
      <c r="HA35" s="243"/>
      <c r="HB35" s="243"/>
      <c r="HC35" s="243"/>
      <c r="HD35" s="243"/>
      <c r="HE35" s="243"/>
      <c r="HF35" s="243"/>
      <c r="HG35" s="242"/>
      <c r="HH35" s="242"/>
      <c r="HI35" s="242"/>
      <c r="HJ35" s="242"/>
      <c r="HK35" s="242"/>
      <c r="HL35" s="242"/>
      <c r="HM35" s="242"/>
      <c r="HN35" s="243"/>
      <c r="HO35" s="243"/>
      <c r="HP35" s="243"/>
      <c r="HQ35" s="243"/>
      <c r="HR35" s="243"/>
      <c r="HS35" s="243"/>
      <c r="HT35" s="243"/>
      <c r="HU35" s="242"/>
      <c r="HV35" s="242"/>
      <c r="HW35" s="242"/>
      <c r="HX35" s="242"/>
      <c r="HY35" s="242"/>
      <c r="HZ35" s="242"/>
      <c r="IA35" s="242"/>
      <c r="IB35" s="243"/>
      <c r="IC35" s="243"/>
      <c r="ID35" s="243"/>
      <c r="IE35" s="243"/>
      <c r="IF35" s="243"/>
      <c r="IG35" s="243"/>
      <c r="IH35" s="243"/>
      <c r="II35" s="242"/>
      <c r="IJ35" s="242"/>
      <c r="IK35" s="242"/>
      <c r="IL35" s="242"/>
      <c r="IM35" s="242"/>
      <c r="IN35" s="242"/>
      <c r="IO35" s="242"/>
      <c r="IP35" s="243"/>
      <c r="IQ35" s="243"/>
      <c r="IR35" s="243"/>
      <c r="IS35" s="243"/>
      <c r="IT35" s="243"/>
      <c r="IU35" s="243"/>
      <c r="IV35" s="243"/>
      <c r="IW35" s="242"/>
      <c r="IX35" s="242">
        <v>24</v>
      </c>
      <c r="IY35" s="242">
        <v>24</v>
      </c>
      <c r="IZ35" s="242">
        <v>24</v>
      </c>
      <c r="JA35" s="242">
        <v>24</v>
      </c>
      <c r="JB35" s="242"/>
      <c r="JC35" s="242"/>
      <c r="JD35" s="243">
        <v>24</v>
      </c>
      <c r="JE35" s="243">
        <v>24</v>
      </c>
      <c r="JF35" s="243">
        <v>24</v>
      </c>
      <c r="JG35" s="243">
        <v>24</v>
      </c>
      <c r="JH35" s="243">
        <v>24</v>
      </c>
      <c r="JI35" s="243"/>
      <c r="JJ35" s="243"/>
      <c r="JK35" s="242"/>
      <c r="JL35" s="242"/>
      <c r="JM35" s="242"/>
      <c r="JN35" s="242"/>
      <c r="JO35" s="242"/>
      <c r="JP35" s="242"/>
      <c r="JQ35" s="242"/>
      <c r="JR35" s="243"/>
      <c r="JS35" s="243"/>
      <c r="JT35" s="243"/>
      <c r="JU35" s="243"/>
      <c r="JV35" s="243"/>
      <c r="JW35" s="243"/>
      <c r="JX35" s="243"/>
      <c r="JY35" s="242"/>
      <c r="JZ35" s="242"/>
      <c r="KA35" s="242"/>
      <c r="KB35" s="242"/>
      <c r="KC35" s="242"/>
      <c r="KD35" s="242"/>
      <c r="KE35" s="242"/>
      <c r="KF35" s="243"/>
      <c r="KG35" s="243"/>
      <c r="KH35" s="243"/>
      <c r="KI35" s="243"/>
      <c r="KJ35" s="243"/>
      <c r="KK35" s="243"/>
      <c r="KL35" s="243"/>
      <c r="KM35" s="242"/>
      <c r="KN35" s="242"/>
      <c r="KO35" s="242"/>
      <c r="KP35" s="242"/>
      <c r="KQ35" s="242"/>
      <c r="KR35" s="242"/>
      <c r="KS35" s="242"/>
      <c r="KT35" s="243"/>
      <c r="KU35" s="243"/>
      <c r="KV35" s="243"/>
      <c r="KW35" s="243"/>
      <c r="KX35" s="243"/>
      <c r="KY35" s="243"/>
      <c r="KZ35" s="243"/>
      <c r="LA35" s="242"/>
      <c r="LB35" s="242"/>
      <c r="LC35" s="242"/>
      <c r="LD35" s="242"/>
      <c r="LE35" s="242"/>
      <c r="LF35" s="242"/>
      <c r="LG35" s="242"/>
      <c r="LH35" s="243"/>
      <c r="LI35" s="243"/>
      <c r="LJ35" s="243"/>
      <c r="LK35" s="243"/>
      <c r="LL35" s="243"/>
      <c r="LM35" s="243"/>
      <c r="LN35" s="243"/>
      <c r="LO35" s="242"/>
      <c r="LP35" s="242"/>
      <c r="LQ35" s="242"/>
      <c r="LR35" s="242"/>
      <c r="LS35" s="242"/>
      <c r="LT35" s="242"/>
      <c r="LU35" s="242"/>
      <c r="LV35" s="243"/>
      <c r="LW35" s="243"/>
      <c r="LX35" s="243"/>
      <c r="LY35" s="243"/>
      <c r="LZ35" s="243"/>
      <c r="MA35" s="243"/>
      <c r="MB35" s="243"/>
      <c r="MC35" s="242"/>
      <c r="MD35" s="242"/>
      <c r="ME35" s="242"/>
      <c r="MF35" s="242"/>
      <c r="MG35" s="242"/>
      <c r="MH35" s="242"/>
      <c r="MI35" s="242"/>
      <c r="MJ35" s="243"/>
      <c r="MK35" s="243"/>
      <c r="ML35" s="243"/>
      <c r="MM35" s="243"/>
      <c r="MN35" s="243"/>
      <c r="MO35" s="243"/>
      <c r="MP35" s="243"/>
      <c r="MQ35" s="242"/>
      <c r="MR35" s="242"/>
      <c r="MS35" s="242"/>
      <c r="MT35" s="242"/>
      <c r="MU35" s="242"/>
      <c r="MV35" s="242"/>
      <c r="MW35" s="242"/>
      <c r="MX35" s="243"/>
      <c r="MY35" s="243"/>
      <c r="MZ35" s="243"/>
      <c r="NA35" s="243"/>
      <c r="NB35" s="243"/>
      <c r="NC35" s="243"/>
      <c r="ND35" s="243"/>
      <c r="NE35" s="242"/>
      <c r="NF35" s="242"/>
      <c r="NG35" s="242"/>
      <c r="NH35" s="333"/>
    </row>
    <row r="36" spans="1:372">
      <c r="A36" s="251" t="s">
        <v>969</v>
      </c>
      <c r="B36" s="251" t="s">
        <v>585</v>
      </c>
      <c r="C36" s="251" t="s">
        <v>674</v>
      </c>
      <c r="D36" s="251" t="s">
        <v>982</v>
      </c>
      <c r="E36" s="241">
        <v>208.27786108377907</v>
      </c>
      <c r="F36" s="241">
        <v>216</v>
      </c>
      <c r="G36" s="242"/>
      <c r="H36" s="242"/>
      <c r="I36" s="242"/>
      <c r="J36" s="242"/>
      <c r="K36" s="242"/>
      <c r="L36" s="243"/>
      <c r="M36" s="243"/>
      <c r="N36" s="243"/>
      <c r="O36" s="243"/>
      <c r="P36" s="243"/>
      <c r="Q36" s="243"/>
      <c r="R36" s="243"/>
      <c r="S36" s="242"/>
      <c r="T36" s="242"/>
      <c r="U36" s="242"/>
      <c r="V36" s="242"/>
      <c r="W36" s="242"/>
      <c r="X36" s="242"/>
      <c r="Y36" s="242"/>
      <c r="Z36" s="243"/>
      <c r="AA36" s="243"/>
      <c r="AB36" s="243"/>
      <c r="AC36" s="243"/>
      <c r="AD36" s="243"/>
      <c r="AE36" s="243"/>
      <c r="AF36" s="243"/>
      <c r="AG36" s="242"/>
      <c r="AH36" s="242"/>
      <c r="AI36" s="242"/>
      <c r="AJ36" s="242"/>
      <c r="AK36" s="242"/>
      <c r="AL36" s="242"/>
      <c r="AM36" s="242"/>
      <c r="AN36" s="243"/>
      <c r="AO36" s="243"/>
      <c r="AP36" s="243"/>
      <c r="AQ36" s="243"/>
      <c r="AR36" s="243"/>
      <c r="AS36" s="243"/>
      <c r="AT36" s="243"/>
      <c r="AU36" s="242"/>
      <c r="AV36" s="242"/>
      <c r="AW36" s="242"/>
      <c r="AX36" s="242"/>
      <c r="AY36" s="242"/>
      <c r="AZ36" s="242"/>
      <c r="BA36" s="242"/>
      <c r="BB36" s="243"/>
      <c r="BC36" s="243"/>
      <c r="BD36" s="243"/>
      <c r="BE36" s="243"/>
      <c r="BF36" s="243"/>
      <c r="BG36" s="243"/>
      <c r="BH36" s="243"/>
      <c r="BI36" s="242"/>
      <c r="BJ36" s="242"/>
      <c r="BK36" s="242"/>
      <c r="BL36" s="242"/>
      <c r="BM36" s="242"/>
      <c r="BN36" s="242"/>
      <c r="BO36" s="242"/>
      <c r="BP36" s="243"/>
      <c r="BQ36" s="243"/>
      <c r="BR36" s="243"/>
      <c r="BS36" s="243"/>
      <c r="BT36" s="243"/>
      <c r="BU36" s="243"/>
      <c r="BV36" s="243"/>
      <c r="BW36" s="242"/>
      <c r="BX36" s="242"/>
      <c r="BY36" s="242"/>
      <c r="BZ36" s="242"/>
      <c r="CA36" s="242"/>
      <c r="CB36" s="242"/>
      <c r="CC36" s="242"/>
      <c r="CD36" s="243"/>
      <c r="CE36" s="243"/>
      <c r="CF36" s="243"/>
      <c r="CG36" s="243"/>
      <c r="CH36" s="243"/>
      <c r="CI36" s="243"/>
      <c r="CJ36" s="243"/>
      <c r="CK36" s="242"/>
      <c r="CL36" s="242"/>
      <c r="CM36" s="242"/>
      <c r="CN36" s="242"/>
      <c r="CO36" s="242"/>
      <c r="CP36" s="242"/>
      <c r="CQ36" s="242"/>
      <c r="CR36" s="243"/>
      <c r="CS36" s="243"/>
      <c r="CT36" s="243"/>
      <c r="CU36" s="243"/>
      <c r="CV36" s="243"/>
      <c r="CW36" s="243"/>
      <c r="CX36" s="243"/>
      <c r="CY36" s="242"/>
      <c r="CZ36" s="242"/>
      <c r="DA36" s="242"/>
      <c r="DB36" s="242"/>
      <c r="DC36" s="242"/>
      <c r="DD36" s="242"/>
      <c r="DE36" s="242"/>
      <c r="DF36" s="243"/>
      <c r="DG36" s="243"/>
      <c r="DH36" s="243"/>
      <c r="DI36" s="243"/>
      <c r="DJ36" s="243"/>
      <c r="DK36" s="243"/>
      <c r="DL36" s="243"/>
      <c r="DM36" s="242"/>
      <c r="DN36" s="242"/>
      <c r="DO36" s="242"/>
      <c r="DP36" s="242"/>
      <c r="DQ36" s="242"/>
      <c r="DR36" s="242"/>
      <c r="DS36" s="242"/>
      <c r="DT36" s="243"/>
      <c r="DU36" s="243"/>
      <c r="DV36" s="243"/>
      <c r="DW36" s="243"/>
      <c r="DX36" s="243"/>
      <c r="DY36" s="243"/>
      <c r="DZ36" s="243"/>
      <c r="EA36" s="242"/>
      <c r="EB36" s="242"/>
      <c r="EC36" s="242"/>
      <c r="ED36" s="242"/>
      <c r="EE36" s="242"/>
      <c r="EF36" s="242"/>
      <c r="EG36" s="242"/>
      <c r="EH36" s="243"/>
      <c r="EI36" s="243"/>
      <c r="EJ36" s="243"/>
      <c r="EK36" s="243"/>
      <c r="EL36" s="243"/>
      <c r="EM36" s="243"/>
      <c r="EN36" s="243"/>
      <c r="EO36" s="242"/>
      <c r="EP36" s="242"/>
      <c r="EQ36" s="242"/>
      <c r="ER36" s="242"/>
      <c r="ES36" s="242"/>
      <c r="ET36" s="242"/>
      <c r="EU36" s="242"/>
      <c r="EV36" s="243"/>
      <c r="EW36" s="243"/>
      <c r="EX36" s="243"/>
      <c r="EY36" s="243"/>
      <c r="EZ36" s="243"/>
      <c r="FA36" s="243"/>
      <c r="FB36" s="243"/>
      <c r="FC36" s="242"/>
      <c r="FD36" s="242"/>
      <c r="FE36" s="242"/>
      <c r="FF36" s="242"/>
      <c r="FG36" s="242"/>
      <c r="FH36" s="242"/>
      <c r="FI36" s="242"/>
      <c r="FJ36" s="243"/>
      <c r="FK36" s="243"/>
      <c r="FL36" s="243"/>
      <c r="FM36" s="243"/>
      <c r="FN36" s="243"/>
      <c r="FO36" s="243"/>
      <c r="FP36" s="243"/>
      <c r="FQ36" s="242"/>
      <c r="FR36" s="242"/>
      <c r="FS36" s="242"/>
      <c r="FT36" s="242"/>
      <c r="FU36" s="242"/>
      <c r="FV36" s="242"/>
      <c r="FW36" s="242"/>
      <c r="FX36" s="243"/>
      <c r="FY36" s="243"/>
      <c r="FZ36" s="243"/>
      <c r="GA36" s="243"/>
      <c r="GB36" s="243"/>
      <c r="GC36" s="243"/>
      <c r="GD36" s="243"/>
      <c r="GE36" s="242"/>
      <c r="GF36" s="242"/>
      <c r="GG36" s="242"/>
      <c r="GH36" s="242"/>
      <c r="GI36" s="242"/>
      <c r="GJ36" s="242"/>
      <c r="GK36" s="242"/>
      <c r="GL36" s="243"/>
      <c r="GM36" s="243"/>
      <c r="GN36" s="243"/>
      <c r="GO36" s="243"/>
      <c r="GP36" s="243"/>
      <c r="GQ36" s="243"/>
      <c r="GR36" s="243"/>
      <c r="GS36" s="242"/>
      <c r="GT36" s="242"/>
      <c r="GU36" s="242"/>
      <c r="GV36" s="242"/>
      <c r="GW36" s="242"/>
      <c r="GX36" s="242"/>
      <c r="GY36" s="242"/>
      <c r="GZ36" s="243"/>
      <c r="HA36" s="243"/>
      <c r="HB36" s="243"/>
      <c r="HC36" s="243"/>
      <c r="HD36" s="243"/>
      <c r="HE36" s="243"/>
      <c r="HF36" s="243"/>
      <c r="HG36" s="242"/>
      <c r="HH36" s="242"/>
      <c r="HI36" s="242"/>
      <c r="HJ36" s="242"/>
      <c r="HK36" s="242"/>
      <c r="HL36" s="242"/>
      <c r="HM36" s="242"/>
      <c r="HN36" s="243"/>
      <c r="HO36" s="243"/>
      <c r="HP36" s="243"/>
      <c r="HQ36" s="243"/>
      <c r="HR36" s="243"/>
      <c r="HS36" s="243"/>
      <c r="HT36" s="243"/>
      <c r="HU36" s="242"/>
      <c r="HV36" s="242"/>
      <c r="HW36" s="242"/>
      <c r="HX36" s="242"/>
      <c r="HY36" s="242"/>
      <c r="HZ36" s="242"/>
      <c r="IA36" s="242"/>
      <c r="IB36" s="243"/>
      <c r="IC36" s="243"/>
      <c r="ID36" s="243"/>
      <c r="IE36" s="243"/>
      <c r="IF36" s="243"/>
      <c r="IG36" s="243"/>
      <c r="IH36" s="243"/>
      <c r="II36" s="242"/>
      <c r="IJ36" s="242"/>
      <c r="IK36" s="242"/>
      <c r="IL36" s="242"/>
      <c r="IM36" s="242"/>
      <c r="IN36" s="242"/>
      <c r="IO36" s="242"/>
      <c r="IP36" s="243"/>
      <c r="IQ36" s="243"/>
      <c r="IR36" s="243"/>
      <c r="IS36" s="243"/>
      <c r="IT36" s="243"/>
      <c r="IU36" s="243"/>
      <c r="IV36" s="243"/>
      <c r="IW36" s="242"/>
      <c r="IX36" s="242">
        <v>24</v>
      </c>
      <c r="IY36" s="242">
        <v>24</v>
      </c>
      <c r="IZ36" s="242">
        <v>24</v>
      </c>
      <c r="JA36" s="242">
        <v>24</v>
      </c>
      <c r="JB36" s="242"/>
      <c r="JC36" s="242"/>
      <c r="JD36" s="243">
        <v>24</v>
      </c>
      <c r="JE36" s="243">
        <v>24</v>
      </c>
      <c r="JF36" s="243">
        <v>24</v>
      </c>
      <c r="JG36" s="243">
        <v>24</v>
      </c>
      <c r="JH36" s="243">
        <v>24</v>
      </c>
      <c r="JI36" s="243"/>
      <c r="JJ36" s="243"/>
      <c r="JK36" s="242"/>
      <c r="JL36" s="242"/>
      <c r="JM36" s="242"/>
      <c r="JN36" s="242"/>
      <c r="JO36" s="242"/>
      <c r="JP36" s="242"/>
      <c r="JQ36" s="242"/>
      <c r="JR36" s="243"/>
      <c r="JS36" s="243"/>
      <c r="JT36" s="243"/>
      <c r="JU36" s="243"/>
      <c r="JV36" s="243"/>
      <c r="JW36" s="243"/>
      <c r="JX36" s="243"/>
      <c r="JY36" s="242"/>
      <c r="JZ36" s="242"/>
      <c r="KA36" s="242"/>
      <c r="KB36" s="242"/>
      <c r="KC36" s="242"/>
      <c r="KD36" s="242"/>
      <c r="KE36" s="242"/>
      <c r="KF36" s="243"/>
      <c r="KG36" s="243"/>
      <c r="KH36" s="243"/>
      <c r="KI36" s="243"/>
      <c r="KJ36" s="243"/>
      <c r="KK36" s="243"/>
      <c r="KL36" s="243"/>
      <c r="KM36" s="242"/>
      <c r="KN36" s="242"/>
      <c r="KO36" s="242"/>
      <c r="KP36" s="242"/>
      <c r="KQ36" s="242"/>
      <c r="KR36" s="242"/>
      <c r="KS36" s="242"/>
      <c r="KT36" s="243"/>
      <c r="KU36" s="243"/>
      <c r="KV36" s="243"/>
      <c r="KW36" s="243"/>
      <c r="KX36" s="243"/>
      <c r="KY36" s="243"/>
      <c r="KZ36" s="243"/>
      <c r="LA36" s="242"/>
      <c r="LB36" s="242"/>
      <c r="LC36" s="242"/>
      <c r="LD36" s="242"/>
      <c r="LE36" s="242"/>
      <c r="LF36" s="242"/>
      <c r="LG36" s="242"/>
      <c r="LH36" s="243"/>
      <c r="LI36" s="243"/>
      <c r="LJ36" s="243"/>
      <c r="LK36" s="243"/>
      <c r="LL36" s="243"/>
      <c r="LM36" s="243"/>
      <c r="LN36" s="243"/>
      <c r="LO36" s="242"/>
      <c r="LP36" s="242"/>
      <c r="LQ36" s="242"/>
      <c r="LR36" s="242"/>
      <c r="LS36" s="242"/>
      <c r="LT36" s="242"/>
      <c r="LU36" s="242"/>
      <c r="LV36" s="243"/>
      <c r="LW36" s="243"/>
      <c r="LX36" s="243"/>
      <c r="LY36" s="243"/>
      <c r="LZ36" s="243"/>
      <c r="MA36" s="243"/>
      <c r="MB36" s="243"/>
      <c r="MC36" s="242"/>
      <c r="MD36" s="242"/>
      <c r="ME36" s="242"/>
      <c r="MF36" s="242"/>
      <c r="MG36" s="242"/>
      <c r="MH36" s="242"/>
      <c r="MI36" s="242"/>
      <c r="MJ36" s="243"/>
      <c r="MK36" s="243"/>
      <c r="ML36" s="243"/>
      <c r="MM36" s="243"/>
      <c r="MN36" s="243"/>
      <c r="MO36" s="243"/>
      <c r="MP36" s="243"/>
      <c r="MQ36" s="242"/>
      <c r="MR36" s="242"/>
      <c r="MS36" s="242"/>
      <c r="MT36" s="242"/>
      <c r="MU36" s="242"/>
      <c r="MV36" s="242"/>
      <c r="MW36" s="242"/>
      <c r="MX36" s="243"/>
      <c r="MY36" s="243"/>
      <c r="MZ36" s="243"/>
      <c r="NA36" s="243"/>
      <c r="NB36" s="243"/>
      <c r="NC36" s="243"/>
      <c r="ND36" s="243"/>
      <c r="NE36" s="242"/>
      <c r="NF36" s="242"/>
      <c r="NG36" s="242"/>
      <c r="NH36" s="333"/>
    </row>
    <row r="37" spans="1:372">
      <c r="A37" s="251" t="s">
        <v>970</v>
      </c>
      <c r="B37" s="251" t="s">
        <v>35</v>
      </c>
      <c r="C37" s="251" t="s">
        <v>674</v>
      </c>
      <c r="D37" s="251" t="s">
        <v>982</v>
      </c>
      <c r="E37" s="241">
        <v>329.21280522129331</v>
      </c>
      <c r="F37" s="241">
        <v>716</v>
      </c>
      <c r="G37" s="242"/>
      <c r="H37" s="242"/>
      <c r="I37" s="242"/>
      <c r="J37" s="242"/>
      <c r="K37" s="242"/>
      <c r="L37" s="243"/>
      <c r="M37" s="243"/>
      <c r="N37" s="243"/>
      <c r="O37" s="243"/>
      <c r="P37" s="243"/>
      <c r="Q37" s="243"/>
      <c r="R37" s="243"/>
      <c r="S37" s="242"/>
      <c r="T37" s="242"/>
      <c r="U37" s="242"/>
      <c r="V37" s="242"/>
      <c r="W37" s="242"/>
      <c r="X37" s="242"/>
      <c r="Y37" s="242"/>
      <c r="Z37" s="243"/>
      <c r="AA37" s="243"/>
      <c r="AB37" s="243"/>
      <c r="AC37" s="243"/>
      <c r="AD37" s="243"/>
      <c r="AE37" s="243"/>
      <c r="AF37" s="243"/>
      <c r="AG37" s="242"/>
      <c r="AH37" s="242"/>
      <c r="AI37" s="242"/>
      <c r="AJ37" s="242"/>
      <c r="AK37" s="242"/>
      <c r="AL37" s="242"/>
      <c r="AM37" s="242"/>
      <c r="AN37" s="243"/>
      <c r="AO37" s="243"/>
      <c r="AP37" s="243"/>
      <c r="AQ37" s="243"/>
      <c r="AR37" s="243"/>
      <c r="AS37" s="243"/>
      <c r="AT37" s="243"/>
      <c r="AU37" s="242"/>
      <c r="AV37" s="242"/>
      <c r="AW37" s="242"/>
      <c r="AX37" s="242"/>
      <c r="AY37" s="242"/>
      <c r="AZ37" s="242"/>
      <c r="BA37" s="242"/>
      <c r="BB37" s="243"/>
      <c r="BC37" s="243"/>
      <c r="BD37" s="243"/>
      <c r="BE37" s="243"/>
      <c r="BF37" s="243"/>
      <c r="BG37" s="243"/>
      <c r="BH37" s="243"/>
      <c r="BI37" s="242"/>
      <c r="BJ37" s="242"/>
      <c r="BK37" s="242"/>
      <c r="BL37" s="242"/>
      <c r="BM37" s="242"/>
      <c r="BN37" s="242"/>
      <c r="BO37" s="242"/>
      <c r="BP37" s="243"/>
      <c r="BQ37" s="243"/>
      <c r="BR37" s="243"/>
      <c r="BS37" s="243"/>
      <c r="BT37" s="243"/>
      <c r="BU37" s="243"/>
      <c r="BV37" s="243"/>
      <c r="BW37" s="242"/>
      <c r="BX37" s="242"/>
      <c r="BY37" s="242"/>
      <c r="BZ37" s="242"/>
      <c r="CA37" s="242"/>
      <c r="CB37" s="242"/>
      <c r="CC37" s="242"/>
      <c r="CD37" s="243"/>
      <c r="CE37" s="243"/>
      <c r="CF37" s="243"/>
      <c r="CG37" s="243"/>
      <c r="CH37" s="243"/>
      <c r="CI37" s="243"/>
      <c r="CJ37" s="243"/>
      <c r="CK37" s="242"/>
      <c r="CL37" s="242"/>
      <c r="CM37" s="242"/>
      <c r="CN37" s="242"/>
      <c r="CO37" s="242"/>
      <c r="CP37" s="242"/>
      <c r="CQ37" s="242"/>
      <c r="CR37" s="243"/>
      <c r="CS37" s="243"/>
      <c r="CT37" s="243"/>
      <c r="CU37" s="243"/>
      <c r="CV37" s="243"/>
      <c r="CW37" s="243"/>
      <c r="CX37" s="243"/>
      <c r="CY37" s="242"/>
      <c r="CZ37" s="242"/>
      <c r="DA37" s="242"/>
      <c r="DB37" s="242"/>
      <c r="DC37" s="242"/>
      <c r="DD37" s="242"/>
      <c r="DE37" s="242"/>
      <c r="DF37" s="243"/>
      <c r="DG37" s="243"/>
      <c r="DH37" s="243"/>
      <c r="DI37" s="243"/>
      <c r="DJ37" s="243"/>
      <c r="DK37" s="243"/>
      <c r="DL37" s="243"/>
      <c r="DM37" s="242">
        <v>8</v>
      </c>
      <c r="DN37" s="242"/>
      <c r="DO37" s="242"/>
      <c r="DP37" s="242"/>
      <c r="DQ37" s="242"/>
      <c r="DR37" s="242"/>
      <c r="DS37" s="242"/>
      <c r="DT37" s="243"/>
      <c r="DU37" s="243"/>
      <c r="DV37" s="243"/>
      <c r="DW37" s="243"/>
      <c r="DX37" s="243"/>
      <c r="DY37" s="243"/>
      <c r="DZ37" s="243"/>
      <c r="EA37" s="242">
        <v>24</v>
      </c>
      <c r="EB37" s="242">
        <v>24</v>
      </c>
      <c r="EC37" s="242">
        <v>24</v>
      </c>
      <c r="ED37" s="242">
        <v>24</v>
      </c>
      <c r="EE37" s="242">
        <v>24</v>
      </c>
      <c r="EF37" s="242">
        <v>24</v>
      </c>
      <c r="EG37" s="242">
        <v>24</v>
      </c>
      <c r="EH37" s="243">
        <v>24</v>
      </c>
      <c r="EI37" s="243">
        <v>24</v>
      </c>
      <c r="EJ37" s="243">
        <v>24</v>
      </c>
      <c r="EK37" s="243">
        <v>24</v>
      </c>
      <c r="EL37" s="243">
        <v>24</v>
      </c>
      <c r="EM37" s="243">
        <v>24</v>
      </c>
      <c r="EN37" s="243">
        <v>24</v>
      </c>
      <c r="EO37" s="242">
        <v>24</v>
      </c>
      <c r="EP37" s="242">
        <v>24</v>
      </c>
      <c r="EQ37" s="242">
        <v>24</v>
      </c>
      <c r="ER37" s="242">
        <v>24</v>
      </c>
      <c r="ES37" s="242">
        <v>24</v>
      </c>
      <c r="ET37" s="242">
        <v>24</v>
      </c>
      <c r="EU37" s="242">
        <v>24</v>
      </c>
      <c r="EV37" s="243">
        <v>24</v>
      </c>
      <c r="EW37" s="243">
        <v>24</v>
      </c>
      <c r="EX37" s="243">
        <v>24</v>
      </c>
      <c r="EY37" s="243">
        <v>24</v>
      </c>
      <c r="EZ37" s="243">
        <v>24</v>
      </c>
      <c r="FA37" s="243">
        <v>24</v>
      </c>
      <c r="FB37" s="243">
        <v>24</v>
      </c>
      <c r="FC37" s="242"/>
      <c r="FD37" s="242"/>
      <c r="FE37" s="242"/>
      <c r="FF37" s="242"/>
      <c r="FG37" s="242"/>
      <c r="FH37" s="242"/>
      <c r="FI37" s="242"/>
      <c r="FJ37" s="243"/>
      <c r="FK37" s="243"/>
      <c r="FL37" s="243"/>
      <c r="FM37" s="243"/>
      <c r="FN37" s="243"/>
      <c r="FO37" s="243"/>
      <c r="FP37" s="243"/>
      <c r="FQ37" s="242"/>
      <c r="FR37" s="242"/>
      <c r="FS37" s="242"/>
      <c r="FT37" s="242"/>
      <c r="FU37" s="242"/>
      <c r="FV37" s="242"/>
      <c r="FW37" s="242"/>
      <c r="FX37" s="243"/>
      <c r="FY37" s="243"/>
      <c r="FZ37" s="243"/>
      <c r="GA37" s="243"/>
      <c r="GB37" s="243"/>
      <c r="GC37" s="243"/>
      <c r="GD37" s="243"/>
      <c r="GE37" s="242"/>
      <c r="GF37" s="242"/>
      <c r="GG37" s="242"/>
      <c r="GH37" s="242"/>
      <c r="GI37" s="242"/>
      <c r="GJ37" s="242"/>
      <c r="GK37" s="242"/>
      <c r="GL37" s="243"/>
      <c r="GM37" s="243"/>
      <c r="GN37" s="243"/>
      <c r="GO37" s="243"/>
      <c r="GP37" s="243"/>
      <c r="GQ37" s="243"/>
      <c r="GR37" s="243"/>
      <c r="GS37" s="242">
        <v>24</v>
      </c>
      <c r="GT37" s="242">
        <v>12</v>
      </c>
      <c r="GU37" s="242"/>
      <c r="GV37" s="242"/>
      <c r="GW37" s="242"/>
      <c r="GX37" s="242"/>
      <c r="GY37" s="242"/>
      <c r="GZ37" s="243"/>
      <c r="HA37" s="243"/>
      <c r="HB37" s="243"/>
      <c r="HC37" s="243"/>
      <c r="HD37" s="243"/>
      <c r="HE37" s="243"/>
      <c r="HF37" s="243"/>
      <c r="HG37" s="242"/>
      <c r="HH37" s="242"/>
      <c r="HI37" s="242"/>
      <c r="HJ37" s="242"/>
      <c r="HK37" s="242"/>
      <c r="HL37" s="242"/>
      <c r="HM37" s="242"/>
      <c r="HN37" s="243"/>
      <c r="HO37" s="243"/>
      <c r="HP37" s="243"/>
      <c r="HQ37" s="243"/>
      <c r="HR37" s="243"/>
      <c r="HS37" s="243"/>
      <c r="HT37" s="243"/>
      <c r="HU37" s="242"/>
      <c r="HV37" s="242"/>
      <c r="HW37" s="242"/>
      <c r="HX37" s="242"/>
      <c r="HY37" s="242"/>
      <c r="HZ37" s="242"/>
      <c r="IA37" s="242"/>
      <c r="IB37" s="243"/>
      <c r="IC37" s="243"/>
      <c r="ID37" s="243"/>
      <c r="IE37" s="243"/>
      <c r="IF37" s="243"/>
      <c r="IG37" s="243"/>
      <c r="IH37" s="243"/>
      <c r="II37" s="242"/>
      <c r="IJ37" s="242"/>
      <c r="IK37" s="242"/>
      <c r="IL37" s="242"/>
      <c r="IM37" s="242"/>
      <c r="IN37" s="242"/>
      <c r="IO37" s="242"/>
      <c r="IP37" s="243"/>
      <c r="IQ37" s="243"/>
      <c r="IR37" s="243"/>
      <c r="IS37" s="243"/>
      <c r="IT37" s="243"/>
      <c r="IU37" s="243"/>
      <c r="IV37" s="243"/>
      <c r="IW37" s="242"/>
      <c r="IX37" s="242"/>
      <c r="IY37" s="242"/>
      <c r="IZ37" s="242"/>
      <c r="JA37" s="242"/>
      <c r="JB37" s="242"/>
      <c r="JC37" s="242"/>
      <c r="JD37" s="243"/>
      <c r="JE37" s="243"/>
      <c r="JF37" s="243"/>
      <c r="JG37" s="243"/>
      <c r="JH37" s="243"/>
      <c r="JI37" s="243"/>
      <c r="JJ37" s="243"/>
      <c r="JK37" s="242"/>
      <c r="JL37" s="242"/>
      <c r="JM37" s="242"/>
      <c r="JN37" s="242"/>
      <c r="JO37" s="242"/>
      <c r="JP37" s="242"/>
      <c r="JQ37" s="242"/>
      <c r="JR37" s="243"/>
      <c r="JS37" s="243"/>
      <c r="JT37" s="243"/>
      <c r="JU37" s="243"/>
      <c r="JV37" s="243"/>
      <c r="JW37" s="243"/>
      <c r="JX37" s="243"/>
      <c r="JY37" s="242"/>
      <c r="JZ37" s="242"/>
      <c r="KA37" s="242"/>
      <c r="KB37" s="242"/>
      <c r="KC37" s="242"/>
      <c r="KD37" s="242"/>
      <c r="KE37" s="242"/>
      <c r="KF37" s="243"/>
      <c r="KG37" s="243"/>
      <c r="KH37" s="243"/>
      <c r="KI37" s="243"/>
      <c r="KJ37" s="243"/>
      <c r="KK37" s="243"/>
      <c r="KL37" s="243"/>
      <c r="KM37" s="242"/>
      <c r="KN37" s="242"/>
      <c r="KO37" s="242"/>
      <c r="KP37" s="242"/>
      <c r="KQ37" s="242"/>
      <c r="KR37" s="242"/>
      <c r="KS37" s="242"/>
      <c r="KT37" s="243"/>
      <c r="KU37" s="243"/>
      <c r="KV37" s="243"/>
      <c r="KW37" s="243"/>
      <c r="KX37" s="243"/>
      <c r="KY37" s="243"/>
      <c r="KZ37" s="243"/>
      <c r="LA37" s="242"/>
      <c r="LB37" s="242"/>
      <c r="LC37" s="242"/>
      <c r="LD37" s="242"/>
      <c r="LE37" s="242"/>
      <c r="LF37" s="242"/>
      <c r="LG37" s="242"/>
      <c r="LH37" s="243"/>
      <c r="LI37" s="243"/>
      <c r="LJ37" s="243"/>
      <c r="LK37" s="243"/>
      <c r="LL37" s="243"/>
      <c r="LM37" s="243"/>
      <c r="LN37" s="243"/>
      <c r="LO37" s="242"/>
      <c r="LP37" s="242"/>
      <c r="LQ37" s="242"/>
      <c r="LR37" s="242"/>
      <c r="LS37" s="242"/>
      <c r="LT37" s="242"/>
      <c r="LU37" s="242"/>
      <c r="LV37" s="243"/>
      <c r="LW37" s="243"/>
      <c r="LX37" s="243"/>
      <c r="LY37" s="243"/>
      <c r="LZ37" s="243"/>
      <c r="MA37" s="243"/>
      <c r="MB37" s="243"/>
      <c r="MC37" s="242"/>
      <c r="MD37" s="242"/>
      <c r="ME37" s="242"/>
      <c r="MF37" s="242"/>
      <c r="MG37" s="242"/>
      <c r="MH37" s="242"/>
      <c r="MI37" s="242"/>
      <c r="MJ37" s="243"/>
      <c r="MK37" s="243"/>
      <c r="ML37" s="243"/>
      <c r="MM37" s="243"/>
      <c r="MN37" s="243"/>
      <c r="MO37" s="243"/>
      <c r="MP37" s="243"/>
      <c r="MQ37" s="242"/>
      <c r="MR37" s="242"/>
      <c r="MS37" s="242"/>
      <c r="MT37" s="242"/>
      <c r="MU37" s="242"/>
      <c r="MV37" s="242"/>
      <c r="MW37" s="242"/>
      <c r="MX37" s="243"/>
      <c r="MY37" s="243"/>
      <c r="MZ37" s="243"/>
      <c r="NA37" s="243"/>
      <c r="NB37" s="243"/>
      <c r="NC37" s="243"/>
      <c r="ND37" s="243"/>
      <c r="NE37" s="242"/>
      <c r="NF37" s="242"/>
      <c r="NG37" s="242"/>
      <c r="NH37" s="333" t="s">
        <v>1119</v>
      </c>
    </row>
    <row r="38" spans="1:372">
      <c r="A38" s="251" t="s">
        <v>970</v>
      </c>
      <c r="B38" s="251" t="s">
        <v>475</v>
      </c>
      <c r="C38" s="251" t="s">
        <v>674</v>
      </c>
      <c r="D38" s="251" t="s">
        <v>982</v>
      </c>
      <c r="E38" s="241">
        <v>102.36129996866666</v>
      </c>
      <c r="F38" s="241">
        <v>716</v>
      </c>
      <c r="G38" s="242"/>
      <c r="H38" s="242"/>
      <c r="I38" s="242"/>
      <c r="J38" s="242"/>
      <c r="K38" s="242"/>
      <c r="L38" s="243"/>
      <c r="M38" s="243"/>
      <c r="N38" s="243"/>
      <c r="O38" s="243"/>
      <c r="P38" s="243"/>
      <c r="Q38" s="243"/>
      <c r="R38" s="243"/>
      <c r="S38" s="242"/>
      <c r="T38" s="242"/>
      <c r="U38" s="242"/>
      <c r="V38" s="242"/>
      <c r="W38" s="242"/>
      <c r="X38" s="242"/>
      <c r="Y38" s="242"/>
      <c r="Z38" s="243"/>
      <c r="AA38" s="243"/>
      <c r="AB38" s="243"/>
      <c r="AC38" s="243"/>
      <c r="AD38" s="243"/>
      <c r="AE38" s="243"/>
      <c r="AF38" s="243"/>
      <c r="AG38" s="242"/>
      <c r="AH38" s="242"/>
      <c r="AI38" s="242"/>
      <c r="AJ38" s="242"/>
      <c r="AK38" s="242"/>
      <c r="AL38" s="242"/>
      <c r="AM38" s="242"/>
      <c r="AN38" s="243"/>
      <c r="AO38" s="243"/>
      <c r="AP38" s="243"/>
      <c r="AQ38" s="243"/>
      <c r="AR38" s="243"/>
      <c r="AS38" s="243"/>
      <c r="AT38" s="243"/>
      <c r="AU38" s="242"/>
      <c r="AV38" s="242"/>
      <c r="AW38" s="242"/>
      <c r="AX38" s="242"/>
      <c r="AY38" s="242"/>
      <c r="AZ38" s="242"/>
      <c r="BA38" s="242"/>
      <c r="BB38" s="243"/>
      <c r="BC38" s="243"/>
      <c r="BD38" s="243"/>
      <c r="BE38" s="243"/>
      <c r="BF38" s="243"/>
      <c r="BG38" s="243"/>
      <c r="BH38" s="243"/>
      <c r="BI38" s="242"/>
      <c r="BJ38" s="242"/>
      <c r="BK38" s="242"/>
      <c r="BL38" s="242"/>
      <c r="BM38" s="242"/>
      <c r="BN38" s="242"/>
      <c r="BO38" s="242"/>
      <c r="BP38" s="243"/>
      <c r="BQ38" s="243"/>
      <c r="BR38" s="243"/>
      <c r="BS38" s="243"/>
      <c r="BT38" s="243"/>
      <c r="BU38" s="243"/>
      <c r="BV38" s="243"/>
      <c r="BW38" s="242"/>
      <c r="BX38" s="242"/>
      <c r="BY38" s="242"/>
      <c r="BZ38" s="242"/>
      <c r="CA38" s="242"/>
      <c r="CB38" s="242"/>
      <c r="CC38" s="242"/>
      <c r="CD38" s="243"/>
      <c r="CE38" s="243"/>
      <c r="CF38" s="243"/>
      <c r="CG38" s="243"/>
      <c r="CH38" s="243"/>
      <c r="CI38" s="243"/>
      <c r="CJ38" s="243"/>
      <c r="CK38" s="242"/>
      <c r="CL38" s="242"/>
      <c r="CM38" s="242"/>
      <c r="CN38" s="242"/>
      <c r="CO38" s="242"/>
      <c r="CP38" s="242"/>
      <c r="CQ38" s="242"/>
      <c r="CR38" s="243"/>
      <c r="CS38" s="243"/>
      <c r="CT38" s="243"/>
      <c r="CU38" s="243"/>
      <c r="CV38" s="243"/>
      <c r="CW38" s="243"/>
      <c r="CX38" s="243"/>
      <c r="CY38" s="242"/>
      <c r="CZ38" s="242"/>
      <c r="DA38" s="242"/>
      <c r="DB38" s="242"/>
      <c r="DC38" s="242"/>
      <c r="DD38" s="242"/>
      <c r="DE38" s="242"/>
      <c r="DF38" s="243"/>
      <c r="DG38" s="243"/>
      <c r="DH38" s="243"/>
      <c r="DI38" s="243"/>
      <c r="DJ38" s="243"/>
      <c r="DK38" s="243"/>
      <c r="DL38" s="243"/>
      <c r="DM38" s="242">
        <v>8</v>
      </c>
      <c r="DN38" s="242"/>
      <c r="DO38" s="242"/>
      <c r="DP38" s="242"/>
      <c r="DQ38" s="242"/>
      <c r="DR38" s="242"/>
      <c r="DS38" s="242"/>
      <c r="DT38" s="243"/>
      <c r="DU38" s="243"/>
      <c r="DV38" s="243"/>
      <c r="DW38" s="243"/>
      <c r="DX38" s="243"/>
      <c r="DY38" s="243"/>
      <c r="DZ38" s="243"/>
      <c r="EA38" s="242"/>
      <c r="EB38" s="242"/>
      <c r="EC38" s="242"/>
      <c r="ED38" s="242"/>
      <c r="EE38" s="242"/>
      <c r="EF38" s="242"/>
      <c r="EG38" s="242"/>
      <c r="EH38" s="243"/>
      <c r="EI38" s="243"/>
      <c r="EJ38" s="243"/>
      <c r="EK38" s="243"/>
      <c r="EL38" s="243"/>
      <c r="EM38" s="243"/>
      <c r="EN38" s="243"/>
      <c r="EO38" s="242"/>
      <c r="EP38" s="242"/>
      <c r="EQ38" s="242"/>
      <c r="ER38" s="242"/>
      <c r="ES38" s="242"/>
      <c r="ET38" s="242"/>
      <c r="EU38" s="242"/>
      <c r="EV38" s="243"/>
      <c r="EW38" s="243"/>
      <c r="EX38" s="243"/>
      <c r="EY38" s="243"/>
      <c r="EZ38" s="243"/>
      <c r="FA38" s="243"/>
      <c r="FB38" s="243"/>
      <c r="FC38" s="242"/>
      <c r="FD38" s="242"/>
      <c r="FE38" s="242"/>
      <c r="FF38" s="242"/>
      <c r="FG38" s="242"/>
      <c r="FH38" s="242"/>
      <c r="FI38" s="242"/>
      <c r="FJ38" s="243"/>
      <c r="FK38" s="243"/>
      <c r="FL38" s="243"/>
      <c r="FM38" s="243"/>
      <c r="FN38" s="243"/>
      <c r="FO38" s="243"/>
      <c r="FP38" s="243"/>
      <c r="FQ38" s="242"/>
      <c r="FR38" s="242"/>
      <c r="FS38" s="242"/>
      <c r="FT38" s="242"/>
      <c r="FU38" s="242"/>
      <c r="FV38" s="242"/>
      <c r="FW38" s="242"/>
      <c r="FX38" s="243"/>
      <c r="FY38" s="243"/>
      <c r="FZ38" s="243"/>
      <c r="GA38" s="243"/>
      <c r="GB38" s="243"/>
      <c r="GC38" s="243"/>
      <c r="GD38" s="243"/>
      <c r="GE38" s="242"/>
      <c r="GF38" s="242"/>
      <c r="GG38" s="242"/>
      <c r="GH38" s="242"/>
      <c r="GI38" s="242"/>
      <c r="GJ38" s="242"/>
      <c r="GK38" s="242"/>
      <c r="GL38" s="243"/>
      <c r="GM38" s="243"/>
      <c r="GN38" s="243"/>
      <c r="GO38" s="243"/>
      <c r="GP38" s="243"/>
      <c r="GQ38" s="243"/>
      <c r="GR38" s="243"/>
      <c r="GS38" s="242"/>
      <c r="GT38" s="242"/>
      <c r="GU38" s="242"/>
      <c r="GV38" s="242"/>
      <c r="GW38" s="242"/>
      <c r="GX38" s="242"/>
      <c r="GY38" s="242"/>
      <c r="GZ38" s="243">
        <v>24</v>
      </c>
      <c r="HA38" s="243">
        <v>12</v>
      </c>
      <c r="HB38" s="243"/>
      <c r="HC38" s="243"/>
      <c r="HD38" s="243"/>
      <c r="HE38" s="243"/>
      <c r="HF38" s="243"/>
      <c r="HG38" s="242"/>
      <c r="HH38" s="242"/>
      <c r="HI38" s="242"/>
      <c r="HJ38" s="242"/>
      <c r="HK38" s="242"/>
      <c r="HL38" s="242"/>
      <c r="HM38" s="242"/>
      <c r="HN38" s="243"/>
      <c r="HO38" s="243"/>
      <c r="HP38" s="243"/>
      <c r="HQ38" s="243"/>
      <c r="HR38" s="243"/>
      <c r="HS38" s="243"/>
      <c r="HT38" s="243"/>
      <c r="HU38" s="242"/>
      <c r="HV38" s="242"/>
      <c r="HW38" s="242"/>
      <c r="HX38" s="242"/>
      <c r="HY38" s="242"/>
      <c r="HZ38" s="242"/>
      <c r="IA38" s="242"/>
      <c r="IB38" s="243"/>
      <c r="IC38" s="243"/>
      <c r="ID38" s="243"/>
      <c r="IE38" s="243"/>
      <c r="IF38" s="243"/>
      <c r="IG38" s="243"/>
      <c r="IH38" s="243"/>
      <c r="II38" s="242"/>
      <c r="IJ38" s="242"/>
      <c r="IK38" s="242"/>
      <c r="IL38" s="242"/>
      <c r="IM38" s="242"/>
      <c r="IN38" s="242"/>
      <c r="IO38" s="242"/>
      <c r="IP38" s="243"/>
      <c r="IQ38" s="243"/>
      <c r="IR38" s="243"/>
      <c r="IS38" s="243"/>
      <c r="IT38" s="243"/>
      <c r="IU38" s="243"/>
      <c r="IV38" s="243"/>
      <c r="IW38" s="242"/>
      <c r="IX38" s="242"/>
      <c r="IY38" s="242"/>
      <c r="IZ38" s="242"/>
      <c r="JA38" s="242"/>
      <c r="JB38" s="242"/>
      <c r="JC38" s="242"/>
      <c r="JD38" s="243"/>
      <c r="JE38" s="243"/>
      <c r="JF38" s="243"/>
      <c r="JG38" s="243"/>
      <c r="JH38" s="243"/>
      <c r="JI38" s="243"/>
      <c r="JJ38" s="243"/>
      <c r="JK38" s="242"/>
      <c r="JL38" s="242"/>
      <c r="JM38" s="242"/>
      <c r="JN38" s="242"/>
      <c r="JO38" s="242"/>
      <c r="JP38" s="242"/>
      <c r="JQ38" s="242"/>
      <c r="JR38" s="243"/>
      <c r="JS38" s="243"/>
      <c r="JT38" s="243"/>
      <c r="JU38" s="243"/>
      <c r="JV38" s="243"/>
      <c r="JW38" s="243"/>
      <c r="JX38" s="243"/>
      <c r="JY38" s="242"/>
      <c r="JZ38" s="242"/>
      <c r="KA38" s="242"/>
      <c r="KB38" s="242"/>
      <c r="KC38" s="242"/>
      <c r="KD38" s="242"/>
      <c r="KE38" s="242"/>
      <c r="KF38" s="243"/>
      <c r="KG38" s="243"/>
      <c r="KH38" s="243"/>
      <c r="KI38" s="243"/>
      <c r="KJ38" s="243"/>
      <c r="KK38" s="243"/>
      <c r="KL38" s="243"/>
      <c r="KM38" s="242"/>
      <c r="KN38" s="242"/>
      <c r="KO38" s="242"/>
      <c r="KP38" s="242"/>
      <c r="KQ38" s="242"/>
      <c r="KR38" s="242"/>
      <c r="KS38" s="242"/>
      <c r="KT38" s="243"/>
      <c r="KU38" s="243"/>
      <c r="KV38" s="243"/>
      <c r="KW38" s="243"/>
      <c r="KX38" s="243"/>
      <c r="KY38" s="243"/>
      <c r="KZ38" s="243"/>
      <c r="LA38" s="242">
        <v>24</v>
      </c>
      <c r="LB38" s="242">
        <v>24</v>
      </c>
      <c r="LC38" s="242">
        <v>24</v>
      </c>
      <c r="LD38" s="242">
        <v>24</v>
      </c>
      <c r="LE38" s="242">
        <v>24</v>
      </c>
      <c r="LF38" s="242">
        <v>24</v>
      </c>
      <c r="LG38" s="242">
        <v>24</v>
      </c>
      <c r="LH38" s="243">
        <v>24</v>
      </c>
      <c r="LI38" s="243">
        <v>24</v>
      </c>
      <c r="LJ38" s="243">
        <v>24</v>
      </c>
      <c r="LK38" s="243">
        <v>24</v>
      </c>
      <c r="LL38" s="243">
        <v>24</v>
      </c>
      <c r="LM38" s="243">
        <v>24</v>
      </c>
      <c r="LN38" s="243">
        <v>24</v>
      </c>
      <c r="LO38" s="242">
        <v>24</v>
      </c>
      <c r="LP38" s="242">
        <v>24</v>
      </c>
      <c r="LQ38" s="242">
        <v>24</v>
      </c>
      <c r="LR38" s="242">
        <v>24</v>
      </c>
      <c r="LS38" s="242">
        <v>24</v>
      </c>
      <c r="LT38" s="242">
        <v>24</v>
      </c>
      <c r="LU38" s="242">
        <v>24</v>
      </c>
      <c r="LV38" s="243">
        <v>24</v>
      </c>
      <c r="LW38" s="243">
        <v>24</v>
      </c>
      <c r="LX38" s="243">
        <v>24</v>
      </c>
      <c r="LY38" s="243">
        <v>24</v>
      </c>
      <c r="LZ38" s="243">
        <v>24</v>
      </c>
      <c r="MA38" s="243">
        <v>24</v>
      </c>
      <c r="MB38" s="243">
        <v>24</v>
      </c>
      <c r="MC38" s="242"/>
      <c r="MD38" s="242"/>
      <c r="ME38" s="242"/>
      <c r="MF38" s="242"/>
      <c r="MG38" s="242"/>
      <c r="MH38" s="242"/>
      <c r="MI38" s="242"/>
      <c r="MJ38" s="243"/>
      <c r="MK38" s="243"/>
      <c r="ML38" s="243"/>
      <c r="MM38" s="243"/>
      <c r="MN38" s="243"/>
      <c r="MO38" s="243"/>
      <c r="MP38" s="243"/>
      <c r="MQ38" s="242"/>
      <c r="MR38" s="242"/>
      <c r="MS38" s="242"/>
      <c r="MT38" s="242"/>
      <c r="MU38" s="242"/>
      <c r="MV38" s="242"/>
      <c r="MW38" s="242"/>
      <c r="MX38" s="243"/>
      <c r="MY38" s="243"/>
      <c r="MZ38" s="243"/>
      <c r="NA38" s="243"/>
      <c r="NB38" s="243"/>
      <c r="NC38" s="243"/>
      <c r="ND38" s="243"/>
      <c r="NE38" s="242"/>
      <c r="NF38" s="242"/>
      <c r="NG38" s="242"/>
      <c r="NH38" s="333" t="s">
        <v>1120</v>
      </c>
    </row>
    <row r="39" spans="1:372">
      <c r="A39" s="251" t="s">
        <v>970</v>
      </c>
      <c r="B39" s="251" t="s">
        <v>36</v>
      </c>
      <c r="C39" s="251" t="s">
        <v>674</v>
      </c>
      <c r="D39" s="251" t="s">
        <v>982</v>
      </c>
      <c r="E39" s="241">
        <v>211.10049973363431</v>
      </c>
      <c r="F39" s="241">
        <v>44</v>
      </c>
      <c r="G39" s="242"/>
      <c r="H39" s="242"/>
      <c r="I39" s="242"/>
      <c r="J39" s="242"/>
      <c r="K39" s="242"/>
      <c r="L39" s="243"/>
      <c r="M39" s="243"/>
      <c r="N39" s="243"/>
      <c r="O39" s="243"/>
      <c r="P39" s="243"/>
      <c r="Q39" s="243"/>
      <c r="R39" s="243"/>
      <c r="S39" s="242"/>
      <c r="T39" s="242"/>
      <c r="U39" s="242"/>
      <c r="V39" s="242"/>
      <c r="W39" s="242"/>
      <c r="X39" s="242"/>
      <c r="Y39" s="242"/>
      <c r="Z39" s="243"/>
      <c r="AA39" s="243"/>
      <c r="AB39" s="243"/>
      <c r="AC39" s="243"/>
      <c r="AD39" s="243"/>
      <c r="AE39" s="243"/>
      <c r="AF39" s="243"/>
      <c r="AG39" s="242"/>
      <c r="AH39" s="242"/>
      <c r="AI39" s="242"/>
      <c r="AJ39" s="242"/>
      <c r="AK39" s="242"/>
      <c r="AL39" s="242"/>
      <c r="AM39" s="242"/>
      <c r="AN39" s="243"/>
      <c r="AO39" s="243"/>
      <c r="AP39" s="243"/>
      <c r="AQ39" s="243"/>
      <c r="AR39" s="243"/>
      <c r="AS39" s="243"/>
      <c r="AT39" s="243"/>
      <c r="AU39" s="242"/>
      <c r="AV39" s="242"/>
      <c r="AW39" s="242"/>
      <c r="AX39" s="242"/>
      <c r="AY39" s="242"/>
      <c r="AZ39" s="242"/>
      <c r="BA39" s="242"/>
      <c r="BB39" s="243"/>
      <c r="BC39" s="243"/>
      <c r="BD39" s="243"/>
      <c r="BE39" s="243"/>
      <c r="BF39" s="243"/>
      <c r="BG39" s="243"/>
      <c r="BH39" s="243"/>
      <c r="BI39" s="242"/>
      <c r="BJ39" s="242"/>
      <c r="BK39" s="242"/>
      <c r="BL39" s="242"/>
      <c r="BM39" s="242"/>
      <c r="BN39" s="242"/>
      <c r="BO39" s="242"/>
      <c r="BP39" s="243"/>
      <c r="BQ39" s="243"/>
      <c r="BR39" s="243"/>
      <c r="BS39" s="243"/>
      <c r="BT39" s="243"/>
      <c r="BU39" s="243"/>
      <c r="BV39" s="243"/>
      <c r="BW39" s="242"/>
      <c r="BX39" s="242"/>
      <c r="BY39" s="242"/>
      <c r="BZ39" s="242"/>
      <c r="CA39" s="242"/>
      <c r="CB39" s="242"/>
      <c r="CC39" s="242"/>
      <c r="CD39" s="243"/>
      <c r="CE39" s="243"/>
      <c r="CF39" s="243"/>
      <c r="CG39" s="243"/>
      <c r="CH39" s="243"/>
      <c r="CI39" s="243"/>
      <c r="CJ39" s="243"/>
      <c r="CK39" s="242"/>
      <c r="CL39" s="242"/>
      <c r="CM39" s="242"/>
      <c r="CN39" s="242"/>
      <c r="CO39" s="242"/>
      <c r="CP39" s="242"/>
      <c r="CQ39" s="242"/>
      <c r="CR39" s="243"/>
      <c r="CS39" s="243"/>
      <c r="CT39" s="243"/>
      <c r="CU39" s="243"/>
      <c r="CV39" s="243"/>
      <c r="CW39" s="243"/>
      <c r="CX39" s="243"/>
      <c r="CY39" s="242"/>
      <c r="CZ39" s="242"/>
      <c r="DA39" s="242"/>
      <c r="DB39" s="242"/>
      <c r="DC39" s="242"/>
      <c r="DD39" s="242"/>
      <c r="DE39" s="242"/>
      <c r="DF39" s="243"/>
      <c r="DG39" s="243"/>
      <c r="DH39" s="243"/>
      <c r="DI39" s="243"/>
      <c r="DJ39" s="243"/>
      <c r="DK39" s="243"/>
      <c r="DL39" s="243"/>
      <c r="DM39" s="242">
        <v>8</v>
      </c>
      <c r="DN39" s="242"/>
      <c r="DO39" s="242"/>
      <c r="DP39" s="242"/>
      <c r="DQ39" s="242"/>
      <c r="DR39" s="242"/>
      <c r="DS39" s="242"/>
      <c r="DT39" s="243"/>
      <c r="DU39" s="243"/>
      <c r="DV39" s="243"/>
      <c r="DW39" s="243"/>
      <c r="DX39" s="243"/>
      <c r="DY39" s="243"/>
      <c r="DZ39" s="243"/>
      <c r="EA39" s="242"/>
      <c r="EB39" s="242"/>
      <c r="EC39" s="242"/>
      <c r="ED39" s="242"/>
      <c r="EE39" s="242"/>
      <c r="EF39" s="242"/>
      <c r="EG39" s="242"/>
      <c r="EH39" s="243"/>
      <c r="EI39" s="243"/>
      <c r="EJ39" s="243"/>
      <c r="EK39" s="243"/>
      <c r="EL39" s="243"/>
      <c r="EM39" s="243"/>
      <c r="EN39" s="243"/>
      <c r="EO39" s="242"/>
      <c r="EP39" s="242"/>
      <c r="EQ39" s="242"/>
      <c r="ER39" s="242"/>
      <c r="ES39" s="242"/>
      <c r="ET39" s="242"/>
      <c r="EU39" s="242"/>
      <c r="EV39" s="243"/>
      <c r="EW39" s="243"/>
      <c r="EX39" s="243"/>
      <c r="EY39" s="243"/>
      <c r="EZ39" s="243"/>
      <c r="FA39" s="243"/>
      <c r="FB39" s="243"/>
      <c r="FC39" s="242"/>
      <c r="FD39" s="242"/>
      <c r="FE39" s="242"/>
      <c r="FF39" s="242"/>
      <c r="FG39" s="242"/>
      <c r="FH39" s="242"/>
      <c r="FI39" s="242"/>
      <c r="FJ39" s="243"/>
      <c r="FK39" s="243"/>
      <c r="FL39" s="243"/>
      <c r="FM39" s="243"/>
      <c r="FN39" s="243"/>
      <c r="FO39" s="243"/>
      <c r="FP39" s="243"/>
      <c r="FQ39" s="242"/>
      <c r="FR39" s="242"/>
      <c r="FS39" s="242"/>
      <c r="FT39" s="242"/>
      <c r="FU39" s="242"/>
      <c r="FV39" s="242"/>
      <c r="FW39" s="242"/>
      <c r="FX39" s="243"/>
      <c r="FY39" s="243"/>
      <c r="FZ39" s="243"/>
      <c r="GA39" s="243"/>
      <c r="GB39" s="243"/>
      <c r="GC39" s="243"/>
      <c r="GD39" s="243"/>
      <c r="GE39" s="242"/>
      <c r="GF39" s="242"/>
      <c r="GG39" s="242"/>
      <c r="GH39" s="242"/>
      <c r="GI39" s="242"/>
      <c r="GJ39" s="242"/>
      <c r="GK39" s="242"/>
      <c r="GL39" s="243"/>
      <c r="GM39" s="243"/>
      <c r="GN39" s="243"/>
      <c r="GO39" s="243"/>
      <c r="GP39" s="243"/>
      <c r="GQ39" s="243"/>
      <c r="GR39" s="243"/>
      <c r="GS39" s="242"/>
      <c r="GT39" s="242"/>
      <c r="GU39" s="242"/>
      <c r="GV39" s="242"/>
      <c r="GW39" s="242"/>
      <c r="GX39" s="242"/>
      <c r="GY39" s="242"/>
      <c r="GZ39" s="243"/>
      <c r="HA39" s="243"/>
      <c r="HB39" s="243"/>
      <c r="HC39" s="243"/>
      <c r="HD39" s="243"/>
      <c r="HE39" s="243"/>
      <c r="HF39" s="243"/>
      <c r="HG39" s="242"/>
      <c r="HH39" s="242"/>
      <c r="HI39" s="242"/>
      <c r="HJ39" s="242"/>
      <c r="HK39" s="242"/>
      <c r="HL39" s="242"/>
      <c r="HM39" s="242"/>
      <c r="HN39" s="243"/>
      <c r="HO39" s="243"/>
      <c r="HP39" s="243"/>
      <c r="HQ39" s="243"/>
      <c r="HR39" s="243"/>
      <c r="HS39" s="243"/>
      <c r="HT39" s="243"/>
      <c r="HU39" s="242">
        <v>24</v>
      </c>
      <c r="HV39" s="242">
        <v>12</v>
      </c>
      <c r="HW39" s="242"/>
      <c r="HX39" s="242"/>
      <c r="HY39" s="242"/>
      <c r="HZ39" s="242"/>
      <c r="IA39" s="242"/>
      <c r="IB39" s="243"/>
      <c r="IC39" s="243"/>
      <c r="ID39" s="243"/>
      <c r="IE39" s="243"/>
      <c r="IF39" s="243"/>
      <c r="IG39" s="243"/>
      <c r="IH39" s="243"/>
      <c r="II39" s="242"/>
      <c r="IJ39" s="242"/>
      <c r="IK39" s="242"/>
      <c r="IL39" s="242"/>
      <c r="IM39" s="242"/>
      <c r="IN39" s="242"/>
      <c r="IO39" s="242"/>
      <c r="IP39" s="243"/>
      <c r="IQ39" s="243"/>
      <c r="IR39" s="243"/>
      <c r="IS39" s="243"/>
      <c r="IT39" s="243"/>
      <c r="IU39" s="243"/>
      <c r="IV39" s="243"/>
      <c r="IW39" s="242"/>
      <c r="IX39" s="242"/>
      <c r="IY39" s="242"/>
      <c r="IZ39" s="242"/>
      <c r="JA39" s="242"/>
      <c r="JB39" s="242"/>
      <c r="JC39" s="242"/>
      <c r="JD39" s="243"/>
      <c r="JE39" s="243"/>
      <c r="JF39" s="243"/>
      <c r="JG39" s="243"/>
      <c r="JH39" s="243"/>
      <c r="JI39" s="243"/>
      <c r="JJ39" s="243"/>
      <c r="JK39" s="242"/>
      <c r="JL39" s="242"/>
      <c r="JM39" s="242"/>
      <c r="JN39" s="242"/>
      <c r="JO39" s="242"/>
      <c r="JP39" s="242"/>
      <c r="JQ39" s="242"/>
      <c r="JR39" s="243"/>
      <c r="JS39" s="243"/>
      <c r="JT39" s="243"/>
      <c r="JU39" s="243"/>
      <c r="JV39" s="243"/>
      <c r="JW39" s="243"/>
      <c r="JX39" s="243"/>
      <c r="JY39" s="242"/>
      <c r="JZ39" s="242"/>
      <c r="KA39" s="242"/>
      <c r="KB39" s="242"/>
      <c r="KC39" s="242"/>
      <c r="KD39" s="242"/>
      <c r="KE39" s="242"/>
      <c r="KF39" s="243"/>
      <c r="KG39" s="243"/>
      <c r="KH39" s="243"/>
      <c r="KI39" s="243"/>
      <c r="KJ39" s="243"/>
      <c r="KK39" s="243"/>
      <c r="KL39" s="243"/>
      <c r="KM39" s="242"/>
      <c r="KN39" s="242"/>
      <c r="KO39" s="242"/>
      <c r="KP39" s="242"/>
      <c r="KQ39" s="242"/>
      <c r="KR39" s="242"/>
      <c r="KS39" s="242"/>
      <c r="KT39" s="243"/>
      <c r="KU39" s="243"/>
      <c r="KV39" s="243"/>
      <c r="KW39" s="243"/>
      <c r="KX39" s="243"/>
      <c r="KY39" s="243"/>
      <c r="KZ39" s="243"/>
      <c r="LA39" s="242"/>
      <c r="LB39" s="242"/>
      <c r="LC39" s="242"/>
      <c r="LD39" s="242"/>
      <c r="LE39" s="242"/>
      <c r="LF39" s="242"/>
      <c r="LG39" s="242"/>
      <c r="LH39" s="243"/>
      <c r="LI39" s="243"/>
      <c r="LJ39" s="243"/>
      <c r="LK39" s="243"/>
      <c r="LL39" s="243"/>
      <c r="LM39" s="243"/>
      <c r="LN39" s="243"/>
      <c r="LO39" s="242"/>
      <c r="LP39" s="242"/>
      <c r="LQ39" s="242"/>
      <c r="LR39" s="242"/>
      <c r="LS39" s="242"/>
      <c r="LT39" s="242"/>
      <c r="LU39" s="242"/>
      <c r="LV39" s="243"/>
      <c r="LW39" s="243"/>
      <c r="LX39" s="243"/>
      <c r="LY39" s="243"/>
      <c r="LZ39" s="243"/>
      <c r="MA39" s="243"/>
      <c r="MB39" s="243"/>
      <c r="MC39" s="242"/>
      <c r="MD39" s="242"/>
      <c r="ME39" s="242"/>
      <c r="MF39" s="242"/>
      <c r="MG39" s="242"/>
      <c r="MH39" s="242"/>
      <c r="MI39" s="242"/>
      <c r="MJ39" s="243"/>
      <c r="MK39" s="243"/>
      <c r="ML39" s="243"/>
      <c r="MM39" s="243"/>
      <c r="MN39" s="243"/>
      <c r="MO39" s="243"/>
      <c r="MP39" s="243"/>
      <c r="MQ39" s="242"/>
      <c r="MR39" s="242"/>
      <c r="MS39" s="242"/>
      <c r="MT39" s="242"/>
      <c r="MU39" s="242"/>
      <c r="MV39" s="242"/>
      <c r="MW39" s="242"/>
      <c r="MX39" s="243"/>
      <c r="MY39" s="243"/>
      <c r="MZ39" s="243"/>
      <c r="NA39" s="243"/>
      <c r="NB39" s="243"/>
      <c r="NC39" s="243"/>
      <c r="ND39" s="243"/>
      <c r="NE39" s="242"/>
      <c r="NF39" s="242"/>
      <c r="NG39" s="242"/>
      <c r="NH39" s="333"/>
    </row>
    <row r="40" spans="1:372">
      <c r="A40" s="251" t="s">
        <v>970</v>
      </c>
      <c r="B40" s="251" t="s">
        <v>37</v>
      </c>
      <c r="C40" s="251" t="s">
        <v>674</v>
      </c>
      <c r="D40" s="251" t="s">
        <v>982</v>
      </c>
      <c r="E40" s="241">
        <v>303.45288861728852</v>
      </c>
      <c r="F40" s="241">
        <v>62</v>
      </c>
      <c r="G40" s="242"/>
      <c r="H40" s="242"/>
      <c r="I40" s="242"/>
      <c r="J40" s="242"/>
      <c r="K40" s="242"/>
      <c r="L40" s="243"/>
      <c r="M40" s="243"/>
      <c r="N40" s="243"/>
      <c r="O40" s="243"/>
      <c r="P40" s="243"/>
      <c r="Q40" s="243"/>
      <c r="R40" s="243"/>
      <c r="S40" s="242"/>
      <c r="T40" s="242"/>
      <c r="U40" s="242"/>
      <c r="V40" s="242"/>
      <c r="W40" s="242"/>
      <c r="X40" s="242"/>
      <c r="Y40" s="242"/>
      <c r="Z40" s="243"/>
      <c r="AA40" s="243"/>
      <c r="AB40" s="243"/>
      <c r="AC40" s="243"/>
      <c r="AD40" s="243"/>
      <c r="AE40" s="243"/>
      <c r="AF40" s="243"/>
      <c r="AG40" s="242"/>
      <c r="AH40" s="242"/>
      <c r="AI40" s="242"/>
      <c r="AJ40" s="242"/>
      <c r="AK40" s="242"/>
      <c r="AL40" s="242"/>
      <c r="AM40" s="242"/>
      <c r="AN40" s="243"/>
      <c r="AO40" s="243"/>
      <c r="AP40" s="243"/>
      <c r="AQ40" s="243"/>
      <c r="AR40" s="243"/>
      <c r="AS40" s="243"/>
      <c r="AT40" s="243"/>
      <c r="AU40" s="242"/>
      <c r="AV40" s="242"/>
      <c r="AW40" s="242"/>
      <c r="AX40" s="242"/>
      <c r="AY40" s="242"/>
      <c r="AZ40" s="242"/>
      <c r="BA40" s="242"/>
      <c r="BB40" s="243">
        <v>10</v>
      </c>
      <c r="BC40" s="243"/>
      <c r="BD40" s="243"/>
      <c r="BE40" s="243"/>
      <c r="BF40" s="243"/>
      <c r="BG40" s="243"/>
      <c r="BH40" s="243"/>
      <c r="BI40" s="242"/>
      <c r="BJ40" s="242"/>
      <c r="BK40" s="242"/>
      <c r="BL40" s="242"/>
      <c r="BM40" s="242"/>
      <c r="BN40" s="242"/>
      <c r="BO40" s="242"/>
      <c r="BP40" s="243"/>
      <c r="BQ40" s="243"/>
      <c r="BR40" s="243"/>
      <c r="BS40" s="243"/>
      <c r="BT40" s="243"/>
      <c r="BU40" s="243"/>
      <c r="BV40" s="243"/>
      <c r="BW40" s="242"/>
      <c r="BX40" s="242"/>
      <c r="BY40" s="242"/>
      <c r="BZ40" s="242"/>
      <c r="CA40" s="242"/>
      <c r="CB40" s="242"/>
      <c r="CC40" s="242"/>
      <c r="CD40" s="243"/>
      <c r="CE40" s="243"/>
      <c r="CF40" s="243"/>
      <c r="CG40" s="243"/>
      <c r="CH40" s="243"/>
      <c r="CI40" s="243"/>
      <c r="CJ40" s="243"/>
      <c r="CK40" s="242"/>
      <c r="CL40" s="242"/>
      <c r="CM40" s="242"/>
      <c r="CN40" s="242"/>
      <c r="CO40" s="242"/>
      <c r="CP40" s="242"/>
      <c r="CQ40" s="242"/>
      <c r="CR40" s="243"/>
      <c r="CS40" s="243"/>
      <c r="CT40" s="243"/>
      <c r="CU40" s="243"/>
      <c r="CV40" s="243"/>
      <c r="CW40" s="243"/>
      <c r="CX40" s="243"/>
      <c r="CY40" s="242"/>
      <c r="CZ40" s="242"/>
      <c r="DA40" s="242"/>
      <c r="DB40" s="242"/>
      <c r="DC40" s="242"/>
      <c r="DD40" s="242"/>
      <c r="DE40" s="242"/>
      <c r="DF40" s="243">
        <v>8</v>
      </c>
      <c r="DG40" s="243"/>
      <c r="DH40" s="243"/>
      <c r="DI40" s="243"/>
      <c r="DJ40" s="243"/>
      <c r="DK40" s="243"/>
      <c r="DL40" s="243"/>
      <c r="DM40" s="242">
        <v>8</v>
      </c>
      <c r="DN40" s="242"/>
      <c r="DO40" s="242"/>
      <c r="DP40" s="242"/>
      <c r="DQ40" s="242"/>
      <c r="DR40" s="242"/>
      <c r="DS40" s="242"/>
      <c r="DT40" s="243"/>
      <c r="DU40" s="243"/>
      <c r="DV40" s="243"/>
      <c r="DW40" s="243"/>
      <c r="DX40" s="243"/>
      <c r="DY40" s="243"/>
      <c r="DZ40" s="243"/>
      <c r="EA40" s="242"/>
      <c r="EB40" s="242"/>
      <c r="EC40" s="242"/>
      <c r="ED40" s="242"/>
      <c r="EE40" s="242"/>
      <c r="EF40" s="242"/>
      <c r="EG40" s="242"/>
      <c r="EH40" s="243"/>
      <c r="EI40" s="243"/>
      <c r="EJ40" s="243"/>
      <c r="EK40" s="243"/>
      <c r="EL40" s="243"/>
      <c r="EM40" s="243"/>
      <c r="EN40" s="243"/>
      <c r="EO40" s="242"/>
      <c r="EP40" s="242"/>
      <c r="EQ40" s="242"/>
      <c r="ER40" s="242"/>
      <c r="ES40" s="242"/>
      <c r="ET40" s="242"/>
      <c r="EU40" s="242"/>
      <c r="EV40" s="243"/>
      <c r="EW40" s="243"/>
      <c r="EX40" s="243"/>
      <c r="EY40" s="243"/>
      <c r="EZ40" s="243"/>
      <c r="FA40" s="243"/>
      <c r="FB40" s="243"/>
      <c r="FC40" s="242"/>
      <c r="FD40" s="242"/>
      <c r="FE40" s="242"/>
      <c r="FF40" s="242"/>
      <c r="FG40" s="242"/>
      <c r="FH40" s="242"/>
      <c r="FI40" s="242"/>
      <c r="FJ40" s="243"/>
      <c r="FK40" s="243"/>
      <c r="FL40" s="243"/>
      <c r="FM40" s="243"/>
      <c r="FN40" s="243"/>
      <c r="FO40" s="243"/>
      <c r="FP40" s="243"/>
      <c r="FQ40" s="242"/>
      <c r="FR40" s="242"/>
      <c r="FS40" s="242"/>
      <c r="FT40" s="242"/>
      <c r="FU40" s="242"/>
      <c r="FV40" s="242"/>
      <c r="FW40" s="242"/>
      <c r="FX40" s="243"/>
      <c r="FY40" s="243"/>
      <c r="FZ40" s="243"/>
      <c r="GA40" s="243"/>
      <c r="GB40" s="243"/>
      <c r="GC40" s="243"/>
      <c r="GD40" s="243"/>
      <c r="GE40" s="242"/>
      <c r="GF40" s="242"/>
      <c r="GG40" s="242"/>
      <c r="GH40" s="242"/>
      <c r="GI40" s="242"/>
      <c r="GJ40" s="242"/>
      <c r="GK40" s="242"/>
      <c r="GL40" s="243"/>
      <c r="GM40" s="243"/>
      <c r="GN40" s="243"/>
      <c r="GO40" s="243"/>
      <c r="GP40" s="243"/>
      <c r="GQ40" s="243"/>
      <c r="GR40" s="243"/>
      <c r="GS40" s="242"/>
      <c r="GT40" s="242"/>
      <c r="GU40" s="242"/>
      <c r="GV40" s="242"/>
      <c r="GW40" s="242"/>
      <c r="GX40" s="242"/>
      <c r="GY40" s="242"/>
      <c r="GZ40" s="243"/>
      <c r="HA40" s="243"/>
      <c r="HB40" s="243"/>
      <c r="HC40" s="243"/>
      <c r="HD40" s="243"/>
      <c r="HE40" s="243"/>
      <c r="HF40" s="243"/>
      <c r="HG40" s="242"/>
      <c r="HH40" s="242"/>
      <c r="HI40" s="242"/>
      <c r="HJ40" s="242"/>
      <c r="HK40" s="242"/>
      <c r="HL40" s="242"/>
      <c r="HM40" s="242"/>
      <c r="HN40" s="243">
        <v>24</v>
      </c>
      <c r="HO40" s="243">
        <v>12</v>
      </c>
      <c r="HP40" s="243"/>
      <c r="HQ40" s="243"/>
      <c r="HR40" s="243"/>
      <c r="HS40" s="243"/>
      <c r="HT40" s="243"/>
      <c r="HU40" s="242"/>
      <c r="HV40" s="242"/>
      <c r="HW40" s="242"/>
      <c r="HX40" s="242"/>
      <c r="HY40" s="242"/>
      <c r="HZ40" s="242"/>
      <c r="IA40" s="242"/>
      <c r="IB40" s="243"/>
      <c r="IC40" s="243"/>
      <c r="ID40" s="243"/>
      <c r="IE40" s="243"/>
      <c r="IF40" s="243"/>
      <c r="IG40" s="243"/>
      <c r="IH40" s="243"/>
      <c r="II40" s="242"/>
      <c r="IJ40" s="242"/>
      <c r="IK40" s="242"/>
      <c r="IL40" s="242"/>
      <c r="IM40" s="242"/>
      <c r="IN40" s="242"/>
      <c r="IO40" s="242"/>
      <c r="IP40" s="243"/>
      <c r="IQ40" s="243"/>
      <c r="IR40" s="243"/>
      <c r="IS40" s="243"/>
      <c r="IT40" s="243"/>
      <c r="IU40" s="243"/>
      <c r="IV40" s="243"/>
      <c r="IW40" s="242"/>
      <c r="IX40" s="242"/>
      <c r="IY40" s="242"/>
      <c r="IZ40" s="242"/>
      <c r="JA40" s="242"/>
      <c r="JB40" s="242"/>
      <c r="JC40" s="242"/>
      <c r="JD40" s="243"/>
      <c r="JE40" s="243"/>
      <c r="JF40" s="243"/>
      <c r="JG40" s="243"/>
      <c r="JH40" s="243"/>
      <c r="JI40" s="243"/>
      <c r="JJ40" s="243"/>
      <c r="JK40" s="242"/>
      <c r="JL40" s="242"/>
      <c r="JM40" s="242"/>
      <c r="JN40" s="242"/>
      <c r="JO40" s="242"/>
      <c r="JP40" s="242"/>
      <c r="JQ40" s="242"/>
      <c r="JR40" s="243"/>
      <c r="JS40" s="243"/>
      <c r="JT40" s="243"/>
      <c r="JU40" s="243"/>
      <c r="JV40" s="243"/>
      <c r="JW40" s="243"/>
      <c r="JX40" s="243"/>
      <c r="JY40" s="242"/>
      <c r="JZ40" s="242"/>
      <c r="KA40" s="242"/>
      <c r="KB40" s="242"/>
      <c r="KC40" s="242"/>
      <c r="KD40" s="242"/>
      <c r="KE40" s="242"/>
      <c r="KF40" s="243"/>
      <c r="KG40" s="243"/>
      <c r="KH40" s="243"/>
      <c r="KI40" s="243"/>
      <c r="KJ40" s="243"/>
      <c r="KK40" s="243"/>
      <c r="KL40" s="243"/>
      <c r="KM40" s="242"/>
      <c r="KN40" s="242"/>
      <c r="KO40" s="242"/>
      <c r="KP40" s="242"/>
      <c r="KQ40" s="242"/>
      <c r="KR40" s="242"/>
      <c r="KS40" s="242"/>
      <c r="KT40" s="243"/>
      <c r="KU40" s="243"/>
      <c r="KV40" s="243"/>
      <c r="KW40" s="243"/>
      <c r="KX40" s="243"/>
      <c r="KY40" s="243"/>
      <c r="KZ40" s="243"/>
      <c r="LA40" s="242"/>
      <c r="LB40" s="242"/>
      <c r="LC40" s="242"/>
      <c r="LD40" s="242"/>
      <c r="LE40" s="242"/>
      <c r="LF40" s="242"/>
      <c r="LG40" s="242"/>
      <c r="LH40" s="243"/>
      <c r="LI40" s="243"/>
      <c r="LJ40" s="243"/>
      <c r="LK40" s="243"/>
      <c r="LL40" s="243"/>
      <c r="LM40" s="243"/>
      <c r="LN40" s="243"/>
      <c r="LO40" s="242"/>
      <c r="LP40" s="242"/>
      <c r="LQ40" s="242"/>
      <c r="LR40" s="242"/>
      <c r="LS40" s="242"/>
      <c r="LT40" s="242"/>
      <c r="LU40" s="242"/>
      <c r="LV40" s="243"/>
      <c r="LW40" s="243"/>
      <c r="LX40" s="243"/>
      <c r="LY40" s="243"/>
      <c r="LZ40" s="243"/>
      <c r="MA40" s="243"/>
      <c r="MB40" s="243"/>
      <c r="MC40" s="242"/>
      <c r="MD40" s="242"/>
      <c r="ME40" s="242"/>
      <c r="MF40" s="242"/>
      <c r="MG40" s="242"/>
      <c r="MH40" s="242"/>
      <c r="MI40" s="242"/>
      <c r="MJ40" s="243"/>
      <c r="MK40" s="243"/>
      <c r="ML40" s="243"/>
      <c r="MM40" s="243"/>
      <c r="MN40" s="243"/>
      <c r="MO40" s="243"/>
      <c r="MP40" s="243"/>
      <c r="MQ40" s="242"/>
      <c r="MR40" s="242"/>
      <c r="MS40" s="242"/>
      <c r="MT40" s="242"/>
      <c r="MU40" s="242"/>
      <c r="MV40" s="242"/>
      <c r="MW40" s="242"/>
      <c r="MX40" s="243"/>
      <c r="MY40" s="243"/>
      <c r="MZ40" s="243"/>
      <c r="NA40" s="243"/>
      <c r="NB40" s="243"/>
      <c r="NC40" s="243"/>
      <c r="ND40" s="243"/>
      <c r="NE40" s="242"/>
      <c r="NF40" s="242"/>
      <c r="NG40" s="242"/>
      <c r="NH40" s="333"/>
    </row>
    <row r="41" spans="1:372">
      <c r="A41" s="251" t="s">
        <v>970</v>
      </c>
      <c r="B41" s="251" t="s">
        <v>351</v>
      </c>
      <c r="C41" s="251" t="s">
        <v>674</v>
      </c>
      <c r="D41" s="251" t="s">
        <v>982</v>
      </c>
      <c r="E41" s="241">
        <v>10.621499983833329</v>
      </c>
      <c r="F41" s="241">
        <v>0</v>
      </c>
      <c r="G41" s="242"/>
      <c r="H41" s="242"/>
      <c r="I41" s="242"/>
      <c r="J41" s="242"/>
      <c r="K41" s="242"/>
      <c r="L41" s="243"/>
      <c r="M41" s="243"/>
      <c r="N41" s="243"/>
      <c r="O41" s="243"/>
      <c r="P41" s="243"/>
      <c r="Q41" s="243"/>
      <c r="R41" s="243"/>
      <c r="S41" s="242"/>
      <c r="T41" s="242"/>
      <c r="U41" s="242"/>
      <c r="V41" s="242"/>
      <c r="W41" s="242"/>
      <c r="X41" s="242"/>
      <c r="Y41" s="242"/>
      <c r="Z41" s="243"/>
      <c r="AA41" s="243"/>
      <c r="AB41" s="243"/>
      <c r="AC41" s="243"/>
      <c r="AD41" s="243"/>
      <c r="AE41" s="243"/>
      <c r="AF41" s="243"/>
      <c r="AG41" s="242"/>
      <c r="AH41" s="242"/>
      <c r="AI41" s="242"/>
      <c r="AJ41" s="242"/>
      <c r="AK41" s="242"/>
      <c r="AL41" s="242"/>
      <c r="AM41" s="242"/>
      <c r="AN41" s="243"/>
      <c r="AO41" s="243"/>
      <c r="AP41" s="243"/>
      <c r="AQ41" s="243"/>
      <c r="AR41" s="243"/>
      <c r="AS41" s="243"/>
      <c r="AT41" s="243"/>
      <c r="AU41" s="242"/>
      <c r="AV41" s="242"/>
      <c r="AW41" s="242"/>
      <c r="AX41" s="242"/>
      <c r="AY41" s="242"/>
      <c r="AZ41" s="242"/>
      <c r="BA41" s="242"/>
      <c r="BB41" s="243"/>
      <c r="BC41" s="243"/>
      <c r="BD41" s="243"/>
      <c r="BE41" s="243"/>
      <c r="BF41" s="243"/>
      <c r="BG41" s="243"/>
      <c r="BH41" s="243"/>
      <c r="BI41" s="242"/>
      <c r="BJ41" s="242"/>
      <c r="BK41" s="242"/>
      <c r="BL41" s="242"/>
      <c r="BM41" s="242"/>
      <c r="BN41" s="242"/>
      <c r="BO41" s="242"/>
      <c r="BP41" s="243"/>
      <c r="BQ41" s="243"/>
      <c r="BR41" s="243"/>
      <c r="BS41" s="243"/>
      <c r="BT41" s="243"/>
      <c r="BU41" s="243"/>
      <c r="BV41" s="243"/>
      <c r="BW41" s="242"/>
      <c r="BX41" s="242"/>
      <c r="BY41" s="242"/>
      <c r="BZ41" s="242"/>
      <c r="CA41" s="242"/>
      <c r="CB41" s="242"/>
      <c r="CC41" s="242"/>
      <c r="CD41" s="243"/>
      <c r="CE41" s="243"/>
      <c r="CF41" s="243"/>
      <c r="CG41" s="243"/>
      <c r="CH41" s="243"/>
      <c r="CI41" s="243"/>
      <c r="CJ41" s="243"/>
      <c r="CK41" s="242"/>
      <c r="CL41" s="242"/>
      <c r="CM41" s="242"/>
      <c r="CN41" s="242"/>
      <c r="CO41" s="242"/>
      <c r="CP41" s="242"/>
      <c r="CQ41" s="242"/>
      <c r="CR41" s="243"/>
      <c r="CS41" s="243"/>
      <c r="CT41" s="243"/>
      <c r="CU41" s="243"/>
      <c r="CV41" s="243"/>
      <c r="CW41" s="243"/>
      <c r="CX41" s="243"/>
      <c r="CY41" s="242"/>
      <c r="CZ41" s="242"/>
      <c r="DA41" s="242"/>
      <c r="DB41" s="242"/>
      <c r="DC41" s="242"/>
      <c r="DD41" s="242"/>
      <c r="DE41" s="242"/>
      <c r="DF41" s="243"/>
      <c r="DG41" s="243"/>
      <c r="DH41" s="243"/>
      <c r="DI41" s="243"/>
      <c r="DJ41" s="243"/>
      <c r="DK41" s="243"/>
      <c r="DL41" s="243"/>
      <c r="DM41" s="242"/>
      <c r="DN41" s="242"/>
      <c r="DO41" s="242"/>
      <c r="DP41" s="242"/>
      <c r="DQ41" s="242"/>
      <c r="DR41" s="242"/>
      <c r="DS41" s="242"/>
      <c r="DT41" s="243"/>
      <c r="DU41" s="243"/>
      <c r="DV41" s="243"/>
      <c r="DW41" s="243"/>
      <c r="DX41" s="243"/>
      <c r="DY41" s="243"/>
      <c r="DZ41" s="243"/>
      <c r="EA41" s="242"/>
      <c r="EB41" s="242"/>
      <c r="EC41" s="242"/>
      <c r="ED41" s="242"/>
      <c r="EE41" s="242"/>
      <c r="EF41" s="242"/>
      <c r="EG41" s="242"/>
      <c r="EH41" s="243"/>
      <c r="EI41" s="243"/>
      <c r="EJ41" s="243"/>
      <c r="EK41" s="243"/>
      <c r="EL41" s="243"/>
      <c r="EM41" s="243"/>
      <c r="EN41" s="243"/>
      <c r="EO41" s="242"/>
      <c r="EP41" s="242"/>
      <c r="EQ41" s="242"/>
      <c r="ER41" s="242"/>
      <c r="ES41" s="242"/>
      <c r="ET41" s="242"/>
      <c r="EU41" s="242"/>
      <c r="EV41" s="243"/>
      <c r="EW41" s="243"/>
      <c r="EX41" s="243"/>
      <c r="EY41" s="243"/>
      <c r="EZ41" s="243"/>
      <c r="FA41" s="243"/>
      <c r="FB41" s="243"/>
      <c r="FC41" s="242"/>
      <c r="FD41" s="242"/>
      <c r="FE41" s="242"/>
      <c r="FF41" s="242"/>
      <c r="FG41" s="242"/>
      <c r="FH41" s="242"/>
      <c r="FI41" s="242"/>
      <c r="FJ41" s="243"/>
      <c r="FK41" s="243"/>
      <c r="FL41" s="243"/>
      <c r="FM41" s="243"/>
      <c r="FN41" s="243"/>
      <c r="FO41" s="243"/>
      <c r="FP41" s="243"/>
      <c r="FQ41" s="242"/>
      <c r="FR41" s="242"/>
      <c r="FS41" s="242"/>
      <c r="FT41" s="242"/>
      <c r="FU41" s="242"/>
      <c r="FV41" s="242"/>
      <c r="FW41" s="242"/>
      <c r="FX41" s="243"/>
      <c r="FY41" s="243"/>
      <c r="FZ41" s="243"/>
      <c r="GA41" s="243"/>
      <c r="GB41" s="243"/>
      <c r="GC41" s="243"/>
      <c r="GD41" s="243"/>
      <c r="GE41" s="242"/>
      <c r="GF41" s="242"/>
      <c r="GG41" s="242"/>
      <c r="GH41" s="242"/>
      <c r="GI41" s="242"/>
      <c r="GJ41" s="242"/>
      <c r="GK41" s="242"/>
      <c r="GL41" s="243"/>
      <c r="GM41" s="243"/>
      <c r="GN41" s="243"/>
      <c r="GO41" s="243"/>
      <c r="GP41" s="243"/>
      <c r="GQ41" s="243"/>
      <c r="GR41" s="243"/>
      <c r="GS41" s="242"/>
      <c r="GT41" s="242"/>
      <c r="GU41" s="242"/>
      <c r="GV41" s="242"/>
      <c r="GW41" s="242"/>
      <c r="GX41" s="242"/>
      <c r="GY41" s="242"/>
      <c r="GZ41" s="243"/>
      <c r="HA41" s="243"/>
      <c r="HB41" s="243"/>
      <c r="HC41" s="243"/>
      <c r="HD41" s="243"/>
      <c r="HE41" s="243"/>
      <c r="HF41" s="243"/>
      <c r="HG41" s="242"/>
      <c r="HH41" s="242"/>
      <c r="HI41" s="242"/>
      <c r="HJ41" s="242"/>
      <c r="HK41" s="242"/>
      <c r="HL41" s="242"/>
      <c r="HM41" s="242"/>
      <c r="HN41" s="243"/>
      <c r="HO41" s="243"/>
      <c r="HP41" s="243"/>
      <c r="HQ41" s="243"/>
      <c r="HR41" s="243"/>
      <c r="HS41" s="243"/>
      <c r="HT41" s="243"/>
      <c r="HU41" s="242"/>
      <c r="HV41" s="242"/>
      <c r="HW41" s="242"/>
      <c r="HX41" s="242"/>
      <c r="HY41" s="242"/>
      <c r="HZ41" s="242"/>
      <c r="IA41" s="242"/>
      <c r="IB41" s="243"/>
      <c r="IC41" s="243"/>
      <c r="ID41" s="243"/>
      <c r="IE41" s="243"/>
      <c r="IF41" s="243"/>
      <c r="IG41" s="243"/>
      <c r="IH41" s="243"/>
      <c r="II41" s="242"/>
      <c r="IJ41" s="242"/>
      <c r="IK41" s="242"/>
      <c r="IL41" s="242"/>
      <c r="IM41" s="242"/>
      <c r="IN41" s="242"/>
      <c r="IO41" s="242"/>
      <c r="IP41" s="243"/>
      <c r="IQ41" s="243"/>
      <c r="IR41" s="243"/>
      <c r="IS41" s="243"/>
      <c r="IT41" s="243"/>
      <c r="IU41" s="243"/>
      <c r="IV41" s="243"/>
      <c r="IW41" s="242"/>
      <c r="IX41" s="242"/>
      <c r="IY41" s="242"/>
      <c r="IZ41" s="242"/>
      <c r="JA41" s="242"/>
      <c r="JB41" s="242"/>
      <c r="JC41" s="242"/>
      <c r="JD41" s="243"/>
      <c r="JE41" s="243"/>
      <c r="JF41" s="243"/>
      <c r="JG41" s="243"/>
      <c r="JH41" s="243"/>
      <c r="JI41" s="243"/>
      <c r="JJ41" s="243"/>
      <c r="JK41" s="242"/>
      <c r="JL41" s="242"/>
      <c r="JM41" s="242"/>
      <c r="JN41" s="242"/>
      <c r="JO41" s="242"/>
      <c r="JP41" s="242"/>
      <c r="JQ41" s="242"/>
      <c r="JR41" s="243"/>
      <c r="JS41" s="243"/>
      <c r="JT41" s="243"/>
      <c r="JU41" s="243"/>
      <c r="JV41" s="243"/>
      <c r="JW41" s="243"/>
      <c r="JX41" s="243"/>
      <c r="JY41" s="242"/>
      <c r="JZ41" s="242"/>
      <c r="KA41" s="242"/>
      <c r="KB41" s="242"/>
      <c r="KC41" s="242"/>
      <c r="KD41" s="242"/>
      <c r="KE41" s="242"/>
      <c r="KF41" s="243"/>
      <c r="KG41" s="243"/>
      <c r="KH41" s="243"/>
      <c r="KI41" s="243"/>
      <c r="KJ41" s="243"/>
      <c r="KK41" s="243"/>
      <c r="KL41" s="243"/>
      <c r="KM41" s="242"/>
      <c r="KN41" s="242"/>
      <c r="KO41" s="242"/>
      <c r="KP41" s="242"/>
      <c r="KQ41" s="242"/>
      <c r="KR41" s="242"/>
      <c r="KS41" s="242"/>
      <c r="KT41" s="243"/>
      <c r="KU41" s="243"/>
      <c r="KV41" s="243"/>
      <c r="KW41" s="243"/>
      <c r="KX41" s="243"/>
      <c r="KY41" s="243"/>
      <c r="KZ41" s="243"/>
      <c r="LA41" s="242"/>
      <c r="LB41" s="242"/>
      <c r="LC41" s="242"/>
      <c r="LD41" s="242"/>
      <c r="LE41" s="242"/>
      <c r="LF41" s="242"/>
      <c r="LG41" s="242"/>
      <c r="LH41" s="243"/>
      <c r="LI41" s="243"/>
      <c r="LJ41" s="243"/>
      <c r="LK41" s="243"/>
      <c r="LL41" s="243"/>
      <c r="LM41" s="243"/>
      <c r="LN41" s="243"/>
      <c r="LO41" s="242"/>
      <c r="LP41" s="242"/>
      <c r="LQ41" s="242"/>
      <c r="LR41" s="242"/>
      <c r="LS41" s="242"/>
      <c r="LT41" s="242"/>
      <c r="LU41" s="242"/>
      <c r="LV41" s="243"/>
      <c r="LW41" s="243"/>
      <c r="LX41" s="243"/>
      <c r="LY41" s="243"/>
      <c r="LZ41" s="243"/>
      <c r="MA41" s="243"/>
      <c r="MB41" s="243"/>
      <c r="MC41" s="242"/>
      <c r="MD41" s="242"/>
      <c r="ME41" s="242"/>
      <c r="MF41" s="242"/>
      <c r="MG41" s="242"/>
      <c r="MH41" s="242"/>
      <c r="MI41" s="242"/>
      <c r="MJ41" s="243"/>
      <c r="MK41" s="243"/>
      <c r="ML41" s="243"/>
      <c r="MM41" s="243"/>
      <c r="MN41" s="243"/>
      <c r="MO41" s="243"/>
      <c r="MP41" s="243"/>
      <c r="MQ41" s="242"/>
      <c r="MR41" s="242"/>
      <c r="MS41" s="242"/>
      <c r="MT41" s="242"/>
      <c r="MU41" s="242"/>
      <c r="MV41" s="242"/>
      <c r="MW41" s="242"/>
      <c r="MX41" s="243"/>
      <c r="MY41" s="243"/>
      <c r="MZ41" s="243"/>
      <c r="NA41" s="243"/>
      <c r="NB41" s="243"/>
      <c r="NC41" s="243"/>
      <c r="ND41" s="243"/>
      <c r="NE41" s="242"/>
      <c r="NF41" s="242"/>
      <c r="NG41" s="242"/>
      <c r="NH41" s="333"/>
    </row>
    <row r="42" spans="1:372">
      <c r="A42" s="251" t="s">
        <v>970</v>
      </c>
      <c r="B42" s="251" t="s">
        <v>408</v>
      </c>
      <c r="C42" s="251" t="s">
        <v>674</v>
      </c>
      <c r="D42" s="251" t="s">
        <v>982</v>
      </c>
      <c r="E42" s="241">
        <v>10.765611053666673</v>
      </c>
      <c r="F42" s="241">
        <v>0</v>
      </c>
      <c r="G42" s="242"/>
      <c r="H42" s="242"/>
      <c r="I42" s="242"/>
      <c r="J42" s="242"/>
      <c r="K42" s="242"/>
      <c r="L42" s="243"/>
      <c r="M42" s="243"/>
      <c r="N42" s="243"/>
      <c r="O42" s="243"/>
      <c r="P42" s="243"/>
      <c r="Q42" s="243"/>
      <c r="R42" s="243"/>
      <c r="S42" s="242"/>
      <c r="T42" s="242"/>
      <c r="U42" s="242"/>
      <c r="V42" s="242"/>
      <c r="W42" s="242"/>
      <c r="X42" s="242"/>
      <c r="Y42" s="242"/>
      <c r="Z42" s="243"/>
      <c r="AA42" s="243"/>
      <c r="AB42" s="243"/>
      <c r="AC42" s="243"/>
      <c r="AD42" s="243"/>
      <c r="AE42" s="243"/>
      <c r="AF42" s="243"/>
      <c r="AG42" s="242"/>
      <c r="AH42" s="242"/>
      <c r="AI42" s="242"/>
      <c r="AJ42" s="242"/>
      <c r="AK42" s="242"/>
      <c r="AL42" s="242"/>
      <c r="AM42" s="242"/>
      <c r="AN42" s="243"/>
      <c r="AO42" s="243"/>
      <c r="AP42" s="243"/>
      <c r="AQ42" s="243"/>
      <c r="AR42" s="243"/>
      <c r="AS42" s="243"/>
      <c r="AT42" s="243"/>
      <c r="AU42" s="242"/>
      <c r="AV42" s="242"/>
      <c r="AW42" s="242"/>
      <c r="AX42" s="242"/>
      <c r="AY42" s="242"/>
      <c r="AZ42" s="242"/>
      <c r="BA42" s="242"/>
      <c r="BB42" s="243"/>
      <c r="BC42" s="243"/>
      <c r="BD42" s="243"/>
      <c r="BE42" s="243"/>
      <c r="BF42" s="243"/>
      <c r="BG42" s="243"/>
      <c r="BH42" s="243"/>
      <c r="BI42" s="242"/>
      <c r="BJ42" s="242"/>
      <c r="BK42" s="242"/>
      <c r="BL42" s="242"/>
      <c r="BM42" s="242"/>
      <c r="BN42" s="242"/>
      <c r="BO42" s="242"/>
      <c r="BP42" s="243"/>
      <c r="BQ42" s="243"/>
      <c r="BR42" s="243"/>
      <c r="BS42" s="243"/>
      <c r="BT42" s="243"/>
      <c r="BU42" s="243"/>
      <c r="BV42" s="243"/>
      <c r="BW42" s="242"/>
      <c r="BX42" s="242"/>
      <c r="BY42" s="242"/>
      <c r="BZ42" s="242"/>
      <c r="CA42" s="242"/>
      <c r="CB42" s="242"/>
      <c r="CC42" s="242"/>
      <c r="CD42" s="243"/>
      <c r="CE42" s="243"/>
      <c r="CF42" s="243"/>
      <c r="CG42" s="243"/>
      <c r="CH42" s="243"/>
      <c r="CI42" s="243"/>
      <c r="CJ42" s="243"/>
      <c r="CK42" s="242"/>
      <c r="CL42" s="242"/>
      <c r="CM42" s="242"/>
      <c r="CN42" s="242"/>
      <c r="CO42" s="242"/>
      <c r="CP42" s="242"/>
      <c r="CQ42" s="242"/>
      <c r="CR42" s="243"/>
      <c r="CS42" s="243"/>
      <c r="CT42" s="243"/>
      <c r="CU42" s="243"/>
      <c r="CV42" s="243"/>
      <c r="CW42" s="243"/>
      <c r="CX42" s="243"/>
      <c r="CY42" s="242"/>
      <c r="CZ42" s="242"/>
      <c r="DA42" s="242"/>
      <c r="DB42" s="242"/>
      <c r="DC42" s="242"/>
      <c r="DD42" s="242"/>
      <c r="DE42" s="242"/>
      <c r="DF42" s="243"/>
      <c r="DG42" s="243"/>
      <c r="DH42" s="243"/>
      <c r="DI42" s="243"/>
      <c r="DJ42" s="243"/>
      <c r="DK42" s="243"/>
      <c r="DL42" s="243"/>
      <c r="DM42" s="242"/>
      <c r="DN42" s="242"/>
      <c r="DO42" s="242"/>
      <c r="DP42" s="242"/>
      <c r="DQ42" s="242"/>
      <c r="DR42" s="242"/>
      <c r="DS42" s="242"/>
      <c r="DT42" s="243"/>
      <c r="DU42" s="243"/>
      <c r="DV42" s="243"/>
      <c r="DW42" s="243"/>
      <c r="DX42" s="243"/>
      <c r="DY42" s="243"/>
      <c r="DZ42" s="243"/>
      <c r="EA42" s="242"/>
      <c r="EB42" s="242"/>
      <c r="EC42" s="242"/>
      <c r="ED42" s="242"/>
      <c r="EE42" s="242"/>
      <c r="EF42" s="242"/>
      <c r="EG42" s="242"/>
      <c r="EH42" s="243"/>
      <c r="EI42" s="243"/>
      <c r="EJ42" s="243"/>
      <c r="EK42" s="243"/>
      <c r="EL42" s="243"/>
      <c r="EM42" s="243"/>
      <c r="EN42" s="243"/>
      <c r="EO42" s="242"/>
      <c r="EP42" s="242"/>
      <c r="EQ42" s="242"/>
      <c r="ER42" s="242"/>
      <c r="ES42" s="242"/>
      <c r="ET42" s="242"/>
      <c r="EU42" s="242"/>
      <c r="EV42" s="243"/>
      <c r="EW42" s="243"/>
      <c r="EX42" s="243"/>
      <c r="EY42" s="243"/>
      <c r="EZ42" s="243"/>
      <c r="FA42" s="243"/>
      <c r="FB42" s="243"/>
      <c r="FC42" s="242"/>
      <c r="FD42" s="242"/>
      <c r="FE42" s="242"/>
      <c r="FF42" s="242"/>
      <c r="FG42" s="242"/>
      <c r="FH42" s="242"/>
      <c r="FI42" s="242"/>
      <c r="FJ42" s="243"/>
      <c r="FK42" s="243"/>
      <c r="FL42" s="243"/>
      <c r="FM42" s="243"/>
      <c r="FN42" s="243"/>
      <c r="FO42" s="243"/>
      <c r="FP42" s="243"/>
      <c r="FQ42" s="242"/>
      <c r="FR42" s="242"/>
      <c r="FS42" s="242"/>
      <c r="FT42" s="242"/>
      <c r="FU42" s="242"/>
      <c r="FV42" s="242"/>
      <c r="FW42" s="242"/>
      <c r="FX42" s="243"/>
      <c r="FY42" s="243"/>
      <c r="FZ42" s="243"/>
      <c r="GA42" s="243"/>
      <c r="GB42" s="243"/>
      <c r="GC42" s="243"/>
      <c r="GD42" s="243"/>
      <c r="GE42" s="242"/>
      <c r="GF42" s="242"/>
      <c r="GG42" s="242"/>
      <c r="GH42" s="242"/>
      <c r="GI42" s="242"/>
      <c r="GJ42" s="242"/>
      <c r="GK42" s="242"/>
      <c r="GL42" s="243"/>
      <c r="GM42" s="243"/>
      <c r="GN42" s="243"/>
      <c r="GO42" s="243"/>
      <c r="GP42" s="243"/>
      <c r="GQ42" s="243"/>
      <c r="GR42" s="243"/>
      <c r="GS42" s="242"/>
      <c r="GT42" s="242"/>
      <c r="GU42" s="242"/>
      <c r="GV42" s="242"/>
      <c r="GW42" s="242"/>
      <c r="GX42" s="242"/>
      <c r="GY42" s="242"/>
      <c r="GZ42" s="243"/>
      <c r="HA42" s="243"/>
      <c r="HB42" s="243"/>
      <c r="HC42" s="243"/>
      <c r="HD42" s="243"/>
      <c r="HE42" s="243"/>
      <c r="HF42" s="243"/>
      <c r="HG42" s="242"/>
      <c r="HH42" s="242"/>
      <c r="HI42" s="242"/>
      <c r="HJ42" s="242"/>
      <c r="HK42" s="242"/>
      <c r="HL42" s="242"/>
      <c r="HM42" s="242"/>
      <c r="HN42" s="243"/>
      <c r="HO42" s="243"/>
      <c r="HP42" s="243"/>
      <c r="HQ42" s="243"/>
      <c r="HR42" s="243"/>
      <c r="HS42" s="243"/>
      <c r="HT42" s="243"/>
      <c r="HU42" s="242"/>
      <c r="HV42" s="242"/>
      <c r="HW42" s="242"/>
      <c r="HX42" s="242"/>
      <c r="HY42" s="242"/>
      <c r="HZ42" s="242"/>
      <c r="IA42" s="242"/>
      <c r="IB42" s="243"/>
      <c r="IC42" s="243"/>
      <c r="ID42" s="243"/>
      <c r="IE42" s="243"/>
      <c r="IF42" s="243"/>
      <c r="IG42" s="243"/>
      <c r="IH42" s="243"/>
      <c r="II42" s="242"/>
      <c r="IJ42" s="242"/>
      <c r="IK42" s="242"/>
      <c r="IL42" s="242"/>
      <c r="IM42" s="242"/>
      <c r="IN42" s="242"/>
      <c r="IO42" s="242"/>
      <c r="IP42" s="243"/>
      <c r="IQ42" s="243"/>
      <c r="IR42" s="243"/>
      <c r="IS42" s="243"/>
      <c r="IT42" s="243"/>
      <c r="IU42" s="243"/>
      <c r="IV42" s="243"/>
      <c r="IW42" s="242"/>
      <c r="IX42" s="242"/>
      <c r="IY42" s="242"/>
      <c r="IZ42" s="242"/>
      <c r="JA42" s="242"/>
      <c r="JB42" s="242"/>
      <c r="JC42" s="242"/>
      <c r="JD42" s="243"/>
      <c r="JE42" s="243"/>
      <c r="JF42" s="243"/>
      <c r="JG42" s="243"/>
      <c r="JH42" s="243"/>
      <c r="JI42" s="243"/>
      <c r="JJ42" s="243"/>
      <c r="JK42" s="242"/>
      <c r="JL42" s="242"/>
      <c r="JM42" s="242"/>
      <c r="JN42" s="242"/>
      <c r="JO42" s="242"/>
      <c r="JP42" s="242"/>
      <c r="JQ42" s="242"/>
      <c r="JR42" s="243"/>
      <c r="JS42" s="243"/>
      <c r="JT42" s="243"/>
      <c r="JU42" s="243"/>
      <c r="JV42" s="243"/>
      <c r="JW42" s="243"/>
      <c r="JX42" s="243"/>
      <c r="JY42" s="242"/>
      <c r="JZ42" s="242"/>
      <c r="KA42" s="242"/>
      <c r="KB42" s="242"/>
      <c r="KC42" s="242"/>
      <c r="KD42" s="242"/>
      <c r="KE42" s="242"/>
      <c r="KF42" s="243"/>
      <c r="KG42" s="243"/>
      <c r="KH42" s="243"/>
      <c r="KI42" s="243"/>
      <c r="KJ42" s="243"/>
      <c r="KK42" s="243"/>
      <c r="KL42" s="243"/>
      <c r="KM42" s="242"/>
      <c r="KN42" s="242"/>
      <c r="KO42" s="242"/>
      <c r="KP42" s="242"/>
      <c r="KQ42" s="242"/>
      <c r="KR42" s="242"/>
      <c r="KS42" s="242"/>
      <c r="KT42" s="243"/>
      <c r="KU42" s="243"/>
      <c r="KV42" s="243"/>
      <c r="KW42" s="243"/>
      <c r="KX42" s="243"/>
      <c r="KY42" s="243"/>
      <c r="KZ42" s="243"/>
      <c r="LA42" s="242"/>
      <c r="LB42" s="242"/>
      <c r="LC42" s="242"/>
      <c r="LD42" s="242"/>
      <c r="LE42" s="242"/>
      <c r="LF42" s="242"/>
      <c r="LG42" s="242"/>
      <c r="LH42" s="243"/>
      <c r="LI42" s="243"/>
      <c r="LJ42" s="243"/>
      <c r="LK42" s="243"/>
      <c r="LL42" s="243"/>
      <c r="LM42" s="243"/>
      <c r="LN42" s="243"/>
      <c r="LO42" s="242"/>
      <c r="LP42" s="242"/>
      <c r="LQ42" s="242"/>
      <c r="LR42" s="242"/>
      <c r="LS42" s="242"/>
      <c r="LT42" s="242"/>
      <c r="LU42" s="242"/>
      <c r="LV42" s="243"/>
      <c r="LW42" s="243"/>
      <c r="LX42" s="243"/>
      <c r="LY42" s="243"/>
      <c r="LZ42" s="243"/>
      <c r="MA42" s="243"/>
      <c r="MB42" s="243"/>
      <c r="MC42" s="242"/>
      <c r="MD42" s="242"/>
      <c r="ME42" s="242"/>
      <c r="MF42" s="242"/>
      <c r="MG42" s="242"/>
      <c r="MH42" s="242"/>
      <c r="MI42" s="242"/>
      <c r="MJ42" s="243"/>
      <c r="MK42" s="243"/>
      <c r="ML42" s="243"/>
      <c r="MM42" s="243"/>
      <c r="MN42" s="243"/>
      <c r="MO42" s="243"/>
      <c r="MP42" s="243"/>
      <c r="MQ42" s="242"/>
      <c r="MR42" s="242"/>
      <c r="MS42" s="242"/>
      <c r="MT42" s="242"/>
      <c r="MU42" s="242"/>
      <c r="MV42" s="242"/>
      <c r="MW42" s="242"/>
      <c r="MX42" s="243"/>
      <c r="MY42" s="243"/>
      <c r="MZ42" s="243"/>
      <c r="NA42" s="243"/>
      <c r="NB42" s="243"/>
      <c r="NC42" s="243"/>
      <c r="ND42" s="243"/>
      <c r="NE42" s="242"/>
      <c r="NF42" s="242"/>
      <c r="NG42" s="242"/>
      <c r="NH42" s="333"/>
    </row>
    <row r="43" spans="1:372">
      <c r="A43" s="251" t="s">
        <v>970</v>
      </c>
      <c r="B43" s="251" t="s">
        <v>409</v>
      </c>
      <c r="C43" s="251" t="s">
        <v>674</v>
      </c>
      <c r="D43" s="251" t="s">
        <v>982</v>
      </c>
      <c r="E43" s="241">
        <v>211.38406655698392</v>
      </c>
      <c r="F43" s="241">
        <v>0</v>
      </c>
      <c r="G43" s="242"/>
      <c r="H43" s="242"/>
      <c r="I43" s="242"/>
      <c r="J43" s="242"/>
      <c r="K43" s="242"/>
      <c r="L43" s="243"/>
      <c r="M43" s="243"/>
      <c r="N43" s="243"/>
      <c r="O43" s="243"/>
      <c r="P43" s="243"/>
      <c r="Q43" s="243"/>
      <c r="R43" s="243"/>
      <c r="S43" s="242"/>
      <c r="T43" s="242"/>
      <c r="U43" s="242"/>
      <c r="V43" s="242"/>
      <c r="W43" s="242"/>
      <c r="X43" s="242"/>
      <c r="Y43" s="242"/>
      <c r="Z43" s="243"/>
      <c r="AA43" s="243"/>
      <c r="AB43" s="243"/>
      <c r="AC43" s="243"/>
      <c r="AD43" s="243"/>
      <c r="AE43" s="243"/>
      <c r="AF43" s="243"/>
      <c r="AG43" s="242"/>
      <c r="AH43" s="242"/>
      <c r="AI43" s="242"/>
      <c r="AJ43" s="242"/>
      <c r="AK43" s="242"/>
      <c r="AL43" s="242"/>
      <c r="AM43" s="242"/>
      <c r="AN43" s="243"/>
      <c r="AO43" s="243"/>
      <c r="AP43" s="243"/>
      <c r="AQ43" s="243"/>
      <c r="AR43" s="243"/>
      <c r="AS43" s="243"/>
      <c r="AT43" s="243"/>
      <c r="AU43" s="242"/>
      <c r="AV43" s="242"/>
      <c r="AW43" s="242"/>
      <c r="AX43" s="242"/>
      <c r="AY43" s="242"/>
      <c r="AZ43" s="242"/>
      <c r="BA43" s="242"/>
      <c r="BB43" s="243"/>
      <c r="BC43" s="243"/>
      <c r="BD43" s="243"/>
      <c r="BE43" s="243"/>
      <c r="BF43" s="243"/>
      <c r="BG43" s="243"/>
      <c r="BH43" s="243"/>
      <c r="BI43" s="242"/>
      <c r="BJ43" s="242"/>
      <c r="BK43" s="242"/>
      <c r="BL43" s="242"/>
      <c r="BM43" s="242"/>
      <c r="BN43" s="242"/>
      <c r="BO43" s="242"/>
      <c r="BP43" s="243"/>
      <c r="BQ43" s="243"/>
      <c r="BR43" s="243"/>
      <c r="BS43" s="243"/>
      <c r="BT43" s="243"/>
      <c r="BU43" s="243"/>
      <c r="BV43" s="243"/>
      <c r="BW43" s="242"/>
      <c r="BX43" s="242"/>
      <c r="BY43" s="242"/>
      <c r="BZ43" s="242"/>
      <c r="CA43" s="242"/>
      <c r="CB43" s="242"/>
      <c r="CC43" s="242"/>
      <c r="CD43" s="243"/>
      <c r="CE43" s="243"/>
      <c r="CF43" s="243"/>
      <c r="CG43" s="243"/>
      <c r="CH43" s="243"/>
      <c r="CI43" s="243"/>
      <c r="CJ43" s="243"/>
      <c r="CK43" s="242"/>
      <c r="CL43" s="242"/>
      <c r="CM43" s="242"/>
      <c r="CN43" s="242"/>
      <c r="CO43" s="242"/>
      <c r="CP43" s="242"/>
      <c r="CQ43" s="242"/>
      <c r="CR43" s="243"/>
      <c r="CS43" s="243"/>
      <c r="CT43" s="243"/>
      <c r="CU43" s="243"/>
      <c r="CV43" s="243"/>
      <c r="CW43" s="243"/>
      <c r="CX43" s="243"/>
      <c r="CY43" s="242"/>
      <c r="CZ43" s="242"/>
      <c r="DA43" s="242"/>
      <c r="DB43" s="242"/>
      <c r="DC43" s="242"/>
      <c r="DD43" s="242"/>
      <c r="DE43" s="242"/>
      <c r="DF43" s="243"/>
      <c r="DG43" s="243"/>
      <c r="DH43" s="243"/>
      <c r="DI43" s="243"/>
      <c r="DJ43" s="243"/>
      <c r="DK43" s="243"/>
      <c r="DL43" s="243"/>
      <c r="DM43" s="242"/>
      <c r="DN43" s="242"/>
      <c r="DO43" s="242"/>
      <c r="DP43" s="242"/>
      <c r="DQ43" s="242"/>
      <c r="DR43" s="242"/>
      <c r="DS43" s="242"/>
      <c r="DT43" s="243"/>
      <c r="DU43" s="243"/>
      <c r="DV43" s="243"/>
      <c r="DW43" s="243"/>
      <c r="DX43" s="243"/>
      <c r="DY43" s="243"/>
      <c r="DZ43" s="243"/>
      <c r="EA43" s="242"/>
      <c r="EB43" s="242"/>
      <c r="EC43" s="242"/>
      <c r="ED43" s="242"/>
      <c r="EE43" s="242"/>
      <c r="EF43" s="242"/>
      <c r="EG43" s="242"/>
      <c r="EH43" s="243"/>
      <c r="EI43" s="243"/>
      <c r="EJ43" s="243"/>
      <c r="EK43" s="243"/>
      <c r="EL43" s="243"/>
      <c r="EM43" s="243"/>
      <c r="EN43" s="243"/>
      <c r="EO43" s="242"/>
      <c r="EP43" s="242"/>
      <c r="EQ43" s="242"/>
      <c r="ER43" s="242"/>
      <c r="ES43" s="242"/>
      <c r="ET43" s="242"/>
      <c r="EU43" s="242"/>
      <c r="EV43" s="243"/>
      <c r="EW43" s="243"/>
      <c r="EX43" s="243"/>
      <c r="EY43" s="243"/>
      <c r="EZ43" s="243"/>
      <c r="FA43" s="243"/>
      <c r="FB43" s="243"/>
      <c r="FC43" s="242"/>
      <c r="FD43" s="242"/>
      <c r="FE43" s="242"/>
      <c r="FF43" s="242"/>
      <c r="FG43" s="242"/>
      <c r="FH43" s="242"/>
      <c r="FI43" s="242"/>
      <c r="FJ43" s="243"/>
      <c r="FK43" s="243"/>
      <c r="FL43" s="243"/>
      <c r="FM43" s="243"/>
      <c r="FN43" s="243"/>
      <c r="FO43" s="243"/>
      <c r="FP43" s="243"/>
      <c r="FQ43" s="242"/>
      <c r="FR43" s="242"/>
      <c r="FS43" s="242"/>
      <c r="FT43" s="242"/>
      <c r="FU43" s="242"/>
      <c r="FV43" s="242"/>
      <c r="FW43" s="242"/>
      <c r="FX43" s="243"/>
      <c r="FY43" s="243"/>
      <c r="FZ43" s="243"/>
      <c r="GA43" s="243"/>
      <c r="GB43" s="243"/>
      <c r="GC43" s="243"/>
      <c r="GD43" s="243"/>
      <c r="GE43" s="242"/>
      <c r="GF43" s="242"/>
      <c r="GG43" s="242"/>
      <c r="GH43" s="242"/>
      <c r="GI43" s="242"/>
      <c r="GJ43" s="242"/>
      <c r="GK43" s="242"/>
      <c r="GL43" s="243"/>
      <c r="GM43" s="243"/>
      <c r="GN43" s="243"/>
      <c r="GO43" s="243"/>
      <c r="GP43" s="243"/>
      <c r="GQ43" s="243"/>
      <c r="GR43" s="243"/>
      <c r="GS43" s="242"/>
      <c r="GT43" s="242"/>
      <c r="GU43" s="242"/>
      <c r="GV43" s="242"/>
      <c r="GW43" s="242"/>
      <c r="GX43" s="242"/>
      <c r="GY43" s="242"/>
      <c r="GZ43" s="243"/>
      <c r="HA43" s="243"/>
      <c r="HB43" s="243"/>
      <c r="HC43" s="243"/>
      <c r="HD43" s="243"/>
      <c r="HE43" s="243"/>
      <c r="HF43" s="243"/>
      <c r="HG43" s="242"/>
      <c r="HH43" s="242"/>
      <c r="HI43" s="242"/>
      <c r="HJ43" s="242"/>
      <c r="HK43" s="242"/>
      <c r="HL43" s="242"/>
      <c r="HM43" s="242"/>
      <c r="HN43" s="243"/>
      <c r="HO43" s="243"/>
      <c r="HP43" s="243"/>
      <c r="HQ43" s="243"/>
      <c r="HR43" s="243"/>
      <c r="HS43" s="243"/>
      <c r="HT43" s="243"/>
      <c r="HU43" s="242"/>
      <c r="HV43" s="242"/>
      <c r="HW43" s="242"/>
      <c r="HX43" s="242"/>
      <c r="HY43" s="242"/>
      <c r="HZ43" s="242"/>
      <c r="IA43" s="242"/>
      <c r="IB43" s="243"/>
      <c r="IC43" s="243"/>
      <c r="ID43" s="243"/>
      <c r="IE43" s="243"/>
      <c r="IF43" s="243"/>
      <c r="IG43" s="243"/>
      <c r="IH43" s="243"/>
      <c r="II43" s="242"/>
      <c r="IJ43" s="242"/>
      <c r="IK43" s="242"/>
      <c r="IL43" s="242"/>
      <c r="IM43" s="242"/>
      <c r="IN43" s="242"/>
      <c r="IO43" s="242"/>
      <c r="IP43" s="243"/>
      <c r="IQ43" s="243"/>
      <c r="IR43" s="243"/>
      <c r="IS43" s="243"/>
      <c r="IT43" s="243"/>
      <c r="IU43" s="243"/>
      <c r="IV43" s="243"/>
      <c r="IW43" s="242"/>
      <c r="IX43" s="242"/>
      <c r="IY43" s="242"/>
      <c r="IZ43" s="242"/>
      <c r="JA43" s="242"/>
      <c r="JB43" s="242"/>
      <c r="JC43" s="242"/>
      <c r="JD43" s="243"/>
      <c r="JE43" s="243"/>
      <c r="JF43" s="243"/>
      <c r="JG43" s="243"/>
      <c r="JH43" s="243"/>
      <c r="JI43" s="243"/>
      <c r="JJ43" s="243"/>
      <c r="JK43" s="242"/>
      <c r="JL43" s="242"/>
      <c r="JM43" s="242"/>
      <c r="JN43" s="242"/>
      <c r="JO43" s="242"/>
      <c r="JP43" s="242"/>
      <c r="JQ43" s="242"/>
      <c r="JR43" s="243"/>
      <c r="JS43" s="243"/>
      <c r="JT43" s="243"/>
      <c r="JU43" s="243"/>
      <c r="JV43" s="243"/>
      <c r="JW43" s="243"/>
      <c r="JX43" s="243"/>
      <c r="JY43" s="242"/>
      <c r="JZ43" s="242"/>
      <c r="KA43" s="242"/>
      <c r="KB43" s="242"/>
      <c r="KC43" s="242"/>
      <c r="KD43" s="242"/>
      <c r="KE43" s="242"/>
      <c r="KF43" s="243"/>
      <c r="KG43" s="243"/>
      <c r="KH43" s="243"/>
      <c r="KI43" s="243"/>
      <c r="KJ43" s="243"/>
      <c r="KK43" s="243"/>
      <c r="KL43" s="243"/>
      <c r="KM43" s="242"/>
      <c r="KN43" s="242"/>
      <c r="KO43" s="242"/>
      <c r="KP43" s="242"/>
      <c r="KQ43" s="242"/>
      <c r="KR43" s="242"/>
      <c r="KS43" s="242"/>
      <c r="KT43" s="243"/>
      <c r="KU43" s="243"/>
      <c r="KV43" s="243"/>
      <c r="KW43" s="243"/>
      <c r="KX43" s="243"/>
      <c r="KY43" s="243"/>
      <c r="KZ43" s="243"/>
      <c r="LA43" s="242"/>
      <c r="LB43" s="242"/>
      <c r="LC43" s="242"/>
      <c r="LD43" s="242"/>
      <c r="LE43" s="242"/>
      <c r="LF43" s="242"/>
      <c r="LG43" s="242"/>
      <c r="LH43" s="243"/>
      <c r="LI43" s="243"/>
      <c r="LJ43" s="243"/>
      <c r="LK43" s="243"/>
      <c r="LL43" s="243"/>
      <c r="LM43" s="243"/>
      <c r="LN43" s="243"/>
      <c r="LO43" s="242"/>
      <c r="LP43" s="242"/>
      <c r="LQ43" s="242"/>
      <c r="LR43" s="242"/>
      <c r="LS43" s="242"/>
      <c r="LT43" s="242"/>
      <c r="LU43" s="242"/>
      <c r="LV43" s="243"/>
      <c r="LW43" s="243"/>
      <c r="LX43" s="243"/>
      <c r="LY43" s="243"/>
      <c r="LZ43" s="243"/>
      <c r="MA43" s="243"/>
      <c r="MB43" s="243"/>
      <c r="MC43" s="242"/>
      <c r="MD43" s="242"/>
      <c r="ME43" s="242"/>
      <c r="MF43" s="242"/>
      <c r="MG43" s="242"/>
      <c r="MH43" s="242"/>
      <c r="MI43" s="242"/>
      <c r="MJ43" s="243"/>
      <c r="MK43" s="243"/>
      <c r="ML43" s="243"/>
      <c r="MM43" s="243"/>
      <c r="MN43" s="243"/>
      <c r="MO43" s="243"/>
      <c r="MP43" s="243"/>
      <c r="MQ43" s="242"/>
      <c r="MR43" s="242"/>
      <c r="MS43" s="242"/>
      <c r="MT43" s="242"/>
      <c r="MU43" s="242"/>
      <c r="MV43" s="242"/>
      <c r="MW43" s="242"/>
      <c r="MX43" s="243"/>
      <c r="MY43" s="243"/>
      <c r="MZ43" s="243"/>
      <c r="NA43" s="243"/>
      <c r="NB43" s="243"/>
      <c r="NC43" s="243"/>
      <c r="ND43" s="243"/>
      <c r="NE43" s="242"/>
      <c r="NF43" s="242"/>
      <c r="NG43" s="242"/>
      <c r="NH43" s="333"/>
    </row>
    <row r="44" spans="1:372">
      <c r="A44" s="251" t="s">
        <v>970</v>
      </c>
      <c r="B44" s="251" t="s">
        <v>38</v>
      </c>
      <c r="C44" s="251" t="s">
        <v>674</v>
      </c>
      <c r="D44" s="251" t="s">
        <v>982</v>
      </c>
      <c r="E44" s="241">
        <v>681.11616611833335</v>
      </c>
      <c r="F44" s="241">
        <v>15</v>
      </c>
      <c r="G44" s="242"/>
      <c r="H44" s="242"/>
      <c r="I44" s="242"/>
      <c r="J44" s="242"/>
      <c r="K44" s="242"/>
      <c r="L44" s="243"/>
      <c r="M44" s="243"/>
      <c r="N44" s="243"/>
      <c r="O44" s="243"/>
      <c r="P44" s="243"/>
      <c r="Q44" s="243"/>
      <c r="R44" s="243"/>
      <c r="S44" s="242"/>
      <c r="T44" s="242"/>
      <c r="U44" s="242"/>
      <c r="V44" s="242"/>
      <c r="W44" s="242"/>
      <c r="X44" s="242"/>
      <c r="Y44" s="242"/>
      <c r="Z44" s="243"/>
      <c r="AA44" s="243"/>
      <c r="AB44" s="243"/>
      <c r="AC44" s="243"/>
      <c r="AD44" s="243"/>
      <c r="AE44" s="243"/>
      <c r="AF44" s="243"/>
      <c r="AG44" s="242"/>
      <c r="AH44" s="242"/>
      <c r="AI44" s="242"/>
      <c r="AJ44" s="242"/>
      <c r="AK44" s="242"/>
      <c r="AL44" s="242"/>
      <c r="AM44" s="242"/>
      <c r="AN44" s="243"/>
      <c r="AO44" s="243"/>
      <c r="AP44" s="243"/>
      <c r="AQ44" s="243"/>
      <c r="AR44" s="243"/>
      <c r="AS44" s="243"/>
      <c r="AT44" s="243"/>
      <c r="AU44" s="242"/>
      <c r="AV44" s="242"/>
      <c r="AW44" s="242"/>
      <c r="AX44" s="242"/>
      <c r="AY44" s="242"/>
      <c r="AZ44" s="242"/>
      <c r="BA44" s="242"/>
      <c r="BB44" s="243"/>
      <c r="BC44" s="243"/>
      <c r="BD44" s="243"/>
      <c r="BE44" s="243"/>
      <c r="BF44" s="243"/>
      <c r="BG44" s="243"/>
      <c r="BH44" s="243"/>
      <c r="BI44" s="242"/>
      <c r="BJ44" s="242"/>
      <c r="BK44" s="242"/>
      <c r="BL44" s="242"/>
      <c r="BM44" s="242"/>
      <c r="BN44" s="242"/>
      <c r="BO44" s="242"/>
      <c r="BP44" s="243"/>
      <c r="BQ44" s="243"/>
      <c r="BR44" s="243"/>
      <c r="BS44" s="243"/>
      <c r="BT44" s="243"/>
      <c r="BU44" s="243"/>
      <c r="BV44" s="243"/>
      <c r="BW44" s="242"/>
      <c r="BX44" s="242"/>
      <c r="BY44" s="242"/>
      <c r="BZ44" s="242"/>
      <c r="CA44" s="242"/>
      <c r="CB44" s="242"/>
      <c r="CC44" s="242"/>
      <c r="CD44" s="243"/>
      <c r="CE44" s="243"/>
      <c r="CF44" s="243"/>
      <c r="CG44" s="243"/>
      <c r="CH44" s="243"/>
      <c r="CI44" s="243"/>
      <c r="CJ44" s="243"/>
      <c r="CK44" s="242"/>
      <c r="CL44" s="242"/>
      <c r="CM44" s="242"/>
      <c r="CN44" s="242"/>
      <c r="CO44" s="242"/>
      <c r="CP44" s="242"/>
      <c r="CQ44" s="242"/>
      <c r="CR44" s="243"/>
      <c r="CS44" s="243"/>
      <c r="CT44" s="243"/>
      <c r="CU44" s="243"/>
      <c r="CV44" s="243"/>
      <c r="CW44" s="243"/>
      <c r="CX44" s="243"/>
      <c r="CY44" s="242"/>
      <c r="CZ44" s="242"/>
      <c r="DA44" s="242"/>
      <c r="DB44" s="242"/>
      <c r="DC44" s="242"/>
      <c r="DD44" s="242"/>
      <c r="DE44" s="242"/>
      <c r="DF44" s="243"/>
      <c r="DG44" s="243"/>
      <c r="DH44" s="243"/>
      <c r="DI44" s="243"/>
      <c r="DJ44" s="243"/>
      <c r="DK44" s="243"/>
      <c r="DL44" s="243"/>
      <c r="DM44" s="242"/>
      <c r="DN44" s="242"/>
      <c r="DO44" s="242"/>
      <c r="DP44" s="242"/>
      <c r="DQ44" s="242"/>
      <c r="DR44" s="242"/>
      <c r="DS44" s="242"/>
      <c r="DT44" s="243"/>
      <c r="DU44" s="243"/>
      <c r="DV44" s="243"/>
      <c r="DW44" s="243"/>
      <c r="DX44" s="243"/>
      <c r="DY44" s="243"/>
      <c r="DZ44" s="243"/>
      <c r="EA44" s="242"/>
      <c r="EB44" s="242"/>
      <c r="EC44" s="242"/>
      <c r="ED44" s="242"/>
      <c r="EE44" s="242"/>
      <c r="EF44" s="242"/>
      <c r="EG44" s="242"/>
      <c r="EH44" s="243"/>
      <c r="EI44" s="243"/>
      <c r="EJ44" s="243"/>
      <c r="EK44" s="243"/>
      <c r="EL44" s="243"/>
      <c r="EM44" s="243"/>
      <c r="EN44" s="243"/>
      <c r="EO44" s="242"/>
      <c r="EP44" s="242"/>
      <c r="EQ44" s="242"/>
      <c r="ER44" s="242"/>
      <c r="ES44" s="242"/>
      <c r="ET44" s="242"/>
      <c r="EU44" s="242"/>
      <c r="EV44" s="243"/>
      <c r="EW44" s="243"/>
      <c r="EX44" s="243"/>
      <c r="EY44" s="243"/>
      <c r="EZ44" s="243"/>
      <c r="FA44" s="243"/>
      <c r="FB44" s="243"/>
      <c r="FC44" s="242"/>
      <c r="FD44" s="242"/>
      <c r="FE44" s="242"/>
      <c r="FF44" s="242"/>
      <c r="FG44" s="242"/>
      <c r="FH44" s="242"/>
      <c r="FI44" s="242"/>
      <c r="FJ44" s="243"/>
      <c r="FK44" s="243"/>
      <c r="FL44" s="243"/>
      <c r="FM44" s="243"/>
      <c r="FN44" s="243"/>
      <c r="FO44" s="243"/>
      <c r="FP44" s="243"/>
      <c r="FQ44" s="242"/>
      <c r="FR44" s="242"/>
      <c r="FS44" s="242"/>
      <c r="FT44" s="242"/>
      <c r="FU44" s="242"/>
      <c r="FV44" s="242"/>
      <c r="FW44" s="242"/>
      <c r="FX44" s="243"/>
      <c r="FY44" s="243"/>
      <c r="FZ44" s="243"/>
      <c r="GA44" s="243"/>
      <c r="GB44" s="243"/>
      <c r="GC44" s="243"/>
      <c r="GD44" s="243"/>
      <c r="GE44" s="242"/>
      <c r="GF44" s="242"/>
      <c r="GG44" s="242"/>
      <c r="GH44" s="242"/>
      <c r="GI44" s="242"/>
      <c r="GJ44" s="242"/>
      <c r="GK44" s="242"/>
      <c r="GL44" s="243">
        <v>3</v>
      </c>
      <c r="GM44" s="243">
        <v>4</v>
      </c>
      <c r="GN44" s="243"/>
      <c r="GO44" s="243"/>
      <c r="GP44" s="243"/>
      <c r="GQ44" s="243"/>
      <c r="GR44" s="243"/>
      <c r="GS44" s="242"/>
      <c r="GT44" s="242"/>
      <c r="GU44" s="242"/>
      <c r="GV44" s="242"/>
      <c r="GW44" s="242"/>
      <c r="GX44" s="242"/>
      <c r="GY44" s="242"/>
      <c r="GZ44" s="243"/>
      <c r="HA44" s="243"/>
      <c r="HB44" s="243"/>
      <c r="HC44" s="243"/>
      <c r="HD44" s="243"/>
      <c r="HE44" s="243"/>
      <c r="HF44" s="243"/>
      <c r="HG44" s="242"/>
      <c r="HH44" s="242"/>
      <c r="HI44" s="242"/>
      <c r="HJ44" s="242"/>
      <c r="HK44" s="242"/>
      <c r="HL44" s="242"/>
      <c r="HM44" s="242"/>
      <c r="HN44" s="243"/>
      <c r="HO44" s="243"/>
      <c r="HP44" s="243"/>
      <c r="HQ44" s="243"/>
      <c r="HR44" s="243"/>
      <c r="HS44" s="243"/>
      <c r="HT44" s="243"/>
      <c r="HU44" s="242"/>
      <c r="HV44" s="242"/>
      <c r="HW44" s="242"/>
      <c r="HX44" s="242"/>
      <c r="HY44" s="242"/>
      <c r="HZ44" s="242"/>
      <c r="IA44" s="242"/>
      <c r="IB44" s="243"/>
      <c r="IC44" s="243"/>
      <c r="ID44" s="243"/>
      <c r="IE44" s="243"/>
      <c r="IF44" s="243"/>
      <c r="IG44" s="243"/>
      <c r="IH44" s="243"/>
      <c r="II44" s="242"/>
      <c r="IJ44" s="242"/>
      <c r="IK44" s="242"/>
      <c r="IL44" s="242"/>
      <c r="IM44" s="242"/>
      <c r="IN44" s="242"/>
      <c r="IO44" s="242"/>
      <c r="IP44" s="243"/>
      <c r="IQ44" s="243"/>
      <c r="IR44" s="243"/>
      <c r="IS44" s="243"/>
      <c r="IT44" s="243"/>
      <c r="IU44" s="243"/>
      <c r="IV44" s="243"/>
      <c r="IW44" s="242"/>
      <c r="IX44" s="242"/>
      <c r="IY44" s="242"/>
      <c r="IZ44" s="242"/>
      <c r="JA44" s="242"/>
      <c r="JB44" s="242"/>
      <c r="JC44" s="242"/>
      <c r="JD44" s="243"/>
      <c r="JE44" s="243"/>
      <c r="JF44" s="243"/>
      <c r="JG44" s="243"/>
      <c r="JH44" s="243"/>
      <c r="JI44" s="243"/>
      <c r="JJ44" s="243"/>
      <c r="JK44" s="242"/>
      <c r="JL44" s="242"/>
      <c r="JM44" s="242"/>
      <c r="JN44" s="242"/>
      <c r="JO44" s="242"/>
      <c r="JP44" s="242"/>
      <c r="JQ44" s="242"/>
      <c r="JR44" s="243"/>
      <c r="JS44" s="243"/>
      <c r="JT44" s="243"/>
      <c r="JU44" s="243"/>
      <c r="JV44" s="243"/>
      <c r="JW44" s="243"/>
      <c r="JX44" s="243"/>
      <c r="JY44" s="242"/>
      <c r="JZ44" s="242"/>
      <c r="KA44" s="242"/>
      <c r="KB44" s="242"/>
      <c r="KC44" s="242"/>
      <c r="KD44" s="242"/>
      <c r="KE44" s="242"/>
      <c r="KF44" s="243"/>
      <c r="KG44" s="243"/>
      <c r="KH44" s="243"/>
      <c r="KI44" s="243"/>
      <c r="KJ44" s="243"/>
      <c r="KK44" s="243"/>
      <c r="KL44" s="243"/>
      <c r="KM44" s="242"/>
      <c r="KN44" s="242"/>
      <c r="KO44" s="242"/>
      <c r="KP44" s="242"/>
      <c r="KQ44" s="242"/>
      <c r="KR44" s="242"/>
      <c r="KS44" s="242"/>
      <c r="KT44" s="243"/>
      <c r="KU44" s="243"/>
      <c r="KV44" s="243"/>
      <c r="KW44" s="243"/>
      <c r="KX44" s="243"/>
      <c r="KY44" s="243"/>
      <c r="KZ44" s="243"/>
      <c r="LA44" s="242"/>
      <c r="LB44" s="242"/>
      <c r="LC44" s="242"/>
      <c r="LD44" s="242"/>
      <c r="LE44" s="242"/>
      <c r="LF44" s="242"/>
      <c r="LG44" s="242"/>
      <c r="LH44" s="243"/>
      <c r="LI44" s="243"/>
      <c r="LJ44" s="243">
        <v>8</v>
      </c>
      <c r="LK44" s="243"/>
      <c r="LL44" s="243"/>
      <c r="LM44" s="243"/>
      <c r="LN44" s="243"/>
      <c r="LO44" s="242"/>
      <c r="LP44" s="242"/>
      <c r="LQ44" s="242"/>
      <c r="LR44" s="242"/>
      <c r="LS44" s="242"/>
      <c r="LT44" s="242"/>
      <c r="LU44" s="242"/>
      <c r="LV44" s="243"/>
      <c r="LW44" s="243"/>
      <c r="LX44" s="243"/>
      <c r="LY44" s="243"/>
      <c r="LZ44" s="243"/>
      <c r="MA44" s="243"/>
      <c r="MB44" s="243"/>
      <c r="MC44" s="242"/>
      <c r="MD44" s="242"/>
      <c r="ME44" s="242"/>
      <c r="MF44" s="242"/>
      <c r="MG44" s="242"/>
      <c r="MH44" s="242"/>
      <c r="MI44" s="242"/>
      <c r="MJ44" s="243"/>
      <c r="MK44" s="243"/>
      <c r="ML44" s="243"/>
      <c r="MM44" s="243"/>
      <c r="MN44" s="243"/>
      <c r="MO44" s="243"/>
      <c r="MP44" s="243"/>
      <c r="MQ44" s="242"/>
      <c r="MR44" s="242"/>
      <c r="MS44" s="242"/>
      <c r="MT44" s="242"/>
      <c r="MU44" s="242"/>
      <c r="MV44" s="242"/>
      <c r="MW44" s="242"/>
      <c r="MX44" s="243"/>
      <c r="MY44" s="243"/>
      <c r="MZ44" s="243"/>
      <c r="NA44" s="243"/>
      <c r="NB44" s="243"/>
      <c r="NC44" s="243"/>
      <c r="ND44" s="243"/>
      <c r="NE44" s="242"/>
      <c r="NF44" s="242"/>
      <c r="NG44" s="242"/>
      <c r="NH44" s="333"/>
    </row>
    <row r="45" spans="1:372">
      <c r="A45" s="251" t="s">
        <v>970</v>
      </c>
      <c r="B45" s="251" t="s">
        <v>39</v>
      </c>
      <c r="C45" s="251" t="s">
        <v>674</v>
      </c>
      <c r="D45" s="251" t="s">
        <v>982</v>
      </c>
      <c r="E45" s="241">
        <v>42.931660954833326</v>
      </c>
      <c r="F45" s="241">
        <v>20</v>
      </c>
      <c r="G45" s="242"/>
      <c r="H45" s="242"/>
      <c r="I45" s="242"/>
      <c r="J45" s="242"/>
      <c r="K45" s="242"/>
      <c r="L45" s="243"/>
      <c r="M45" s="243"/>
      <c r="N45" s="243"/>
      <c r="O45" s="243"/>
      <c r="P45" s="243"/>
      <c r="Q45" s="243"/>
      <c r="R45" s="243"/>
      <c r="S45" s="242"/>
      <c r="T45" s="242"/>
      <c r="U45" s="242"/>
      <c r="V45" s="242"/>
      <c r="W45" s="242"/>
      <c r="X45" s="242"/>
      <c r="Y45" s="242"/>
      <c r="Z45" s="243"/>
      <c r="AA45" s="243"/>
      <c r="AB45" s="243"/>
      <c r="AC45" s="243"/>
      <c r="AD45" s="243"/>
      <c r="AE45" s="243"/>
      <c r="AF45" s="243"/>
      <c r="AG45" s="242"/>
      <c r="AH45" s="242"/>
      <c r="AI45" s="242"/>
      <c r="AJ45" s="242"/>
      <c r="AK45" s="242"/>
      <c r="AL45" s="242"/>
      <c r="AM45" s="242"/>
      <c r="AN45" s="243"/>
      <c r="AO45" s="243"/>
      <c r="AP45" s="243"/>
      <c r="AQ45" s="243"/>
      <c r="AR45" s="243"/>
      <c r="AS45" s="243"/>
      <c r="AT45" s="243"/>
      <c r="AU45" s="242"/>
      <c r="AV45" s="242"/>
      <c r="AW45" s="242"/>
      <c r="AX45" s="242"/>
      <c r="AY45" s="242"/>
      <c r="AZ45" s="242"/>
      <c r="BA45" s="242"/>
      <c r="BB45" s="243"/>
      <c r="BC45" s="243"/>
      <c r="BD45" s="243"/>
      <c r="BE45" s="243"/>
      <c r="BF45" s="243"/>
      <c r="BG45" s="243"/>
      <c r="BH45" s="243"/>
      <c r="BI45" s="242"/>
      <c r="BJ45" s="242"/>
      <c r="BK45" s="242"/>
      <c r="BL45" s="242"/>
      <c r="BM45" s="242"/>
      <c r="BN45" s="242"/>
      <c r="BO45" s="242"/>
      <c r="BP45" s="243"/>
      <c r="BQ45" s="243"/>
      <c r="BR45" s="243"/>
      <c r="BS45" s="243"/>
      <c r="BT45" s="243"/>
      <c r="BU45" s="243"/>
      <c r="BV45" s="243"/>
      <c r="BW45" s="242"/>
      <c r="BX45" s="242"/>
      <c r="BY45" s="242"/>
      <c r="BZ45" s="242"/>
      <c r="CA45" s="242"/>
      <c r="CB45" s="242"/>
      <c r="CC45" s="242"/>
      <c r="CD45" s="243"/>
      <c r="CE45" s="243"/>
      <c r="CF45" s="243"/>
      <c r="CG45" s="243"/>
      <c r="CH45" s="243"/>
      <c r="CI45" s="243"/>
      <c r="CJ45" s="243"/>
      <c r="CK45" s="242"/>
      <c r="CL45" s="242"/>
      <c r="CM45" s="242"/>
      <c r="CN45" s="242"/>
      <c r="CO45" s="242"/>
      <c r="CP45" s="242"/>
      <c r="CQ45" s="242"/>
      <c r="CR45" s="243"/>
      <c r="CS45" s="243"/>
      <c r="CT45" s="243"/>
      <c r="CU45" s="243"/>
      <c r="CV45" s="243"/>
      <c r="CW45" s="243"/>
      <c r="CX45" s="243"/>
      <c r="CY45" s="242"/>
      <c r="CZ45" s="242"/>
      <c r="DA45" s="242"/>
      <c r="DB45" s="242"/>
      <c r="DC45" s="242"/>
      <c r="DD45" s="242"/>
      <c r="DE45" s="242"/>
      <c r="DF45" s="243"/>
      <c r="DG45" s="243"/>
      <c r="DH45" s="243"/>
      <c r="DI45" s="243"/>
      <c r="DJ45" s="243"/>
      <c r="DK45" s="243"/>
      <c r="DL45" s="243"/>
      <c r="DM45" s="242"/>
      <c r="DN45" s="242"/>
      <c r="DO45" s="242"/>
      <c r="DP45" s="242"/>
      <c r="DQ45" s="242"/>
      <c r="DR45" s="242"/>
      <c r="DS45" s="242"/>
      <c r="DT45" s="243"/>
      <c r="DU45" s="243"/>
      <c r="DV45" s="243"/>
      <c r="DW45" s="243"/>
      <c r="DX45" s="243"/>
      <c r="DY45" s="243"/>
      <c r="DZ45" s="243"/>
      <c r="EA45" s="242"/>
      <c r="EB45" s="242"/>
      <c r="EC45" s="242"/>
      <c r="ED45" s="242"/>
      <c r="EE45" s="242"/>
      <c r="EF45" s="242"/>
      <c r="EG45" s="242"/>
      <c r="EH45" s="243"/>
      <c r="EI45" s="243"/>
      <c r="EJ45" s="243"/>
      <c r="EK45" s="243"/>
      <c r="EL45" s="243"/>
      <c r="EM45" s="243"/>
      <c r="EN45" s="243"/>
      <c r="EO45" s="242"/>
      <c r="EP45" s="242"/>
      <c r="EQ45" s="242"/>
      <c r="ER45" s="242"/>
      <c r="ES45" s="242"/>
      <c r="ET45" s="242"/>
      <c r="EU45" s="242"/>
      <c r="EV45" s="243"/>
      <c r="EW45" s="243"/>
      <c r="EX45" s="243"/>
      <c r="EY45" s="243"/>
      <c r="EZ45" s="243"/>
      <c r="FA45" s="243"/>
      <c r="FB45" s="243"/>
      <c r="FC45" s="242"/>
      <c r="FD45" s="242"/>
      <c r="FE45" s="242"/>
      <c r="FF45" s="242"/>
      <c r="FG45" s="242"/>
      <c r="FH45" s="242"/>
      <c r="FI45" s="242"/>
      <c r="FJ45" s="243"/>
      <c r="FK45" s="243"/>
      <c r="FL45" s="243">
        <v>8</v>
      </c>
      <c r="FM45" s="243"/>
      <c r="FN45" s="243"/>
      <c r="FO45" s="243"/>
      <c r="FP45" s="243"/>
      <c r="FQ45" s="242"/>
      <c r="FR45" s="242"/>
      <c r="FS45" s="242"/>
      <c r="FT45" s="242"/>
      <c r="FU45" s="242"/>
      <c r="FV45" s="242"/>
      <c r="FW45" s="242"/>
      <c r="FX45" s="243"/>
      <c r="FY45" s="243"/>
      <c r="FZ45" s="243"/>
      <c r="GA45" s="243"/>
      <c r="GB45" s="243"/>
      <c r="GC45" s="243"/>
      <c r="GD45" s="243"/>
      <c r="GE45" s="242"/>
      <c r="GF45" s="242"/>
      <c r="GG45" s="242"/>
      <c r="GH45" s="242"/>
      <c r="GI45" s="242"/>
      <c r="GJ45" s="242"/>
      <c r="GK45" s="242"/>
      <c r="GL45" s="243"/>
      <c r="GM45" s="243">
        <v>4</v>
      </c>
      <c r="GN45" s="243"/>
      <c r="GO45" s="243"/>
      <c r="GP45" s="243"/>
      <c r="GQ45" s="243"/>
      <c r="GR45" s="243"/>
      <c r="GS45" s="242"/>
      <c r="GT45" s="242"/>
      <c r="GU45" s="242"/>
      <c r="GV45" s="242"/>
      <c r="GW45" s="242"/>
      <c r="GX45" s="242"/>
      <c r="GY45" s="242"/>
      <c r="GZ45" s="243"/>
      <c r="HA45" s="243"/>
      <c r="HB45" s="243"/>
      <c r="HC45" s="243"/>
      <c r="HD45" s="243"/>
      <c r="HE45" s="243"/>
      <c r="HF45" s="243"/>
      <c r="HG45" s="242"/>
      <c r="HH45" s="242"/>
      <c r="HI45" s="242"/>
      <c r="HJ45" s="242"/>
      <c r="HK45" s="242"/>
      <c r="HL45" s="242"/>
      <c r="HM45" s="242"/>
      <c r="HN45" s="243"/>
      <c r="HO45" s="243"/>
      <c r="HP45" s="243"/>
      <c r="HQ45" s="243"/>
      <c r="HR45" s="243"/>
      <c r="HS45" s="243"/>
      <c r="HT45" s="243"/>
      <c r="HU45" s="242"/>
      <c r="HV45" s="242"/>
      <c r="HW45" s="242"/>
      <c r="HX45" s="242"/>
      <c r="HY45" s="242"/>
      <c r="HZ45" s="242"/>
      <c r="IA45" s="242"/>
      <c r="IB45" s="243"/>
      <c r="IC45" s="243"/>
      <c r="ID45" s="243"/>
      <c r="IE45" s="243"/>
      <c r="IF45" s="243"/>
      <c r="IG45" s="243"/>
      <c r="IH45" s="243"/>
      <c r="II45" s="242"/>
      <c r="IJ45" s="242"/>
      <c r="IK45" s="242"/>
      <c r="IL45" s="242"/>
      <c r="IM45" s="242"/>
      <c r="IN45" s="242"/>
      <c r="IO45" s="242"/>
      <c r="IP45" s="243"/>
      <c r="IQ45" s="243"/>
      <c r="IR45" s="243"/>
      <c r="IS45" s="243"/>
      <c r="IT45" s="243"/>
      <c r="IU45" s="243"/>
      <c r="IV45" s="243"/>
      <c r="IW45" s="242"/>
      <c r="IX45" s="242"/>
      <c r="IY45" s="242"/>
      <c r="IZ45" s="242"/>
      <c r="JA45" s="242"/>
      <c r="JB45" s="242"/>
      <c r="JC45" s="242"/>
      <c r="JD45" s="243"/>
      <c r="JE45" s="243"/>
      <c r="JF45" s="243"/>
      <c r="JG45" s="243"/>
      <c r="JH45" s="243"/>
      <c r="JI45" s="243"/>
      <c r="JJ45" s="243"/>
      <c r="JK45" s="242"/>
      <c r="JL45" s="242"/>
      <c r="JM45" s="242"/>
      <c r="JN45" s="242"/>
      <c r="JO45" s="242"/>
      <c r="JP45" s="242"/>
      <c r="JQ45" s="242"/>
      <c r="JR45" s="243"/>
      <c r="JS45" s="243"/>
      <c r="JT45" s="243"/>
      <c r="JU45" s="243"/>
      <c r="JV45" s="243"/>
      <c r="JW45" s="243"/>
      <c r="JX45" s="243"/>
      <c r="JY45" s="242"/>
      <c r="JZ45" s="242"/>
      <c r="KA45" s="242"/>
      <c r="KB45" s="242"/>
      <c r="KC45" s="242"/>
      <c r="KD45" s="242"/>
      <c r="KE45" s="242"/>
      <c r="KF45" s="243"/>
      <c r="KG45" s="243"/>
      <c r="KH45" s="243"/>
      <c r="KI45" s="243"/>
      <c r="KJ45" s="243"/>
      <c r="KK45" s="243"/>
      <c r="KL45" s="243"/>
      <c r="KM45" s="242"/>
      <c r="KN45" s="242"/>
      <c r="KO45" s="242"/>
      <c r="KP45" s="242"/>
      <c r="KQ45" s="242"/>
      <c r="KR45" s="242"/>
      <c r="KS45" s="242"/>
      <c r="KT45" s="243"/>
      <c r="KU45" s="243"/>
      <c r="KV45" s="243"/>
      <c r="KW45" s="243"/>
      <c r="KX45" s="243"/>
      <c r="KY45" s="243"/>
      <c r="KZ45" s="243"/>
      <c r="LA45" s="242"/>
      <c r="LB45" s="242"/>
      <c r="LC45" s="242"/>
      <c r="LD45" s="242"/>
      <c r="LE45" s="242"/>
      <c r="LF45" s="242"/>
      <c r="LG45" s="242"/>
      <c r="LH45" s="243"/>
      <c r="LI45" s="243"/>
      <c r="LJ45" s="243"/>
      <c r="LK45" s="243">
        <v>8</v>
      </c>
      <c r="LL45" s="243"/>
      <c r="LM45" s="243"/>
      <c r="LN45" s="243"/>
      <c r="LO45" s="242"/>
      <c r="LP45" s="242"/>
      <c r="LQ45" s="242"/>
      <c r="LR45" s="242"/>
      <c r="LS45" s="242"/>
      <c r="LT45" s="242"/>
      <c r="LU45" s="242"/>
      <c r="LV45" s="243"/>
      <c r="LW45" s="243"/>
      <c r="LX45" s="243"/>
      <c r="LY45" s="243"/>
      <c r="LZ45" s="243"/>
      <c r="MA45" s="243"/>
      <c r="MB45" s="243"/>
      <c r="MC45" s="242"/>
      <c r="MD45" s="242"/>
      <c r="ME45" s="242"/>
      <c r="MF45" s="242"/>
      <c r="MG45" s="242"/>
      <c r="MH45" s="242"/>
      <c r="MI45" s="242"/>
      <c r="MJ45" s="243"/>
      <c r="MK45" s="243"/>
      <c r="ML45" s="243"/>
      <c r="MM45" s="243"/>
      <c r="MN45" s="243"/>
      <c r="MO45" s="243"/>
      <c r="MP45" s="243"/>
      <c r="MQ45" s="242"/>
      <c r="MR45" s="242"/>
      <c r="MS45" s="242"/>
      <c r="MT45" s="242"/>
      <c r="MU45" s="242"/>
      <c r="MV45" s="242"/>
      <c r="MW45" s="242"/>
      <c r="MX45" s="243"/>
      <c r="MY45" s="243"/>
      <c r="MZ45" s="243"/>
      <c r="NA45" s="243"/>
      <c r="NB45" s="243"/>
      <c r="NC45" s="243"/>
      <c r="ND45" s="243"/>
      <c r="NE45" s="242"/>
      <c r="NF45" s="242"/>
      <c r="NG45" s="242"/>
      <c r="NH45" s="333"/>
    </row>
    <row r="46" spans="1:372">
      <c r="A46" s="251" t="s">
        <v>970</v>
      </c>
      <c r="B46" s="251" t="s">
        <v>476</v>
      </c>
      <c r="C46" s="251" t="s">
        <v>674</v>
      </c>
      <c r="D46" s="251" t="s">
        <v>982</v>
      </c>
      <c r="E46" s="241">
        <v>63.752888867999992</v>
      </c>
      <c r="F46" s="241">
        <v>12</v>
      </c>
      <c r="G46" s="242"/>
      <c r="H46" s="242"/>
      <c r="I46" s="242"/>
      <c r="J46" s="242"/>
      <c r="K46" s="242"/>
      <c r="L46" s="243"/>
      <c r="M46" s="243"/>
      <c r="N46" s="243"/>
      <c r="O46" s="243"/>
      <c r="P46" s="243"/>
      <c r="Q46" s="243"/>
      <c r="R46" s="243"/>
      <c r="S46" s="242"/>
      <c r="T46" s="242"/>
      <c r="U46" s="242"/>
      <c r="V46" s="242"/>
      <c r="W46" s="242"/>
      <c r="X46" s="242"/>
      <c r="Y46" s="242"/>
      <c r="Z46" s="243"/>
      <c r="AA46" s="243">
        <v>2</v>
      </c>
      <c r="AB46" s="62"/>
      <c r="AC46" s="243"/>
      <c r="AD46" s="243"/>
      <c r="AE46" s="243"/>
      <c r="AF46" s="243"/>
      <c r="AG46" s="242"/>
      <c r="AH46" s="242"/>
      <c r="AI46" s="242"/>
      <c r="AJ46" s="242"/>
      <c r="AK46" s="242"/>
      <c r="AL46" s="242"/>
      <c r="AM46" s="242"/>
      <c r="AN46" s="243"/>
      <c r="AO46" s="243"/>
      <c r="AP46" s="243"/>
      <c r="AQ46" s="243"/>
      <c r="AR46" s="243"/>
      <c r="AS46" s="243"/>
      <c r="AT46" s="243"/>
      <c r="AU46" s="242"/>
      <c r="AV46" s="242"/>
      <c r="AW46" s="242"/>
      <c r="AX46" s="242"/>
      <c r="AY46" s="242"/>
      <c r="AZ46" s="242"/>
      <c r="BA46" s="242"/>
      <c r="BB46" s="243"/>
      <c r="BC46" s="243"/>
      <c r="BD46" s="243"/>
      <c r="BE46" s="243"/>
      <c r="BF46" s="243"/>
      <c r="BG46" s="243"/>
      <c r="BH46" s="243"/>
      <c r="BI46" s="242"/>
      <c r="BJ46" s="242"/>
      <c r="BK46" s="242"/>
      <c r="BL46" s="242"/>
      <c r="BM46" s="242"/>
      <c r="BN46" s="242"/>
      <c r="BO46" s="242"/>
      <c r="BP46" s="243"/>
      <c r="BQ46" s="243"/>
      <c r="BR46" s="243"/>
      <c r="BS46" s="243"/>
      <c r="BT46" s="243">
        <v>2</v>
      </c>
      <c r="BU46" s="243"/>
      <c r="BV46" s="243"/>
      <c r="BW46" s="242"/>
      <c r="BX46" s="242"/>
      <c r="BY46" s="242"/>
      <c r="BZ46" s="242"/>
      <c r="CA46" s="242"/>
      <c r="CB46" s="242"/>
      <c r="CC46" s="242"/>
      <c r="CD46" s="243"/>
      <c r="CE46" s="243"/>
      <c r="CF46" s="243"/>
      <c r="CG46" s="243"/>
      <c r="CH46" s="243"/>
      <c r="CI46" s="243"/>
      <c r="CJ46" s="243"/>
      <c r="CK46" s="242"/>
      <c r="CL46" s="242"/>
      <c r="CM46" s="242"/>
      <c r="CN46" s="242"/>
      <c r="CO46" s="242"/>
      <c r="CP46" s="242"/>
      <c r="CQ46" s="242"/>
      <c r="CR46" s="243"/>
      <c r="CS46" s="243"/>
      <c r="CT46" s="243"/>
      <c r="CU46" s="243"/>
      <c r="CV46" s="243"/>
      <c r="CW46" s="243"/>
      <c r="CX46" s="243"/>
      <c r="CY46" s="242"/>
      <c r="CZ46" s="242"/>
      <c r="DA46" s="242"/>
      <c r="DB46" s="242"/>
      <c r="DC46" s="242"/>
      <c r="DD46" s="242"/>
      <c r="DE46" s="242"/>
      <c r="DF46" s="243"/>
      <c r="DG46" s="243"/>
      <c r="DH46" s="243"/>
      <c r="DI46" s="243"/>
      <c r="DJ46" s="243"/>
      <c r="DK46" s="243"/>
      <c r="DL46" s="243"/>
      <c r="DM46" s="242"/>
      <c r="DN46" s="242"/>
      <c r="DO46" s="242"/>
      <c r="DP46" s="242"/>
      <c r="DQ46" s="242"/>
      <c r="DR46" s="242"/>
      <c r="DS46" s="242"/>
      <c r="DT46" s="243"/>
      <c r="DU46" s="243"/>
      <c r="DV46" s="243"/>
      <c r="DW46" s="243"/>
      <c r="DX46" s="243"/>
      <c r="DY46" s="243"/>
      <c r="DZ46" s="243"/>
      <c r="EA46" s="242"/>
      <c r="EB46" s="242"/>
      <c r="EC46" s="242"/>
      <c r="ED46" s="242"/>
      <c r="EE46" s="242"/>
      <c r="EF46" s="242"/>
      <c r="EG46" s="242"/>
      <c r="EH46" s="243"/>
      <c r="EI46" s="243">
        <v>2</v>
      </c>
      <c r="EJ46" s="243"/>
      <c r="EK46" s="243"/>
      <c r="EL46" s="243"/>
      <c r="EM46" s="243"/>
      <c r="EN46" s="243"/>
      <c r="EO46" s="242"/>
      <c r="EP46" s="242"/>
      <c r="EQ46" s="242"/>
      <c r="ER46" s="242"/>
      <c r="ES46" s="242"/>
      <c r="ET46" s="242"/>
      <c r="EU46" s="242"/>
      <c r="EV46" s="243"/>
      <c r="EW46" s="243"/>
      <c r="EX46" s="243"/>
      <c r="EY46" s="243"/>
      <c r="EZ46" s="243"/>
      <c r="FA46" s="243"/>
      <c r="FB46" s="243"/>
      <c r="FC46" s="242"/>
      <c r="FD46" s="242"/>
      <c r="FE46" s="242"/>
      <c r="FF46" s="242"/>
      <c r="FG46" s="242"/>
      <c r="FH46" s="242"/>
      <c r="FI46" s="242"/>
      <c r="FJ46" s="243"/>
      <c r="FK46" s="243"/>
      <c r="FL46" s="243"/>
      <c r="FM46" s="243"/>
      <c r="FN46" s="243"/>
      <c r="FO46" s="243"/>
      <c r="FP46" s="243"/>
      <c r="FQ46" s="242"/>
      <c r="FR46" s="242"/>
      <c r="FS46" s="242"/>
      <c r="FT46" s="242"/>
      <c r="FU46" s="242"/>
      <c r="FV46" s="242"/>
      <c r="FW46" s="242"/>
      <c r="FX46" s="243"/>
      <c r="FY46" s="243"/>
      <c r="FZ46" s="243"/>
      <c r="GA46" s="243"/>
      <c r="GB46" s="243"/>
      <c r="GC46" s="243"/>
      <c r="GD46" s="243"/>
      <c r="GE46" s="242"/>
      <c r="GF46" s="242"/>
      <c r="GG46" s="242"/>
      <c r="GH46" s="242"/>
      <c r="GI46" s="242"/>
      <c r="GJ46" s="242"/>
      <c r="GK46" s="242"/>
      <c r="GL46" s="243"/>
      <c r="GM46" s="243"/>
      <c r="GN46" s="243"/>
      <c r="GO46" s="243">
        <v>2</v>
      </c>
      <c r="GP46" s="243"/>
      <c r="GQ46" s="243"/>
      <c r="GR46" s="243"/>
      <c r="GS46" s="242"/>
      <c r="GT46" s="242"/>
      <c r="GU46" s="242"/>
      <c r="GV46" s="242"/>
      <c r="GW46" s="242"/>
      <c r="GX46" s="242"/>
      <c r="GY46" s="242"/>
      <c r="GZ46" s="243"/>
      <c r="HA46" s="243"/>
      <c r="HB46" s="243"/>
      <c r="HC46" s="243"/>
      <c r="HD46" s="243"/>
      <c r="HE46" s="243"/>
      <c r="HF46" s="243"/>
      <c r="HG46" s="242"/>
      <c r="HH46" s="242"/>
      <c r="HI46" s="242"/>
      <c r="HJ46" s="242"/>
      <c r="HK46" s="242"/>
      <c r="HL46" s="242"/>
      <c r="HM46" s="242"/>
      <c r="HN46" s="243"/>
      <c r="HO46" s="243"/>
      <c r="HP46" s="243"/>
      <c r="HQ46" s="243"/>
      <c r="HR46" s="243"/>
      <c r="HS46" s="243"/>
      <c r="HT46" s="243"/>
      <c r="HU46" s="242"/>
      <c r="HV46" s="242"/>
      <c r="HW46" s="242"/>
      <c r="HX46" s="242"/>
      <c r="HY46" s="242"/>
      <c r="HZ46" s="242"/>
      <c r="IA46" s="242"/>
      <c r="IB46" s="243"/>
      <c r="IC46" s="243"/>
      <c r="ID46" s="243"/>
      <c r="IE46" s="243"/>
      <c r="IF46" s="243"/>
      <c r="IG46" s="243"/>
      <c r="IH46" s="243"/>
      <c r="II46" s="242"/>
      <c r="IJ46" s="242"/>
      <c r="IK46" s="242"/>
      <c r="IL46" s="242"/>
      <c r="IM46" s="242"/>
      <c r="IN46" s="242"/>
      <c r="IO46" s="242"/>
      <c r="IP46" s="243"/>
      <c r="IQ46" s="243"/>
      <c r="IR46" s="243"/>
      <c r="IS46" s="243"/>
      <c r="IT46" s="243"/>
      <c r="IU46" s="243"/>
      <c r="IV46" s="243"/>
      <c r="IW46" s="242"/>
      <c r="IX46" s="242">
        <v>2</v>
      </c>
      <c r="IY46" s="242"/>
      <c r="IZ46" s="242"/>
      <c r="JA46" s="242"/>
      <c r="JB46" s="242"/>
      <c r="JC46" s="242"/>
      <c r="JD46" s="243"/>
      <c r="JE46" s="243"/>
      <c r="JF46" s="243"/>
      <c r="JG46" s="243"/>
      <c r="JH46" s="243"/>
      <c r="JI46" s="243"/>
      <c r="JJ46" s="243"/>
      <c r="JK46" s="242"/>
      <c r="JL46" s="242"/>
      <c r="JM46" s="242"/>
      <c r="JN46" s="242"/>
      <c r="JO46" s="242"/>
      <c r="JP46" s="242"/>
      <c r="JQ46" s="242"/>
      <c r="JR46" s="243"/>
      <c r="JS46" s="243"/>
      <c r="JT46" s="243"/>
      <c r="JU46" s="243"/>
      <c r="JV46" s="243"/>
      <c r="JW46" s="243"/>
      <c r="JX46" s="243"/>
      <c r="JY46" s="242"/>
      <c r="JZ46" s="242"/>
      <c r="KA46" s="242"/>
      <c r="KB46" s="242"/>
      <c r="KC46" s="242"/>
      <c r="KD46" s="242"/>
      <c r="KE46" s="242"/>
      <c r="KF46" s="243"/>
      <c r="KG46" s="243"/>
      <c r="KH46" s="243"/>
      <c r="KI46" s="243"/>
      <c r="KJ46" s="243"/>
      <c r="KK46" s="243"/>
      <c r="KL46" s="243"/>
      <c r="KM46" s="242"/>
      <c r="KN46" s="242"/>
      <c r="KO46" s="242"/>
      <c r="KP46" s="242"/>
      <c r="KQ46" s="242"/>
      <c r="KR46" s="242"/>
      <c r="KS46" s="242"/>
      <c r="KT46" s="243"/>
      <c r="KU46" s="243"/>
      <c r="KV46" s="243"/>
      <c r="KW46" s="243"/>
      <c r="KX46" s="243"/>
      <c r="KY46" s="243"/>
      <c r="KZ46" s="243"/>
      <c r="LA46" s="242"/>
      <c r="LB46" s="242"/>
      <c r="LC46" s="242"/>
      <c r="LD46" s="242"/>
      <c r="LE46" s="242"/>
      <c r="LF46" s="242"/>
      <c r="LG46" s="242"/>
      <c r="LH46" s="243"/>
      <c r="LI46" s="243">
        <v>2</v>
      </c>
      <c r="LJ46" s="243"/>
      <c r="LK46" s="243"/>
      <c r="LL46" s="243"/>
      <c r="LM46" s="243"/>
      <c r="LN46" s="243"/>
      <c r="LO46" s="242"/>
      <c r="LP46" s="242"/>
      <c r="LQ46" s="242"/>
      <c r="LR46" s="242"/>
      <c r="LS46" s="242"/>
      <c r="LT46" s="242"/>
      <c r="LU46" s="242"/>
      <c r="LV46" s="243"/>
      <c r="LW46" s="243"/>
      <c r="LX46" s="243"/>
      <c r="LY46" s="243"/>
      <c r="LZ46" s="243"/>
      <c r="MA46" s="243"/>
      <c r="MB46" s="243"/>
      <c r="MC46" s="242"/>
      <c r="MD46" s="242"/>
      <c r="ME46" s="242"/>
      <c r="MF46" s="242"/>
      <c r="MG46" s="242"/>
      <c r="MH46" s="242"/>
      <c r="MI46" s="242"/>
      <c r="MJ46" s="243"/>
      <c r="MK46" s="243"/>
      <c r="ML46" s="243"/>
      <c r="MM46" s="243"/>
      <c r="MN46" s="243"/>
      <c r="MO46" s="243"/>
      <c r="MP46" s="243"/>
      <c r="MQ46" s="242"/>
      <c r="MR46" s="242"/>
      <c r="MS46" s="242"/>
      <c r="MT46" s="242"/>
      <c r="MU46" s="242"/>
      <c r="MV46" s="242"/>
      <c r="MW46" s="242"/>
      <c r="MX46" s="243"/>
      <c r="MY46" s="243"/>
      <c r="MZ46" s="243"/>
      <c r="NA46" s="243"/>
      <c r="NB46" s="243"/>
      <c r="NC46" s="243"/>
      <c r="ND46" s="243"/>
      <c r="NE46" s="242"/>
      <c r="NF46" s="242"/>
      <c r="NG46" s="242"/>
      <c r="NH46" s="333"/>
    </row>
    <row r="47" spans="1:372">
      <c r="A47" s="251" t="s">
        <v>970</v>
      </c>
      <c r="B47" s="251" t="s">
        <v>40</v>
      </c>
      <c r="C47" s="251" t="s">
        <v>674</v>
      </c>
      <c r="D47" s="251" t="s">
        <v>997</v>
      </c>
      <c r="E47" s="241">
        <v>199.63145536232588</v>
      </c>
      <c r="F47" s="241">
        <v>92</v>
      </c>
      <c r="G47" s="242"/>
      <c r="H47" s="242"/>
      <c r="I47" s="242"/>
      <c r="J47" s="242"/>
      <c r="K47" s="242"/>
      <c r="L47" s="243"/>
      <c r="M47" s="243"/>
      <c r="N47" s="243"/>
      <c r="O47" s="243"/>
      <c r="P47" s="243"/>
      <c r="Q47" s="243"/>
      <c r="R47" s="243"/>
      <c r="S47" s="242"/>
      <c r="T47" s="242"/>
      <c r="U47" s="242"/>
      <c r="V47" s="242"/>
      <c r="W47" s="242"/>
      <c r="X47" s="242"/>
      <c r="Y47" s="242"/>
      <c r="Z47" s="243"/>
      <c r="AA47" s="243"/>
      <c r="AB47" s="243"/>
      <c r="AC47" s="243"/>
      <c r="AD47" s="243"/>
      <c r="AE47" s="243"/>
      <c r="AF47" s="243"/>
      <c r="AG47" s="242"/>
      <c r="AH47" s="242"/>
      <c r="AI47" s="242"/>
      <c r="AJ47" s="242"/>
      <c r="AK47" s="242"/>
      <c r="AL47" s="242"/>
      <c r="AM47" s="242"/>
      <c r="AN47" s="243"/>
      <c r="AO47" s="243">
        <v>8</v>
      </c>
      <c r="AP47" s="243"/>
      <c r="AQ47" s="243"/>
      <c r="AR47" s="243"/>
      <c r="AS47" s="243"/>
      <c r="AT47" s="243"/>
      <c r="AU47" s="242"/>
      <c r="AV47" s="242"/>
      <c r="AW47" s="242"/>
      <c r="AX47" s="242"/>
      <c r="AY47" s="242"/>
      <c r="AZ47" s="242"/>
      <c r="BA47" s="242"/>
      <c r="BB47" s="243"/>
      <c r="BC47" s="243"/>
      <c r="BD47" s="243"/>
      <c r="BE47" s="243"/>
      <c r="BF47" s="243"/>
      <c r="BG47" s="243"/>
      <c r="BH47" s="243"/>
      <c r="BI47" s="242"/>
      <c r="BJ47" s="242"/>
      <c r="BK47" s="242"/>
      <c r="BL47" s="242"/>
      <c r="BM47" s="242"/>
      <c r="BN47" s="242"/>
      <c r="BO47" s="242"/>
      <c r="BP47" s="243"/>
      <c r="BQ47" s="243">
        <v>8</v>
      </c>
      <c r="BR47" s="243"/>
      <c r="BS47" s="243"/>
      <c r="BT47" s="243"/>
      <c r="BU47" s="243"/>
      <c r="BV47" s="243"/>
      <c r="BW47" s="242"/>
      <c r="BX47" s="242"/>
      <c r="BY47" s="242"/>
      <c r="BZ47" s="242"/>
      <c r="CA47" s="242"/>
      <c r="CB47" s="242"/>
      <c r="CC47" s="242"/>
      <c r="CD47" s="243"/>
      <c r="CE47" s="243"/>
      <c r="CF47" s="243"/>
      <c r="CG47" s="243"/>
      <c r="CH47" s="243"/>
      <c r="CI47" s="243"/>
      <c r="CJ47" s="243"/>
      <c r="CK47" s="242"/>
      <c r="CL47" s="242"/>
      <c r="CM47" s="242"/>
      <c r="CN47" s="242"/>
      <c r="CO47" s="242"/>
      <c r="CP47" s="242"/>
      <c r="CQ47" s="242"/>
      <c r="CR47" s="243"/>
      <c r="CS47" s="243"/>
      <c r="CT47" s="243">
        <v>8</v>
      </c>
      <c r="CU47" s="243"/>
      <c r="CV47" s="243"/>
      <c r="CW47" s="243"/>
      <c r="CX47" s="243"/>
      <c r="CY47" s="242"/>
      <c r="CZ47" s="242"/>
      <c r="DA47" s="242"/>
      <c r="DB47" s="242"/>
      <c r="DC47" s="242"/>
      <c r="DD47" s="242"/>
      <c r="DE47" s="242"/>
      <c r="DF47" s="243"/>
      <c r="DG47" s="243"/>
      <c r="DH47" s="243"/>
      <c r="DI47" s="243"/>
      <c r="DJ47" s="243"/>
      <c r="DK47" s="243"/>
      <c r="DL47" s="243"/>
      <c r="DM47" s="242"/>
      <c r="DN47" s="242"/>
      <c r="DO47" s="242"/>
      <c r="DP47" s="242"/>
      <c r="DQ47" s="242"/>
      <c r="DR47" s="242"/>
      <c r="DS47" s="242"/>
      <c r="DT47" s="243"/>
      <c r="DU47" s="243"/>
      <c r="DV47" s="243"/>
      <c r="DW47" s="243"/>
      <c r="DX47" s="243"/>
      <c r="DY47" s="243">
        <v>8</v>
      </c>
      <c r="DZ47" s="243"/>
      <c r="EA47" s="242"/>
      <c r="EB47" s="242"/>
      <c r="EC47" s="242"/>
      <c r="ED47" s="242"/>
      <c r="EE47" s="242"/>
      <c r="EF47" s="242"/>
      <c r="EG47" s="242"/>
      <c r="EH47" s="243"/>
      <c r="EI47" s="243"/>
      <c r="EJ47" s="243"/>
      <c r="EK47" s="243"/>
      <c r="EL47" s="243"/>
      <c r="EM47" s="243"/>
      <c r="EN47" s="243"/>
      <c r="EO47" s="242"/>
      <c r="EP47" s="242"/>
      <c r="EQ47" s="242"/>
      <c r="ER47" s="242"/>
      <c r="ES47" s="242"/>
      <c r="ET47" s="242"/>
      <c r="EU47" s="242"/>
      <c r="EV47" s="243"/>
      <c r="EW47" s="243"/>
      <c r="EX47" s="243"/>
      <c r="EY47" s="243"/>
      <c r="EZ47" s="243"/>
      <c r="FA47" s="243"/>
      <c r="FB47" s="243"/>
      <c r="FC47" s="242"/>
      <c r="FD47" s="242"/>
      <c r="FE47" s="242">
        <v>8</v>
      </c>
      <c r="FF47" s="242"/>
      <c r="FG47" s="242"/>
      <c r="FH47" s="242"/>
      <c r="FI47" s="242"/>
      <c r="FJ47" s="243"/>
      <c r="FK47" s="243"/>
      <c r="FL47" s="243"/>
      <c r="FM47" s="243"/>
      <c r="FN47" s="243"/>
      <c r="FO47" s="243"/>
      <c r="FP47" s="243"/>
      <c r="FQ47" s="242"/>
      <c r="FR47" s="242"/>
      <c r="FS47" s="242"/>
      <c r="FT47" s="242"/>
      <c r="FU47" s="242"/>
      <c r="FV47" s="242"/>
      <c r="FW47" s="242"/>
      <c r="FX47" s="243"/>
      <c r="FY47" s="243"/>
      <c r="FZ47" s="243"/>
      <c r="GA47" s="243"/>
      <c r="GB47" s="243"/>
      <c r="GC47" s="243"/>
      <c r="GD47" s="243"/>
      <c r="GE47" s="242"/>
      <c r="GF47" s="242"/>
      <c r="GG47" s="242"/>
      <c r="GH47" s="242"/>
      <c r="GI47" s="242">
        <v>8</v>
      </c>
      <c r="GJ47" s="242"/>
      <c r="GK47" s="242"/>
      <c r="GL47" s="243"/>
      <c r="GM47" s="243">
        <v>4</v>
      </c>
      <c r="GN47" s="243"/>
      <c r="GO47" s="243"/>
      <c r="GP47" s="243"/>
      <c r="GQ47" s="243"/>
      <c r="GR47" s="243"/>
      <c r="GS47" s="242"/>
      <c r="GT47" s="242"/>
      <c r="GU47" s="242"/>
      <c r="GV47" s="242"/>
      <c r="GW47" s="242"/>
      <c r="GX47" s="242"/>
      <c r="GY47" s="242"/>
      <c r="GZ47" s="243"/>
      <c r="HA47" s="243"/>
      <c r="HB47" s="243"/>
      <c r="HC47" s="243"/>
      <c r="HD47" s="243"/>
      <c r="HE47" s="243"/>
      <c r="HF47" s="243"/>
      <c r="HG47" s="242"/>
      <c r="HH47" s="242"/>
      <c r="HI47" s="242"/>
      <c r="HJ47" s="242"/>
      <c r="HK47" s="242"/>
      <c r="HL47" s="242">
        <v>8</v>
      </c>
      <c r="HM47" s="242"/>
      <c r="HN47" s="243"/>
      <c r="HO47" s="243"/>
      <c r="HP47" s="243"/>
      <c r="HQ47" s="243"/>
      <c r="HR47" s="243"/>
      <c r="HS47" s="243"/>
      <c r="HT47" s="243"/>
      <c r="HU47" s="242"/>
      <c r="HV47" s="242"/>
      <c r="HW47" s="242"/>
      <c r="HX47" s="242"/>
      <c r="HY47" s="242"/>
      <c r="HZ47" s="242"/>
      <c r="IA47" s="242"/>
      <c r="IB47" s="243"/>
      <c r="IC47" s="243"/>
      <c r="ID47" s="243"/>
      <c r="IE47" s="243"/>
      <c r="IF47" s="243"/>
      <c r="IG47" s="243"/>
      <c r="IH47" s="243"/>
      <c r="II47" s="242"/>
      <c r="IJ47" s="242"/>
      <c r="IK47" s="242"/>
      <c r="IL47" s="242"/>
      <c r="IM47" s="242"/>
      <c r="IN47" s="242"/>
      <c r="IO47" s="242"/>
      <c r="IP47" s="243"/>
      <c r="IQ47" s="243">
        <v>8</v>
      </c>
      <c r="IR47" s="243"/>
      <c r="IS47" s="243"/>
      <c r="IT47" s="243"/>
      <c r="IU47" s="243"/>
      <c r="IV47" s="243"/>
      <c r="IW47" s="242"/>
      <c r="IX47" s="242"/>
      <c r="IY47" s="242"/>
      <c r="IZ47" s="242"/>
      <c r="JA47" s="242"/>
      <c r="JB47" s="242"/>
      <c r="JC47" s="242"/>
      <c r="JD47" s="243"/>
      <c r="JE47" s="243"/>
      <c r="JF47" s="243"/>
      <c r="JG47" s="243"/>
      <c r="JH47" s="243"/>
      <c r="JI47" s="243"/>
      <c r="JJ47" s="243"/>
      <c r="JK47" s="242"/>
      <c r="JL47" s="242"/>
      <c r="JM47" s="242"/>
      <c r="JN47" s="242"/>
      <c r="JO47" s="242"/>
      <c r="JP47" s="242"/>
      <c r="JQ47" s="242"/>
      <c r="JR47" s="243"/>
      <c r="JS47" s="243"/>
      <c r="JT47" s="243"/>
      <c r="JU47" s="243"/>
      <c r="JV47" s="243">
        <v>8</v>
      </c>
      <c r="JW47" s="243"/>
      <c r="JX47" s="243"/>
      <c r="JY47" s="242"/>
      <c r="JZ47" s="242"/>
      <c r="KA47" s="242"/>
      <c r="KB47" s="242"/>
      <c r="KC47" s="242"/>
      <c r="KD47" s="242"/>
      <c r="KE47" s="242"/>
      <c r="KF47" s="243"/>
      <c r="KG47" s="243"/>
      <c r="KH47" s="243"/>
      <c r="KI47" s="243"/>
      <c r="KJ47" s="243"/>
      <c r="KK47" s="243"/>
      <c r="KL47" s="243"/>
      <c r="KM47" s="242"/>
      <c r="KN47" s="242"/>
      <c r="KO47" s="242"/>
      <c r="KP47" s="242"/>
      <c r="KQ47" s="242"/>
      <c r="KR47" s="242"/>
      <c r="KS47" s="242"/>
      <c r="KT47" s="243"/>
      <c r="KU47" s="243"/>
      <c r="KV47" s="243"/>
      <c r="KW47" s="243"/>
      <c r="KX47" s="243"/>
      <c r="KY47" s="243"/>
      <c r="KZ47" s="243"/>
      <c r="LA47" s="242"/>
      <c r="LB47" s="242"/>
      <c r="LC47" s="242"/>
      <c r="LD47" s="242">
        <v>8</v>
      </c>
      <c r="LE47" s="242"/>
      <c r="LF47" s="242"/>
      <c r="LG47" s="242"/>
      <c r="LH47" s="243"/>
      <c r="LI47" s="243"/>
      <c r="LJ47" s="243"/>
      <c r="LK47" s="243"/>
      <c r="LL47" s="243"/>
      <c r="LM47" s="243"/>
      <c r="LN47" s="243"/>
      <c r="LO47" s="242"/>
      <c r="LP47" s="242"/>
      <c r="LQ47" s="242"/>
      <c r="LR47" s="242"/>
      <c r="LS47" s="242"/>
      <c r="LT47" s="242"/>
      <c r="LU47" s="242"/>
      <c r="LV47" s="243"/>
      <c r="LW47" s="243"/>
      <c r="LX47" s="243"/>
      <c r="LY47" s="243"/>
      <c r="LZ47" s="243"/>
      <c r="MA47" s="243"/>
      <c r="MB47" s="243"/>
      <c r="MC47" s="242"/>
      <c r="MD47" s="242"/>
      <c r="ME47" s="242"/>
      <c r="MF47" s="242"/>
      <c r="MG47" s="242"/>
      <c r="MH47" s="242"/>
      <c r="MI47" s="242"/>
      <c r="MJ47" s="243"/>
      <c r="MK47" s="243"/>
      <c r="ML47" s="243"/>
      <c r="MM47" s="243">
        <v>8</v>
      </c>
      <c r="MN47" s="243"/>
      <c r="MO47" s="243"/>
      <c r="MP47" s="243"/>
      <c r="MQ47" s="242"/>
      <c r="MR47" s="242"/>
      <c r="MS47" s="242"/>
      <c r="MT47" s="242"/>
      <c r="MU47" s="242"/>
      <c r="MV47" s="242"/>
      <c r="MW47" s="242"/>
      <c r="MX47" s="243"/>
      <c r="MY47" s="243"/>
      <c r="MZ47" s="243"/>
      <c r="NA47" s="243"/>
      <c r="NB47" s="243"/>
      <c r="NC47" s="243"/>
      <c r="ND47" s="243"/>
      <c r="NE47" s="242"/>
      <c r="NF47" s="242"/>
      <c r="NG47" s="242"/>
      <c r="NH47" s="333"/>
    </row>
    <row r="48" spans="1:372">
      <c r="A48" s="251" t="s">
        <v>970</v>
      </c>
      <c r="B48" s="251" t="s">
        <v>41</v>
      </c>
      <c r="C48" s="251" t="s">
        <v>674</v>
      </c>
      <c r="D48" s="251" t="s">
        <v>982</v>
      </c>
      <c r="E48" s="241">
        <v>366.39058886799995</v>
      </c>
      <c r="F48" s="241">
        <v>696</v>
      </c>
      <c r="G48" s="242"/>
      <c r="H48" s="242"/>
      <c r="I48" s="242"/>
      <c r="J48" s="242"/>
      <c r="K48" s="242"/>
      <c r="L48" s="243"/>
      <c r="M48" s="243"/>
      <c r="N48" s="243"/>
      <c r="O48" s="243"/>
      <c r="P48" s="243"/>
      <c r="Q48" s="243"/>
      <c r="R48" s="243"/>
      <c r="S48" s="242"/>
      <c r="T48" s="242"/>
      <c r="U48" s="242">
        <v>2</v>
      </c>
      <c r="V48" s="242"/>
      <c r="W48" s="242"/>
      <c r="X48" s="242"/>
      <c r="Y48" s="242"/>
      <c r="Z48" s="243"/>
      <c r="AA48" s="243"/>
      <c r="AB48" s="243"/>
      <c r="AC48" s="243"/>
      <c r="AD48" s="243"/>
      <c r="AE48" s="243"/>
      <c r="AF48" s="243"/>
      <c r="AG48" s="242"/>
      <c r="AH48" s="242"/>
      <c r="AI48" s="242"/>
      <c r="AJ48" s="242"/>
      <c r="AK48" s="242"/>
      <c r="AL48" s="242"/>
      <c r="AM48" s="242"/>
      <c r="AN48" s="243"/>
      <c r="AO48" s="243"/>
      <c r="AP48" s="243"/>
      <c r="AQ48" s="243"/>
      <c r="AR48" s="243"/>
      <c r="AS48" s="243"/>
      <c r="AT48" s="243"/>
      <c r="AU48" s="242"/>
      <c r="AV48" s="242"/>
      <c r="AW48" s="242"/>
      <c r="AX48" s="242"/>
      <c r="AY48" s="242"/>
      <c r="AZ48" s="242"/>
      <c r="BA48" s="242"/>
      <c r="BB48" s="243"/>
      <c r="BC48" s="243"/>
      <c r="BD48" s="243"/>
      <c r="BE48" s="243">
        <v>2</v>
      </c>
      <c r="BF48" s="243"/>
      <c r="BG48" s="243"/>
      <c r="BH48" s="243"/>
      <c r="BI48" s="242"/>
      <c r="BJ48" s="242"/>
      <c r="BK48" s="242"/>
      <c r="BL48" s="242"/>
      <c r="BM48" s="242"/>
      <c r="BN48" s="242"/>
      <c r="BO48" s="242"/>
      <c r="BP48" s="243">
        <v>24</v>
      </c>
      <c r="BQ48" s="243">
        <v>24</v>
      </c>
      <c r="BR48" s="243">
        <v>24</v>
      </c>
      <c r="BS48" s="243">
        <v>24</v>
      </c>
      <c r="BT48" s="243">
        <v>24</v>
      </c>
      <c r="BU48" s="243">
        <v>24</v>
      </c>
      <c r="BV48" s="243">
        <v>24</v>
      </c>
      <c r="BW48" s="242">
        <v>24</v>
      </c>
      <c r="BX48" s="242">
        <v>24</v>
      </c>
      <c r="BY48" s="242">
        <v>24</v>
      </c>
      <c r="BZ48" s="242">
        <v>24</v>
      </c>
      <c r="CA48" s="242">
        <v>24</v>
      </c>
      <c r="CB48" s="242">
        <v>24</v>
      </c>
      <c r="CC48" s="242">
        <v>24</v>
      </c>
      <c r="CD48" s="243">
        <v>24</v>
      </c>
      <c r="CE48" s="243">
        <v>24</v>
      </c>
      <c r="CF48" s="243">
        <v>24</v>
      </c>
      <c r="CG48" s="243">
        <v>24</v>
      </c>
      <c r="CH48" s="243">
        <v>24</v>
      </c>
      <c r="CI48" s="243">
        <v>24</v>
      </c>
      <c r="CJ48" s="243">
        <v>24</v>
      </c>
      <c r="CK48" s="242">
        <v>24</v>
      </c>
      <c r="CL48" s="242">
        <v>24</v>
      </c>
      <c r="CM48" s="242">
        <v>24</v>
      </c>
      <c r="CN48" s="242">
        <v>24</v>
      </c>
      <c r="CO48" s="242">
        <v>24</v>
      </c>
      <c r="CP48" s="242">
        <v>24</v>
      </c>
      <c r="CQ48" s="242">
        <v>24</v>
      </c>
      <c r="CR48" s="243"/>
      <c r="CS48" s="243"/>
      <c r="CT48" s="243"/>
      <c r="CU48" s="243"/>
      <c r="CV48" s="243"/>
      <c r="CW48" s="243"/>
      <c r="CX48" s="243"/>
      <c r="CY48" s="242"/>
      <c r="CZ48" s="242"/>
      <c r="DA48" s="242"/>
      <c r="DB48" s="242"/>
      <c r="DC48" s="242"/>
      <c r="DD48" s="242"/>
      <c r="DE48" s="242"/>
      <c r="DF48" s="243"/>
      <c r="DG48" s="243"/>
      <c r="DH48" s="243"/>
      <c r="DI48" s="243">
        <v>2</v>
      </c>
      <c r="DJ48" s="243"/>
      <c r="DK48" s="243"/>
      <c r="DL48" s="243"/>
      <c r="DM48" s="242"/>
      <c r="DN48" s="242"/>
      <c r="DO48" s="242"/>
      <c r="DP48" s="242"/>
      <c r="DQ48" s="242"/>
      <c r="DR48" s="242"/>
      <c r="DS48" s="242"/>
      <c r="DT48" s="243"/>
      <c r="DU48" s="243"/>
      <c r="DV48" s="243"/>
      <c r="DW48" s="243"/>
      <c r="DX48" s="243"/>
      <c r="DY48" s="243"/>
      <c r="DZ48" s="243"/>
      <c r="EA48" s="242"/>
      <c r="EB48" s="242"/>
      <c r="EC48" s="242"/>
      <c r="ED48" s="242"/>
      <c r="EE48" s="242"/>
      <c r="EF48" s="242"/>
      <c r="EG48" s="242"/>
      <c r="EH48" s="243"/>
      <c r="EI48" s="243"/>
      <c r="EJ48" s="243"/>
      <c r="EK48" s="243">
        <v>2</v>
      </c>
      <c r="EL48" s="243"/>
      <c r="EM48" s="243"/>
      <c r="EN48" s="243"/>
      <c r="EO48" s="242"/>
      <c r="EP48" s="242"/>
      <c r="EQ48" s="242"/>
      <c r="ER48" s="242"/>
      <c r="ES48" s="242"/>
      <c r="ET48" s="242"/>
      <c r="EU48" s="242"/>
      <c r="EV48" s="243"/>
      <c r="EW48" s="243"/>
      <c r="EX48" s="243"/>
      <c r="EY48" s="243"/>
      <c r="EZ48" s="243"/>
      <c r="FA48" s="243"/>
      <c r="FB48" s="243"/>
      <c r="FC48" s="242"/>
      <c r="FD48" s="242"/>
      <c r="FE48" s="242"/>
      <c r="FF48" s="242"/>
      <c r="FG48" s="242"/>
      <c r="FH48" s="242"/>
      <c r="FI48" s="242"/>
      <c r="FJ48" s="243"/>
      <c r="FK48" s="243"/>
      <c r="FL48" s="243"/>
      <c r="FM48" s="243">
        <v>2</v>
      </c>
      <c r="FN48" s="243"/>
      <c r="FO48" s="243"/>
      <c r="FP48" s="243"/>
      <c r="FQ48" s="242"/>
      <c r="FR48" s="242"/>
      <c r="FS48" s="242"/>
      <c r="FT48" s="242"/>
      <c r="FU48" s="242"/>
      <c r="FV48" s="242"/>
      <c r="FW48" s="242"/>
      <c r="FX48" s="243"/>
      <c r="FY48" s="243"/>
      <c r="FZ48" s="243"/>
      <c r="GA48" s="243"/>
      <c r="GB48" s="243"/>
      <c r="GC48" s="243"/>
      <c r="GD48" s="243"/>
      <c r="GE48" s="242"/>
      <c r="GF48" s="242"/>
      <c r="GG48" s="242"/>
      <c r="GH48" s="242"/>
      <c r="GI48" s="242"/>
      <c r="GJ48" s="242"/>
      <c r="GK48" s="242"/>
      <c r="GL48" s="243"/>
      <c r="GM48" s="243">
        <v>4</v>
      </c>
      <c r="GN48" s="243"/>
      <c r="GO48" s="243"/>
      <c r="GP48" s="243"/>
      <c r="GQ48" s="243"/>
      <c r="GR48" s="243"/>
      <c r="GS48" s="242"/>
      <c r="GT48" s="242"/>
      <c r="GU48" s="242"/>
      <c r="GV48" s="242"/>
      <c r="GW48" s="242"/>
      <c r="GX48" s="242"/>
      <c r="GY48" s="242"/>
      <c r="GZ48" s="243"/>
      <c r="HA48" s="243"/>
      <c r="HB48" s="243"/>
      <c r="HC48" s="243"/>
      <c r="HD48" s="243"/>
      <c r="HE48" s="243"/>
      <c r="HF48" s="243"/>
      <c r="HG48" s="242"/>
      <c r="HH48" s="242"/>
      <c r="HI48" s="242"/>
      <c r="HJ48" s="242"/>
      <c r="HK48" s="242"/>
      <c r="HL48" s="242"/>
      <c r="HM48" s="242"/>
      <c r="HN48" s="243"/>
      <c r="HO48" s="243"/>
      <c r="HP48" s="243"/>
      <c r="HQ48" s="243"/>
      <c r="HR48" s="243"/>
      <c r="HS48" s="243"/>
      <c r="HT48" s="243"/>
      <c r="HU48" s="242"/>
      <c r="HV48" s="242"/>
      <c r="HW48" s="242"/>
      <c r="HX48" s="242">
        <v>2</v>
      </c>
      <c r="HY48" s="242"/>
      <c r="HZ48" s="242"/>
      <c r="IA48" s="242"/>
      <c r="IB48" s="243"/>
      <c r="IC48" s="243"/>
      <c r="ID48" s="243"/>
      <c r="IE48" s="243"/>
      <c r="IF48" s="243"/>
      <c r="IG48" s="243"/>
      <c r="IH48" s="243"/>
      <c r="II48" s="242"/>
      <c r="IJ48" s="242"/>
      <c r="IK48" s="242"/>
      <c r="IL48" s="242"/>
      <c r="IM48" s="242"/>
      <c r="IN48" s="242"/>
      <c r="IO48" s="242"/>
      <c r="IP48" s="243"/>
      <c r="IQ48" s="243"/>
      <c r="IR48" s="243"/>
      <c r="IS48" s="243"/>
      <c r="IT48" s="243"/>
      <c r="IU48" s="243"/>
      <c r="IV48" s="243"/>
      <c r="IW48" s="242"/>
      <c r="IX48" s="242"/>
      <c r="IY48" s="242"/>
      <c r="IZ48" s="242"/>
      <c r="JA48" s="242"/>
      <c r="JB48" s="242"/>
      <c r="JC48" s="242"/>
      <c r="JD48" s="243"/>
      <c r="JE48" s="243"/>
      <c r="JF48" s="243">
        <v>2</v>
      </c>
      <c r="JG48" s="243"/>
      <c r="JH48" s="243"/>
      <c r="JI48" s="243"/>
      <c r="JJ48" s="243"/>
      <c r="JK48" s="242"/>
      <c r="JL48" s="242"/>
      <c r="JM48" s="242"/>
      <c r="JN48" s="242"/>
      <c r="JO48" s="242"/>
      <c r="JP48" s="242"/>
      <c r="JQ48" s="242"/>
      <c r="JR48" s="243"/>
      <c r="JS48" s="243"/>
      <c r="JT48" s="243"/>
      <c r="JU48" s="243"/>
      <c r="JV48" s="243"/>
      <c r="JW48" s="243"/>
      <c r="JX48" s="243"/>
      <c r="JY48" s="242"/>
      <c r="JZ48" s="242"/>
      <c r="KA48" s="242"/>
      <c r="KB48" s="242"/>
      <c r="KC48" s="242"/>
      <c r="KD48" s="242"/>
      <c r="KE48" s="242"/>
      <c r="KF48" s="243"/>
      <c r="KG48" s="243"/>
      <c r="KH48" s="243"/>
      <c r="KI48" s="243">
        <v>2</v>
      </c>
      <c r="KJ48" s="243"/>
      <c r="KK48" s="243"/>
      <c r="KL48" s="243"/>
      <c r="KM48" s="242"/>
      <c r="KN48" s="242"/>
      <c r="KO48" s="242"/>
      <c r="KP48" s="242"/>
      <c r="KQ48" s="242"/>
      <c r="KR48" s="242"/>
      <c r="KS48" s="242"/>
      <c r="KT48" s="243"/>
      <c r="KU48" s="243"/>
      <c r="KV48" s="243"/>
      <c r="KW48" s="243"/>
      <c r="KX48" s="243"/>
      <c r="KY48" s="243"/>
      <c r="KZ48" s="243"/>
      <c r="LA48" s="242"/>
      <c r="LB48" s="242"/>
      <c r="LC48" s="242"/>
      <c r="LD48" s="242"/>
      <c r="LE48" s="242"/>
      <c r="LF48" s="242"/>
      <c r="LG48" s="242"/>
      <c r="LH48" s="243"/>
      <c r="LI48" s="243"/>
      <c r="LJ48" s="243"/>
      <c r="LK48" s="243"/>
      <c r="LL48" s="243"/>
      <c r="LM48" s="243"/>
      <c r="LN48" s="243"/>
      <c r="LO48" s="242"/>
      <c r="LP48" s="242">
        <v>2</v>
      </c>
      <c r="LQ48" s="242"/>
      <c r="LR48" s="242"/>
      <c r="LS48" s="242"/>
      <c r="LT48" s="242"/>
      <c r="LU48" s="242"/>
      <c r="LV48" s="243"/>
      <c r="LW48" s="243"/>
      <c r="LX48" s="243"/>
      <c r="LY48" s="243"/>
      <c r="LZ48" s="243"/>
      <c r="MA48" s="243"/>
      <c r="MB48" s="243"/>
      <c r="MC48" s="242"/>
      <c r="MD48" s="242"/>
      <c r="ME48" s="242"/>
      <c r="MF48" s="242"/>
      <c r="MG48" s="242"/>
      <c r="MH48" s="242"/>
      <c r="MI48" s="242"/>
      <c r="MJ48" s="243"/>
      <c r="MK48" s="243"/>
      <c r="ML48" s="243"/>
      <c r="MM48" s="243"/>
      <c r="MN48" s="243"/>
      <c r="MO48" s="243"/>
      <c r="MP48" s="243"/>
      <c r="MQ48" s="242"/>
      <c r="MR48" s="242"/>
      <c r="MS48" s="242"/>
      <c r="MT48" s="242">
        <v>2</v>
      </c>
      <c r="MU48" s="242"/>
      <c r="MV48" s="242"/>
      <c r="MW48" s="242"/>
      <c r="MX48" s="243"/>
      <c r="MY48" s="243"/>
      <c r="MZ48" s="243"/>
      <c r="NA48" s="243"/>
      <c r="NB48" s="243"/>
      <c r="NC48" s="243"/>
      <c r="ND48" s="243"/>
      <c r="NE48" s="242"/>
      <c r="NF48" s="242"/>
      <c r="NG48" s="242"/>
      <c r="NH48" s="333" t="s">
        <v>1121</v>
      </c>
    </row>
    <row r="49" spans="1:372">
      <c r="A49" s="251" t="s">
        <v>970</v>
      </c>
      <c r="B49" s="251" t="s">
        <v>1063</v>
      </c>
      <c r="C49" s="251" t="s">
        <v>674</v>
      </c>
      <c r="D49" s="251" t="s">
        <v>982</v>
      </c>
      <c r="E49" s="241">
        <v>85.554361037987775</v>
      </c>
      <c r="F49" s="241">
        <v>0</v>
      </c>
      <c r="G49" s="242"/>
      <c r="H49" s="242"/>
      <c r="I49" s="242"/>
      <c r="J49" s="242"/>
      <c r="K49" s="242"/>
      <c r="L49" s="243"/>
      <c r="M49" s="243"/>
      <c r="N49" s="243"/>
      <c r="O49" s="243"/>
      <c r="P49" s="243"/>
      <c r="Q49" s="243"/>
      <c r="R49" s="243"/>
      <c r="S49" s="242"/>
      <c r="T49" s="242"/>
      <c r="U49" s="242"/>
      <c r="V49" s="242"/>
      <c r="W49" s="242"/>
      <c r="X49" s="242"/>
      <c r="Y49" s="242"/>
      <c r="Z49" s="243"/>
      <c r="AA49" s="243"/>
      <c r="AB49" s="243"/>
      <c r="AC49" s="243"/>
      <c r="AD49" s="243"/>
      <c r="AE49" s="243"/>
      <c r="AF49" s="243"/>
      <c r="AG49" s="242"/>
      <c r="AH49" s="242"/>
      <c r="AI49" s="242"/>
      <c r="AJ49" s="242"/>
      <c r="AK49" s="242"/>
      <c r="AL49" s="242"/>
      <c r="AM49" s="242"/>
      <c r="AN49" s="243"/>
      <c r="AO49" s="243"/>
      <c r="AP49" s="243"/>
      <c r="AQ49" s="243"/>
      <c r="AR49" s="243"/>
      <c r="AS49" s="243"/>
      <c r="AT49" s="243"/>
      <c r="AU49" s="242"/>
      <c r="AV49" s="242"/>
      <c r="AW49" s="242"/>
      <c r="AX49" s="242"/>
      <c r="AY49" s="242"/>
      <c r="AZ49" s="242"/>
      <c r="BA49" s="242"/>
      <c r="BB49" s="243"/>
      <c r="BC49" s="243"/>
      <c r="BD49" s="243"/>
      <c r="BE49" s="243"/>
      <c r="BF49" s="243"/>
      <c r="BG49" s="243"/>
      <c r="BH49" s="243"/>
      <c r="BI49" s="242"/>
      <c r="BJ49" s="242"/>
      <c r="BK49" s="242"/>
      <c r="BL49" s="242"/>
      <c r="BM49" s="242"/>
      <c r="BN49" s="242"/>
      <c r="BO49" s="242"/>
      <c r="BP49" s="243"/>
      <c r="BQ49" s="243"/>
      <c r="BR49" s="243"/>
      <c r="BS49" s="243"/>
      <c r="BT49" s="243"/>
      <c r="BU49" s="243"/>
      <c r="BV49" s="243"/>
      <c r="BW49" s="242"/>
      <c r="BX49" s="242"/>
      <c r="BY49" s="242"/>
      <c r="BZ49" s="242"/>
      <c r="CA49" s="242"/>
      <c r="CB49" s="242"/>
      <c r="CC49" s="242"/>
      <c r="CD49" s="243"/>
      <c r="CE49" s="243"/>
      <c r="CF49" s="243"/>
      <c r="CG49" s="243"/>
      <c r="CH49" s="243"/>
      <c r="CI49" s="243"/>
      <c r="CJ49" s="243"/>
      <c r="CK49" s="242"/>
      <c r="CL49" s="242"/>
      <c r="CM49" s="242"/>
      <c r="CN49" s="242"/>
      <c r="CO49" s="242"/>
      <c r="CP49" s="242"/>
      <c r="CQ49" s="242"/>
      <c r="CR49" s="243"/>
      <c r="CS49" s="243"/>
      <c r="CT49" s="243"/>
      <c r="CU49" s="243"/>
      <c r="CV49" s="243"/>
      <c r="CW49" s="243"/>
      <c r="CX49" s="243"/>
      <c r="CY49" s="242"/>
      <c r="CZ49" s="242"/>
      <c r="DA49" s="242"/>
      <c r="DB49" s="242"/>
      <c r="DC49" s="242"/>
      <c r="DD49" s="242"/>
      <c r="DE49" s="242"/>
      <c r="DF49" s="243"/>
      <c r="DG49" s="243"/>
      <c r="DH49" s="243"/>
      <c r="DI49" s="243"/>
      <c r="DJ49" s="243"/>
      <c r="DK49" s="243"/>
      <c r="DL49" s="243"/>
      <c r="DM49" s="242"/>
      <c r="DN49" s="242"/>
      <c r="DO49" s="242"/>
      <c r="DP49" s="242"/>
      <c r="DQ49" s="242"/>
      <c r="DR49" s="242"/>
      <c r="DS49" s="242"/>
      <c r="DT49" s="243"/>
      <c r="DU49" s="243"/>
      <c r="DV49" s="243"/>
      <c r="DW49" s="243"/>
      <c r="DX49" s="243"/>
      <c r="DY49" s="243"/>
      <c r="DZ49" s="243"/>
      <c r="EA49" s="242"/>
      <c r="EB49" s="242"/>
      <c r="EC49" s="242"/>
      <c r="ED49" s="242"/>
      <c r="EE49" s="242"/>
      <c r="EF49" s="242"/>
      <c r="EG49" s="242"/>
      <c r="EH49" s="243"/>
      <c r="EI49" s="243"/>
      <c r="EJ49" s="243"/>
      <c r="EK49" s="243"/>
      <c r="EL49" s="243"/>
      <c r="EM49" s="243"/>
      <c r="EN49" s="243"/>
      <c r="EO49" s="242"/>
      <c r="EP49" s="242"/>
      <c r="EQ49" s="242"/>
      <c r="ER49" s="242"/>
      <c r="ES49" s="242"/>
      <c r="ET49" s="242"/>
      <c r="EU49" s="242"/>
      <c r="EV49" s="243"/>
      <c r="EW49" s="243"/>
      <c r="EX49" s="243"/>
      <c r="EY49" s="243"/>
      <c r="EZ49" s="243"/>
      <c r="FA49" s="243"/>
      <c r="FB49" s="243"/>
      <c r="FC49" s="242"/>
      <c r="FD49" s="242"/>
      <c r="FE49" s="242"/>
      <c r="FF49" s="242"/>
      <c r="FG49" s="242"/>
      <c r="FH49" s="242"/>
      <c r="FI49" s="242"/>
      <c r="FJ49" s="243"/>
      <c r="FK49" s="243"/>
      <c r="FL49" s="243"/>
      <c r="FM49" s="243"/>
      <c r="FN49" s="243"/>
      <c r="FO49" s="243"/>
      <c r="FP49" s="243"/>
      <c r="FQ49" s="242"/>
      <c r="FR49" s="242"/>
      <c r="FS49" s="242"/>
      <c r="FT49" s="242"/>
      <c r="FU49" s="242"/>
      <c r="FV49" s="242"/>
      <c r="FW49" s="242"/>
      <c r="FX49" s="243"/>
      <c r="FY49" s="243"/>
      <c r="FZ49" s="243"/>
      <c r="GA49" s="243"/>
      <c r="GB49" s="243"/>
      <c r="GC49" s="243"/>
      <c r="GD49" s="243"/>
      <c r="GE49" s="242"/>
      <c r="GF49" s="242"/>
      <c r="GG49" s="242"/>
      <c r="GH49" s="242"/>
      <c r="GI49" s="242"/>
      <c r="GJ49" s="242"/>
      <c r="GK49" s="242"/>
      <c r="GL49" s="243"/>
      <c r="GM49" s="243"/>
      <c r="GN49" s="243"/>
      <c r="GO49" s="243"/>
      <c r="GP49" s="243"/>
      <c r="GQ49" s="243"/>
      <c r="GR49" s="243"/>
      <c r="GS49" s="242"/>
      <c r="GT49" s="242"/>
      <c r="GU49" s="242"/>
      <c r="GV49" s="242"/>
      <c r="GW49" s="242"/>
      <c r="GX49" s="242"/>
      <c r="GY49" s="242"/>
      <c r="GZ49" s="243"/>
      <c r="HA49" s="243"/>
      <c r="HB49" s="243"/>
      <c r="HC49" s="243"/>
      <c r="HD49" s="243"/>
      <c r="HE49" s="243"/>
      <c r="HF49" s="243"/>
      <c r="HG49" s="242"/>
      <c r="HH49" s="242"/>
      <c r="HI49" s="242"/>
      <c r="HJ49" s="242"/>
      <c r="HK49" s="242"/>
      <c r="HL49" s="242"/>
      <c r="HM49" s="242"/>
      <c r="HN49" s="243"/>
      <c r="HO49" s="243"/>
      <c r="HP49" s="243"/>
      <c r="HQ49" s="243"/>
      <c r="HR49" s="243"/>
      <c r="HS49" s="243"/>
      <c r="HT49" s="243"/>
      <c r="HU49" s="242"/>
      <c r="HV49" s="242"/>
      <c r="HW49" s="242"/>
      <c r="HX49" s="242"/>
      <c r="HY49" s="242"/>
      <c r="HZ49" s="242"/>
      <c r="IA49" s="242"/>
      <c r="IB49" s="243"/>
      <c r="IC49" s="243"/>
      <c r="ID49" s="243"/>
      <c r="IE49" s="243"/>
      <c r="IF49" s="243"/>
      <c r="IG49" s="243"/>
      <c r="IH49" s="243"/>
      <c r="II49" s="242"/>
      <c r="IJ49" s="242"/>
      <c r="IK49" s="242"/>
      <c r="IL49" s="242"/>
      <c r="IM49" s="242"/>
      <c r="IN49" s="242"/>
      <c r="IO49" s="242"/>
      <c r="IP49" s="243"/>
      <c r="IQ49" s="243"/>
      <c r="IR49" s="243"/>
      <c r="IS49" s="243"/>
      <c r="IT49" s="243"/>
      <c r="IU49" s="243"/>
      <c r="IV49" s="243"/>
      <c r="IW49" s="242"/>
      <c r="IX49" s="242"/>
      <c r="IY49" s="242"/>
      <c r="IZ49" s="242"/>
      <c r="JA49" s="242"/>
      <c r="JB49" s="242"/>
      <c r="JC49" s="242"/>
      <c r="JD49" s="243"/>
      <c r="JE49" s="243"/>
      <c r="JF49" s="243"/>
      <c r="JG49" s="243"/>
      <c r="JH49" s="243"/>
      <c r="JI49" s="243"/>
      <c r="JJ49" s="243"/>
      <c r="JK49" s="242"/>
      <c r="JL49" s="242"/>
      <c r="JM49" s="242"/>
      <c r="JN49" s="242"/>
      <c r="JO49" s="242"/>
      <c r="JP49" s="242"/>
      <c r="JQ49" s="242"/>
      <c r="JR49" s="243"/>
      <c r="JS49" s="243"/>
      <c r="JT49" s="243"/>
      <c r="JU49" s="243"/>
      <c r="JV49" s="243"/>
      <c r="JW49" s="243"/>
      <c r="JX49" s="243"/>
      <c r="JY49" s="242"/>
      <c r="JZ49" s="242"/>
      <c r="KA49" s="242"/>
      <c r="KB49" s="242"/>
      <c r="KC49" s="242"/>
      <c r="KD49" s="242"/>
      <c r="KE49" s="242"/>
      <c r="KF49" s="243"/>
      <c r="KG49" s="243"/>
      <c r="KH49" s="243"/>
      <c r="KI49" s="243"/>
      <c r="KJ49" s="243"/>
      <c r="KK49" s="243"/>
      <c r="KL49" s="243"/>
      <c r="KM49" s="242"/>
      <c r="KN49" s="242"/>
      <c r="KO49" s="242"/>
      <c r="KP49" s="242"/>
      <c r="KQ49" s="242"/>
      <c r="KR49" s="242"/>
      <c r="KS49" s="242"/>
      <c r="KT49" s="243"/>
      <c r="KU49" s="243"/>
      <c r="KV49" s="243"/>
      <c r="KW49" s="243"/>
      <c r="KX49" s="243"/>
      <c r="KY49" s="243"/>
      <c r="KZ49" s="243"/>
      <c r="LA49" s="242"/>
      <c r="LB49" s="242"/>
      <c r="LC49" s="242"/>
      <c r="LD49" s="242"/>
      <c r="LE49" s="242"/>
      <c r="LF49" s="242"/>
      <c r="LG49" s="242"/>
      <c r="LH49" s="243"/>
      <c r="LI49" s="243"/>
      <c r="LJ49" s="243"/>
      <c r="LK49" s="243"/>
      <c r="LL49" s="243"/>
      <c r="LM49" s="243"/>
      <c r="LN49" s="243"/>
      <c r="LO49" s="242"/>
      <c r="LP49" s="242"/>
      <c r="LQ49" s="242"/>
      <c r="LR49" s="242"/>
      <c r="LS49" s="242"/>
      <c r="LT49" s="242"/>
      <c r="LU49" s="242"/>
      <c r="LV49" s="243"/>
      <c r="LW49" s="243"/>
      <c r="LX49" s="243"/>
      <c r="LY49" s="243"/>
      <c r="LZ49" s="243"/>
      <c r="MA49" s="243"/>
      <c r="MB49" s="243"/>
      <c r="MC49" s="242"/>
      <c r="MD49" s="242"/>
      <c r="ME49" s="242"/>
      <c r="MF49" s="242"/>
      <c r="MG49" s="242"/>
      <c r="MH49" s="242"/>
      <c r="MI49" s="242"/>
      <c r="MJ49" s="243"/>
      <c r="MK49" s="243"/>
      <c r="ML49" s="243"/>
      <c r="MM49" s="243"/>
      <c r="MN49" s="243"/>
      <c r="MO49" s="243"/>
      <c r="MP49" s="243"/>
      <c r="MQ49" s="242"/>
      <c r="MR49" s="242"/>
      <c r="MS49" s="242"/>
      <c r="MT49" s="242"/>
      <c r="MU49" s="242"/>
      <c r="MV49" s="242"/>
      <c r="MW49" s="242"/>
      <c r="MX49" s="243"/>
      <c r="MY49" s="243"/>
      <c r="MZ49" s="243"/>
      <c r="NA49" s="243"/>
      <c r="NB49" s="243"/>
      <c r="NC49" s="243"/>
      <c r="ND49" s="243"/>
      <c r="NE49" s="242"/>
      <c r="NF49" s="242"/>
      <c r="NG49" s="242"/>
      <c r="NH49" s="333"/>
    </row>
    <row r="50" spans="1:372">
      <c r="A50" s="251" t="s">
        <v>970</v>
      </c>
      <c r="B50" s="251" t="s">
        <v>1065</v>
      </c>
      <c r="C50" s="251" t="s">
        <v>674</v>
      </c>
      <c r="D50" s="251" t="s">
        <v>997</v>
      </c>
      <c r="E50" s="241">
        <v>135.06259430866612</v>
      </c>
      <c r="F50" s="241">
        <v>48</v>
      </c>
      <c r="G50" s="242"/>
      <c r="H50" s="242"/>
      <c r="I50" s="242"/>
      <c r="J50" s="242"/>
      <c r="K50" s="242"/>
      <c r="L50" s="243"/>
      <c r="M50" s="243"/>
      <c r="N50" s="243"/>
      <c r="O50" s="243">
        <v>4</v>
      </c>
      <c r="P50" s="243"/>
      <c r="Q50" s="243"/>
      <c r="R50" s="243"/>
      <c r="S50" s="242"/>
      <c r="T50" s="242"/>
      <c r="U50" s="242"/>
      <c r="V50" s="242"/>
      <c r="W50" s="242"/>
      <c r="X50" s="242"/>
      <c r="Y50" s="242"/>
      <c r="Z50" s="243"/>
      <c r="AA50" s="243"/>
      <c r="AB50" s="243"/>
      <c r="AC50" s="243"/>
      <c r="AD50" s="243"/>
      <c r="AE50" s="243"/>
      <c r="AF50" s="243"/>
      <c r="AG50" s="242"/>
      <c r="AH50" s="242"/>
      <c r="AI50" s="242"/>
      <c r="AJ50" s="242"/>
      <c r="AK50" s="242"/>
      <c r="AL50" s="242"/>
      <c r="AM50" s="242"/>
      <c r="AN50" s="243"/>
      <c r="AO50" s="243"/>
      <c r="AP50" s="243"/>
      <c r="AQ50" s="243"/>
      <c r="AR50" s="243"/>
      <c r="AS50" s="243"/>
      <c r="AT50" s="243">
        <v>4</v>
      </c>
      <c r="AU50" s="242"/>
      <c r="AV50" s="242"/>
      <c r="AW50" s="242"/>
      <c r="AX50" s="242"/>
      <c r="AY50" s="242"/>
      <c r="AZ50" s="242"/>
      <c r="BA50" s="242"/>
      <c r="BB50" s="243"/>
      <c r="BC50" s="243"/>
      <c r="BD50" s="243"/>
      <c r="BE50" s="243"/>
      <c r="BF50" s="243"/>
      <c r="BG50" s="243"/>
      <c r="BH50" s="243"/>
      <c r="BI50" s="242"/>
      <c r="BJ50" s="242"/>
      <c r="BK50" s="242"/>
      <c r="BL50" s="242"/>
      <c r="BM50" s="242"/>
      <c r="BN50" s="242"/>
      <c r="BO50" s="242"/>
      <c r="BP50" s="243"/>
      <c r="BQ50" s="243"/>
      <c r="BR50" s="243"/>
      <c r="BS50" s="243"/>
      <c r="BT50" s="243"/>
      <c r="BU50" s="243"/>
      <c r="BV50" s="243"/>
      <c r="BW50" s="242"/>
      <c r="BX50" s="242"/>
      <c r="BY50" s="242"/>
      <c r="BZ50" s="242">
        <v>4</v>
      </c>
      <c r="CA50" s="242"/>
      <c r="CB50" s="242"/>
      <c r="CC50" s="242"/>
      <c r="CD50" s="243"/>
      <c r="CE50" s="243"/>
      <c r="CF50" s="243"/>
      <c r="CG50" s="243"/>
      <c r="CH50" s="243"/>
      <c r="CI50" s="243"/>
      <c r="CJ50" s="243"/>
      <c r="CK50" s="242"/>
      <c r="CL50" s="242"/>
      <c r="CM50" s="242"/>
      <c r="CN50" s="242"/>
      <c r="CO50" s="242"/>
      <c r="CP50" s="242"/>
      <c r="CQ50" s="242"/>
      <c r="CR50" s="243"/>
      <c r="CS50" s="243"/>
      <c r="CT50" s="243"/>
      <c r="CU50" s="243"/>
      <c r="CV50" s="243"/>
      <c r="CW50" s="243"/>
      <c r="CX50" s="243"/>
      <c r="CY50" s="242"/>
      <c r="CZ50" s="242"/>
      <c r="DA50" s="242"/>
      <c r="DB50" s="242"/>
      <c r="DC50" s="242"/>
      <c r="DD50" s="242"/>
      <c r="DE50" s="242"/>
      <c r="DF50" s="243"/>
      <c r="DG50" s="243"/>
      <c r="DH50" s="243"/>
      <c r="DI50" s="243">
        <v>4</v>
      </c>
      <c r="DJ50" s="243"/>
      <c r="DK50" s="243"/>
      <c r="DL50" s="243"/>
      <c r="DM50" s="242"/>
      <c r="DN50" s="242"/>
      <c r="DO50" s="242"/>
      <c r="DP50" s="242"/>
      <c r="DQ50" s="242"/>
      <c r="DR50" s="242"/>
      <c r="DS50" s="242"/>
      <c r="DT50" s="243"/>
      <c r="DU50" s="243"/>
      <c r="DV50" s="243"/>
      <c r="DW50" s="243"/>
      <c r="DX50" s="243"/>
      <c r="DY50" s="243"/>
      <c r="DZ50" s="243"/>
      <c r="EA50" s="242"/>
      <c r="EB50" s="242"/>
      <c r="EC50" s="242"/>
      <c r="ED50" s="242"/>
      <c r="EE50" s="242"/>
      <c r="EF50" s="242"/>
      <c r="EG50" s="242"/>
      <c r="EH50" s="243"/>
      <c r="EI50" s="243"/>
      <c r="EJ50" s="243">
        <v>4</v>
      </c>
      <c r="EK50" s="243"/>
      <c r="EL50" s="243"/>
      <c r="EM50" s="243"/>
      <c r="EN50" s="243"/>
      <c r="EO50" s="242"/>
      <c r="EP50" s="242"/>
      <c r="EQ50" s="242"/>
      <c r="ER50" s="242"/>
      <c r="ES50" s="242"/>
      <c r="ET50" s="242"/>
      <c r="EU50" s="242"/>
      <c r="EV50" s="243"/>
      <c r="EW50" s="243"/>
      <c r="EX50" s="243"/>
      <c r="EY50" s="243"/>
      <c r="EZ50" s="243"/>
      <c r="FA50" s="243"/>
      <c r="FB50" s="243"/>
      <c r="FC50" s="242"/>
      <c r="FD50" s="242"/>
      <c r="FE50" s="242"/>
      <c r="FF50" s="242"/>
      <c r="FG50" s="242">
        <v>4</v>
      </c>
      <c r="FH50" s="242"/>
      <c r="FI50" s="242"/>
      <c r="FJ50" s="243"/>
      <c r="FK50" s="243"/>
      <c r="FL50" s="243"/>
      <c r="FM50" s="243"/>
      <c r="FN50" s="243"/>
      <c r="FO50" s="243"/>
      <c r="FP50" s="243"/>
      <c r="FQ50" s="242"/>
      <c r="FR50" s="242"/>
      <c r="FS50" s="242"/>
      <c r="FT50" s="242"/>
      <c r="FU50" s="242"/>
      <c r="FV50" s="242"/>
      <c r="FW50" s="242"/>
      <c r="FX50" s="243"/>
      <c r="FY50" s="243"/>
      <c r="FZ50" s="243"/>
      <c r="GA50" s="243"/>
      <c r="GB50" s="243"/>
      <c r="GC50" s="243"/>
      <c r="GD50" s="243"/>
      <c r="GE50" s="242"/>
      <c r="GF50" s="242"/>
      <c r="GG50" s="242"/>
      <c r="GH50" s="242"/>
      <c r="GI50" s="242"/>
      <c r="GJ50" s="242"/>
      <c r="GK50" s="242"/>
      <c r="GL50" s="243"/>
      <c r="GM50" s="243">
        <v>4</v>
      </c>
      <c r="GN50" s="243"/>
      <c r="GO50" s="243"/>
      <c r="GP50" s="243"/>
      <c r="GQ50" s="243"/>
      <c r="GR50" s="243"/>
      <c r="GS50" s="242"/>
      <c r="GT50" s="242"/>
      <c r="GU50" s="242"/>
      <c r="GV50" s="242"/>
      <c r="GW50" s="242"/>
      <c r="GX50" s="242"/>
      <c r="GY50" s="242"/>
      <c r="GZ50" s="243"/>
      <c r="HA50" s="243"/>
      <c r="HB50" s="243"/>
      <c r="HC50" s="243"/>
      <c r="HD50" s="243"/>
      <c r="HE50" s="243"/>
      <c r="HF50" s="243"/>
      <c r="HG50" s="242"/>
      <c r="HH50" s="242"/>
      <c r="HI50" s="242"/>
      <c r="HJ50" s="242"/>
      <c r="HK50" s="242"/>
      <c r="HL50" s="242"/>
      <c r="HM50" s="242"/>
      <c r="HN50" s="243"/>
      <c r="HO50" s="243">
        <v>4</v>
      </c>
      <c r="HP50" s="243"/>
      <c r="HQ50" s="243"/>
      <c r="HR50" s="243"/>
      <c r="HS50" s="243"/>
      <c r="HT50" s="243"/>
      <c r="HU50" s="242"/>
      <c r="HV50" s="242"/>
      <c r="HW50" s="242"/>
      <c r="HX50" s="242"/>
      <c r="HY50" s="242"/>
      <c r="HZ50" s="242"/>
      <c r="IA50" s="242"/>
      <c r="IB50" s="243"/>
      <c r="IC50" s="243"/>
      <c r="ID50" s="243"/>
      <c r="IE50" s="243"/>
      <c r="IF50" s="243"/>
      <c r="IG50" s="243"/>
      <c r="IH50" s="243"/>
      <c r="II50" s="242"/>
      <c r="IJ50" s="242"/>
      <c r="IK50" s="242"/>
      <c r="IL50" s="242"/>
      <c r="IM50" s="242"/>
      <c r="IN50" s="242"/>
      <c r="IO50" s="242"/>
      <c r="IP50" s="243"/>
      <c r="IQ50" s="243"/>
      <c r="IR50" s="243"/>
      <c r="IS50" s="243"/>
      <c r="IT50" s="243">
        <v>4</v>
      </c>
      <c r="IU50" s="243"/>
      <c r="IV50" s="243"/>
      <c r="IW50" s="242"/>
      <c r="IX50" s="242"/>
      <c r="IY50" s="242"/>
      <c r="IZ50" s="242"/>
      <c r="JA50" s="242"/>
      <c r="JB50" s="242"/>
      <c r="JC50" s="242"/>
      <c r="JD50" s="243"/>
      <c r="JE50" s="243"/>
      <c r="JF50" s="243"/>
      <c r="JG50" s="243"/>
      <c r="JH50" s="243"/>
      <c r="JI50" s="243"/>
      <c r="JJ50" s="243"/>
      <c r="JK50" s="242"/>
      <c r="JL50" s="242"/>
      <c r="JM50" s="242"/>
      <c r="JN50" s="242"/>
      <c r="JO50" s="242"/>
      <c r="JP50" s="242"/>
      <c r="JQ50" s="242"/>
      <c r="JR50" s="243"/>
      <c r="JS50" s="243"/>
      <c r="JT50" s="243"/>
      <c r="JU50" s="243"/>
      <c r="JV50" s="243"/>
      <c r="JW50" s="243"/>
      <c r="JX50" s="243">
        <v>4</v>
      </c>
      <c r="JY50" s="242"/>
      <c r="JZ50" s="242"/>
      <c r="KA50" s="242"/>
      <c r="KB50" s="242"/>
      <c r="KC50" s="242"/>
      <c r="KD50" s="242"/>
      <c r="KE50" s="242"/>
      <c r="KF50" s="243"/>
      <c r="KG50" s="243"/>
      <c r="KH50" s="243"/>
      <c r="KI50" s="243"/>
      <c r="KJ50" s="243"/>
      <c r="KK50" s="243"/>
      <c r="KL50" s="243"/>
      <c r="KM50" s="242"/>
      <c r="KN50" s="242"/>
      <c r="KO50" s="242"/>
      <c r="KP50" s="242"/>
      <c r="KQ50" s="242"/>
      <c r="KR50" s="242"/>
      <c r="KS50" s="242"/>
      <c r="KT50" s="243"/>
      <c r="KU50" s="243"/>
      <c r="KV50" s="243"/>
      <c r="KW50" s="243"/>
      <c r="KX50" s="243"/>
      <c r="KY50" s="243"/>
      <c r="KZ50" s="243">
        <v>4</v>
      </c>
      <c r="LA50" s="242"/>
      <c r="LB50" s="242"/>
      <c r="LC50" s="242"/>
      <c r="LD50" s="242"/>
      <c r="LE50" s="242"/>
      <c r="LF50" s="242"/>
      <c r="LG50" s="242"/>
      <c r="LH50" s="243"/>
      <c r="LI50" s="243"/>
      <c r="LJ50" s="243"/>
      <c r="LK50" s="243"/>
      <c r="LL50" s="243"/>
      <c r="LM50" s="243"/>
      <c r="LN50" s="243"/>
      <c r="LO50" s="242"/>
      <c r="LP50" s="242"/>
      <c r="LQ50" s="242"/>
      <c r="LR50" s="242"/>
      <c r="LS50" s="242"/>
      <c r="LT50" s="242"/>
      <c r="LU50" s="242"/>
      <c r="LV50" s="243"/>
      <c r="LW50" s="243"/>
      <c r="LX50" s="243"/>
      <c r="LY50" s="243"/>
      <c r="LZ50" s="243"/>
      <c r="MA50" s="243"/>
      <c r="MB50" s="243"/>
      <c r="MC50" s="242"/>
      <c r="MD50" s="242"/>
      <c r="ME50" s="242"/>
      <c r="MF50" s="242"/>
      <c r="MG50" s="242"/>
      <c r="MH50" s="242"/>
      <c r="MI50" s="242"/>
      <c r="MJ50" s="243"/>
      <c r="MK50" s="243"/>
      <c r="ML50" s="243"/>
      <c r="MM50" s="243"/>
      <c r="MN50" s="243">
        <v>4</v>
      </c>
      <c r="MO50" s="243"/>
      <c r="MP50" s="243"/>
      <c r="MQ50" s="242"/>
      <c r="MR50" s="242"/>
      <c r="MS50" s="242"/>
      <c r="MT50" s="242"/>
      <c r="MU50" s="242"/>
      <c r="MV50" s="242"/>
      <c r="MW50" s="242"/>
      <c r="MX50" s="243"/>
      <c r="MY50" s="243"/>
      <c r="MZ50" s="243"/>
      <c r="NA50" s="243"/>
      <c r="NB50" s="243"/>
      <c r="NC50" s="243"/>
      <c r="ND50" s="243"/>
      <c r="NE50" s="242"/>
      <c r="NF50" s="242"/>
      <c r="NG50" s="242"/>
      <c r="NH50" s="333"/>
    </row>
    <row r="51" spans="1:372">
      <c r="A51" s="251" t="s">
        <v>970</v>
      </c>
      <c r="B51" s="251" t="s">
        <v>1069</v>
      </c>
      <c r="C51" s="251" t="s">
        <v>674</v>
      </c>
      <c r="D51" s="251" t="s">
        <v>982</v>
      </c>
      <c r="E51" s="241">
        <v>46.368111053666674</v>
      </c>
      <c r="F51" s="241">
        <v>504</v>
      </c>
      <c r="G51" s="242"/>
      <c r="H51" s="242"/>
      <c r="I51" s="242"/>
      <c r="J51" s="242"/>
      <c r="K51" s="242"/>
      <c r="L51" s="243"/>
      <c r="M51" s="243"/>
      <c r="N51" s="243"/>
      <c r="O51" s="243"/>
      <c r="P51" s="243"/>
      <c r="Q51" s="243"/>
      <c r="R51" s="243"/>
      <c r="S51" s="242"/>
      <c r="T51" s="242">
        <v>24</v>
      </c>
      <c r="U51" s="242">
        <v>18</v>
      </c>
      <c r="V51" s="242"/>
      <c r="W51" s="242"/>
      <c r="X51" s="242"/>
      <c r="Y51" s="242"/>
      <c r="Z51" s="243"/>
      <c r="AA51" s="243"/>
      <c r="AB51" s="243"/>
      <c r="AC51" s="243"/>
      <c r="AD51" s="243"/>
      <c r="AE51" s="243"/>
      <c r="AF51" s="243"/>
      <c r="AG51" s="242"/>
      <c r="AH51" s="242"/>
      <c r="AI51" s="242"/>
      <c r="AJ51" s="242"/>
      <c r="AK51" s="242"/>
      <c r="AL51" s="242"/>
      <c r="AM51" s="242"/>
      <c r="AN51" s="243"/>
      <c r="AO51" s="243"/>
      <c r="AP51" s="243">
        <v>24</v>
      </c>
      <c r="AQ51" s="243">
        <v>18</v>
      </c>
      <c r="AR51" s="243"/>
      <c r="AS51" s="243"/>
      <c r="AT51" s="243"/>
      <c r="AU51" s="242"/>
      <c r="AV51" s="242"/>
      <c r="AW51" s="242"/>
      <c r="AX51" s="242"/>
      <c r="AY51" s="242"/>
      <c r="AZ51" s="242"/>
      <c r="BA51" s="242"/>
      <c r="BB51" s="243"/>
      <c r="BC51" s="243"/>
      <c r="BD51" s="243"/>
      <c r="BE51" s="243"/>
      <c r="BF51" s="243"/>
      <c r="BG51" s="243"/>
      <c r="BH51" s="243"/>
      <c r="BI51" s="242"/>
      <c r="BJ51" s="242"/>
      <c r="BK51" s="242"/>
      <c r="BL51" s="242"/>
      <c r="BM51" s="242"/>
      <c r="BN51" s="242"/>
      <c r="BO51" s="242"/>
      <c r="BP51" s="243"/>
      <c r="BQ51" s="243"/>
      <c r="BR51" s="243">
        <v>24</v>
      </c>
      <c r="BS51" s="243">
        <v>18</v>
      </c>
      <c r="BT51" s="243"/>
      <c r="BU51" s="243"/>
      <c r="BV51" s="243"/>
      <c r="BW51" s="242"/>
      <c r="BX51" s="242"/>
      <c r="BY51" s="242"/>
      <c r="BZ51" s="242"/>
      <c r="CA51" s="242"/>
      <c r="CB51" s="242"/>
      <c r="CC51" s="242"/>
      <c r="CD51" s="243"/>
      <c r="CE51" s="243"/>
      <c r="CF51" s="243"/>
      <c r="CG51" s="243"/>
      <c r="CH51" s="243"/>
      <c r="CI51" s="243"/>
      <c r="CJ51" s="243"/>
      <c r="CK51" s="242"/>
      <c r="CL51" s="242"/>
      <c r="CM51" s="242"/>
      <c r="CN51" s="242"/>
      <c r="CO51" s="242"/>
      <c r="CP51" s="242"/>
      <c r="CQ51" s="242"/>
      <c r="CR51" s="243"/>
      <c r="CS51" s="243"/>
      <c r="CT51" s="243">
        <v>24</v>
      </c>
      <c r="CU51" s="243">
        <v>18</v>
      </c>
      <c r="CV51" s="243"/>
      <c r="CW51" s="243"/>
      <c r="CX51" s="243"/>
      <c r="CY51" s="242"/>
      <c r="CZ51" s="242"/>
      <c r="DA51" s="242"/>
      <c r="DB51" s="242"/>
      <c r="DC51" s="242"/>
      <c r="DD51" s="242"/>
      <c r="DE51" s="242"/>
      <c r="DF51" s="243"/>
      <c r="DG51" s="243"/>
      <c r="DH51" s="243"/>
      <c r="DI51" s="243"/>
      <c r="DJ51" s="243"/>
      <c r="DK51" s="243"/>
      <c r="DL51" s="243"/>
      <c r="DM51" s="242"/>
      <c r="DN51" s="242"/>
      <c r="DO51" s="242"/>
      <c r="DP51" s="242"/>
      <c r="DQ51" s="242"/>
      <c r="DR51" s="242"/>
      <c r="DS51" s="242"/>
      <c r="DT51" s="243"/>
      <c r="DU51" s="243"/>
      <c r="DV51" s="243"/>
      <c r="DW51" s="243"/>
      <c r="DX51" s="243"/>
      <c r="DY51" s="243"/>
      <c r="DZ51" s="243">
        <v>24</v>
      </c>
      <c r="EA51" s="242">
        <v>18</v>
      </c>
      <c r="EB51" s="242"/>
      <c r="EC51" s="242"/>
      <c r="ED51" s="242"/>
      <c r="EE51" s="242"/>
      <c r="EF51" s="242"/>
      <c r="EG51" s="242"/>
      <c r="EH51" s="243"/>
      <c r="EI51" s="243"/>
      <c r="EJ51" s="243"/>
      <c r="EK51" s="243"/>
      <c r="EL51" s="243"/>
      <c r="EM51" s="243"/>
      <c r="EN51" s="243"/>
      <c r="EO51" s="242"/>
      <c r="EP51" s="242"/>
      <c r="EQ51" s="242"/>
      <c r="ER51" s="242"/>
      <c r="ES51" s="242"/>
      <c r="ET51" s="242"/>
      <c r="EU51" s="242"/>
      <c r="EV51" s="243"/>
      <c r="EW51" s="243"/>
      <c r="EX51" s="243"/>
      <c r="EY51" s="243"/>
      <c r="EZ51" s="243"/>
      <c r="FA51" s="243"/>
      <c r="FB51" s="243"/>
      <c r="FC51" s="242"/>
      <c r="FD51" s="242"/>
      <c r="FE51" s="242"/>
      <c r="FF51" s="242"/>
      <c r="FG51" s="242"/>
      <c r="FH51" s="242"/>
      <c r="FI51" s="242"/>
      <c r="FJ51" s="243"/>
      <c r="FK51" s="243">
        <v>24</v>
      </c>
      <c r="FL51" s="243">
        <v>18</v>
      </c>
      <c r="FM51" s="243"/>
      <c r="FN51" s="243"/>
      <c r="FO51" s="243"/>
      <c r="FP51" s="243"/>
      <c r="FQ51" s="242"/>
      <c r="FR51" s="242"/>
      <c r="FS51" s="242"/>
      <c r="FT51" s="242"/>
      <c r="FU51" s="242"/>
      <c r="FV51" s="242"/>
      <c r="FW51" s="242"/>
      <c r="FX51" s="243"/>
      <c r="FY51" s="243"/>
      <c r="FZ51" s="243"/>
      <c r="GA51" s="243"/>
      <c r="GB51" s="243"/>
      <c r="GC51" s="243"/>
      <c r="GD51" s="243"/>
      <c r="GE51" s="242"/>
      <c r="GF51" s="242"/>
      <c r="GG51" s="242">
        <v>24</v>
      </c>
      <c r="GH51" s="242">
        <v>18</v>
      </c>
      <c r="GI51" s="242"/>
      <c r="GJ51" s="242"/>
      <c r="GK51" s="242"/>
      <c r="GL51" s="243"/>
      <c r="GM51" s="243"/>
      <c r="GN51" s="243"/>
      <c r="GO51" s="243"/>
      <c r="GP51" s="243"/>
      <c r="GQ51" s="243"/>
      <c r="GR51" s="243"/>
      <c r="GS51" s="242"/>
      <c r="GT51" s="242"/>
      <c r="GU51" s="242"/>
      <c r="GV51" s="242"/>
      <c r="GW51" s="242"/>
      <c r="GX51" s="242"/>
      <c r="GY51" s="242"/>
      <c r="GZ51" s="243"/>
      <c r="HA51" s="243"/>
      <c r="HB51" s="243"/>
      <c r="HC51" s="243"/>
      <c r="HD51" s="243"/>
      <c r="HE51" s="243"/>
      <c r="HF51" s="243"/>
      <c r="HG51" s="242"/>
      <c r="HH51" s="242"/>
      <c r="HI51" s="242"/>
      <c r="HJ51" s="242"/>
      <c r="HK51" s="242"/>
      <c r="HL51" s="242"/>
      <c r="HM51" s="242"/>
      <c r="HN51" s="243"/>
      <c r="HO51" s="243">
        <v>24</v>
      </c>
      <c r="HP51" s="243">
        <v>18</v>
      </c>
      <c r="HQ51" s="243"/>
      <c r="HR51" s="243"/>
      <c r="HS51" s="243"/>
      <c r="HT51" s="243"/>
      <c r="HU51" s="242"/>
      <c r="HV51" s="242"/>
      <c r="HW51" s="242"/>
      <c r="HX51" s="242"/>
      <c r="HY51" s="242"/>
      <c r="HZ51" s="242"/>
      <c r="IA51" s="242"/>
      <c r="IB51" s="243"/>
      <c r="IC51" s="243"/>
      <c r="ID51" s="243"/>
      <c r="IE51" s="243"/>
      <c r="IF51" s="243"/>
      <c r="IG51" s="243"/>
      <c r="IH51" s="243"/>
      <c r="II51" s="242"/>
      <c r="IJ51" s="242"/>
      <c r="IK51" s="242"/>
      <c r="IL51" s="242"/>
      <c r="IM51" s="242"/>
      <c r="IN51" s="242"/>
      <c r="IO51" s="242"/>
      <c r="IP51" s="243"/>
      <c r="IQ51" s="243"/>
      <c r="IR51" s="243">
        <v>24</v>
      </c>
      <c r="IS51" s="243">
        <v>18</v>
      </c>
      <c r="IT51" s="243"/>
      <c r="IU51" s="243"/>
      <c r="IV51" s="243"/>
      <c r="IW51" s="242"/>
      <c r="IX51" s="242"/>
      <c r="IY51" s="242"/>
      <c r="IZ51" s="242"/>
      <c r="JA51" s="242"/>
      <c r="JB51" s="242"/>
      <c r="JC51" s="242"/>
      <c r="JD51" s="243"/>
      <c r="JE51" s="243"/>
      <c r="JF51" s="243"/>
      <c r="JG51" s="243"/>
      <c r="JH51" s="243"/>
      <c r="JI51" s="243"/>
      <c r="JJ51" s="243"/>
      <c r="JK51" s="242"/>
      <c r="JL51" s="242"/>
      <c r="JM51" s="242"/>
      <c r="JN51" s="242"/>
      <c r="JO51" s="242"/>
      <c r="JP51" s="242"/>
      <c r="JQ51" s="242"/>
      <c r="JR51" s="243"/>
      <c r="JS51" s="243"/>
      <c r="JT51" s="243"/>
      <c r="JU51" s="243"/>
      <c r="JV51" s="243"/>
      <c r="JW51" s="243">
        <v>24</v>
      </c>
      <c r="JX51" s="243">
        <v>18</v>
      </c>
      <c r="JY51" s="242"/>
      <c r="JZ51" s="242"/>
      <c r="KA51" s="242"/>
      <c r="KB51" s="242"/>
      <c r="KC51" s="242"/>
      <c r="KD51" s="242"/>
      <c r="KE51" s="242"/>
      <c r="KF51" s="243"/>
      <c r="KG51" s="243"/>
      <c r="KH51" s="243"/>
      <c r="KI51" s="243"/>
      <c r="KJ51" s="243"/>
      <c r="KK51" s="243"/>
      <c r="KL51" s="243"/>
      <c r="KM51" s="242"/>
      <c r="KN51" s="242"/>
      <c r="KO51" s="242"/>
      <c r="KP51" s="242"/>
      <c r="KQ51" s="242"/>
      <c r="KR51" s="242"/>
      <c r="KS51" s="242"/>
      <c r="KT51" s="243"/>
      <c r="KU51" s="243"/>
      <c r="KV51" s="243"/>
      <c r="KW51" s="243"/>
      <c r="KX51" s="243"/>
      <c r="KY51" s="243"/>
      <c r="KZ51" s="243"/>
      <c r="LA51" s="242"/>
      <c r="LB51" s="242"/>
      <c r="LC51" s="242"/>
      <c r="LD51" s="242">
        <v>24</v>
      </c>
      <c r="LE51" s="242">
        <v>18</v>
      </c>
      <c r="LF51" s="242"/>
      <c r="LG51" s="242"/>
      <c r="LH51" s="243"/>
      <c r="LI51" s="243"/>
      <c r="LJ51" s="243"/>
      <c r="LK51" s="243"/>
      <c r="LL51" s="243"/>
      <c r="LM51" s="243"/>
      <c r="LN51" s="243"/>
      <c r="LO51" s="242"/>
      <c r="LP51" s="242"/>
      <c r="LQ51" s="242"/>
      <c r="LR51" s="242"/>
      <c r="LS51" s="242"/>
      <c r="LT51" s="242"/>
      <c r="LU51" s="242"/>
      <c r="LV51" s="243"/>
      <c r="LW51" s="243"/>
      <c r="LX51" s="243"/>
      <c r="LY51" s="243"/>
      <c r="LZ51" s="243"/>
      <c r="MA51" s="243"/>
      <c r="MB51" s="243"/>
      <c r="MC51" s="242"/>
      <c r="MD51" s="242"/>
      <c r="ME51" s="242"/>
      <c r="MF51" s="242"/>
      <c r="MG51" s="242"/>
      <c r="MH51" s="242"/>
      <c r="MI51" s="242"/>
      <c r="MJ51" s="243"/>
      <c r="MK51" s="243">
        <v>24</v>
      </c>
      <c r="ML51" s="243">
        <v>18</v>
      </c>
      <c r="MM51" s="243"/>
      <c r="MN51" s="243"/>
      <c r="MO51" s="243"/>
      <c r="MP51" s="243"/>
      <c r="MQ51" s="242"/>
      <c r="MR51" s="242"/>
      <c r="MS51" s="242"/>
      <c r="MT51" s="242"/>
      <c r="MU51" s="242"/>
      <c r="MV51" s="242"/>
      <c r="MW51" s="242"/>
      <c r="MX51" s="243"/>
      <c r="MY51" s="243"/>
      <c r="MZ51" s="243"/>
      <c r="NA51" s="243"/>
      <c r="NB51" s="243"/>
      <c r="NC51" s="243"/>
      <c r="ND51" s="243"/>
      <c r="NE51" s="242"/>
      <c r="NF51" s="242"/>
      <c r="NG51" s="242"/>
      <c r="NH51" s="333" t="s">
        <v>1122</v>
      </c>
    </row>
    <row r="52" spans="1:372">
      <c r="A52" s="251" t="s">
        <v>971</v>
      </c>
      <c r="B52" s="251" t="s">
        <v>43</v>
      </c>
      <c r="C52" s="251" t="s">
        <v>675</v>
      </c>
      <c r="D52" s="251" t="s">
        <v>982</v>
      </c>
      <c r="E52" s="241">
        <v>158.06365541400001</v>
      </c>
      <c r="F52" s="241">
        <v>656</v>
      </c>
      <c r="G52" s="335">
        <v>8</v>
      </c>
      <c r="H52" s="336">
        <v>8</v>
      </c>
      <c r="I52" s="336">
        <v>8</v>
      </c>
      <c r="J52" s="336">
        <v>8</v>
      </c>
      <c r="K52" s="336">
        <v>8</v>
      </c>
      <c r="L52" s="337">
        <v>8</v>
      </c>
      <c r="M52" s="337">
        <v>8</v>
      </c>
      <c r="N52" s="337">
        <v>8</v>
      </c>
      <c r="O52" s="337">
        <v>8</v>
      </c>
      <c r="P52" s="337">
        <v>8</v>
      </c>
      <c r="Q52" s="337">
        <v>8</v>
      </c>
      <c r="R52" s="337">
        <v>8</v>
      </c>
      <c r="S52" s="336" t="s">
        <v>975</v>
      </c>
      <c r="T52" s="336" t="s">
        <v>975</v>
      </c>
      <c r="U52" s="336" t="s">
        <v>975</v>
      </c>
      <c r="V52" s="336" t="s">
        <v>975</v>
      </c>
      <c r="W52" s="336" t="s">
        <v>975</v>
      </c>
      <c r="X52" s="336" t="s">
        <v>975</v>
      </c>
      <c r="Y52" s="336" t="s">
        <v>975</v>
      </c>
      <c r="Z52" s="337">
        <v>8</v>
      </c>
      <c r="AA52" s="337">
        <v>8</v>
      </c>
      <c r="AB52" s="337">
        <v>8</v>
      </c>
      <c r="AC52" s="337">
        <v>8</v>
      </c>
      <c r="AD52" s="337">
        <v>8</v>
      </c>
      <c r="AE52" s="337">
        <v>8</v>
      </c>
      <c r="AF52" s="337">
        <v>8</v>
      </c>
      <c r="AG52" s="336">
        <v>8</v>
      </c>
      <c r="AH52" s="336">
        <v>8</v>
      </c>
      <c r="AI52" s="336">
        <v>8</v>
      </c>
      <c r="AJ52" s="336">
        <v>8</v>
      </c>
      <c r="AK52" s="336">
        <v>8</v>
      </c>
      <c r="AL52" s="336">
        <v>8</v>
      </c>
      <c r="AM52" s="336">
        <v>8</v>
      </c>
      <c r="AN52" s="337" t="s">
        <v>975</v>
      </c>
      <c r="AO52" s="337" t="s">
        <v>975</v>
      </c>
      <c r="AP52" s="337" t="s">
        <v>975</v>
      </c>
      <c r="AQ52" s="337" t="s">
        <v>975</v>
      </c>
      <c r="AR52" s="337" t="s">
        <v>975</v>
      </c>
      <c r="AS52" s="337" t="s">
        <v>975</v>
      </c>
      <c r="AT52" s="337" t="s">
        <v>975</v>
      </c>
      <c r="AU52" s="336" t="s">
        <v>975</v>
      </c>
      <c r="AV52" s="336" t="s">
        <v>975</v>
      </c>
      <c r="AW52" s="336" t="s">
        <v>975</v>
      </c>
      <c r="AX52" s="336" t="s">
        <v>975</v>
      </c>
      <c r="AY52" s="336" t="s">
        <v>975</v>
      </c>
      <c r="AZ52" s="336" t="s">
        <v>975</v>
      </c>
      <c r="BA52" s="336" t="s">
        <v>975</v>
      </c>
      <c r="BB52" s="337" t="s">
        <v>975</v>
      </c>
      <c r="BC52" s="337" t="s">
        <v>975</v>
      </c>
      <c r="BD52" s="337" t="s">
        <v>975</v>
      </c>
      <c r="BE52" s="337" t="s">
        <v>975</v>
      </c>
      <c r="BF52" s="337" t="s">
        <v>975</v>
      </c>
      <c r="BG52" s="337" t="s">
        <v>975</v>
      </c>
      <c r="BH52" s="337" t="s">
        <v>975</v>
      </c>
      <c r="BI52" s="336" t="s">
        <v>975</v>
      </c>
      <c r="BJ52" s="336" t="s">
        <v>975</v>
      </c>
      <c r="BK52" s="336" t="s">
        <v>975</v>
      </c>
      <c r="BL52" s="336" t="s">
        <v>975</v>
      </c>
      <c r="BM52" s="336" t="s">
        <v>975</v>
      </c>
      <c r="BN52" s="336" t="s">
        <v>975</v>
      </c>
      <c r="BO52" s="336" t="s">
        <v>975</v>
      </c>
      <c r="BP52" s="337" t="s">
        <v>975</v>
      </c>
      <c r="BQ52" s="337" t="s">
        <v>975</v>
      </c>
      <c r="BR52" s="337" t="s">
        <v>975</v>
      </c>
      <c r="BS52" s="337" t="s">
        <v>975</v>
      </c>
      <c r="BT52" s="337" t="s">
        <v>975</v>
      </c>
      <c r="BU52" s="337" t="s">
        <v>975</v>
      </c>
      <c r="BV52" s="337" t="s">
        <v>975</v>
      </c>
      <c r="BW52" s="336" t="s">
        <v>975</v>
      </c>
      <c r="BX52" s="336" t="s">
        <v>975</v>
      </c>
      <c r="BY52" s="336" t="s">
        <v>975</v>
      </c>
      <c r="BZ52" s="336" t="s">
        <v>975</v>
      </c>
      <c r="CA52" s="336" t="s">
        <v>975</v>
      </c>
      <c r="CB52" s="336" t="s">
        <v>975</v>
      </c>
      <c r="CC52" s="336" t="s">
        <v>975</v>
      </c>
      <c r="CD52" s="337" t="s">
        <v>975</v>
      </c>
      <c r="CE52" s="337" t="s">
        <v>975</v>
      </c>
      <c r="CF52" s="337" t="s">
        <v>975</v>
      </c>
      <c r="CG52" s="337" t="s">
        <v>975</v>
      </c>
      <c r="CH52" s="337" t="s">
        <v>975</v>
      </c>
      <c r="CI52" s="337" t="s">
        <v>975</v>
      </c>
      <c r="CJ52" s="337" t="s">
        <v>975</v>
      </c>
      <c r="CK52" s="336" t="s">
        <v>975</v>
      </c>
      <c r="CL52" s="336" t="s">
        <v>975</v>
      </c>
      <c r="CM52" s="336" t="s">
        <v>975</v>
      </c>
      <c r="CN52" s="336" t="s">
        <v>975</v>
      </c>
      <c r="CO52" s="336" t="s">
        <v>975</v>
      </c>
      <c r="CP52" s="336" t="s">
        <v>975</v>
      </c>
      <c r="CQ52" s="336" t="s">
        <v>975</v>
      </c>
      <c r="CR52" s="337">
        <v>8</v>
      </c>
      <c r="CS52" s="337">
        <v>8</v>
      </c>
      <c r="CT52" s="337">
        <v>8</v>
      </c>
      <c r="CU52" s="337">
        <v>8</v>
      </c>
      <c r="CV52" s="337">
        <v>8</v>
      </c>
      <c r="CW52" s="337">
        <v>8</v>
      </c>
      <c r="CX52" s="337">
        <v>8</v>
      </c>
      <c r="CY52" s="336" t="s">
        <v>975</v>
      </c>
      <c r="CZ52" s="336" t="s">
        <v>975</v>
      </c>
      <c r="DA52" s="336" t="s">
        <v>975</v>
      </c>
      <c r="DB52" s="336" t="s">
        <v>975</v>
      </c>
      <c r="DC52" s="336" t="s">
        <v>975</v>
      </c>
      <c r="DD52" s="336" t="s">
        <v>975</v>
      </c>
      <c r="DE52" s="336" t="s">
        <v>975</v>
      </c>
      <c r="DF52" s="337" t="s">
        <v>975</v>
      </c>
      <c r="DG52" s="337" t="s">
        <v>975</v>
      </c>
      <c r="DH52" s="337" t="s">
        <v>975</v>
      </c>
      <c r="DI52" s="337" t="s">
        <v>975</v>
      </c>
      <c r="DJ52" s="337" t="s">
        <v>975</v>
      </c>
      <c r="DK52" s="337" t="s">
        <v>975</v>
      </c>
      <c r="DL52" s="337" t="s">
        <v>975</v>
      </c>
      <c r="DM52" s="336" t="s">
        <v>975</v>
      </c>
      <c r="DN52" s="336" t="s">
        <v>975</v>
      </c>
      <c r="DO52" s="336" t="s">
        <v>975</v>
      </c>
      <c r="DP52" s="336" t="s">
        <v>975</v>
      </c>
      <c r="DQ52" s="336" t="s">
        <v>975</v>
      </c>
      <c r="DR52" s="336" t="s">
        <v>975</v>
      </c>
      <c r="DS52" s="336" t="s">
        <v>975</v>
      </c>
      <c r="DT52" s="337" t="s">
        <v>975</v>
      </c>
      <c r="DU52" s="337" t="s">
        <v>975</v>
      </c>
      <c r="DV52" s="337" t="s">
        <v>975</v>
      </c>
      <c r="DW52" s="337" t="s">
        <v>975</v>
      </c>
      <c r="DX52" s="337" t="s">
        <v>975</v>
      </c>
      <c r="DY52" s="337" t="s">
        <v>975</v>
      </c>
      <c r="DZ52" s="337" t="s">
        <v>975</v>
      </c>
      <c r="EA52" s="336" t="s">
        <v>975</v>
      </c>
      <c r="EB52" s="336" t="s">
        <v>975</v>
      </c>
      <c r="EC52" s="336" t="s">
        <v>975</v>
      </c>
      <c r="ED52" s="336" t="s">
        <v>975</v>
      </c>
      <c r="EE52" s="336" t="s">
        <v>975</v>
      </c>
      <c r="EF52" s="336" t="s">
        <v>975</v>
      </c>
      <c r="EG52" s="336" t="s">
        <v>975</v>
      </c>
      <c r="EH52" s="337" t="s">
        <v>975</v>
      </c>
      <c r="EI52" s="337" t="s">
        <v>975</v>
      </c>
      <c r="EJ52" s="337" t="s">
        <v>975</v>
      </c>
      <c r="EK52" s="337" t="s">
        <v>975</v>
      </c>
      <c r="EL52" s="337" t="s">
        <v>975</v>
      </c>
      <c r="EM52" s="337" t="s">
        <v>975</v>
      </c>
      <c r="EN52" s="337" t="s">
        <v>975</v>
      </c>
      <c r="EO52" s="336" t="s">
        <v>975</v>
      </c>
      <c r="EP52" s="336" t="s">
        <v>975</v>
      </c>
      <c r="EQ52" s="336" t="s">
        <v>975</v>
      </c>
      <c r="ER52" s="336" t="s">
        <v>975</v>
      </c>
      <c r="ES52" s="336" t="s">
        <v>975</v>
      </c>
      <c r="ET52" s="336" t="s">
        <v>975</v>
      </c>
      <c r="EU52" s="336" t="s">
        <v>975</v>
      </c>
      <c r="EV52" s="337">
        <v>8</v>
      </c>
      <c r="EW52" s="337">
        <v>8</v>
      </c>
      <c r="EX52" s="337">
        <v>8</v>
      </c>
      <c r="EY52" s="337">
        <v>8</v>
      </c>
      <c r="EZ52" s="337">
        <v>8</v>
      </c>
      <c r="FA52" s="337">
        <v>8</v>
      </c>
      <c r="FB52" s="337">
        <v>8</v>
      </c>
      <c r="FC52" s="336" t="s">
        <v>975</v>
      </c>
      <c r="FD52" s="336" t="s">
        <v>975</v>
      </c>
      <c r="FE52" s="336" t="s">
        <v>975</v>
      </c>
      <c r="FF52" s="336" t="s">
        <v>975</v>
      </c>
      <c r="FG52" s="336" t="s">
        <v>975</v>
      </c>
      <c r="FH52" s="336" t="s">
        <v>975</v>
      </c>
      <c r="FI52" s="336" t="s">
        <v>975</v>
      </c>
      <c r="FJ52" s="337" t="s">
        <v>975</v>
      </c>
      <c r="FK52" s="337" t="s">
        <v>975</v>
      </c>
      <c r="FL52" s="337" t="s">
        <v>975</v>
      </c>
      <c r="FM52" s="337" t="s">
        <v>975</v>
      </c>
      <c r="FN52" s="337" t="s">
        <v>975</v>
      </c>
      <c r="FO52" s="337" t="s">
        <v>975</v>
      </c>
      <c r="FP52" s="337" t="s">
        <v>975</v>
      </c>
      <c r="FQ52" s="336" t="s">
        <v>975</v>
      </c>
      <c r="FR52" s="336" t="s">
        <v>975</v>
      </c>
      <c r="FS52" s="336" t="s">
        <v>975</v>
      </c>
      <c r="FT52" s="336" t="s">
        <v>975</v>
      </c>
      <c r="FU52" s="336" t="s">
        <v>975</v>
      </c>
      <c r="FV52" s="336" t="s">
        <v>975</v>
      </c>
      <c r="FW52" s="336" t="s">
        <v>975</v>
      </c>
      <c r="FX52" s="337">
        <v>8</v>
      </c>
      <c r="FY52" s="337">
        <v>8</v>
      </c>
      <c r="FZ52" s="337">
        <v>8</v>
      </c>
      <c r="GA52" s="337">
        <v>8</v>
      </c>
      <c r="GB52" s="337">
        <v>8</v>
      </c>
      <c r="GC52" s="337">
        <v>8</v>
      </c>
      <c r="GD52" s="337">
        <v>8</v>
      </c>
      <c r="GE52" s="336" t="s">
        <v>975</v>
      </c>
      <c r="GF52" s="336" t="s">
        <v>975</v>
      </c>
      <c r="GG52" s="336" t="s">
        <v>975</v>
      </c>
      <c r="GH52" s="336" t="s">
        <v>975</v>
      </c>
      <c r="GI52" s="336" t="s">
        <v>975</v>
      </c>
      <c r="GJ52" s="336" t="s">
        <v>975</v>
      </c>
      <c r="GK52" s="336" t="s">
        <v>975</v>
      </c>
      <c r="GL52" s="337" t="s">
        <v>975</v>
      </c>
      <c r="GM52" s="337" t="s">
        <v>975</v>
      </c>
      <c r="GN52" s="337" t="s">
        <v>975</v>
      </c>
      <c r="GO52" s="337" t="s">
        <v>975</v>
      </c>
      <c r="GP52" s="337" t="s">
        <v>975</v>
      </c>
      <c r="GQ52" s="337" t="s">
        <v>975</v>
      </c>
      <c r="GR52" s="337" t="s">
        <v>975</v>
      </c>
      <c r="GS52" s="336" t="s">
        <v>975</v>
      </c>
      <c r="GT52" s="336" t="s">
        <v>975</v>
      </c>
      <c r="GU52" s="336" t="s">
        <v>975</v>
      </c>
      <c r="GV52" s="336" t="s">
        <v>975</v>
      </c>
      <c r="GW52" s="336" t="s">
        <v>975</v>
      </c>
      <c r="GX52" s="336" t="s">
        <v>975</v>
      </c>
      <c r="GY52" s="336" t="s">
        <v>975</v>
      </c>
      <c r="GZ52" s="337" t="s">
        <v>975</v>
      </c>
      <c r="HA52" s="337" t="s">
        <v>975</v>
      </c>
      <c r="HB52" s="337" t="s">
        <v>975</v>
      </c>
      <c r="HC52" s="337" t="s">
        <v>975</v>
      </c>
      <c r="HD52" s="337" t="s">
        <v>975</v>
      </c>
      <c r="HE52" s="337" t="s">
        <v>975</v>
      </c>
      <c r="HF52" s="337" t="s">
        <v>975</v>
      </c>
      <c r="HG52" s="336" t="s">
        <v>975</v>
      </c>
      <c r="HH52" s="336" t="s">
        <v>975</v>
      </c>
      <c r="HI52" s="336" t="s">
        <v>975</v>
      </c>
      <c r="HJ52" s="336" t="s">
        <v>975</v>
      </c>
      <c r="HK52" s="336" t="s">
        <v>975</v>
      </c>
      <c r="HL52" s="336" t="s">
        <v>975</v>
      </c>
      <c r="HM52" s="336" t="s">
        <v>975</v>
      </c>
      <c r="HN52" s="337" t="s">
        <v>975</v>
      </c>
      <c r="HO52" s="337" t="s">
        <v>975</v>
      </c>
      <c r="HP52" s="337" t="s">
        <v>975</v>
      </c>
      <c r="HQ52" s="337" t="s">
        <v>975</v>
      </c>
      <c r="HR52" s="337" t="s">
        <v>975</v>
      </c>
      <c r="HS52" s="337" t="s">
        <v>975</v>
      </c>
      <c r="HT52" s="337" t="s">
        <v>975</v>
      </c>
      <c r="HU52" s="336" t="s">
        <v>975</v>
      </c>
      <c r="HV52" s="336" t="s">
        <v>975</v>
      </c>
      <c r="HW52" s="336" t="s">
        <v>975</v>
      </c>
      <c r="HX52" s="336" t="s">
        <v>975</v>
      </c>
      <c r="HY52" s="336" t="s">
        <v>975</v>
      </c>
      <c r="HZ52" s="336" t="s">
        <v>975</v>
      </c>
      <c r="IA52" s="336" t="s">
        <v>975</v>
      </c>
      <c r="IB52" s="337">
        <v>8</v>
      </c>
      <c r="IC52" s="337">
        <v>8</v>
      </c>
      <c r="ID52" s="337">
        <v>8</v>
      </c>
      <c r="IE52" s="337">
        <v>8</v>
      </c>
      <c r="IF52" s="337">
        <v>8</v>
      </c>
      <c r="IG52" s="337">
        <v>8</v>
      </c>
      <c r="IH52" s="337">
        <v>8</v>
      </c>
      <c r="II52" s="336" t="s">
        <v>975</v>
      </c>
      <c r="IJ52" s="336" t="s">
        <v>975</v>
      </c>
      <c r="IK52" s="336" t="s">
        <v>975</v>
      </c>
      <c r="IL52" s="336" t="s">
        <v>975</v>
      </c>
      <c r="IM52" s="336" t="s">
        <v>975</v>
      </c>
      <c r="IN52" s="336" t="s">
        <v>975</v>
      </c>
      <c r="IO52" s="336" t="s">
        <v>975</v>
      </c>
      <c r="IP52" s="337" t="s">
        <v>975</v>
      </c>
      <c r="IQ52" s="337" t="s">
        <v>975</v>
      </c>
      <c r="IR52" s="337" t="s">
        <v>975</v>
      </c>
      <c r="IS52" s="337" t="s">
        <v>975</v>
      </c>
      <c r="IT52" s="337" t="s">
        <v>975</v>
      </c>
      <c r="IU52" s="337" t="s">
        <v>975</v>
      </c>
      <c r="IV52" s="337" t="s">
        <v>975</v>
      </c>
      <c r="IW52" s="336" t="s">
        <v>975</v>
      </c>
      <c r="IX52" s="336" t="s">
        <v>975</v>
      </c>
      <c r="IY52" s="336" t="s">
        <v>975</v>
      </c>
      <c r="IZ52" s="336" t="s">
        <v>975</v>
      </c>
      <c r="JA52" s="336" t="s">
        <v>975</v>
      </c>
      <c r="JB52" s="336" t="s">
        <v>975</v>
      </c>
      <c r="JC52" s="336" t="s">
        <v>975</v>
      </c>
      <c r="JD52" s="337">
        <v>8</v>
      </c>
      <c r="JE52" s="337">
        <v>8</v>
      </c>
      <c r="JF52" s="337">
        <v>8</v>
      </c>
      <c r="JG52" s="337">
        <v>8</v>
      </c>
      <c r="JH52" s="337">
        <v>8</v>
      </c>
      <c r="JI52" s="337">
        <v>8</v>
      </c>
      <c r="JJ52" s="337">
        <v>8</v>
      </c>
      <c r="JK52" s="336" t="s">
        <v>975</v>
      </c>
      <c r="JL52" s="336" t="s">
        <v>975</v>
      </c>
      <c r="JM52" s="336" t="s">
        <v>975</v>
      </c>
      <c r="JN52" s="336" t="s">
        <v>975</v>
      </c>
      <c r="JO52" s="336" t="s">
        <v>975</v>
      </c>
      <c r="JP52" s="336" t="s">
        <v>975</v>
      </c>
      <c r="JQ52" s="336" t="s">
        <v>975</v>
      </c>
      <c r="JR52" s="337" t="s">
        <v>975</v>
      </c>
      <c r="JS52" s="337" t="s">
        <v>975</v>
      </c>
      <c r="JT52" s="337" t="s">
        <v>975</v>
      </c>
      <c r="JU52" s="337" t="s">
        <v>975</v>
      </c>
      <c r="JV52" s="337" t="s">
        <v>975</v>
      </c>
      <c r="JW52" s="337" t="s">
        <v>975</v>
      </c>
      <c r="JX52" s="337" t="s">
        <v>975</v>
      </c>
      <c r="JY52" s="336" t="s">
        <v>975</v>
      </c>
      <c r="JZ52" s="336" t="s">
        <v>975</v>
      </c>
      <c r="KA52" s="336" t="s">
        <v>975</v>
      </c>
      <c r="KB52" s="336" t="s">
        <v>975</v>
      </c>
      <c r="KC52" s="336" t="s">
        <v>975</v>
      </c>
      <c r="KD52" s="336" t="s">
        <v>975</v>
      </c>
      <c r="KE52" s="336" t="s">
        <v>975</v>
      </c>
      <c r="KF52" s="337" t="s">
        <v>975</v>
      </c>
      <c r="KG52" s="337" t="s">
        <v>975</v>
      </c>
      <c r="KH52" s="337" t="s">
        <v>975</v>
      </c>
      <c r="KI52" s="337" t="s">
        <v>975</v>
      </c>
      <c r="KJ52" s="337" t="s">
        <v>975</v>
      </c>
      <c r="KK52" s="337" t="s">
        <v>975</v>
      </c>
      <c r="KL52" s="337" t="s">
        <v>975</v>
      </c>
      <c r="KM52" s="336" t="s">
        <v>975</v>
      </c>
      <c r="KN52" s="336" t="s">
        <v>975</v>
      </c>
      <c r="KO52" s="336" t="s">
        <v>975</v>
      </c>
      <c r="KP52" s="336" t="s">
        <v>975</v>
      </c>
      <c r="KQ52" s="336" t="s">
        <v>975</v>
      </c>
      <c r="KR52" s="336" t="s">
        <v>975</v>
      </c>
      <c r="KS52" s="336" t="s">
        <v>975</v>
      </c>
      <c r="KT52" s="337" t="s">
        <v>975</v>
      </c>
      <c r="KU52" s="337" t="s">
        <v>975</v>
      </c>
      <c r="KV52" s="337" t="s">
        <v>975</v>
      </c>
      <c r="KW52" s="337" t="s">
        <v>975</v>
      </c>
      <c r="KX52" s="337" t="s">
        <v>975</v>
      </c>
      <c r="KY52" s="337" t="s">
        <v>975</v>
      </c>
      <c r="KZ52" s="337" t="s">
        <v>975</v>
      </c>
      <c r="LA52" s="336" t="s">
        <v>975</v>
      </c>
      <c r="LB52" s="336" t="s">
        <v>975</v>
      </c>
      <c r="LC52" s="336" t="s">
        <v>975</v>
      </c>
      <c r="LD52" s="336" t="s">
        <v>975</v>
      </c>
      <c r="LE52" s="336" t="s">
        <v>975</v>
      </c>
      <c r="LF52" s="336" t="s">
        <v>975</v>
      </c>
      <c r="LG52" s="336" t="s">
        <v>975</v>
      </c>
      <c r="LH52" s="337">
        <v>8</v>
      </c>
      <c r="LI52" s="337">
        <v>8</v>
      </c>
      <c r="LJ52" s="337">
        <v>8</v>
      </c>
      <c r="LK52" s="337">
        <v>8</v>
      </c>
      <c r="LL52" s="337">
        <v>8</v>
      </c>
      <c r="LM52" s="337">
        <v>8</v>
      </c>
      <c r="LN52" s="337">
        <v>8</v>
      </c>
      <c r="LO52" s="336" t="s">
        <v>975</v>
      </c>
      <c r="LP52" s="336" t="s">
        <v>975</v>
      </c>
      <c r="LQ52" s="336" t="s">
        <v>975</v>
      </c>
      <c r="LR52" s="336" t="s">
        <v>975</v>
      </c>
      <c r="LS52" s="336" t="s">
        <v>975</v>
      </c>
      <c r="LT52" s="336" t="s">
        <v>975</v>
      </c>
      <c r="LU52" s="336" t="s">
        <v>975</v>
      </c>
      <c r="LV52" s="337" t="s">
        <v>975</v>
      </c>
      <c r="LW52" s="337" t="s">
        <v>975</v>
      </c>
      <c r="LX52" s="337" t="s">
        <v>975</v>
      </c>
      <c r="LY52" s="337" t="s">
        <v>975</v>
      </c>
      <c r="LZ52" s="337" t="s">
        <v>975</v>
      </c>
      <c r="MA52" s="337" t="s">
        <v>975</v>
      </c>
      <c r="MB52" s="337" t="s">
        <v>975</v>
      </c>
      <c r="MC52" s="336">
        <v>8</v>
      </c>
      <c r="MD52" s="336">
        <v>8</v>
      </c>
      <c r="ME52" s="336">
        <v>8</v>
      </c>
      <c r="MF52" s="336">
        <v>8</v>
      </c>
      <c r="MG52" s="336">
        <v>8</v>
      </c>
      <c r="MH52" s="336">
        <v>8</v>
      </c>
      <c r="MI52" s="336">
        <v>8</v>
      </c>
      <c r="MJ52" s="337">
        <v>8</v>
      </c>
      <c r="MK52" s="337">
        <v>8</v>
      </c>
      <c r="ML52" s="337">
        <v>8</v>
      </c>
      <c r="MM52" s="337">
        <v>8</v>
      </c>
      <c r="MN52" s="337">
        <v>8</v>
      </c>
      <c r="MO52" s="337">
        <v>8</v>
      </c>
      <c r="MP52" s="337">
        <v>8</v>
      </c>
      <c r="MQ52" s="336" t="s">
        <v>975</v>
      </c>
      <c r="MR52" s="336" t="s">
        <v>975</v>
      </c>
      <c r="MS52" s="336" t="s">
        <v>975</v>
      </c>
      <c r="MT52" s="336" t="s">
        <v>975</v>
      </c>
      <c r="MU52" s="336" t="s">
        <v>975</v>
      </c>
      <c r="MV52" s="336" t="s">
        <v>975</v>
      </c>
      <c r="MW52" s="336" t="s">
        <v>975</v>
      </c>
      <c r="MX52" s="337" t="s">
        <v>975</v>
      </c>
      <c r="MY52" s="337" t="s">
        <v>975</v>
      </c>
      <c r="MZ52" s="337" t="s">
        <v>975</v>
      </c>
      <c r="NA52" s="337" t="s">
        <v>975</v>
      </c>
      <c r="NB52" s="337" t="s">
        <v>975</v>
      </c>
      <c r="NC52" s="337" t="s">
        <v>975</v>
      </c>
      <c r="ND52" s="337" t="s">
        <v>975</v>
      </c>
      <c r="NE52" s="336" t="s">
        <v>975</v>
      </c>
      <c r="NF52" s="336" t="s">
        <v>975</v>
      </c>
      <c r="NG52" s="336" t="s">
        <v>975</v>
      </c>
      <c r="NH52" s="333"/>
    </row>
    <row r="53" spans="1:372">
      <c r="A53" s="251" t="s">
        <v>971</v>
      </c>
      <c r="B53" s="251" t="s">
        <v>44</v>
      </c>
      <c r="C53" s="251" t="s">
        <v>675</v>
      </c>
      <c r="D53" s="251" t="s">
        <v>982</v>
      </c>
      <c r="E53" s="241">
        <v>5.6235749999999998</v>
      </c>
      <c r="F53" s="241">
        <v>0</v>
      </c>
      <c r="G53" s="242"/>
      <c r="H53" s="242"/>
      <c r="I53" s="242"/>
      <c r="J53" s="242"/>
      <c r="K53" s="242"/>
      <c r="L53" s="243"/>
      <c r="M53" s="243"/>
      <c r="N53" s="243"/>
      <c r="O53" s="243"/>
      <c r="P53" s="243"/>
      <c r="Q53" s="243"/>
      <c r="R53" s="243"/>
      <c r="S53" s="242"/>
      <c r="T53" s="242"/>
      <c r="U53" s="242"/>
      <c r="V53" s="242"/>
      <c r="W53" s="242"/>
      <c r="X53" s="242"/>
      <c r="Y53" s="242"/>
      <c r="Z53" s="243"/>
      <c r="AA53" s="243"/>
      <c r="AB53" s="243"/>
      <c r="AC53" s="243"/>
      <c r="AD53" s="243"/>
      <c r="AE53" s="243"/>
      <c r="AF53" s="243"/>
      <c r="AG53" s="242"/>
      <c r="AH53" s="242"/>
      <c r="AI53" s="242"/>
      <c r="AJ53" s="242"/>
      <c r="AK53" s="242"/>
      <c r="AL53" s="242"/>
      <c r="AM53" s="242"/>
      <c r="AN53" s="243"/>
      <c r="AO53" s="243"/>
      <c r="AP53" s="243"/>
      <c r="AQ53" s="243"/>
      <c r="AR53" s="243"/>
      <c r="AS53" s="243"/>
      <c r="AT53" s="243"/>
      <c r="AU53" s="242"/>
      <c r="AV53" s="242"/>
      <c r="AW53" s="242"/>
      <c r="AX53" s="242"/>
      <c r="AY53" s="242"/>
      <c r="AZ53" s="242"/>
      <c r="BA53" s="242"/>
      <c r="BB53" s="243"/>
      <c r="BC53" s="243"/>
      <c r="BD53" s="243"/>
      <c r="BE53" s="243"/>
      <c r="BF53" s="243"/>
      <c r="BG53" s="243"/>
      <c r="BH53" s="243"/>
      <c r="BI53" s="242"/>
      <c r="BJ53" s="242"/>
      <c r="BK53" s="242"/>
      <c r="BL53" s="242"/>
      <c r="BM53" s="242"/>
      <c r="BN53" s="242"/>
      <c r="BO53" s="242"/>
      <c r="BP53" s="243"/>
      <c r="BQ53" s="243"/>
      <c r="BR53" s="243"/>
      <c r="BS53" s="243"/>
      <c r="BT53" s="243"/>
      <c r="BU53" s="243"/>
      <c r="BV53" s="243"/>
      <c r="BW53" s="242"/>
      <c r="BX53" s="242"/>
      <c r="BY53" s="242"/>
      <c r="BZ53" s="242"/>
      <c r="CA53" s="242"/>
      <c r="CB53" s="242"/>
      <c r="CC53" s="242"/>
      <c r="CD53" s="243"/>
      <c r="CE53" s="243"/>
      <c r="CF53" s="243"/>
      <c r="CG53" s="243"/>
      <c r="CH53" s="243"/>
      <c r="CI53" s="243"/>
      <c r="CJ53" s="243"/>
      <c r="CK53" s="242"/>
      <c r="CL53" s="242"/>
      <c r="CM53" s="242"/>
      <c r="CN53" s="242"/>
      <c r="CO53" s="242"/>
      <c r="CP53" s="242"/>
      <c r="CQ53" s="242"/>
      <c r="CR53" s="243"/>
      <c r="CS53" s="243"/>
      <c r="CT53" s="243"/>
      <c r="CU53" s="243"/>
      <c r="CV53" s="243"/>
      <c r="CW53" s="243"/>
      <c r="CX53" s="243"/>
      <c r="CY53" s="242"/>
      <c r="CZ53" s="242"/>
      <c r="DA53" s="242"/>
      <c r="DB53" s="242"/>
      <c r="DC53" s="242"/>
      <c r="DD53" s="242"/>
      <c r="DE53" s="242"/>
      <c r="DF53" s="243"/>
      <c r="DG53" s="243"/>
      <c r="DH53" s="243"/>
      <c r="DI53" s="243"/>
      <c r="DJ53" s="243"/>
      <c r="DK53" s="243"/>
      <c r="DL53" s="243"/>
      <c r="DM53" s="242"/>
      <c r="DN53" s="242"/>
      <c r="DO53" s="242"/>
      <c r="DP53" s="242"/>
      <c r="DQ53" s="242"/>
      <c r="DR53" s="242"/>
      <c r="DS53" s="242"/>
      <c r="DT53" s="243"/>
      <c r="DU53" s="243"/>
      <c r="DV53" s="243"/>
      <c r="DW53" s="243"/>
      <c r="DX53" s="243"/>
      <c r="DY53" s="243"/>
      <c r="DZ53" s="243"/>
      <c r="EA53" s="242"/>
      <c r="EB53" s="242"/>
      <c r="EC53" s="242"/>
      <c r="ED53" s="242"/>
      <c r="EE53" s="242"/>
      <c r="EF53" s="242"/>
      <c r="EG53" s="242"/>
      <c r="EH53" s="243"/>
      <c r="EI53" s="243"/>
      <c r="EJ53" s="243"/>
      <c r="EK53" s="243"/>
      <c r="EL53" s="243"/>
      <c r="EM53" s="243"/>
      <c r="EN53" s="243"/>
      <c r="EO53" s="242"/>
      <c r="EP53" s="242"/>
      <c r="EQ53" s="242"/>
      <c r="ER53" s="242"/>
      <c r="ES53" s="242"/>
      <c r="ET53" s="242"/>
      <c r="EU53" s="242"/>
      <c r="EV53" s="243"/>
      <c r="EW53" s="243"/>
      <c r="EX53" s="243"/>
      <c r="EY53" s="243"/>
      <c r="EZ53" s="243"/>
      <c r="FA53" s="243"/>
      <c r="FB53" s="243"/>
      <c r="FC53" s="242"/>
      <c r="FD53" s="242"/>
      <c r="FE53" s="242"/>
      <c r="FF53" s="242"/>
      <c r="FG53" s="242"/>
      <c r="FH53" s="242"/>
      <c r="FI53" s="242"/>
      <c r="FJ53" s="243"/>
      <c r="FK53" s="243"/>
      <c r="FL53" s="243"/>
      <c r="FM53" s="243"/>
      <c r="FN53" s="243"/>
      <c r="FO53" s="243"/>
      <c r="FP53" s="243"/>
      <c r="FQ53" s="242"/>
      <c r="FR53" s="242"/>
      <c r="FS53" s="242"/>
      <c r="FT53" s="242"/>
      <c r="FU53" s="242"/>
      <c r="FV53" s="242"/>
      <c r="FW53" s="242"/>
      <c r="FX53" s="243"/>
      <c r="FY53" s="243"/>
      <c r="FZ53" s="243"/>
      <c r="GA53" s="243"/>
      <c r="GB53" s="243"/>
      <c r="GC53" s="243"/>
      <c r="GD53" s="243"/>
      <c r="GE53" s="242"/>
      <c r="GF53" s="242"/>
      <c r="GG53" s="242"/>
      <c r="GH53" s="242"/>
      <c r="GI53" s="242"/>
      <c r="GJ53" s="242"/>
      <c r="GK53" s="242"/>
      <c r="GL53" s="243"/>
      <c r="GM53" s="243"/>
      <c r="GN53" s="243"/>
      <c r="GO53" s="243"/>
      <c r="GP53" s="243"/>
      <c r="GQ53" s="243"/>
      <c r="GR53" s="243"/>
      <c r="GS53" s="242"/>
      <c r="GT53" s="242"/>
      <c r="GU53" s="242"/>
      <c r="GV53" s="242"/>
      <c r="GW53" s="242"/>
      <c r="GX53" s="242"/>
      <c r="GY53" s="242"/>
      <c r="GZ53" s="243"/>
      <c r="HA53" s="243"/>
      <c r="HB53" s="243"/>
      <c r="HC53" s="243"/>
      <c r="HD53" s="243"/>
      <c r="HE53" s="243"/>
      <c r="HF53" s="243"/>
      <c r="HG53" s="242"/>
      <c r="HH53" s="242"/>
      <c r="HI53" s="242"/>
      <c r="HJ53" s="242"/>
      <c r="HK53" s="242"/>
      <c r="HL53" s="242"/>
      <c r="HM53" s="242"/>
      <c r="HN53" s="243"/>
      <c r="HO53" s="243"/>
      <c r="HP53" s="243"/>
      <c r="HQ53" s="243"/>
      <c r="HR53" s="243"/>
      <c r="HS53" s="243"/>
      <c r="HT53" s="243"/>
      <c r="HU53" s="242"/>
      <c r="HV53" s="242"/>
      <c r="HW53" s="242"/>
      <c r="HX53" s="242"/>
      <c r="HY53" s="242"/>
      <c r="HZ53" s="242"/>
      <c r="IA53" s="242"/>
      <c r="IB53" s="243"/>
      <c r="IC53" s="243"/>
      <c r="ID53" s="243"/>
      <c r="IE53" s="243"/>
      <c r="IF53" s="243"/>
      <c r="IG53" s="243"/>
      <c r="IH53" s="243"/>
      <c r="II53" s="242"/>
      <c r="IJ53" s="242"/>
      <c r="IK53" s="242"/>
      <c r="IL53" s="242"/>
      <c r="IM53" s="242"/>
      <c r="IN53" s="242"/>
      <c r="IO53" s="242"/>
      <c r="IP53" s="243"/>
      <c r="IQ53" s="243"/>
      <c r="IR53" s="243"/>
      <c r="IS53" s="243"/>
      <c r="IT53" s="243"/>
      <c r="IU53" s="243"/>
      <c r="IV53" s="243"/>
      <c r="IW53" s="242"/>
      <c r="IX53" s="242"/>
      <c r="IY53" s="242"/>
      <c r="IZ53" s="242"/>
      <c r="JA53" s="242"/>
      <c r="JB53" s="242"/>
      <c r="JC53" s="242"/>
      <c r="JD53" s="243"/>
      <c r="JE53" s="243"/>
      <c r="JF53" s="243"/>
      <c r="JG53" s="243"/>
      <c r="JH53" s="243"/>
      <c r="JI53" s="243"/>
      <c r="JJ53" s="243"/>
      <c r="JK53" s="242"/>
      <c r="JL53" s="242"/>
      <c r="JM53" s="242"/>
      <c r="JN53" s="242"/>
      <c r="JO53" s="242"/>
      <c r="JP53" s="242"/>
      <c r="JQ53" s="242"/>
      <c r="JR53" s="243"/>
      <c r="JS53" s="243"/>
      <c r="JT53" s="243"/>
      <c r="JU53" s="243"/>
      <c r="JV53" s="243"/>
      <c r="JW53" s="243"/>
      <c r="JX53" s="243"/>
      <c r="JY53" s="242"/>
      <c r="JZ53" s="242"/>
      <c r="KA53" s="242"/>
      <c r="KB53" s="242"/>
      <c r="KC53" s="242"/>
      <c r="KD53" s="242"/>
      <c r="KE53" s="242"/>
      <c r="KF53" s="243"/>
      <c r="KG53" s="243"/>
      <c r="KH53" s="243"/>
      <c r="KI53" s="243"/>
      <c r="KJ53" s="243"/>
      <c r="KK53" s="243"/>
      <c r="KL53" s="243"/>
      <c r="KM53" s="242"/>
      <c r="KN53" s="242"/>
      <c r="KO53" s="242"/>
      <c r="KP53" s="242"/>
      <c r="KQ53" s="242"/>
      <c r="KR53" s="242"/>
      <c r="KS53" s="242"/>
      <c r="KT53" s="243"/>
      <c r="KU53" s="243"/>
      <c r="KV53" s="243"/>
      <c r="KW53" s="243"/>
      <c r="KX53" s="243"/>
      <c r="KY53" s="243"/>
      <c r="KZ53" s="243"/>
      <c r="LA53" s="242"/>
      <c r="LB53" s="242"/>
      <c r="LC53" s="242"/>
      <c r="LD53" s="242"/>
      <c r="LE53" s="242"/>
      <c r="LF53" s="242"/>
      <c r="LG53" s="242"/>
      <c r="LH53" s="243"/>
      <c r="LI53" s="243"/>
      <c r="LJ53" s="243"/>
      <c r="LK53" s="243"/>
      <c r="LL53" s="243"/>
      <c r="LM53" s="243"/>
      <c r="LN53" s="243"/>
      <c r="LO53" s="242"/>
      <c r="LP53" s="242"/>
      <c r="LQ53" s="242"/>
      <c r="LR53" s="242"/>
      <c r="LS53" s="242"/>
      <c r="LT53" s="242"/>
      <c r="LU53" s="242"/>
      <c r="LV53" s="243"/>
      <c r="LW53" s="243"/>
      <c r="LX53" s="243"/>
      <c r="LY53" s="243"/>
      <c r="LZ53" s="243"/>
      <c r="MA53" s="243"/>
      <c r="MB53" s="243"/>
      <c r="MC53" s="242"/>
      <c r="MD53" s="242"/>
      <c r="ME53" s="242"/>
      <c r="MF53" s="242"/>
      <c r="MG53" s="242"/>
      <c r="MH53" s="242"/>
      <c r="MI53" s="242"/>
      <c r="MJ53" s="243"/>
      <c r="MK53" s="243"/>
      <c r="ML53" s="243"/>
      <c r="MM53" s="243"/>
      <c r="MN53" s="243"/>
      <c r="MO53" s="243"/>
      <c r="MP53" s="243"/>
      <c r="MQ53" s="242"/>
      <c r="MR53" s="242"/>
      <c r="MS53" s="242"/>
      <c r="MT53" s="242"/>
      <c r="MU53" s="242"/>
      <c r="MV53" s="242"/>
      <c r="MW53" s="242"/>
      <c r="MX53" s="243"/>
      <c r="MY53" s="243"/>
      <c r="MZ53" s="243"/>
      <c r="NA53" s="243"/>
      <c r="NB53" s="243"/>
      <c r="NC53" s="243"/>
      <c r="ND53" s="243"/>
      <c r="NE53" s="242"/>
      <c r="NF53" s="242"/>
      <c r="NG53" s="242"/>
      <c r="NH53" s="333"/>
    </row>
    <row r="54" spans="1:372">
      <c r="A54" s="251" t="s">
        <v>971</v>
      </c>
      <c r="B54" s="251" t="s">
        <v>45</v>
      </c>
      <c r="C54" s="251" t="s">
        <v>675</v>
      </c>
      <c r="D54" s="251" t="s">
        <v>982</v>
      </c>
      <c r="E54" s="241">
        <v>32.285372200666671</v>
      </c>
      <c r="F54" s="241">
        <v>0</v>
      </c>
      <c r="G54" s="242"/>
      <c r="H54" s="242"/>
      <c r="I54" s="242"/>
      <c r="J54" s="242"/>
      <c r="K54" s="242"/>
      <c r="L54" s="243"/>
      <c r="M54" s="243"/>
      <c r="N54" s="243"/>
      <c r="O54" s="243"/>
      <c r="P54" s="243"/>
      <c r="Q54" s="243"/>
      <c r="R54" s="243"/>
      <c r="S54" s="242"/>
      <c r="T54" s="242"/>
      <c r="U54" s="242"/>
      <c r="V54" s="242"/>
      <c r="W54" s="242"/>
      <c r="X54" s="242"/>
      <c r="Y54" s="242"/>
      <c r="Z54" s="243"/>
      <c r="AA54" s="243"/>
      <c r="AB54" s="243"/>
      <c r="AC54" s="243"/>
      <c r="AD54" s="243"/>
      <c r="AE54" s="243"/>
      <c r="AF54" s="243"/>
      <c r="AG54" s="242"/>
      <c r="AH54" s="242"/>
      <c r="AI54" s="242"/>
      <c r="AJ54" s="242"/>
      <c r="AK54" s="242"/>
      <c r="AL54" s="242"/>
      <c r="AM54" s="242"/>
      <c r="AN54" s="243"/>
      <c r="AO54" s="243"/>
      <c r="AP54" s="243"/>
      <c r="AQ54" s="243"/>
      <c r="AR54" s="243"/>
      <c r="AS54" s="243"/>
      <c r="AT54" s="243"/>
      <c r="AU54" s="242"/>
      <c r="AV54" s="242"/>
      <c r="AW54" s="242"/>
      <c r="AX54" s="242"/>
      <c r="AY54" s="242"/>
      <c r="AZ54" s="242"/>
      <c r="BA54" s="242"/>
      <c r="BB54" s="243"/>
      <c r="BC54" s="243"/>
      <c r="BD54" s="243"/>
      <c r="BE54" s="243"/>
      <c r="BF54" s="243"/>
      <c r="BG54" s="243"/>
      <c r="BH54" s="243"/>
      <c r="BI54" s="242"/>
      <c r="BJ54" s="242"/>
      <c r="BK54" s="242"/>
      <c r="BL54" s="242"/>
      <c r="BM54" s="242"/>
      <c r="BN54" s="242"/>
      <c r="BO54" s="242"/>
      <c r="BP54" s="243"/>
      <c r="BQ54" s="243"/>
      <c r="BR54" s="243"/>
      <c r="BS54" s="243"/>
      <c r="BT54" s="243"/>
      <c r="BU54" s="243"/>
      <c r="BV54" s="243"/>
      <c r="BW54" s="242"/>
      <c r="BX54" s="242"/>
      <c r="BY54" s="242"/>
      <c r="BZ54" s="242"/>
      <c r="CA54" s="242"/>
      <c r="CB54" s="242"/>
      <c r="CC54" s="242"/>
      <c r="CD54" s="243"/>
      <c r="CE54" s="243"/>
      <c r="CF54" s="243"/>
      <c r="CG54" s="243"/>
      <c r="CH54" s="243"/>
      <c r="CI54" s="243"/>
      <c r="CJ54" s="243"/>
      <c r="CK54" s="242"/>
      <c r="CL54" s="242"/>
      <c r="CM54" s="242"/>
      <c r="CN54" s="242"/>
      <c r="CO54" s="242"/>
      <c r="CP54" s="242"/>
      <c r="CQ54" s="242"/>
      <c r="CR54" s="243"/>
      <c r="CS54" s="243"/>
      <c r="CT54" s="243"/>
      <c r="CU54" s="243"/>
      <c r="CV54" s="243"/>
      <c r="CW54" s="243"/>
      <c r="CX54" s="243"/>
      <c r="CY54" s="242"/>
      <c r="CZ54" s="242"/>
      <c r="DA54" s="242"/>
      <c r="DB54" s="242"/>
      <c r="DC54" s="242"/>
      <c r="DD54" s="242"/>
      <c r="DE54" s="242"/>
      <c r="DF54" s="243"/>
      <c r="DG54" s="243"/>
      <c r="DH54" s="243"/>
      <c r="DI54" s="243"/>
      <c r="DJ54" s="243"/>
      <c r="DK54" s="243"/>
      <c r="DL54" s="243"/>
      <c r="DM54" s="242"/>
      <c r="DN54" s="242"/>
      <c r="DO54" s="242"/>
      <c r="DP54" s="242"/>
      <c r="DQ54" s="242"/>
      <c r="DR54" s="242"/>
      <c r="DS54" s="242"/>
      <c r="DT54" s="243"/>
      <c r="DU54" s="243"/>
      <c r="DV54" s="243"/>
      <c r="DW54" s="243"/>
      <c r="DX54" s="243"/>
      <c r="DY54" s="243"/>
      <c r="DZ54" s="243"/>
      <c r="EA54" s="242"/>
      <c r="EB54" s="242"/>
      <c r="EC54" s="242"/>
      <c r="ED54" s="242"/>
      <c r="EE54" s="242"/>
      <c r="EF54" s="242"/>
      <c r="EG54" s="242"/>
      <c r="EH54" s="243"/>
      <c r="EI54" s="243"/>
      <c r="EJ54" s="243"/>
      <c r="EK54" s="243"/>
      <c r="EL54" s="243"/>
      <c r="EM54" s="243"/>
      <c r="EN54" s="243"/>
      <c r="EO54" s="242"/>
      <c r="EP54" s="242"/>
      <c r="EQ54" s="242"/>
      <c r="ER54" s="242"/>
      <c r="ES54" s="242"/>
      <c r="ET54" s="242"/>
      <c r="EU54" s="242"/>
      <c r="EV54" s="243"/>
      <c r="EW54" s="243"/>
      <c r="EX54" s="243"/>
      <c r="EY54" s="243"/>
      <c r="EZ54" s="243"/>
      <c r="FA54" s="243"/>
      <c r="FB54" s="243"/>
      <c r="FC54" s="242"/>
      <c r="FD54" s="242"/>
      <c r="FE54" s="242"/>
      <c r="FF54" s="242"/>
      <c r="FG54" s="242"/>
      <c r="FH54" s="242"/>
      <c r="FI54" s="242"/>
      <c r="FJ54" s="243"/>
      <c r="FK54" s="243"/>
      <c r="FL54" s="243"/>
      <c r="FM54" s="243"/>
      <c r="FN54" s="243"/>
      <c r="FO54" s="243"/>
      <c r="FP54" s="243"/>
      <c r="FQ54" s="242"/>
      <c r="FR54" s="242"/>
      <c r="FS54" s="242"/>
      <c r="FT54" s="242"/>
      <c r="FU54" s="242"/>
      <c r="FV54" s="242"/>
      <c r="FW54" s="242"/>
      <c r="FX54" s="243"/>
      <c r="FY54" s="243"/>
      <c r="FZ54" s="243"/>
      <c r="GA54" s="243"/>
      <c r="GB54" s="243"/>
      <c r="GC54" s="243"/>
      <c r="GD54" s="243"/>
      <c r="GE54" s="242"/>
      <c r="GF54" s="242"/>
      <c r="GG54" s="242"/>
      <c r="GH54" s="242"/>
      <c r="GI54" s="242"/>
      <c r="GJ54" s="242"/>
      <c r="GK54" s="242"/>
      <c r="GL54" s="243"/>
      <c r="GM54" s="243"/>
      <c r="GN54" s="243"/>
      <c r="GO54" s="243"/>
      <c r="GP54" s="243"/>
      <c r="GQ54" s="243"/>
      <c r="GR54" s="243"/>
      <c r="GS54" s="242"/>
      <c r="GT54" s="242"/>
      <c r="GU54" s="242"/>
      <c r="GV54" s="242"/>
      <c r="GW54" s="242"/>
      <c r="GX54" s="242"/>
      <c r="GY54" s="242"/>
      <c r="GZ54" s="243"/>
      <c r="HA54" s="243"/>
      <c r="HB54" s="243"/>
      <c r="HC54" s="243"/>
      <c r="HD54" s="243"/>
      <c r="HE54" s="243"/>
      <c r="HF54" s="243"/>
      <c r="HG54" s="242"/>
      <c r="HH54" s="242"/>
      <c r="HI54" s="242"/>
      <c r="HJ54" s="242"/>
      <c r="HK54" s="242"/>
      <c r="HL54" s="242"/>
      <c r="HM54" s="242"/>
      <c r="HN54" s="243"/>
      <c r="HO54" s="243"/>
      <c r="HP54" s="243"/>
      <c r="HQ54" s="243"/>
      <c r="HR54" s="243"/>
      <c r="HS54" s="243"/>
      <c r="HT54" s="243"/>
      <c r="HU54" s="242"/>
      <c r="HV54" s="242"/>
      <c r="HW54" s="242"/>
      <c r="HX54" s="242"/>
      <c r="HY54" s="242"/>
      <c r="HZ54" s="242"/>
      <c r="IA54" s="242"/>
      <c r="IB54" s="243"/>
      <c r="IC54" s="243"/>
      <c r="ID54" s="243"/>
      <c r="IE54" s="243"/>
      <c r="IF54" s="243"/>
      <c r="IG54" s="243"/>
      <c r="IH54" s="243"/>
      <c r="II54" s="242"/>
      <c r="IJ54" s="242"/>
      <c r="IK54" s="242"/>
      <c r="IL54" s="242"/>
      <c r="IM54" s="242"/>
      <c r="IN54" s="242"/>
      <c r="IO54" s="242"/>
      <c r="IP54" s="243"/>
      <c r="IQ54" s="243"/>
      <c r="IR54" s="243"/>
      <c r="IS54" s="243"/>
      <c r="IT54" s="243"/>
      <c r="IU54" s="243"/>
      <c r="IV54" s="243"/>
      <c r="IW54" s="242"/>
      <c r="IX54" s="242"/>
      <c r="IY54" s="242"/>
      <c r="IZ54" s="242"/>
      <c r="JA54" s="242"/>
      <c r="JB54" s="242"/>
      <c r="JC54" s="242"/>
      <c r="JD54" s="243"/>
      <c r="JE54" s="243"/>
      <c r="JF54" s="243"/>
      <c r="JG54" s="243"/>
      <c r="JH54" s="243"/>
      <c r="JI54" s="243"/>
      <c r="JJ54" s="243"/>
      <c r="JK54" s="242"/>
      <c r="JL54" s="242"/>
      <c r="JM54" s="242"/>
      <c r="JN54" s="242"/>
      <c r="JO54" s="242"/>
      <c r="JP54" s="242"/>
      <c r="JQ54" s="242"/>
      <c r="JR54" s="243"/>
      <c r="JS54" s="243"/>
      <c r="JT54" s="243"/>
      <c r="JU54" s="243"/>
      <c r="JV54" s="243"/>
      <c r="JW54" s="243"/>
      <c r="JX54" s="243"/>
      <c r="JY54" s="242"/>
      <c r="JZ54" s="242"/>
      <c r="KA54" s="242"/>
      <c r="KB54" s="242"/>
      <c r="KC54" s="242"/>
      <c r="KD54" s="242"/>
      <c r="KE54" s="242"/>
      <c r="KF54" s="243"/>
      <c r="KG54" s="243"/>
      <c r="KH54" s="243"/>
      <c r="KI54" s="243"/>
      <c r="KJ54" s="243"/>
      <c r="KK54" s="243"/>
      <c r="KL54" s="243"/>
      <c r="KM54" s="242"/>
      <c r="KN54" s="242"/>
      <c r="KO54" s="242"/>
      <c r="KP54" s="242"/>
      <c r="KQ54" s="242"/>
      <c r="KR54" s="242"/>
      <c r="KS54" s="242"/>
      <c r="KT54" s="243"/>
      <c r="KU54" s="243"/>
      <c r="KV54" s="243"/>
      <c r="KW54" s="243"/>
      <c r="KX54" s="243"/>
      <c r="KY54" s="243"/>
      <c r="KZ54" s="243"/>
      <c r="LA54" s="242"/>
      <c r="LB54" s="242"/>
      <c r="LC54" s="242"/>
      <c r="LD54" s="242"/>
      <c r="LE54" s="242"/>
      <c r="LF54" s="242"/>
      <c r="LG54" s="242"/>
      <c r="LH54" s="243"/>
      <c r="LI54" s="243"/>
      <c r="LJ54" s="243"/>
      <c r="LK54" s="243"/>
      <c r="LL54" s="243"/>
      <c r="LM54" s="243"/>
      <c r="LN54" s="243"/>
      <c r="LO54" s="242"/>
      <c r="LP54" s="242"/>
      <c r="LQ54" s="242"/>
      <c r="LR54" s="242"/>
      <c r="LS54" s="242"/>
      <c r="LT54" s="242"/>
      <c r="LU54" s="242"/>
      <c r="LV54" s="243"/>
      <c r="LW54" s="243"/>
      <c r="LX54" s="243"/>
      <c r="LY54" s="243"/>
      <c r="LZ54" s="243"/>
      <c r="MA54" s="243"/>
      <c r="MB54" s="243"/>
      <c r="MC54" s="242"/>
      <c r="MD54" s="242"/>
      <c r="ME54" s="242"/>
      <c r="MF54" s="242"/>
      <c r="MG54" s="242"/>
      <c r="MH54" s="242"/>
      <c r="MI54" s="242"/>
      <c r="MJ54" s="243"/>
      <c r="MK54" s="243"/>
      <c r="ML54" s="243"/>
      <c r="MM54" s="243"/>
      <c r="MN54" s="243"/>
      <c r="MO54" s="243"/>
      <c r="MP54" s="243"/>
      <c r="MQ54" s="242"/>
      <c r="MR54" s="242"/>
      <c r="MS54" s="242"/>
      <c r="MT54" s="242"/>
      <c r="MU54" s="242"/>
      <c r="MV54" s="242"/>
      <c r="MW54" s="242"/>
      <c r="MX54" s="243"/>
      <c r="MY54" s="243"/>
      <c r="MZ54" s="243"/>
      <c r="NA54" s="243"/>
      <c r="NB54" s="243"/>
      <c r="NC54" s="243"/>
      <c r="ND54" s="243"/>
      <c r="NE54" s="242"/>
      <c r="NF54" s="242"/>
      <c r="NG54" s="242"/>
      <c r="NH54" s="333"/>
    </row>
    <row r="55" spans="1:372">
      <c r="A55" s="251" t="s">
        <v>972</v>
      </c>
      <c r="B55" s="251" t="s">
        <v>807</v>
      </c>
      <c r="C55" s="251" t="s">
        <v>674</v>
      </c>
      <c r="D55" s="251" t="s">
        <v>997</v>
      </c>
      <c r="E55" s="241">
        <v>78.24847221686467</v>
      </c>
      <c r="F55" s="241">
        <v>72</v>
      </c>
      <c r="G55" s="242"/>
      <c r="H55" s="242"/>
      <c r="I55" s="242"/>
      <c r="J55" s="242"/>
      <c r="K55" s="242"/>
      <c r="L55" s="243"/>
      <c r="M55" s="243"/>
      <c r="N55" s="243"/>
      <c r="O55" s="243"/>
      <c r="P55" s="243"/>
      <c r="Q55" s="243"/>
      <c r="R55" s="243"/>
      <c r="S55" s="242"/>
      <c r="T55" s="242"/>
      <c r="U55" s="242"/>
      <c r="V55" s="242"/>
      <c r="W55" s="242"/>
      <c r="X55" s="242"/>
      <c r="Y55" s="242"/>
      <c r="Z55" s="243"/>
      <c r="AA55" s="243"/>
      <c r="AB55" s="243"/>
      <c r="AC55" s="243"/>
      <c r="AD55" s="243"/>
      <c r="AE55" s="243"/>
      <c r="AF55" s="243"/>
      <c r="AG55" s="242"/>
      <c r="AH55" s="242"/>
      <c r="AI55" s="242"/>
      <c r="AJ55" s="242"/>
      <c r="AK55" s="242"/>
      <c r="AL55" s="242"/>
      <c r="AM55" s="242"/>
      <c r="AN55" s="243"/>
      <c r="AO55" s="243"/>
      <c r="AP55" s="243"/>
      <c r="AQ55" s="243"/>
      <c r="AR55" s="243"/>
      <c r="AS55" s="243"/>
      <c r="AT55" s="243"/>
      <c r="AU55" s="242"/>
      <c r="AV55" s="242"/>
      <c r="AW55" s="242"/>
      <c r="AX55" s="242"/>
      <c r="AY55" s="242"/>
      <c r="AZ55" s="242"/>
      <c r="BA55" s="242"/>
      <c r="BB55" s="243"/>
      <c r="BC55" s="243"/>
      <c r="BD55" s="243"/>
      <c r="BE55" s="243"/>
      <c r="BF55" s="243"/>
      <c r="BG55" s="243"/>
      <c r="BH55" s="243"/>
      <c r="BI55" s="242"/>
      <c r="BJ55" s="242"/>
      <c r="BK55" s="242"/>
      <c r="BL55" s="242"/>
      <c r="BM55" s="242"/>
      <c r="BN55" s="242"/>
      <c r="BO55" s="242"/>
      <c r="BP55" s="243"/>
      <c r="BQ55" s="243"/>
      <c r="BR55" s="243"/>
      <c r="BS55" s="243"/>
      <c r="BT55" s="243"/>
      <c r="BU55" s="243"/>
      <c r="BV55" s="243"/>
      <c r="BW55" s="242"/>
      <c r="BX55" s="242"/>
      <c r="BY55" s="242"/>
      <c r="BZ55" s="242">
        <v>24</v>
      </c>
      <c r="CA55" s="242"/>
      <c r="CB55" s="242"/>
      <c r="CC55" s="242"/>
      <c r="CD55" s="243"/>
      <c r="CE55" s="243"/>
      <c r="CF55" s="243"/>
      <c r="CG55" s="243"/>
      <c r="CH55" s="243"/>
      <c r="CI55" s="243"/>
      <c r="CJ55" s="243"/>
      <c r="CK55" s="242"/>
      <c r="CL55" s="242"/>
      <c r="CM55" s="242"/>
      <c r="CN55" s="242"/>
      <c r="CO55" s="242"/>
      <c r="CP55" s="242"/>
      <c r="CQ55" s="242"/>
      <c r="CR55" s="243"/>
      <c r="CS55" s="243"/>
      <c r="CT55" s="243"/>
      <c r="CU55" s="243"/>
      <c r="CV55" s="243"/>
      <c r="CW55" s="243"/>
      <c r="CX55" s="243"/>
      <c r="CY55" s="242"/>
      <c r="CZ55" s="242"/>
      <c r="DA55" s="242"/>
      <c r="DB55" s="242"/>
      <c r="DC55" s="242"/>
      <c r="DD55" s="242"/>
      <c r="DE55" s="242"/>
      <c r="DF55" s="243"/>
      <c r="DG55" s="243"/>
      <c r="DH55" s="243"/>
      <c r="DI55" s="243"/>
      <c r="DJ55" s="243"/>
      <c r="DK55" s="243"/>
      <c r="DL55" s="243"/>
      <c r="DM55" s="242"/>
      <c r="DN55" s="242"/>
      <c r="DO55" s="242"/>
      <c r="DP55" s="242"/>
      <c r="DQ55" s="242"/>
      <c r="DR55" s="242"/>
      <c r="DS55" s="242"/>
      <c r="DT55" s="243"/>
      <c r="DU55" s="243"/>
      <c r="DV55" s="243"/>
      <c r="DW55" s="243"/>
      <c r="DX55" s="243"/>
      <c r="DY55" s="243"/>
      <c r="DZ55" s="243"/>
      <c r="EA55" s="242"/>
      <c r="EB55" s="242"/>
      <c r="EC55" s="242"/>
      <c r="ED55" s="242"/>
      <c r="EE55" s="242"/>
      <c r="EF55" s="242"/>
      <c r="EG55" s="242"/>
      <c r="EH55" s="243"/>
      <c r="EI55" s="243"/>
      <c r="EJ55" s="243"/>
      <c r="EK55" s="243"/>
      <c r="EL55" s="243"/>
      <c r="EM55" s="243"/>
      <c r="EN55" s="243"/>
      <c r="EO55" s="242"/>
      <c r="EP55" s="242"/>
      <c r="EQ55" s="242"/>
      <c r="ER55" s="242"/>
      <c r="ES55" s="242"/>
      <c r="ET55" s="242"/>
      <c r="EU55" s="242"/>
      <c r="EV55" s="243"/>
      <c r="EW55" s="243"/>
      <c r="EX55" s="243"/>
      <c r="EY55" s="243"/>
      <c r="EZ55" s="243"/>
      <c r="FA55" s="243"/>
      <c r="FB55" s="243"/>
      <c r="FC55" s="242"/>
      <c r="FD55" s="242"/>
      <c r="FE55" s="242"/>
      <c r="FF55" s="242"/>
      <c r="FG55" s="242"/>
      <c r="FH55" s="242"/>
      <c r="FI55" s="242"/>
      <c r="FJ55" s="243"/>
      <c r="FK55" s="243"/>
      <c r="FL55" s="243"/>
      <c r="FM55" s="243"/>
      <c r="FN55" s="243"/>
      <c r="FO55" s="243"/>
      <c r="FP55" s="243"/>
      <c r="FQ55" s="242"/>
      <c r="FR55" s="242"/>
      <c r="FS55" s="242"/>
      <c r="FT55" s="242"/>
      <c r="FU55" s="242"/>
      <c r="FV55" s="242"/>
      <c r="FW55" s="242"/>
      <c r="FX55" s="243"/>
      <c r="FY55" s="243"/>
      <c r="FZ55" s="243"/>
      <c r="GA55" s="243"/>
      <c r="GB55" s="243"/>
      <c r="GC55" s="243"/>
      <c r="GD55" s="243"/>
      <c r="GE55" s="242"/>
      <c r="GF55" s="242"/>
      <c r="GG55" s="242"/>
      <c r="GH55" s="242"/>
      <c r="GI55" s="242"/>
      <c r="GJ55" s="242"/>
      <c r="GK55" s="242"/>
      <c r="GL55" s="243"/>
      <c r="GM55" s="243"/>
      <c r="GN55" s="243"/>
      <c r="GO55" s="243"/>
      <c r="GP55" s="243"/>
      <c r="GQ55" s="243"/>
      <c r="GR55" s="243"/>
      <c r="GS55" s="242"/>
      <c r="GT55" s="242">
        <v>24</v>
      </c>
      <c r="GU55" s="242"/>
      <c r="GV55" s="242"/>
      <c r="GW55" s="242"/>
      <c r="GX55" s="242"/>
      <c r="GY55" s="242"/>
      <c r="GZ55" s="243"/>
      <c r="HA55" s="243"/>
      <c r="HB55" s="243"/>
      <c r="HC55" s="243"/>
      <c r="HD55" s="243"/>
      <c r="HE55" s="243"/>
      <c r="HF55" s="243"/>
      <c r="HG55" s="242"/>
      <c r="HH55" s="242"/>
      <c r="HI55" s="242"/>
      <c r="HJ55" s="242"/>
      <c r="HK55" s="242"/>
      <c r="HL55" s="242"/>
      <c r="HM55" s="242"/>
      <c r="HN55" s="243"/>
      <c r="HO55" s="243"/>
      <c r="HP55" s="243"/>
      <c r="HQ55" s="243"/>
      <c r="HR55" s="243"/>
      <c r="HS55" s="243"/>
      <c r="HT55" s="243"/>
      <c r="HU55" s="242"/>
      <c r="HV55" s="242"/>
      <c r="HW55" s="242"/>
      <c r="HX55" s="242"/>
      <c r="HY55" s="242"/>
      <c r="HZ55" s="242"/>
      <c r="IA55" s="242"/>
      <c r="IB55" s="243"/>
      <c r="IC55" s="243"/>
      <c r="ID55" s="243"/>
      <c r="IE55" s="243"/>
      <c r="IF55" s="243"/>
      <c r="IG55" s="243"/>
      <c r="IH55" s="243"/>
      <c r="II55" s="242"/>
      <c r="IJ55" s="242"/>
      <c r="IK55" s="242"/>
      <c r="IL55" s="242"/>
      <c r="IM55" s="242"/>
      <c r="IN55" s="242"/>
      <c r="IO55" s="242"/>
      <c r="IP55" s="243"/>
      <c r="IQ55" s="243"/>
      <c r="IR55" s="243"/>
      <c r="IS55" s="243"/>
      <c r="IT55" s="243"/>
      <c r="IU55" s="243"/>
      <c r="IV55" s="243"/>
      <c r="IW55" s="242"/>
      <c r="IX55" s="242"/>
      <c r="IY55" s="242"/>
      <c r="IZ55" s="242"/>
      <c r="JA55" s="242"/>
      <c r="JB55" s="242"/>
      <c r="JC55" s="242"/>
      <c r="JD55" s="243"/>
      <c r="JE55" s="243"/>
      <c r="JF55" s="243"/>
      <c r="JG55" s="243">
        <v>12</v>
      </c>
      <c r="JH55" s="243"/>
      <c r="JI55" s="243"/>
      <c r="JJ55" s="243"/>
      <c r="JK55" s="242"/>
      <c r="JL55" s="242"/>
      <c r="JM55" s="242"/>
      <c r="JN55" s="242"/>
      <c r="JO55" s="242"/>
      <c r="JP55" s="242"/>
      <c r="JQ55" s="242"/>
      <c r="JR55" s="243"/>
      <c r="JS55" s="243"/>
      <c r="JT55" s="243"/>
      <c r="JU55" s="243"/>
      <c r="JV55" s="243"/>
      <c r="JW55" s="243"/>
      <c r="JX55" s="243"/>
      <c r="JY55" s="242"/>
      <c r="JZ55" s="242"/>
      <c r="KA55" s="242"/>
      <c r="KB55" s="242"/>
      <c r="KC55" s="242"/>
      <c r="KD55" s="242"/>
      <c r="KE55" s="242"/>
      <c r="KF55" s="243"/>
      <c r="KG55" s="243"/>
      <c r="KH55" s="243"/>
      <c r="KI55" s="243"/>
      <c r="KJ55" s="243"/>
      <c r="KK55" s="243"/>
      <c r="KL55" s="243"/>
      <c r="KM55" s="242"/>
      <c r="KN55" s="242"/>
      <c r="KO55" s="242"/>
      <c r="KP55" s="242"/>
      <c r="KQ55" s="242"/>
      <c r="KR55" s="242"/>
      <c r="KS55" s="242"/>
      <c r="KT55" s="243"/>
      <c r="KU55" s="243"/>
      <c r="KV55" s="243"/>
      <c r="KW55" s="243"/>
      <c r="KX55" s="243"/>
      <c r="KY55" s="243"/>
      <c r="KZ55" s="243"/>
      <c r="LA55" s="242"/>
      <c r="LB55" s="242"/>
      <c r="LC55" s="242"/>
      <c r="LD55" s="242"/>
      <c r="LE55" s="242"/>
      <c r="LF55" s="242"/>
      <c r="LG55" s="242"/>
      <c r="LH55" s="243"/>
      <c r="LI55" s="243"/>
      <c r="LJ55" s="243"/>
      <c r="LK55" s="243"/>
      <c r="LL55" s="243"/>
      <c r="LM55" s="243">
        <v>12</v>
      </c>
      <c r="LN55" s="243"/>
      <c r="LO55" s="242"/>
      <c r="LP55" s="242"/>
      <c r="LQ55" s="242"/>
      <c r="LR55" s="242"/>
      <c r="LS55" s="242"/>
      <c r="LT55" s="242"/>
      <c r="LU55" s="242"/>
      <c r="LV55" s="243"/>
      <c r="LW55" s="243"/>
      <c r="LX55" s="243"/>
      <c r="LY55" s="243"/>
      <c r="LZ55" s="243"/>
      <c r="MA55" s="243"/>
      <c r="MB55" s="243"/>
      <c r="MC55" s="242"/>
      <c r="MD55" s="242"/>
      <c r="ME55" s="242"/>
      <c r="MF55" s="242"/>
      <c r="MG55" s="242"/>
      <c r="MH55" s="242"/>
      <c r="MI55" s="242"/>
      <c r="MJ55" s="243"/>
      <c r="MK55" s="243"/>
      <c r="ML55" s="243"/>
      <c r="MM55" s="243"/>
      <c r="MN55" s="243"/>
      <c r="MO55" s="243"/>
      <c r="MP55" s="243"/>
      <c r="MQ55" s="242"/>
      <c r="MR55" s="242"/>
      <c r="MS55" s="242"/>
      <c r="MT55" s="242"/>
      <c r="MU55" s="242"/>
      <c r="MV55" s="242"/>
      <c r="MW55" s="242"/>
      <c r="MX55" s="243"/>
      <c r="MY55" s="243"/>
      <c r="MZ55" s="243"/>
      <c r="NA55" s="243"/>
      <c r="NB55" s="243"/>
      <c r="NC55" s="243"/>
      <c r="ND55" s="243"/>
      <c r="NE55" s="242"/>
      <c r="NF55" s="242"/>
      <c r="NG55" s="242"/>
      <c r="NH55" s="333"/>
    </row>
    <row r="56" spans="1:372">
      <c r="A56" s="251" t="s">
        <v>972</v>
      </c>
      <c r="B56" s="251" t="s">
        <v>808</v>
      </c>
      <c r="C56" s="251" t="s">
        <v>674</v>
      </c>
      <c r="D56" s="251" t="s">
        <v>997</v>
      </c>
      <c r="E56" s="241">
        <v>12.853847216823629</v>
      </c>
      <c r="F56" s="241">
        <v>12</v>
      </c>
      <c r="G56" s="242"/>
      <c r="H56" s="242"/>
      <c r="I56" s="242"/>
      <c r="J56" s="242"/>
      <c r="K56" s="242"/>
      <c r="L56" s="243"/>
      <c r="M56" s="243"/>
      <c r="N56" s="243"/>
      <c r="O56" s="243"/>
      <c r="P56" s="243"/>
      <c r="Q56" s="243"/>
      <c r="R56" s="243"/>
      <c r="S56" s="242"/>
      <c r="T56" s="242"/>
      <c r="U56" s="242"/>
      <c r="V56" s="242"/>
      <c r="W56" s="242"/>
      <c r="X56" s="242"/>
      <c r="Y56" s="242"/>
      <c r="Z56" s="243"/>
      <c r="AA56" s="243"/>
      <c r="AB56" s="243"/>
      <c r="AC56" s="243"/>
      <c r="AD56" s="243"/>
      <c r="AE56" s="243"/>
      <c r="AF56" s="243"/>
      <c r="AG56" s="242"/>
      <c r="AH56" s="242"/>
      <c r="AI56" s="242"/>
      <c r="AJ56" s="242"/>
      <c r="AK56" s="242"/>
      <c r="AL56" s="242"/>
      <c r="AM56" s="242"/>
      <c r="AN56" s="243"/>
      <c r="AO56" s="243"/>
      <c r="AP56" s="243"/>
      <c r="AQ56" s="243"/>
      <c r="AR56" s="243"/>
      <c r="AS56" s="243"/>
      <c r="AT56" s="243"/>
      <c r="AU56" s="242"/>
      <c r="AV56" s="242"/>
      <c r="AW56" s="242"/>
      <c r="AX56" s="242"/>
      <c r="AY56" s="242"/>
      <c r="AZ56" s="242"/>
      <c r="BA56" s="242"/>
      <c r="BB56" s="243"/>
      <c r="BC56" s="243"/>
      <c r="BD56" s="243"/>
      <c r="BE56" s="243"/>
      <c r="BF56" s="243"/>
      <c r="BG56" s="243"/>
      <c r="BH56" s="243"/>
      <c r="BI56" s="242"/>
      <c r="BJ56" s="242"/>
      <c r="BK56" s="242"/>
      <c r="BL56" s="242"/>
      <c r="BM56" s="242"/>
      <c r="BN56" s="242"/>
      <c r="BO56" s="242"/>
      <c r="BP56" s="243"/>
      <c r="BQ56" s="243"/>
      <c r="BR56" s="243"/>
      <c r="BS56" s="243"/>
      <c r="BT56" s="243"/>
      <c r="BU56" s="243"/>
      <c r="BV56" s="243"/>
      <c r="BW56" s="242"/>
      <c r="BX56" s="242"/>
      <c r="BY56" s="242"/>
      <c r="BZ56" s="242"/>
      <c r="CA56" s="242"/>
      <c r="CB56" s="242"/>
      <c r="CC56" s="242"/>
      <c r="CD56" s="243"/>
      <c r="CE56" s="243"/>
      <c r="CF56" s="243"/>
      <c r="CG56" s="243"/>
      <c r="CH56" s="243"/>
      <c r="CI56" s="243"/>
      <c r="CJ56" s="243"/>
      <c r="CK56" s="242"/>
      <c r="CL56" s="242"/>
      <c r="CM56" s="242"/>
      <c r="CN56" s="242"/>
      <c r="CO56" s="242"/>
      <c r="CP56" s="242"/>
      <c r="CQ56" s="242"/>
      <c r="CR56" s="243"/>
      <c r="CS56" s="243"/>
      <c r="CT56" s="243"/>
      <c r="CU56" s="243"/>
      <c r="CV56" s="243"/>
      <c r="CW56" s="243"/>
      <c r="CX56" s="243"/>
      <c r="CY56" s="242"/>
      <c r="CZ56" s="242"/>
      <c r="DA56" s="242"/>
      <c r="DB56" s="242">
        <v>12</v>
      </c>
      <c r="DC56" s="242"/>
      <c r="DD56" s="242"/>
      <c r="DE56" s="242"/>
      <c r="DF56" s="243"/>
      <c r="DG56" s="243"/>
      <c r="DH56" s="243"/>
      <c r="DI56" s="243"/>
      <c r="DJ56" s="243"/>
      <c r="DK56" s="243"/>
      <c r="DL56" s="243"/>
      <c r="DM56" s="242"/>
      <c r="DN56" s="242"/>
      <c r="DO56" s="242"/>
      <c r="DP56" s="242"/>
      <c r="DQ56" s="242"/>
      <c r="DR56" s="242"/>
      <c r="DS56" s="242"/>
      <c r="DT56" s="243"/>
      <c r="DU56" s="243"/>
      <c r="DV56" s="243"/>
      <c r="DW56" s="243"/>
      <c r="DX56" s="243"/>
      <c r="DY56" s="243"/>
      <c r="DZ56" s="243"/>
      <c r="EA56" s="242"/>
      <c r="EB56" s="242"/>
      <c r="EC56" s="242"/>
      <c r="ED56" s="242"/>
      <c r="EE56" s="242"/>
      <c r="EF56" s="242"/>
      <c r="EG56" s="242"/>
      <c r="EH56" s="243"/>
      <c r="EI56" s="243"/>
      <c r="EJ56" s="243"/>
      <c r="EK56" s="243"/>
      <c r="EL56" s="243"/>
      <c r="EM56" s="243"/>
      <c r="EN56" s="243"/>
      <c r="EO56" s="242"/>
      <c r="EP56" s="242"/>
      <c r="EQ56" s="242"/>
      <c r="ER56" s="242"/>
      <c r="ES56" s="242"/>
      <c r="ET56" s="242"/>
      <c r="EU56" s="242"/>
      <c r="EV56" s="243"/>
      <c r="EW56" s="243"/>
      <c r="EX56" s="243"/>
      <c r="EY56" s="243"/>
      <c r="EZ56" s="243"/>
      <c r="FA56" s="243"/>
      <c r="FB56" s="243"/>
      <c r="FC56" s="242"/>
      <c r="FD56" s="242"/>
      <c r="FE56" s="242"/>
      <c r="FF56" s="242"/>
      <c r="FG56" s="242"/>
      <c r="FH56" s="242"/>
      <c r="FI56" s="242"/>
      <c r="FJ56" s="243"/>
      <c r="FK56" s="243"/>
      <c r="FL56" s="243"/>
      <c r="FM56" s="243"/>
      <c r="FN56" s="243"/>
      <c r="FO56" s="243"/>
      <c r="FP56" s="243"/>
      <c r="FQ56" s="242"/>
      <c r="FR56" s="242"/>
      <c r="FS56" s="242"/>
      <c r="FT56" s="242"/>
      <c r="FU56" s="242"/>
      <c r="FV56" s="242"/>
      <c r="FW56" s="242"/>
      <c r="FX56" s="243"/>
      <c r="FY56" s="243"/>
      <c r="FZ56" s="243"/>
      <c r="GA56" s="243"/>
      <c r="GB56" s="243"/>
      <c r="GC56" s="243"/>
      <c r="GD56" s="243"/>
      <c r="GE56" s="242"/>
      <c r="GF56" s="242"/>
      <c r="GG56" s="242"/>
      <c r="GH56" s="242"/>
      <c r="GI56" s="242"/>
      <c r="GJ56" s="242"/>
      <c r="GK56" s="242"/>
      <c r="GL56" s="243"/>
      <c r="GM56" s="243"/>
      <c r="GN56" s="243"/>
      <c r="GO56" s="243"/>
      <c r="GP56" s="243"/>
      <c r="GQ56" s="243"/>
      <c r="GR56" s="243"/>
      <c r="GS56" s="242"/>
      <c r="GT56" s="242"/>
      <c r="GU56" s="242"/>
      <c r="GV56" s="242"/>
      <c r="GW56" s="242"/>
      <c r="GX56" s="242"/>
      <c r="GY56" s="242"/>
      <c r="GZ56" s="243"/>
      <c r="HA56" s="243"/>
      <c r="HB56" s="243"/>
      <c r="HC56" s="243"/>
      <c r="HD56" s="243"/>
      <c r="HE56" s="243"/>
      <c r="HF56" s="243"/>
      <c r="HG56" s="242"/>
      <c r="HH56" s="242"/>
      <c r="HI56" s="242"/>
      <c r="HJ56" s="242"/>
      <c r="HK56" s="242"/>
      <c r="HL56" s="242"/>
      <c r="HM56" s="242"/>
      <c r="HN56" s="243"/>
      <c r="HO56" s="243"/>
      <c r="HP56" s="243"/>
      <c r="HQ56" s="243"/>
      <c r="HR56" s="243"/>
      <c r="HS56" s="243"/>
      <c r="HT56" s="243"/>
      <c r="HU56" s="242"/>
      <c r="HV56" s="242"/>
      <c r="HW56" s="242"/>
      <c r="HX56" s="242"/>
      <c r="HY56" s="242"/>
      <c r="HZ56" s="242"/>
      <c r="IA56" s="242"/>
      <c r="IB56" s="243"/>
      <c r="IC56" s="243"/>
      <c r="ID56" s="243"/>
      <c r="IE56" s="243"/>
      <c r="IF56" s="243"/>
      <c r="IG56" s="243"/>
      <c r="IH56" s="243"/>
      <c r="II56" s="242"/>
      <c r="IJ56" s="242"/>
      <c r="IK56" s="242"/>
      <c r="IL56" s="242"/>
      <c r="IM56" s="242"/>
      <c r="IN56" s="242"/>
      <c r="IO56" s="242"/>
      <c r="IP56" s="243"/>
      <c r="IQ56" s="243"/>
      <c r="IR56" s="243"/>
      <c r="IS56" s="243"/>
      <c r="IT56" s="243"/>
      <c r="IU56" s="243"/>
      <c r="IV56" s="243"/>
      <c r="IW56" s="242"/>
      <c r="IX56" s="242"/>
      <c r="IY56" s="242"/>
      <c r="IZ56" s="242"/>
      <c r="JA56" s="242"/>
      <c r="JB56" s="242"/>
      <c r="JC56" s="242"/>
      <c r="JD56" s="243"/>
      <c r="JE56" s="243"/>
      <c r="JF56" s="243"/>
      <c r="JG56" s="243"/>
      <c r="JH56" s="243"/>
      <c r="JI56" s="243"/>
      <c r="JJ56" s="243"/>
      <c r="JK56" s="242"/>
      <c r="JL56" s="242"/>
      <c r="JM56" s="242"/>
      <c r="JN56" s="242"/>
      <c r="JO56" s="242"/>
      <c r="JP56" s="242"/>
      <c r="JQ56" s="242"/>
      <c r="JR56" s="243"/>
      <c r="JS56" s="243"/>
      <c r="JT56" s="243"/>
      <c r="JU56" s="243"/>
      <c r="JV56" s="243"/>
      <c r="JW56" s="243"/>
      <c r="JX56" s="243"/>
      <c r="JY56" s="242"/>
      <c r="JZ56" s="242"/>
      <c r="KA56" s="242"/>
      <c r="KB56" s="242"/>
      <c r="KC56" s="242"/>
      <c r="KD56" s="242"/>
      <c r="KE56" s="242"/>
      <c r="KF56" s="243"/>
      <c r="KG56" s="243"/>
      <c r="KH56" s="243"/>
      <c r="KI56" s="243"/>
      <c r="KJ56" s="243"/>
      <c r="KK56" s="243"/>
      <c r="KL56" s="243"/>
      <c r="KM56" s="242"/>
      <c r="KN56" s="242"/>
      <c r="KO56" s="242"/>
      <c r="KP56" s="242"/>
      <c r="KQ56" s="242"/>
      <c r="KR56" s="242"/>
      <c r="KS56" s="242"/>
      <c r="KT56" s="243"/>
      <c r="KU56" s="243"/>
      <c r="KV56" s="243"/>
      <c r="KW56" s="243"/>
      <c r="KX56" s="243"/>
      <c r="KY56" s="243"/>
      <c r="KZ56" s="243"/>
      <c r="LA56" s="242"/>
      <c r="LB56" s="242"/>
      <c r="LC56" s="242"/>
      <c r="LD56" s="242"/>
      <c r="LE56" s="242"/>
      <c r="LF56" s="242"/>
      <c r="LG56" s="242"/>
      <c r="LH56" s="243"/>
      <c r="LI56" s="243"/>
      <c r="LJ56" s="243"/>
      <c r="LK56" s="243"/>
      <c r="LL56" s="243"/>
      <c r="LM56" s="243"/>
      <c r="LN56" s="243"/>
      <c r="LO56" s="242"/>
      <c r="LP56" s="242"/>
      <c r="LQ56" s="242"/>
      <c r="LR56" s="242"/>
      <c r="LS56" s="242"/>
      <c r="LT56" s="242"/>
      <c r="LU56" s="242"/>
      <c r="LV56" s="243"/>
      <c r="LW56" s="243"/>
      <c r="LX56" s="243"/>
      <c r="LY56" s="243"/>
      <c r="LZ56" s="243"/>
      <c r="MA56" s="243"/>
      <c r="MB56" s="243"/>
      <c r="MC56" s="242"/>
      <c r="MD56" s="242"/>
      <c r="ME56" s="242"/>
      <c r="MF56" s="242"/>
      <c r="MG56" s="242"/>
      <c r="MH56" s="242"/>
      <c r="MI56" s="242"/>
      <c r="MJ56" s="243"/>
      <c r="MK56" s="243"/>
      <c r="ML56" s="243"/>
      <c r="MM56" s="243"/>
      <c r="MN56" s="243"/>
      <c r="MO56" s="243"/>
      <c r="MP56" s="243"/>
      <c r="MQ56" s="242"/>
      <c r="MR56" s="242"/>
      <c r="MS56" s="242"/>
      <c r="MT56" s="242"/>
      <c r="MU56" s="242"/>
      <c r="MV56" s="242"/>
      <c r="MW56" s="242"/>
      <c r="MX56" s="243"/>
      <c r="MY56" s="243"/>
      <c r="MZ56" s="243"/>
      <c r="NA56" s="243"/>
      <c r="NB56" s="243"/>
      <c r="NC56" s="243"/>
      <c r="ND56" s="243"/>
      <c r="NE56" s="242"/>
      <c r="NF56" s="242"/>
      <c r="NG56" s="242"/>
      <c r="NH56" s="333"/>
    </row>
    <row r="57" spans="1:372">
      <c r="A57" s="251" t="s">
        <v>972</v>
      </c>
      <c r="B57" s="251" t="s">
        <v>46</v>
      </c>
      <c r="C57" s="251" t="s">
        <v>674</v>
      </c>
      <c r="D57" s="251" t="s">
        <v>982</v>
      </c>
      <c r="E57" s="241">
        <v>86.649722201265689</v>
      </c>
      <c r="F57" s="241">
        <v>84</v>
      </c>
      <c r="G57" s="242"/>
      <c r="H57" s="242"/>
      <c r="I57" s="242"/>
      <c r="J57" s="242"/>
      <c r="K57" s="242"/>
      <c r="L57" s="243"/>
      <c r="M57" s="243"/>
      <c r="N57" s="243"/>
      <c r="O57" s="243"/>
      <c r="P57" s="243"/>
      <c r="Q57" s="243"/>
      <c r="R57" s="243"/>
      <c r="S57" s="242"/>
      <c r="T57" s="242"/>
      <c r="U57" s="242"/>
      <c r="V57" s="242"/>
      <c r="W57" s="242"/>
      <c r="X57" s="242"/>
      <c r="Y57" s="242"/>
      <c r="Z57" s="243"/>
      <c r="AA57" s="243"/>
      <c r="AB57" s="243"/>
      <c r="AC57" s="243"/>
      <c r="AD57" s="243"/>
      <c r="AE57" s="243"/>
      <c r="AF57" s="243"/>
      <c r="AG57" s="242"/>
      <c r="AH57" s="242"/>
      <c r="AI57" s="242"/>
      <c r="AJ57" s="242"/>
      <c r="AK57" s="242"/>
      <c r="AL57" s="242"/>
      <c r="AM57" s="242"/>
      <c r="AN57" s="243"/>
      <c r="AO57" s="243"/>
      <c r="AP57" s="243"/>
      <c r="AQ57" s="243"/>
      <c r="AR57" s="243"/>
      <c r="AS57" s="243"/>
      <c r="AT57" s="243"/>
      <c r="AU57" s="242"/>
      <c r="AV57" s="242"/>
      <c r="AW57" s="242"/>
      <c r="AX57" s="242"/>
      <c r="AY57" s="242"/>
      <c r="AZ57" s="242"/>
      <c r="BA57" s="242"/>
      <c r="BB57" s="243"/>
      <c r="BC57" s="243"/>
      <c r="BD57" s="243"/>
      <c r="BE57" s="243"/>
      <c r="BF57" s="243"/>
      <c r="BG57" s="243"/>
      <c r="BH57" s="243"/>
      <c r="BI57" s="242"/>
      <c r="BJ57" s="242">
        <v>12</v>
      </c>
      <c r="BK57" s="242">
        <v>24</v>
      </c>
      <c r="BL57" s="242">
        <v>24</v>
      </c>
      <c r="BM57" s="242"/>
      <c r="BN57" s="242"/>
      <c r="BO57" s="242"/>
      <c r="BP57" s="243"/>
      <c r="BQ57" s="243"/>
      <c r="BR57" s="243"/>
      <c r="BS57" s="243"/>
      <c r="BT57" s="243"/>
      <c r="BU57" s="243"/>
      <c r="BV57" s="243"/>
      <c r="BW57" s="242"/>
      <c r="BX57" s="242"/>
      <c r="BY57" s="242"/>
      <c r="BZ57" s="242"/>
      <c r="CA57" s="242"/>
      <c r="CB57" s="242"/>
      <c r="CC57" s="242"/>
      <c r="CD57" s="243"/>
      <c r="CE57" s="243"/>
      <c r="CF57" s="243"/>
      <c r="CG57" s="243"/>
      <c r="CH57" s="243"/>
      <c r="CI57" s="243"/>
      <c r="CJ57" s="243"/>
      <c r="CK57" s="242"/>
      <c r="CL57" s="242"/>
      <c r="CM57" s="242"/>
      <c r="CN57" s="242"/>
      <c r="CO57" s="242"/>
      <c r="CP57" s="242"/>
      <c r="CQ57" s="242"/>
      <c r="CR57" s="243"/>
      <c r="CS57" s="243"/>
      <c r="CT57" s="243"/>
      <c r="CU57" s="243"/>
      <c r="CV57" s="243"/>
      <c r="CW57" s="243"/>
      <c r="CX57" s="243"/>
      <c r="CY57" s="242"/>
      <c r="CZ57" s="242"/>
      <c r="DA57" s="242"/>
      <c r="DB57" s="242"/>
      <c r="DC57" s="242"/>
      <c r="DD57" s="242"/>
      <c r="DE57" s="242"/>
      <c r="DF57" s="243"/>
      <c r="DG57" s="243"/>
      <c r="DH57" s="243"/>
      <c r="DI57" s="243"/>
      <c r="DJ57" s="243"/>
      <c r="DK57" s="243"/>
      <c r="DL57" s="243"/>
      <c r="DM57" s="242"/>
      <c r="DN57" s="242"/>
      <c r="DO57" s="242"/>
      <c r="DP57" s="242"/>
      <c r="DQ57" s="242"/>
      <c r="DR57" s="242"/>
      <c r="DS57" s="242"/>
      <c r="DT57" s="243"/>
      <c r="DU57" s="243"/>
      <c r="DV57" s="243"/>
      <c r="DW57" s="243"/>
      <c r="DX57" s="243"/>
      <c r="DY57" s="243"/>
      <c r="DZ57" s="243"/>
      <c r="EA57" s="242"/>
      <c r="EB57" s="242"/>
      <c r="EC57" s="242"/>
      <c r="ED57" s="242"/>
      <c r="EE57" s="242"/>
      <c r="EF57" s="242"/>
      <c r="EG57" s="242"/>
      <c r="EH57" s="243"/>
      <c r="EI57" s="243"/>
      <c r="EJ57" s="243"/>
      <c r="EK57" s="243"/>
      <c r="EL57" s="243"/>
      <c r="EM57" s="243"/>
      <c r="EN57" s="243"/>
      <c r="EO57" s="242"/>
      <c r="EP57" s="242"/>
      <c r="EQ57" s="242"/>
      <c r="ER57" s="242"/>
      <c r="ES57" s="242"/>
      <c r="ET57" s="242"/>
      <c r="EU57" s="242"/>
      <c r="EV57" s="243"/>
      <c r="EW57" s="243"/>
      <c r="EX57" s="243"/>
      <c r="EY57" s="243"/>
      <c r="EZ57" s="243"/>
      <c r="FA57" s="243"/>
      <c r="FB57" s="243"/>
      <c r="FC57" s="242"/>
      <c r="FD57" s="242"/>
      <c r="FE57" s="242"/>
      <c r="FF57" s="242"/>
      <c r="FG57" s="242"/>
      <c r="FH57" s="242"/>
      <c r="FI57" s="242"/>
      <c r="FJ57" s="243"/>
      <c r="FK57" s="243"/>
      <c r="FL57" s="243"/>
      <c r="FM57" s="243"/>
      <c r="FN57" s="243"/>
      <c r="FO57" s="243"/>
      <c r="FP57" s="243"/>
      <c r="FQ57" s="242"/>
      <c r="FR57" s="242"/>
      <c r="FS57" s="242"/>
      <c r="FT57" s="242"/>
      <c r="FU57" s="242"/>
      <c r="FV57" s="242"/>
      <c r="FW57" s="242"/>
      <c r="FX57" s="243"/>
      <c r="FY57" s="243"/>
      <c r="FZ57" s="243"/>
      <c r="GA57" s="243"/>
      <c r="GB57" s="243"/>
      <c r="GC57" s="243"/>
      <c r="GD57" s="243"/>
      <c r="GE57" s="242"/>
      <c r="GF57" s="242"/>
      <c r="GG57" s="242"/>
      <c r="GH57" s="242"/>
      <c r="GI57" s="242"/>
      <c r="GJ57" s="242"/>
      <c r="GK57" s="242"/>
      <c r="GL57" s="243"/>
      <c r="GM57" s="243"/>
      <c r="GN57" s="243"/>
      <c r="GO57" s="243"/>
      <c r="GP57" s="243"/>
      <c r="GQ57" s="243"/>
      <c r="GR57" s="243"/>
      <c r="GS57" s="242"/>
      <c r="GT57" s="242"/>
      <c r="GU57" s="242"/>
      <c r="GV57" s="242"/>
      <c r="GW57" s="242"/>
      <c r="GX57" s="242"/>
      <c r="GY57" s="242"/>
      <c r="GZ57" s="243"/>
      <c r="HA57" s="243"/>
      <c r="HB57" s="243"/>
      <c r="HC57" s="243"/>
      <c r="HD57" s="243"/>
      <c r="HE57" s="243"/>
      <c r="HF57" s="243"/>
      <c r="HG57" s="242"/>
      <c r="HH57" s="242"/>
      <c r="HI57" s="242"/>
      <c r="HJ57" s="242"/>
      <c r="HK57" s="242"/>
      <c r="HL57" s="242"/>
      <c r="HM57" s="242"/>
      <c r="HN57" s="243"/>
      <c r="HO57" s="243"/>
      <c r="HP57" s="243"/>
      <c r="HQ57" s="243"/>
      <c r="HR57" s="243"/>
      <c r="HS57" s="243"/>
      <c r="HT57" s="243"/>
      <c r="HU57" s="242"/>
      <c r="HV57" s="242"/>
      <c r="HW57" s="242"/>
      <c r="HX57" s="242"/>
      <c r="HY57" s="242"/>
      <c r="HZ57" s="242"/>
      <c r="IA57" s="242"/>
      <c r="IB57" s="243"/>
      <c r="IC57" s="243"/>
      <c r="ID57" s="243"/>
      <c r="IE57" s="243"/>
      <c r="IF57" s="243"/>
      <c r="IG57" s="243"/>
      <c r="IH57" s="243"/>
      <c r="II57" s="242"/>
      <c r="IJ57" s="242"/>
      <c r="IK57" s="242"/>
      <c r="IL57" s="242"/>
      <c r="IM57" s="242"/>
      <c r="IN57" s="242"/>
      <c r="IO57" s="242"/>
      <c r="IP57" s="243"/>
      <c r="IQ57" s="243"/>
      <c r="IR57" s="243"/>
      <c r="IS57" s="243"/>
      <c r="IT57" s="243"/>
      <c r="IU57" s="243"/>
      <c r="IV57" s="243"/>
      <c r="IW57" s="242"/>
      <c r="IX57" s="242"/>
      <c r="IY57" s="242"/>
      <c r="IZ57" s="242"/>
      <c r="JA57" s="242"/>
      <c r="JB57" s="242"/>
      <c r="JC57" s="242"/>
      <c r="JD57" s="243"/>
      <c r="JE57" s="243"/>
      <c r="JF57" s="243"/>
      <c r="JG57" s="243"/>
      <c r="JH57" s="243"/>
      <c r="JI57" s="243"/>
      <c r="JJ57" s="243">
        <v>12</v>
      </c>
      <c r="JK57" s="242">
        <v>12</v>
      </c>
      <c r="JL57" s="242"/>
      <c r="JM57" s="242"/>
      <c r="JN57" s="242"/>
      <c r="JO57" s="242"/>
      <c r="JP57" s="242"/>
      <c r="JQ57" s="242"/>
      <c r="JR57" s="243"/>
      <c r="JS57" s="243"/>
      <c r="JT57" s="243"/>
      <c r="JU57" s="243"/>
      <c r="JV57" s="243"/>
      <c r="JW57" s="243"/>
      <c r="JX57" s="243"/>
      <c r="JY57" s="242"/>
      <c r="JZ57" s="242"/>
      <c r="KA57" s="242"/>
      <c r="KB57" s="242"/>
      <c r="KC57" s="242"/>
      <c r="KD57" s="242"/>
      <c r="KE57" s="242"/>
      <c r="KF57" s="243"/>
      <c r="KG57" s="243"/>
      <c r="KH57" s="243"/>
      <c r="KI57" s="243"/>
      <c r="KJ57" s="243"/>
      <c r="KK57" s="243"/>
      <c r="KL57" s="243"/>
      <c r="KM57" s="242"/>
      <c r="KN57" s="242"/>
      <c r="KO57" s="242"/>
      <c r="KP57" s="242"/>
      <c r="KQ57" s="242"/>
      <c r="KR57" s="242"/>
      <c r="KS57" s="242"/>
      <c r="KT57" s="243"/>
      <c r="KU57" s="243"/>
      <c r="KV57" s="243"/>
      <c r="KW57" s="243"/>
      <c r="KX57" s="243"/>
      <c r="KY57" s="243"/>
      <c r="KZ57" s="243"/>
      <c r="LA57" s="242"/>
      <c r="LB57" s="242"/>
      <c r="LC57" s="242"/>
      <c r="LD57" s="242"/>
      <c r="LE57" s="242"/>
      <c r="LF57" s="242"/>
      <c r="LG57" s="242"/>
      <c r="LH57" s="243"/>
      <c r="LI57" s="243"/>
      <c r="LJ57" s="243"/>
      <c r="LK57" s="243"/>
      <c r="LL57" s="243"/>
      <c r="LM57" s="243"/>
      <c r="LN57" s="243"/>
      <c r="LO57" s="242"/>
      <c r="LP57" s="242"/>
      <c r="LQ57" s="242"/>
      <c r="LR57" s="242"/>
      <c r="LS57" s="242"/>
      <c r="LT57" s="242"/>
      <c r="LU57" s="242"/>
      <c r="LV57" s="243"/>
      <c r="LW57" s="243"/>
      <c r="LX57" s="243"/>
      <c r="LY57" s="243"/>
      <c r="LZ57" s="243"/>
      <c r="MA57" s="243"/>
      <c r="MB57" s="243"/>
      <c r="MC57" s="242"/>
      <c r="MD57" s="242"/>
      <c r="ME57" s="242"/>
      <c r="MF57" s="242"/>
      <c r="MG57" s="242"/>
      <c r="MH57" s="242"/>
      <c r="MI57" s="242"/>
      <c r="MJ57" s="243"/>
      <c r="MK57" s="243"/>
      <c r="ML57" s="243"/>
      <c r="MM57" s="243"/>
      <c r="MN57" s="243"/>
      <c r="MO57" s="243"/>
      <c r="MP57" s="243"/>
      <c r="MQ57" s="242"/>
      <c r="MR57" s="242"/>
      <c r="MS57" s="242"/>
      <c r="MT57" s="242"/>
      <c r="MU57" s="242"/>
      <c r="MV57" s="242"/>
      <c r="MW57" s="242"/>
      <c r="MX57" s="243"/>
      <c r="MY57" s="243"/>
      <c r="MZ57" s="243"/>
      <c r="NA57" s="243"/>
      <c r="NB57" s="243"/>
      <c r="NC57" s="243"/>
      <c r="ND57" s="243"/>
      <c r="NE57" s="242"/>
      <c r="NF57" s="242"/>
      <c r="NG57" s="242"/>
      <c r="NH57" s="333"/>
    </row>
    <row r="58" spans="1:372">
      <c r="A58" s="251" t="s">
        <v>972</v>
      </c>
      <c r="B58" s="251" t="s">
        <v>114</v>
      </c>
      <c r="C58" s="251" t="s">
        <v>674</v>
      </c>
      <c r="D58" s="251" t="s">
        <v>982</v>
      </c>
      <c r="E58" s="241">
        <v>121.04197219587275</v>
      </c>
      <c r="F58" s="241">
        <v>84</v>
      </c>
      <c r="G58" s="242"/>
      <c r="H58" s="242"/>
      <c r="I58" s="242"/>
      <c r="J58" s="242"/>
      <c r="K58" s="242"/>
      <c r="L58" s="243"/>
      <c r="M58" s="243"/>
      <c r="N58" s="243"/>
      <c r="O58" s="243"/>
      <c r="P58" s="243"/>
      <c r="Q58" s="243"/>
      <c r="R58" s="243"/>
      <c r="S58" s="242"/>
      <c r="T58" s="242"/>
      <c r="U58" s="242"/>
      <c r="V58" s="242"/>
      <c r="W58" s="242"/>
      <c r="X58" s="242"/>
      <c r="Y58" s="242"/>
      <c r="Z58" s="243"/>
      <c r="AA58" s="243"/>
      <c r="AB58" s="243"/>
      <c r="AC58" s="243"/>
      <c r="AD58" s="243"/>
      <c r="AE58" s="243"/>
      <c r="AF58" s="243"/>
      <c r="AG58" s="242"/>
      <c r="AH58" s="242"/>
      <c r="AI58" s="242"/>
      <c r="AJ58" s="242"/>
      <c r="AK58" s="242"/>
      <c r="AL58" s="242"/>
      <c r="AM58" s="242"/>
      <c r="AN58" s="243"/>
      <c r="AO58" s="243"/>
      <c r="AP58" s="243"/>
      <c r="AQ58" s="243"/>
      <c r="AR58" s="243"/>
      <c r="AS58" s="243"/>
      <c r="AT58" s="243"/>
      <c r="AU58" s="242"/>
      <c r="AV58" s="242"/>
      <c r="AW58" s="242"/>
      <c r="AX58" s="242"/>
      <c r="AY58" s="242"/>
      <c r="AZ58" s="242"/>
      <c r="BA58" s="242"/>
      <c r="BB58" s="243"/>
      <c r="BC58" s="243"/>
      <c r="BD58" s="243"/>
      <c r="BE58" s="243"/>
      <c r="BF58" s="243"/>
      <c r="BG58" s="243"/>
      <c r="BH58" s="243"/>
      <c r="BI58" s="242"/>
      <c r="BJ58" s="242">
        <v>12</v>
      </c>
      <c r="BK58" s="242">
        <v>24</v>
      </c>
      <c r="BL58" s="242">
        <v>24</v>
      </c>
      <c r="BM58" s="242"/>
      <c r="BN58" s="242"/>
      <c r="BO58" s="242"/>
      <c r="BP58" s="243"/>
      <c r="BQ58" s="243"/>
      <c r="BR58" s="243"/>
      <c r="BS58" s="243"/>
      <c r="BT58" s="243"/>
      <c r="BU58" s="243"/>
      <c r="BV58" s="243"/>
      <c r="BW58" s="242"/>
      <c r="BX58" s="242"/>
      <c r="BY58" s="242"/>
      <c r="BZ58" s="242"/>
      <c r="CA58" s="242"/>
      <c r="CB58" s="242"/>
      <c r="CC58" s="242"/>
      <c r="CD58" s="243"/>
      <c r="CE58" s="243"/>
      <c r="CF58" s="243"/>
      <c r="CG58" s="243"/>
      <c r="CH58" s="243"/>
      <c r="CI58" s="243"/>
      <c r="CJ58" s="243"/>
      <c r="CK58" s="242"/>
      <c r="CL58" s="242"/>
      <c r="CM58" s="242"/>
      <c r="CN58" s="242"/>
      <c r="CO58" s="242"/>
      <c r="CP58" s="242"/>
      <c r="CQ58" s="242"/>
      <c r="CR58" s="243"/>
      <c r="CS58" s="243"/>
      <c r="CT58" s="243"/>
      <c r="CU58" s="243"/>
      <c r="CV58" s="243"/>
      <c r="CW58" s="243"/>
      <c r="CX58" s="243"/>
      <c r="CY58" s="242"/>
      <c r="CZ58" s="242"/>
      <c r="DA58" s="242"/>
      <c r="DB58" s="242"/>
      <c r="DC58" s="242"/>
      <c r="DD58" s="242"/>
      <c r="DE58" s="242"/>
      <c r="DF58" s="243"/>
      <c r="DG58" s="243"/>
      <c r="DH58" s="243"/>
      <c r="DI58" s="243"/>
      <c r="DJ58" s="243"/>
      <c r="DK58" s="243"/>
      <c r="DL58" s="243"/>
      <c r="DM58" s="242"/>
      <c r="DN58" s="242"/>
      <c r="DO58" s="242"/>
      <c r="DP58" s="242"/>
      <c r="DQ58" s="242"/>
      <c r="DR58" s="242"/>
      <c r="DS58" s="242"/>
      <c r="DT58" s="243"/>
      <c r="DU58" s="243"/>
      <c r="DV58" s="243"/>
      <c r="DW58" s="243"/>
      <c r="DX58" s="243"/>
      <c r="DY58" s="243"/>
      <c r="DZ58" s="243"/>
      <c r="EA58" s="242"/>
      <c r="EB58" s="242"/>
      <c r="EC58" s="242"/>
      <c r="ED58" s="242"/>
      <c r="EE58" s="242"/>
      <c r="EF58" s="242"/>
      <c r="EG58" s="242"/>
      <c r="EH58" s="243"/>
      <c r="EI58" s="243"/>
      <c r="EJ58" s="243"/>
      <c r="EK58" s="243"/>
      <c r="EL58" s="243"/>
      <c r="EM58" s="243"/>
      <c r="EN58" s="243"/>
      <c r="EO58" s="242"/>
      <c r="EP58" s="242"/>
      <c r="EQ58" s="242"/>
      <c r="ER58" s="242"/>
      <c r="ES58" s="242"/>
      <c r="ET58" s="242"/>
      <c r="EU58" s="242"/>
      <c r="EV58" s="243"/>
      <c r="EW58" s="243"/>
      <c r="EX58" s="243"/>
      <c r="EY58" s="243"/>
      <c r="EZ58" s="243"/>
      <c r="FA58" s="243"/>
      <c r="FB58" s="243"/>
      <c r="FC58" s="242"/>
      <c r="FD58" s="242"/>
      <c r="FE58" s="242"/>
      <c r="FF58" s="242"/>
      <c r="FG58" s="242"/>
      <c r="FH58" s="242"/>
      <c r="FI58" s="242"/>
      <c r="FJ58" s="243"/>
      <c r="FK58" s="243"/>
      <c r="FL58" s="243"/>
      <c r="FM58" s="243"/>
      <c r="FN58" s="243"/>
      <c r="FO58" s="243"/>
      <c r="FP58" s="243"/>
      <c r="FQ58" s="242"/>
      <c r="FR58" s="242"/>
      <c r="FS58" s="242"/>
      <c r="FT58" s="242"/>
      <c r="FU58" s="242"/>
      <c r="FV58" s="242"/>
      <c r="FW58" s="242"/>
      <c r="FX58" s="243"/>
      <c r="FY58" s="243"/>
      <c r="FZ58" s="243"/>
      <c r="GA58" s="243"/>
      <c r="GB58" s="243"/>
      <c r="GC58" s="243"/>
      <c r="GD58" s="243"/>
      <c r="GE58" s="242"/>
      <c r="GF58" s="242"/>
      <c r="GG58" s="242"/>
      <c r="GH58" s="242"/>
      <c r="GI58" s="242"/>
      <c r="GJ58" s="242"/>
      <c r="GK58" s="242"/>
      <c r="GL58" s="243"/>
      <c r="GM58" s="243"/>
      <c r="GN58" s="243"/>
      <c r="GO58" s="243"/>
      <c r="GP58" s="243"/>
      <c r="GQ58" s="243"/>
      <c r="GR58" s="243"/>
      <c r="GS58" s="242"/>
      <c r="GT58" s="242"/>
      <c r="GU58" s="242"/>
      <c r="GV58" s="242"/>
      <c r="GW58" s="242"/>
      <c r="GX58" s="242"/>
      <c r="GY58" s="242"/>
      <c r="GZ58" s="243"/>
      <c r="HA58" s="243"/>
      <c r="HB58" s="243"/>
      <c r="HC58" s="243"/>
      <c r="HD58" s="243"/>
      <c r="HE58" s="243"/>
      <c r="HF58" s="243"/>
      <c r="HG58" s="242"/>
      <c r="HH58" s="242"/>
      <c r="HI58" s="242"/>
      <c r="HJ58" s="242"/>
      <c r="HK58" s="242"/>
      <c r="HL58" s="242"/>
      <c r="HM58" s="242"/>
      <c r="HN58" s="243"/>
      <c r="HO58" s="243"/>
      <c r="HP58" s="243"/>
      <c r="HQ58" s="243"/>
      <c r="HR58" s="243"/>
      <c r="HS58" s="243"/>
      <c r="HT58" s="243"/>
      <c r="HU58" s="242"/>
      <c r="HV58" s="242"/>
      <c r="HW58" s="242"/>
      <c r="HX58" s="242"/>
      <c r="HY58" s="242"/>
      <c r="HZ58" s="242"/>
      <c r="IA58" s="242"/>
      <c r="IB58" s="243"/>
      <c r="IC58" s="243"/>
      <c r="ID58" s="243"/>
      <c r="IE58" s="243"/>
      <c r="IF58" s="243"/>
      <c r="IG58" s="243"/>
      <c r="IH58" s="243"/>
      <c r="II58" s="242"/>
      <c r="IJ58" s="242"/>
      <c r="IK58" s="242"/>
      <c r="IL58" s="242"/>
      <c r="IM58" s="242"/>
      <c r="IN58" s="242"/>
      <c r="IO58" s="242"/>
      <c r="IP58" s="243"/>
      <c r="IQ58" s="243"/>
      <c r="IR58" s="243"/>
      <c r="IS58" s="243"/>
      <c r="IT58" s="243"/>
      <c r="IU58" s="243"/>
      <c r="IV58" s="243"/>
      <c r="IW58" s="242"/>
      <c r="IX58" s="242"/>
      <c r="IY58" s="242"/>
      <c r="IZ58" s="242"/>
      <c r="JA58" s="242"/>
      <c r="JB58" s="242"/>
      <c r="JC58" s="242"/>
      <c r="JD58" s="243"/>
      <c r="JE58" s="243"/>
      <c r="JF58" s="243"/>
      <c r="JG58" s="243"/>
      <c r="JH58" s="243"/>
      <c r="JI58" s="243"/>
      <c r="JJ58" s="243">
        <v>12</v>
      </c>
      <c r="JK58" s="242">
        <v>12</v>
      </c>
      <c r="JL58" s="242"/>
      <c r="JM58" s="242"/>
      <c r="JN58" s="242"/>
      <c r="JO58" s="242"/>
      <c r="JP58" s="242"/>
      <c r="JQ58" s="242"/>
      <c r="JR58" s="243"/>
      <c r="JS58" s="243"/>
      <c r="JT58" s="243"/>
      <c r="JU58" s="243"/>
      <c r="JV58" s="243"/>
      <c r="JW58" s="243"/>
      <c r="JX58" s="243"/>
      <c r="JY58" s="242"/>
      <c r="JZ58" s="242"/>
      <c r="KA58" s="242"/>
      <c r="KB58" s="242"/>
      <c r="KC58" s="242"/>
      <c r="KD58" s="242"/>
      <c r="KE58" s="242"/>
      <c r="KF58" s="243"/>
      <c r="KG58" s="243"/>
      <c r="KH58" s="243"/>
      <c r="KI58" s="243"/>
      <c r="KJ58" s="243"/>
      <c r="KK58" s="243"/>
      <c r="KL58" s="243"/>
      <c r="KM58" s="242"/>
      <c r="KN58" s="242"/>
      <c r="KO58" s="242"/>
      <c r="KP58" s="242"/>
      <c r="KQ58" s="242"/>
      <c r="KR58" s="242"/>
      <c r="KS58" s="242"/>
      <c r="KT58" s="243"/>
      <c r="KU58" s="243"/>
      <c r="KV58" s="243"/>
      <c r="KW58" s="243"/>
      <c r="KX58" s="243"/>
      <c r="KY58" s="243"/>
      <c r="KZ58" s="243"/>
      <c r="LA58" s="242"/>
      <c r="LB58" s="242"/>
      <c r="LC58" s="242"/>
      <c r="LD58" s="242"/>
      <c r="LE58" s="242"/>
      <c r="LF58" s="242"/>
      <c r="LG58" s="242"/>
      <c r="LH58" s="243"/>
      <c r="LI58" s="243"/>
      <c r="LJ58" s="243"/>
      <c r="LK58" s="243"/>
      <c r="LL58" s="243"/>
      <c r="LM58" s="243"/>
      <c r="LN58" s="243"/>
      <c r="LO58" s="242"/>
      <c r="LP58" s="242"/>
      <c r="LQ58" s="242"/>
      <c r="LR58" s="242"/>
      <c r="LS58" s="242"/>
      <c r="LT58" s="242"/>
      <c r="LU58" s="242"/>
      <c r="LV58" s="243"/>
      <c r="LW58" s="243"/>
      <c r="LX58" s="243"/>
      <c r="LY58" s="243"/>
      <c r="LZ58" s="243"/>
      <c r="MA58" s="243"/>
      <c r="MB58" s="243"/>
      <c r="MC58" s="242"/>
      <c r="MD58" s="242"/>
      <c r="ME58" s="242"/>
      <c r="MF58" s="242"/>
      <c r="MG58" s="242"/>
      <c r="MH58" s="242"/>
      <c r="MI58" s="242"/>
      <c r="MJ58" s="243"/>
      <c r="MK58" s="243"/>
      <c r="ML58" s="243"/>
      <c r="MM58" s="243"/>
      <c r="MN58" s="243"/>
      <c r="MO58" s="243"/>
      <c r="MP58" s="243"/>
      <c r="MQ58" s="242"/>
      <c r="MR58" s="242"/>
      <c r="MS58" s="242"/>
      <c r="MT58" s="242"/>
      <c r="MU58" s="242"/>
      <c r="MV58" s="242"/>
      <c r="MW58" s="242"/>
      <c r="MX58" s="243"/>
      <c r="MY58" s="243"/>
      <c r="MZ58" s="243"/>
      <c r="NA58" s="243"/>
      <c r="NB58" s="243"/>
      <c r="NC58" s="243"/>
      <c r="ND58" s="243"/>
      <c r="NE58" s="242"/>
      <c r="NF58" s="242"/>
      <c r="NG58" s="242"/>
      <c r="NH58" s="333"/>
    </row>
    <row r="59" spans="1:372">
      <c r="A59" s="251" t="s">
        <v>973</v>
      </c>
      <c r="B59" s="251" t="s">
        <v>358</v>
      </c>
      <c r="C59" s="251" t="s">
        <v>674</v>
      </c>
      <c r="D59" s="251" t="s">
        <v>982</v>
      </c>
      <c r="E59" s="241">
        <v>119.65717496688643</v>
      </c>
      <c r="F59" s="241">
        <v>352</v>
      </c>
      <c r="G59" s="242"/>
      <c r="H59" s="242"/>
      <c r="I59" s="242"/>
      <c r="J59" s="242"/>
      <c r="K59" s="242"/>
      <c r="L59" s="243"/>
      <c r="M59" s="243"/>
      <c r="N59" s="243"/>
      <c r="O59" s="243"/>
      <c r="P59" s="243"/>
      <c r="Q59" s="243"/>
      <c r="R59" s="243"/>
      <c r="S59" s="242"/>
      <c r="T59" s="242"/>
      <c r="U59" s="242"/>
      <c r="V59" s="242"/>
      <c r="W59" s="242"/>
      <c r="X59" s="242"/>
      <c r="Y59" s="242"/>
      <c r="Z59" s="243"/>
      <c r="AA59" s="243"/>
      <c r="AB59" s="243"/>
      <c r="AC59" s="243"/>
      <c r="AD59" s="243"/>
      <c r="AE59" s="243"/>
      <c r="AF59" s="243"/>
      <c r="AG59" s="242"/>
      <c r="AH59" s="242"/>
      <c r="AI59" s="242"/>
      <c r="AJ59" s="242"/>
      <c r="AK59" s="242"/>
      <c r="AL59" s="242"/>
      <c r="AM59" s="242"/>
      <c r="AN59" s="243"/>
      <c r="AO59" s="243"/>
      <c r="AP59" s="243"/>
      <c r="AQ59" s="243"/>
      <c r="AR59" s="243"/>
      <c r="AS59" s="243"/>
      <c r="AT59" s="243"/>
      <c r="AU59" s="242"/>
      <c r="AV59" s="242"/>
      <c r="AW59" s="242"/>
      <c r="AX59" s="242"/>
      <c r="AY59" s="242"/>
      <c r="AZ59" s="242"/>
      <c r="BA59" s="242"/>
      <c r="BB59" s="243"/>
      <c r="BC59" s="243"/>
      <c r="BD59" s="243"/>
      <c r="BE59" s="243"/>
      <c r="BF59" s="243"/>
      <c r="BG59" s="243"/>
      <c r="BH59" s="243"/>
      <c r="BI59" s="242"/>
      <c r="BJ59" s="242"/>
      <c r="BK59" s="242"/>
      <c r="BL59" s="242"/>
      <c r="BM59" s="242"/>
      <c r="BN59" s="242"/>
      <c r="BO59" s="242"/>
      <c r="BP59" s="243"/>
      <c r="BQ59" s="243"/>
      <c r="BR59" s="243"/>
      <c r="BS59" s="243"/>
      <c r="BT59" s="243"/>
      <c r="BU59" s="243"/>
      <c r="BV59" s="243"/>
      <c r="BW59" s="242"/>
      <c r="BX59" s="242"/>
      <c r="BY59" s="242"/>
      <c r="BZ59" s="242"/>
      <c r="CA59" s="242"/>
      <c r="CB59" s="242"/>
      <c r="CC59" s="242"/>
      <c r="CD59" s="243"/>
      <c r="CE59" s="243"/>
      <c r="CF59" s="243"/>
      <c r="CG59" s="243"/>
      <c r="CH59" s="243"/>
      <c r="CI59" s="243"/>
      <c r="CJ59" s="243"/>
      <c r="CK59" s="242"/>
      <c r="CL59" s="242"/>
      <c r="CM59" s="242"/>
      <c r="CN59" s="242"/>
      <c r="CO59" s="242"/>
      <c r="CP59" s="242"/>
      <c r="CQ59" s="242"/>
      <c r="CR59" s="243"/>
      <c r="CS59" s="243"/>
      <c r="CT59" s="243"/>
      <c r="CU59" s="243">
        <v>8</v>
      </c>
      <c r="CV59" s="243">
        <v>24</v>
      </c>
      <c r="CW59" s="243">
        <v>24</v>
      </c>
      <c r="CX59" s="243">
        <v>24</v>
      </c>
      <c r="CY59" s="242">
        <v>24</v>
      </c>
      <c r="CZ59" s="242">
        <v>24</v>
      </c>
      <c r="DA59" s="242">
        <v>24</v>
      </c>
      <c r="DB59" s="242">
        <v>24</v>
      </c>
      <c r="DC59" s="242"/>
      <c r="DD59" s="242"/>
      <c r="DE59" s="242"/>
      <c r="DF59" s="243"/>
      <c r="DG59" s="243"/>
      <c r="DH59" s="243"/>
      <c r="DI59" s="243"/>
      <c r="DJ59" s="243"/>
      <c r="DK59" s="243"/>
      <c r="DL59" s="243"/>
      <c r="DM59" s="242"/>
      <c r="DN59" s="242"/>
      <c r="DO59" s="242"/>
      <c r="DP59" s="242"/>
      <c r="DQ59" s="242"/>
      <c r="DR59" s="242"/>
      <c r="DS59" s="242"/>
      <c r="DT59" s="243"/>
      <c r="DU59" s="243"/>
      <c r="DV59" s="243"/>
      <c r="DW59" s="243"/>
      <c r="DX59" s="243"/>
      <c r="DY59" s="243"/>
      <c r="DZ59" s="243"/>
      <c r="EA59" s="242"/>
      <c r="EB59" s="242"/>
      <c r="EC59" s="242"/>
      <c r="ED59" s="242"/>
      <c r="EE59" s="242"/>
      <c r="EF59" s="242"/>
      <c r="EG59" s="242"/>
      <c r="EH59" s="243"/>
      <c r="EI59" s="243"/>
      <c r="EJ59" s="243"/>
      <c r="EK59" s="243"/>
      <c r="EL59" s="243"/>
      <c r="EM59" s="243"/>
      <c r="EN59" s="243"/>
      <c r="EO59" s="242"/>
      <c r="EP59" s="242"/>
      <c r="EQ59" s="242"/>
      <c r="ER59" s="242"/>
      <c r="ES59" s="242"/>
      <c r="ET59" s="242"/>
      <c r="EU59" s="242"/>
      <c r="EV59" s="243"/>
      <c r="EW59" s="243"/>
      <c r="EX59" s="243"/>
      <c r="EY59" s="243"/>
      <c r="EZ59" s="243"/>
      <c r="FA59" s="243"/>
      <c r="FB59" s="243"/>
      <c r="FC59" s="242"/>
      <c r="FD59" s="242"/>
      <c r="FE59" s="242"/>
      <c r="FF59" s="242"/>
      <c r="FG59" s="242"/>
      <c r="FH59" s="242"/>
      <c r="FI59" s="242"/>
      <c r="FJ59" s="243"/>
      <c r="FK59" s="243"/>
      <c r="FL59" s="243"/>
      <c r="FM59" s="243"/>
      <c r="FN59" s="243"/>
      <c r="FO59" s="243"/>
      <c r="FP59" s="243"/>
      <c r="FQ59" s="242"/>
      <c r="FR59" s="242"/>
      <c r="FS59" s="242"/>
      <c r="FT59" s="242"/>
      <c r="FU59" s="242"/>
      <c r="FV59" s="242"/>
      <c r="FW59" s="242"/>
      <c r="FX59" s="243"/>
      <c r="FY59" s="243"/>
      <c r="FZ59" s="243"/>
      <c r="GA59" s="243"/>
      <c r="GB59" s="243"/>
      <c r="GC59" s="243"/>
      <c r="GD59" s="243"/>
      <c r="GE59" s="242"/>
      <c r="GF59" s="242"/>
      <c r="GG59" s="242"/>
      <c r="GH59" s="242"/>
      <c r="GI59" s="242"/>
      <c r="GJ59" s="242"/>
      <c r="GK59" s="242"/>
      <c r="GL59" s="243"/>
      <c r="GM59" s="243"/>
      <c r="GN59" s="243"/>
      <c r="GO59" s="243"/>
      <c r="GP59" s="243"/>
      <c r="GQ59" s="243"/>
      <c r="GR59" s="243"/>
      <c r="GS59" s="242"/>
      <c r="GT59" s="242"/>
      <c r="GU59" s="242"/>
      <c r="GV59" s="242"/>
      <c r="GW59" s="242"/>
      <c r="GX59" s="242"/>
      <c r="GY59" s="242"/>
      <c r="GZ59" s="243"/>
      <c r="HA59" s="243"/>
      <c r="HB59" s="243"/>
      <c r="HC59" s="243"/>
      <c r="HD59" s="243"/>
      <c r="HE59" s="243"/>
      <c r="HF59" s="243"/>
      <c r="HG59" s="242"/>
      <c r="HH59" s="242"/>
      <c r="HI59" s="242"/>
      <c r="HJ59" s="242"/>
      <c r="HK59" s="242"/>
      <c r="HL59" s="242"/>
      <c r="HM59" s="242"/>
      <c r="HN59" s="243"/>
      <c r="HO59" s="243"/>
      <c r="HP59" s="243"/>
      <c r="HQ59" s="243"/>
      <c r="HR59" s="243"/>
      <c r="HS59" s="243"/>
      <c r="HT59" s="243"/>
      <c r="HU59" s="242"/>
      <c r="HV59" s="242"/>
      <c r="HW59" s="242"/>
      <c r="HX59" s="242"/>
      <c r="HY59" s="242"/>
      <c r="HZ59" s="242"/>
      <c r="IA59" s="242"/>
      <c r="IB59" s="243"/>
      <c r="IC59" s="243"/>
      <c r="ID59" s="243"/>
      <c r="IE59" s="243"/>
      <c r="IF59" s="243"/>
      <c r="IG59" s="243"/>
      <c r="IH59" s="243"/>
      <c r="II59" s="242"/>
      <c r="IJ59" s="242"/>
      <c r="IK59" s="242"/>
      <c r="IL59" s="242"/>
      <c r="IM59" s="242"/>
      <c r="IN59" s="242"/>
      <c r="IO59" s="242"/>
      <c r="IP59" s="243"/>
      <c r="IQ59" s="243"/>
      <c r="IR59" s="243"/>
      <c r="IS59" s="243"/>
      <c r="IT59" s="243"/>
      <c r="IU59" s="243"/>
      <c r="IV59" s="243"/>
      <c r="IW59" s="242"/>
      <c r="IX59" s="242"/>
      <c r="IY59" s="242"/>
      <c r="IZ59" s="242"/>
      <c r="JA59" s="242"/>
      <c r="JB59" s="242"/>
      <c r="JC59" s="242"/>
      <c r="JD59" s="243"/>
      <c r="JE59" s="243"/>
      <c r="JF59" s="243"/>
      <c r="JG59" s="243"/>
      <c r="JH59" s="243"/>
      <c r="JI59" s="243"/>
      <c r="JJ59" s="243"/>
      <c r="JK59" s="242"/>
      <c r="JL59" s="242"/>
      <c r="JM59" s="242"/>
      <c r="JN59" s="242"/>
      <c r="JO59" s="242"/>
      <c r="JP59" s="242"/>
      <c r="JQ59" s="242"/>
      <c r="JR59" s="243"/>
      <c r="JS59" s="243"/>
      <c r="JT59" s="243"/>
      <c r="JU59" s="243">
        <v>8</v>
      </c>
      <c r="JV59" s="243">
        <v>24</v>
      </c>
      <c r="JW59" s="243">
        <v>24</v>
      </c>
      <c r="JX59" s="243">
        <v>24</v>
      </c>
      <c r="JY59" s="242">
        <v>24</v>
      </c>
      <c r="JZ59" s="242">
        <v>24</v>
      </c>
      <c r="KA59" s="242">
        <v>24</v>
      </c>
      <c r="KB59" s="242">
        <v>24</v>
      </c>
      <c r="KC59" s="242"/>
      <c r="KD59" s="242"/>
      <c r="KE59" s="242"/>
      <c r="KF59" s="243"/>
      <c r="KG59" s="243"/>
      <c r="KH59" s="243"/>
      <c r="KI59" s="243"/>
      <c r="KJ59" s="243"/>
      <c r="KK59" s="243"/>
      <c r="KL59" s="243"/>
      <c r="KM59" s="242"/>
      <c r="KN59" s="242"/>
      <c r="KO59" s="242"/>
      <c r="KP59" s="242"/>
      <c r="KQ59" s="242"/>
      <c r="KR59" s="242"/>
      <c r="KS59" s="242"/>
      <c r="KT59" s="243"/>
      <c r="KU59" s="243"/>
      <c r="KV59" s="243"/>
      <c r="KW59" s="243"/>
      <c r="KX59" s="243"/>
      <c r="KY59" s="243"/>
      <c r="KZ59" s="243"/>
      <c r="LA59" s="242"/>
      <c r="LB59" s="242"/>
      <c r="LC59" s="242"/>
      <c r="LD59" s="242"/>
      <c r="LE59" s="242"/>
      <c r="LF59" s="242"/>
      <c r="LG59" s="242"/>
      <c r="LH59" s="243"/>
      <c r="LI59" s="243"/>
      <c r="LJ59" s="243"/>
      <c r="LK59" s="243"/>
      <c r="LL59" s="243"/>
      <c r="LM59" s="243"/>
      <c r="LN59" s="243"/>
      <c r="LO59" s="242"/>
      <c r="LP59" s="242"/>
      <c r="LQ59" s="242"/>
      <c r="LR59" s="242"/>
      <c r="LS59" s="242"/>
      <c r="LT59" s="242"/>
      <c r="LU59" s="242"/>
      <c r="LV59" s="243"/>
      <c r="LW59" s="243"/>
      <c r="LX59" s="243"/>
      <c r="LY59" s="243"/>
      <c r="LZ59" s="243"/>
      <c r="MA59" s="243"/>
      <c r="MB59" s="243"/>
      <c r="MC59" s="242"/>
      <c r="MD59" s="242"/>
      <c r="ME59" s="242"/>
      <c r="MF59" s="242"/>
      <c r="MG59" s="242"/>
      <c r="MH59" s="242"/>
      <c r="MI59" s="242"/>
      <c r="MJ59" s="243"/>
      <c r="MK59" s="243"/>
      <c r="ML59" s="243"/>
      <c r="MM59" s="243"/>
      <c r="MN59" s="243"/>
      <c r="MO59" s="243"/>
      <c r="MP59" s="243"/>
      <c r="MQ59" s="242"/>
      <c r="MR59" s="242"/>
      <c r="MS59" s="242"/>
      <c r="MT59" s="242"/>
      <c r="MU59" s="242"/>
      <c r="MV59" s="242"/>
      <c r="MW59" s="242"/>
      <c r="MX59" s="243"/>
      <c r="MY59" s="243"/>
      <c r="MZ59" s="243"/>
      <c r="NA59" s="243"/>
      <c r="NB59" s="243"/>
      <c r="NC59" s="243"/>
      <c r="ND59" s="243"/>
      <c r="NE59" s="242"/>
      <c r="NF59" s="242"/>
      <c r="NG59" s="242"/>
      <c r="NH59" s="333"/>
    </row>
    <row r="60" spans="1:372">
      <c r="A60" s="251" t="s">
        <v>973</v>
      </c>
      <c r="B60" s="251" t="s">
        <v>359</v>
      </c>
      <c r="C60" s="251" t="s">
        <v>674</v>
      </c>
      <c r="D60" s="251" t="s">
        <v>982</v>
      </c>
      <c r="E60" s="241">
        <v>224.5270499825406</v>
      </c>
      <c r="F60" s="241">
        <v>376</v>
      </c>
      <c r="G60" s="242"/>
      <c r="H60" s="242"/>
      <c r="I60" s="242"/>
      <c r="J60" s="242"/>
      <c r="K60" s="242"/>
      <c r="L60" s="243"/>
      <c r="M60" s="243"/>
      <c r="N60" s="243"/>
      <c r="O60" s="243"/>
      <c r="P60" s="243"/>
      <c r="Q60" s="243"/>
      <c r="R60" s="243"/>
      <c r="S60" s="242"/>
      <c r="T60" s="242"/>
      <c r="U60" s="242"/>
      <c r="V60" s="242"/>
      <c r="W60" s="242"/>
      <c r="X60" s="242"/>
      <c r="Y60" s="242"/>
      <c r="Z60" s="243"/>
      <c r="AA60" s="243"/>
      <c r="AB60" s="243"/>
      <c r="AC60" s="243"/>
      <c r="AD60" s="243"/>
      <c r="AE60" s="243"/>
      <c r="AF60" s="243"/>
      <c r="AG60" s="242"/>
      <c r="AH60" s="242"/>
      <c r="AI60" s="242"/>
      <c r="AJ60" s="242"/>
      <c r="AK60" s="242"/>
      <c r="AL60" s="242"/>
      <c r="AM60" s="242"/>
      <c r="AN60" s="243"/>
      <c r="AO60" s="243"/>
      <c r="AP60" s="243"/>
      <c r="AQ60" s="243"/>
      <c r="AR60" s="243"/>
      <c r="AS60" s="243"/>
      <c r="AT60" s="243"/>
      <c r="AU60" s="242"/>
      <c r="AV60" s="242"/>
      <c r="AW60" s="242"/>
      <c r="AX60" s="242"/>
      <c r="AY60" s="242"/>
      <c r="AZ60" s="242"/>
      <c r="BA60" s="242"/>
      <c r="BB60" s="243"/>
      <c r="BC60" s="243"/>
      <c r="BD60" s="243"/>
      <c r="BE60" s="243"/>
      <c r="BF60" s="243"/>
      <c r="BG60" s="243"/>
      <c r="BH60" s="243"/>
      <c r="BI60" s="242"/>
      <c r="BJ60" s="242"/>
      <c r="BK60" s="242"/>
      <c r="BL60" s="242"/>
      <c r="BM60" s="242"/>
      <c r="BN60" s="242"/>
      <c r="BO60" s="242"/>
      <c r="BP60" s="243"/>
      <c r="BQ60" s="243"/>
      <c r="BR60" s="243"/>
      <c r="BS60" s="243"/>
      <c r="BT60" s="243"/>
      <c r="BU60" s="243"/>
      <c r="BV60" s="243"/>
      <c r="BW60" s="242"/>
      <c r="BX60" s="242"/>
      <c r="BY60" s="242"/>
      <c r="BZ60" s="242"/>
      <c r="CA60" s="242"/>
      <c r="CB60" s="242"/>
      <c r="CC60" s="242"/>
      <c r="CD60" s="243"/>
      <c r="CE60" s="243"/>
      <c r="CF60" s="243"/>
      <c r="CG60" s="243"/>
      <c r="CH60" s="243"/>
      <c r="CI60" s="243"/>
      <c r="CJ60" s="243"/>
      <c r="CK60" s="242"/>
      <c r="CL60" s="242"/>
      <c r="CM60" s="242"/>
      <c r="CN60" s="242"/>
      <c r="CO60" s="242"/>
      <c r="CP60" s="242"/>
      <c r="CQ60" s="242"/>
      <c r="CR60" s="243"/>
      <c r="CS60" s="243"/>
      <c r="CT60" s="243"/>
      <c r="CU60" s="243">
        <v>12</v>
      </c>
      <c r="CV60" s="243">
        <v>24</v>
      </c>
      <c r="CW60" s="243">
        <v>24</v>
      </c>
      <c r="CX60" s="243">
        <v>24</v>
      </c>
      <c r="CY60" s="242">
        <v>24</v>
      </c>
      <c r="CZ60" s="242">
        <v>24</v>
      </c>
      <c r="DA60" s="242">
        <v>24</v>
      </c>
      <c r="DB60" s="242">
        <v>24</v>
      </c>
      <c r="DC60" s="242">
        <v>8</v>
      </c>
      <c r="DD60" s="242"/>
      <c r="DE60" s="242"/>
      <c r="DF60" s="243"/>
      <c r="DG60" s="243"/>
      <c r="DH60" s="243"/>
      <c r="DI60" s="243"/>
      <c r="DJ60" s="243"/>
      <c r="DK60" s="243"/>
      <c r="DL60" s="243"/>
      <c r="DM60" s="242"/>
      <c r="DN60" s="242"/>
      <c r="DO60" s="242"/>
      <c r="DP60" s="242"/>
      <c r="DQ60" s="242"/>
      <c r="DR60" s="242"/>
      <c r="DS60" s="242"/>
      <c r="DT60" s="243"/>
      <c r="DU60" s="243"/>
      <c r="DV60" s="243"/>
      <c r="DW60" s="243"/>
      <c r="DX60" s="243"/>
      <c r="DY60" s="243"/>
      <c r="DZ60" s="243"/>
      <c r="EA60" s="242"/>
      <c r="EB60" s="242"/>
      <c r="EC60" s="242"/>
      <c r="ED60" s="242"/>
      <c r="EE60" s="242"/>
      <c r="EF60" s="242"/>
      <c r="EG60" s="242"/>
      <c r="EH60" s="243"/>
      <c r="EI60" s="243"/>
      <c r="EJ60" s="243"/>
      <c r="EK60" s="243"/>
      <c r="EL60" s="243"/>
      <c r="EM60" s="243"/>
      <c r="EN60" s="243"/>
      <c r="EO60" s="242"/>
      <c r="EP60" s="242"/>
      <c r="EQ60" s="242"/>
      <c r="ER60" s="242"/>
      <c r="ES60" s="242"/>
      <c r="ET60" s="242"/>
      <c r="EU60" s="242"/>
      <c r="EV60" s="243"/>
      <c r="EW60" s="243"/>
      <c r="EX60" s="243"/>
      <c r="EY60" s="243"/>
      <c r="EZ60" s="243"/>
      <c r="FA60" s="243"/>
      <c r="FB60" s="243"/>
      <c r="FC60" s="242"/>
      <c r="FD60" s="242"/>
      <c r="FE60" s="242"/>
      <c r="FF60" s="242"/>
      <c r="FG60" s="242"/>
      <c r="FH60" s="242"/>
      <c r="FI60" s="242"/>
      <c r="FJ60" s="243"/>
      <c r="FK60" s="243"/>
      <c r="FL60" s="243"/>
      <c r="FM60" s="243"/>
      <c r="FN60" s="243"/>
      <c r="FO60" s="243"/>
      <c r="FP60" s="243"/>
      <c r="FQ60" s="242"/>
      <c r="FR60" s="242"/>
      <c r="FS60" s="242"/>
      <c r="FT60" s="242"/>
      <c r="FU60" s="242"/>
      <c r="FV60" s="242"/>
      <c r="FW60" s="242"/>
      <c r="FX60" s="243"/>
      <c r="FY60" s="243"/>
      <c r="FZ60" s="243"/>
      <c r="GA60" s="243"/>
      <c r="GB60" s="243"/>
      <c r="GC60" s="243"/>
      <c r="GD60" s="243"/>
      <c r="GE60" s="242"/>
      <c r="GF60" s="242"/>
      <c r="GG60" s="242"/>
      <c r="GH60" s="242"/>
      <c r="GI60" s="242"/>
      <c r="GJ60" s="242"/>
      <c r="GK60" s="242"/>
      <c r="GL60" s="243"/>
      <c r="GM60" s="243"/>
      <c r="GN60" s="243"/>
      <c r="GO60" s="243"/>
      <c r="GP60" s="243"/>
      <c r="GQ60" s="243"/>
      <c r="GR60" s="243"/>
      <c r="GS60" s="242"/>
      <c r="GT60" s="242"/>
      <c r="GU60" s="242"/>
      <c r="GV60" s="242"/>
      <c r="GW60" s="242"/>
      <c r="GX60" s="242"/>
      <c r="GY60" s="242"/>
      <c r="GZ60" s="243"/>
      <c r="HA60" s="243"/>
      <c r="HB60" s="243"/>
      <c r="HC60" s="243"/>
      <c r="HD60" s="243"/>
      <c r="HE60" s="243"/>
      <c r="HF60" s="243"/>
      <c r="HG60" s="242"/>
      <c r="HH60" s="242"/>
      <c r="HI60" s="242"/>
      <c r="HJ60" s="242"/>
      <c r="HK60" s="242"/>
      <c r="HL60" s="242"/>
      <c r="HM60" s="242"/>
      <c r="HN60" s="243"/>
      <c r="HO60" s="243"/>
      <c r="HP60" s="243"/>
      <c r="HQ60" s="243"/>
      <c r="HR60" s="243"/>
      <c r="HS60" s="243"/>
      <c r="HT60" s="243"/>
      <c r="HU60" s="242"/>
      <c r="HV60" s="242"/>
      <c r="HW60" s="242"/>
      <c r="HX60" s="242"/>
      <c r="HY60" s="242"/>
      <c r="HZ60" s="242"/>
      <c r="IA60" s="242"/>
      <c r="IB60" s="243"/>
      <c r="IC60" s="243"/>
      <c r="ID60" s="243"/>
      <c r="IE60" s="243"/>
      <c r="IF60" s="243"/>
      <c r="IG60" s="243"/>
      <c r="IH60" s="243"/>
      <c r="II60" s="242"/>
      <c r="IJ60" s="242"/>
      <c r="IK60" s="242"/>
      <c r="IL60" s="242"/>
      <c r="IM60" s="242"/>
      <c r="IN60" s="242"/>
      <c r="IO60" s="242"/>
      <c r="IP60" s="243"/>
      <c r="IQ60" s="243"/>
      <c r="IR60" s="243"/>
      <c r="IS60" s="243"/>
      <c r="IT60" s="243"/>
      <c r="IU60" s="243"/>
      <c r="IV60" s="243"/>
      <c r="IW60" s="242"/>
      <c r="IX60" s="242"/>
      <c r="IY60" s="242"/>
      <c r="IZ60" s="242"/>
      <c r="JA60" s="242"/>
      <c r="JB60" s="242"/>
      <c r="JC60" s="242"/>
      <c r="JD60" s="243"/>
      <c r="JE60" s="243"/>
      <c r="JF60" s="243"/>
      <c r="JG60" s="243"/>
      <c r="JH60" s="243"/>
      <c r="JI60" s="243"/>
      <c r="JJ60" s="243"/>
      <c r="JK60" s="242"/>
      <c r="JL60" s="242"/>
      <c r="JM60" s="242"/>
      <c r="JN60" s="242"/>
      <c r="JO60" s="242"/>
      <c r="JP60" s="242"/>
      <c r="JQ60" s="242"/>
      <c r="JR60" s="243"/>
      <c r="JS60" s="243"/>
      <c r="JT60" s="243"/>
      <c r="JU60" s="243">
        <v>12</v>
      </c>
      <c r="JV60" s="243">
        <v>24</v>
      </c>
      <c r="JW60" s="243">
        <v>24</v>
      </c>
      <c r="JX60" s="243">
        <v>24</v>
      </c>
      <c r="JY60" s="242">
        <v>24</v>
      </c>
      <c r="JZ60" s="242">
        <v>24</v>
      </c>
      <c r="KA60" s="242">
        <v>24</v>
      </c>
      <c r="KB60" s="242">
        <v>24</v>
      </c>
      <c r="KC60" s="242">
        <v>8</v>
      </c>
      <c r="KD60" s="242"/>
      <c r="KE60" s="242"/>
      <c r="KF60" s="243"/>
      <c r="KG60" s="243"/>
      <c r="KH60" s="243"/>
      <c r="KI60" s="243"/>
      <c r="KJ60" s="243"/>
      <c r="KK60" s="243"/>
      <c r="KL60" s="243"/>
      <c r="KM60" s="242"/>
      <c r="KN60" s="242"/>
      <c r="KO60" s="242"/>
      <c r="KP60" s="242"/>
      <c r="KQ60" s="242"/>
      <c r="KR60" s="242"/>
      <c r="KS60" s="242"/>
      <c r="KT60" s="243"/>
      <c r="KU60" s="243"/>
      <c r="KV60" s="243"/>
      <c r="KW60" s="243"/>
      <c r="KX60" s="243"/>
      <c r="KY60" s="243"/>
      <c r="KZ60" s="243"/>
      <c r="LA60" s="242"/>
      <c r="LB60" s="242"/>
      <c r="LC60" s="242"/>
      <c r="LD60" s="242"/>
      <c r="LE60" s="242"/>
      <c r="LF60" s="242"/>
      <c r="LG60" s="242"/>
      <c r="LH60" s="243"/>
      <c r="LI60" s="243"/>
      <c r="LJ60" s="243"/>
      <c r="LK60" s="243"/>
      <c r="LL60" s="243"/>
      <c r="LM60" s="243"/>
      <c r="LN60" s="243"/>
      <c r="LO60" s="242"/>
      <c r="LP60" s="242"/>
      <c r="LQ60" s="242"/>
      <c r="LR60" s="242"/>
      <c r="LS60" s="242"/>
      <c r="LT60" s="242"/>
      <c r="LU60" s="242"/>
      <c r="LV60" s="243"/>
      <c r="LW60" s="243"/>
      <c r="LX60" s="243"/>
      <c r="LY60" s="243"/>
      <c r="LZ60" s="243"/>
      <c r="MA60" s="243"/>
      <c r="MB60" s="243"/>
      <c r="MC60" s="242"/>
      <c r="MD60" s="242"/>
      <c r="ME60" s="242"/>
      <c r="MF60" s="242"/>
      <c r="MG60" s="242"/>
      <c r="MH60" s="242"/>
      <c r="MI60" s="242"/>
      <c r="MJ60" s="243"/>
      <c r="MK60" s="243"/>
      <c r="ML60" s="243"/>
      <c r="MM60" s="243"/>
      <c r="MN60" s="243"/>
      <c r="MO60" s="243"/>
      <c r="MP60" s="243"/>
      <c r="MQ60" s="242"/>
      <c r="MR60" s="242"/>
      <c r="MS60" s="242"/>
      <c r="MT60" s="242"/>
      <c r="MU60" s="242"/>
      <c r="MV60" s="242"/>
      <c r="MW60" s="242"/>
      <c r="MX60" s="243"/>
      <c r="MY60" s="243"/>
      <c r="MZ60" s="243"/>
      <c r="NA60" s="243"/>
      <c r="NB60" s="243"/>
      <c r="NC60" s="243"/>
      <c r="ND60" s="243"/>
      <c r="NE60" s="242"/>
      <c r="NF60" s="242"/>
      <c r="NG60" s="242"/>
      <c r="NH60" s="333"/>
    </row>
    <row r="61" spans="1:372">
      <c r="A61" s="251" t="s">
        <v>973</v>
      </c>
      <c r="B61" s="251" t="s">
        <v>360</v>
      </c>
      <c r="C61" s="251" t="s">
        <v>674</v>
      </c>
      <c r="D61" s="251" t="s">
        <v>982</v>
      </c>
      <c r="E61" s="241">
        <v>107.91276943350412</v>
      </c>
      <c r="F61" s="241">
        <v>424</v>
      </c>
      <c r="G61" s="242"/>
      <c r="H61" s="242"/>
      <c r="I61" s="242"/>
      <c r="J61" s="242"/>
      <c r="K61" s="242"/>
      <c r="L61" s="243"/>
      <c r="M61" s="243"/>
      <c r="N61" s="243"/>
      <c r="O61" s="243"/>
      <c r="P61" s="243"/>
      <c r="Q61" s="243"/>
      <c r="R61" s="243"/>
      <c r="S61" s="242"/>
      <c r="T61" s="242"/>
      <c r="U61" s="242"/>
      <c r="V61" s="242"/>
      <c r="W61" s="242"/>
      <c r="X61" s="242"/>
      <c r="Y61" s="242"/>
      <c r="Z61" s="243"/>
      <c r="AA61" s="243"/>
      <c r="AB61" s="243"/>
      <c r="AC61" s="243"/>
      <c r="AD61" s="243"/>
      <c r="AE61" s="243"/>
      <c r="AF61" s="243"/>
      <c r="AG61" s="242"/>
      <c r="AH61" s="242"/>
      <c r="AI61" s="242"/>
      <c r="AJ61" s="242"/>
      <c r="AK61" s="242"/>
      <c r="AL61" s="242"/>
      <c r="AM61" s="242"/>
      <c r="AN61" s="243"/>
      <c r="AO61" s="243"/>
      <c r="AP61" s="243"/>
      <c r="AQ61" s="243"/>
      <c r="AR61" s="243"/>
      <c r="AS61" s="243"/>
      <c r="AT61" s="243"/>
      <c r="AU61" s="242"/>
      <c r="AV61" s="242"/>
      <c r="AW61" s="242"/>
      <c r="AX61" s="242"/>
      <c r="AY61" s="242"/>
      <c r="AZ61" s="242"/>
      <c r="BA61" s="242"/>
      <c r="BB61" s="243"/>
      <c r="BC61" s="243"/>
      <c r="BD61" s="243"/>
      <c r="BE61" s="243"/>
      <c r="BF61" s="243"/>
      <c r="BG61" s="243"/>
      <c r="BH61" s="243"/>
      <c r="BI61" s="242"/>
      <c r="BJ61" s="242"/>
      <c r="BK61" s="242"/>
      <c r="BL61" s="242"/>
      <c r="BM61" s="242"/>
      <c r="BN61" s="242"/>
      <c r="BO61" s="242"/>
      <c r="BP61" s="243"/>
      <c r="BQ61" s="243"/>
      <c r="BR61" s="243"/>
      <c r="BS61" s="243"/>
      <c r="BT61" s="243"/>
      <c r="BU61" s="243"/>
      <c r="BV61" s="243"/>
      <c r="BW61" s="242"/>
      <c r="BX61" s="242"/>
      <c r="BY61" s="242"/>
      <c r="BZ61" s="242"/>
      <c r="CA61" s="242"/>
      <c r="CB61" s="242"/>
      <c r="CC61" s="242"/>
      <c r="CD61" s="243"/>
      <c r="CE61" s="243"/>
      <c r="CF61" s="243"/>
      <c r="CG61" s="243"/>
      <c r="CH61" s="243"/>
      <c r="CI61" s="243"/>
      <c r="CJ61" s="243"/>
      <c r="CK61" s="242"/>
      <c r="CL61" s="242"/>
      <c r="CM61" s="242"/>
      <c r="CN61" s="242"/>
      <c r="CO61" s="242"/>
      <c r="CP61" s="242"/>
      <c r="CQ61" s="242"/>
      <c r="CR61" s="243"/>
      <c r="CS61" s="243"/>
      <c r="CT61" s="243"/>
      <c r="CU61" s="243">
        <v>20</v>
      </c>
      <c r="CV61" s="243">
        <v>24</v>
      </c>
      <c r="CW61" s="243">
        <v>24</v>
      </c>
      <c r="CX61" s="243">
        <v>24</v>
      </c>
      <c r="CY61" s="242">
        <v>24</v>
      </c>
      <c r="CZ61" s="242">
        <v>24</v>
      </c>
      <c r="DA61" s="242">
        <v>24</v>
      </c>
      <c r="DB61" s="242">
        <v>24</v>
      </c>
      <c r="DC61" s="242">
        <v>24</v>
      </c>
      <c r="DD61" s="242"/>
      <c r="DE61" s="242"/>
      <c r="DF61" s="243"/>
      <c r="DG61" s="243"/>
      <c r="DH61" s="243"/>
      <c r="DI61" s="243"/>
      <c r="DJ61" s="243"/>
      <c r="DK61" s="243"/>
      <c r="DL61" s="243"/>
      <c r="DM61" s="242"/>
      <c r="DN61" s="242"/>
      <c r="DO61" s="242"/>
      <c r="DP61" s="242"/>
      <c r="DQ61" s="242"/>
      <c r="DR61" s="242"/>
      <c r="DS61" s="242"/>
      <c r="DT61" s="243"/>
      <c r="DU61" s="243"/>
      <c r="DV61" s="243"/>
      <c r="DW61" s="243"/>
      <c r="DX61" s="243"/>
      <c r="DY61" s="243"/>
      <c r="DZ61" s="243"/>
      <c r="EA61" s="242"/>
      <c r="EB61" s="242"/>
      <c r="EC61" s="242"/>
      <c r="ED61" s="242"/>
      <c r="EE61" s="242"/>
      <c r="EF61" s="242"/>
      <c r="EG61" s="242"/>
      <c r="EH61" s="243"/>
      <c r="EI61" s="243"/>
      <c r="EJ61" s="243"/>
      <c r="EK61" s="243"/>
      <c r="EL61" s="243"/>
      <c r="EM61" s="243"/>
      <c r="EN61" s="243"/>
      <c r="EO61" s="242"/>
      <c r="EP61" s="242"/>
      <c r="EQ61" s="242"/>
      <c r="ER61" s="242"/>
      <c r="ES61" s="242"/>
      <c r="ET61" s="242"/>
      <c r="EU61" s="242"/>
      <c r="EV61" s="243"/>
      <c r="EW61" s="243"/>
      <c r="EX61" s="243"/>
      <c r="EY61" s="243"/>
      <c r="EZ61" s="243"/>
      <c r="FA61" s="243"/>
      <c r="FB61" s="243"/>
      <c r="FC61" s="242"/>
      <c r="FD61" s="242"/>
      <c r="FE61" s="242"/>
      <c r="FF61" s="242"/>
      <c r="FG61" s="242"/>
      <c r="FH61" s="242"/>
      <c r="FI61" s="242"/>
      <c r="FJ61" s="243"/>
      <c r="FK61" s="243"/>
      <c r="FL61" s="243"/>
      <c r="FM61" s="243"/>
      <c r="FN61" s="243"/>
      <c r="FO61" s="243"/>
      <c r="FP61" s="243"/>
      <c r="FQ61" s="242"/>
      <c r="FR61" s="242"/>
      <c r="FS61" s="242"/>
      <c r="FT61" s="242"/>
      <c r="FU61" s="242"/>
      <c r="FV61" s="242"/>
      <c r="FW61" s="242"/>
      <c r="FX61" s="243"/>
      <c r="FY61" s="243"/>
      <c r="FZ61" s="243"/>
      <c r="GA61" s="243"/>
      <c r="GB61" s="243"/>
      <c r="GC61" s="243"/>
      <c r="GD61" s="243"/>
      <c r="GE61" s="242"/>
      <c r="GF61" s="242"/>
      <c r="GG61" s="242"/>
      <c r="GH61" s="242"/>
      <c r="GI61" s="242"/>
      <c r="GJ61" s="242"/>
      <c r="GK61" s="242"/>
      <c r="GL61" s="243"/>
      <c r="GM61" s="243"/>
      <c r="GN61" s="243"/>
      <c r="GO61" s="243"/>
      <c r="GP61" s="243"/>
      <c r="GQ61" s="243"/>
      <c r="GR61" s="243"/>
      <c r="GS61" s="242"/>
      <c r="GT61" s="242"/>
      <c r="GU61" s="242"/>
      <c r="GV61" s="242"/>
      <c r="GW61" s="242"/>
      <c r="GX61" s="242"/>
      <c r="GY61" s="242"/>
      <c r="GZ61" s="243"/>
      <c r="HA61" s="243"/>
      <c r="HB61" s="243"/>
      <c r="HC61" s="243"/>
      <c r="HD61" s="243"/>
      <c r="HE61" s="243"/>
      <c r="HF61" s="243"/>
      <c r="HG61" s="242"/>
      <c r="HH61" s="242"/>
      <c r="HI61" s="242"/>
      <c r="HJ61" s="242"/>
      <c r="HK61" s="242"/>
      <c r="HL61" s="242"/>
      <c r="HM61" s="242"/>
      <c r="HN61" s="243"/>
      <c r="HO61" s="243"/>
      <c r="HP61" s="243"/>
      <c r="HQ61" s="243"/>
      <c r="HR61" s="243"/>
      <c r="HS61" s="243"/>
      <c r="HT61" s="243"/>
      <c r="HU61" s="242"/>
      <c r="HV61" s="242"/>
      <c r="HW61" s="242"/>
      <c r="HX61" s="242"/>
      <c r="HY61" s="242"/>
      <c r="HZ61" s="242"/>
      <c r="IA61" s="242"/>
      <c r="IB61" s="243"/>
      <c r="IC61" s="243"/>
      <c r="ID61" s="243"/>
      <c r="IE61" s="243"/>
      <c r="IF61" s="243"/>
      <c r="IG61" s="243"/>
      <c r="IH61" s="243"/>
      <c r="II61" s="242"/>
      <c r="IJ61" s="242"/>
      <c r="IK61" s="242"/>
      <c r="IL61" s="242"/>
      <c r="IM61" s="242"/>
      <c r="IN61" s="242"/>
      <c r="IO61" s="242"/>
      <c r="IP61" s="243"/>
      <c r="IQ61" s="243"/>
      <c r="IR61" s="243"/>
      <c r="IS61" s="243"/>
      <c r="IT61" s="243"/>
      <c r="IU61" s="243"/>
      <c r="IV61" s="243"/>
      <c r="IW61" s="242"/>
      <c r="IX61" s="242"/>
      <c r="IY61" s="242"/>
      <c r="IZ61" s="242"/>
      <c r="JA61" s="242"/>
      <c r="JB61" s="242"/>
      <c r="JC61" s="242"/>
      <c r="JD61" s="243"/>
      <c r="JE61" s="243"/>
      <c r="JF61" s="243"/>
      <c r="JG61" s="243"/>
      <c r="JH61" s="243"/>
      <c r="JI61" s="243"/>
      <c r="JJ61" s="243"/>
      <c r="JK61" s="242"/>
      <c r="JL61" s="242"/>
      <c r="JM61" s="242"/>
      <c r="JN61" s="242"/>
      <c r="JO61" s="242"/>
      <c r="JP61" s="242"/>
      <c r="JQ61" s="242"/>
      <c r="JR61" s="243"/>
      <c r="JS61" s="243"/>
      <c r="JT61" s="243"/>
      <c r="JU61" s="243">
        <v>20</v>
      </c>
      <c r="JV61" s="243">
        <v>24</v>
      </c>
      <c r="JW61" s="243">
        <v>24</v>
      </c>
      <c r="JX61" s="243">
        <v>24</v>
      </c>
      <c r="JY61" s="242">
        <v>24</v>
      </c>
      <c r="JZ61" s="242">
        <v>24</v>
      </c>
      <c r="KA61" s="242">
        <v>24</v>
      </c>
      <c r="KB61" s="242">
        <v>24</v>
      </c>
      <c r="KC61" s="242">
        <v>24</v>
      </c>
      <c r="KD61" s="242"/>
      <c r="KE61" s="242"/>
      <c r="KF61" s="243"/>
      <c r="KG61" s="243"/>
      <c r="KH61" s="243"/>
      <c r="KI61" s="243"/>
      <c r="KJ61" s="243"/>
      <c r="KK61" s="243"/>
      <c r="KL61" s="243"/>
      <c r="KM61" s="242"/>
      <c r="KN61" s="242"/>
      <c r="KO61" s="242"/>
      <c r="KP61" s="242"/>
      <c r="KQ61" s="242"/>
      <c r="KR61" s="242"/>
      <c r="KS61" s="242"/>
      <c r="KT61" s="243"/>
      <c r="KU61" s="243"/>
      <c r="KV61" s="243"/>
      <c r="KW61" s="243"/>
      <c r="KX61" s="243"/>
      <c r="KY61" s="243"/>
      <c r="KZ61" s="243"/>
      <c r="LA61" s="242"/>
      <c r="LB61" s="242"/>
      <c r="LC61" s="242"/>
      <c r="LD61" s="242"/>
      <c r="LE61" s="242"/>
      <c r="LF61" s="242"/>
      <c r="LG61" s="242"/>
      <c r="LH61" s="243"/>
      <c r="LI61" s="243"/>
      <c r="LJ61" s="243"/>
      <c r="LK61" s="243"/>
      <c r="LL61" s="243"/>
      <c r="LM61" s="243"/>
      <c r="LN61" s="243"/>
      <c r="LO61" s="242"/>
      <c r="LP61" s="242"/>
      <c r="LQ61" s="242"/>
      <c r="LR61" s="242"/>
      <c r="LS61" s="242"/>
      <c r="LT61" s="242"/>
      <c r="LU61" s="242"/>
      <c r="LV61" s="243"/>
      <c r="LW61" s="243"/>
      <c r="LX61" s="243"/>
      <c r="LY61" s="243"/>
      <c r="LZ61" s="243"/>
      <c r="MA61" s="243"/>
      <c r="MB61" s="243"/>
      <c r="MC61" s="242"/>
      <c r="MD61" s="242"/>
      <c r="ME61" s="242"/>
      <c r="MF61" s="242"/>
      <c r="MG61" s="242"/>
      <c r="MH61" s="242"/>
      <c r="MI61" s="242"/>
      <c r="MJ61" s="243"/>
      <c r="MK61" s="243"/>
      <c r="ML61" s="243"/>
      <c r="MM61" s="243"/>
      <c r="MN61" s="243"/>
      <c r="MO61" s="243"/>
      <c r="MP61" s="243"/>
      <c r="MQ61" s="242"/>
      <c r="MR61" s="242"/>
      <c r="MS61" s="242"/>
      <c r="MT61" s="242"/>
      <c r="MU61" s="242"/>
      <c r="MV61" s="242"/>
      <c r="MW61" s="242"/>
      <c r="MX61" s="243"/>
      <c r="MY61" s="243"/>
      <c r="MZ61" s="243"/>
      <c r="NA61" s="243"/>
      <c r="NB61" s="243"/>
      <c r="NC61" s="243"/>
      <c r="ND61" s="243"/>
      <c r="NE61" s="242"/>
      <c r="NF61" s="242"/>
      <c r="NG61" s="242"/>
      <c r="NH61" s="333"/>
    </row>
    <row r="62" spans="1:372">
      <c r="A62" s="251" t="s">
        <v>973</v>
      </c>
      <c r="B62" s="251" t="s">
        <v>361</v>
      </c>
      <c r="C62" s="251" t="s">
        <v>674</v>
      </c>
      <c r="D62" s="251" t="s">
        <v>982</v>
      </c>
      <c r="E62" s="241">
        <v>261.48293333286171</v>
      </c>
      <c r="F62" s="241">
        <v>416</v>
      </c>
      <c r="G62" s="242"/>
      <c r="H62" s="242"/>
      <c r="I62" s="242"/>
      <c r="J62" s="242"/>
      <c r="K62" s="242"/>
      <c r="L62" s="243"/>
      <c r="M62" s="243"/>
      <c r="N62" s="243"/>
      <c r="O62" s="243"/>
      <c r="P62" s="243"/>
      <c r="Q62" s="243"/>
      <c r="R62" s="243"/>
      <c r="S62" s="242"/>
      <c r="T62" s="242"/>
      <c r="U62" s="242"/>
      <c r="V62" s="242"/>
      <c r="W62" s="242"/>
      <c r="X62" s="242"/>
      <c r="Y62" s="242"/>
      <c r="Z62" s="243"/>
      <c r="AA62" s="243"/>
      <c r="AB62" s="243"/>
      <c r="AC62" s="243"/>
      <c r="AD62" s="243"/>
      <c r="AE62" s="243"/>
      <c r="AF62" s="243"/>
      <c r="AG62" s="242"/>
      <c r="AH62" s="242"/>
      <c r="AI62" s="242"/>
      <c r="AJ62" s="242"/>
      <c r="AK62" s="242"/>
      <c r="AL62" s="242"/>
      <c r="AM62" s="242"/>
      <c r="AN62" s="243"/>
      <c r="AO62" s="243"/>
      <c r="AP62" s="243"/>
      <c r="AQ62" s="243"/>
      <c r="AR62" s="243"/>
      <c r="AS62" s="243"/>
      <c r="AT62" s="243"/>
      <c r="AU62" s="242"/>
      <c r="AV62" s="242"/>
      <c r="AW62" s="242"/>
      <c r="AX62" s="242"/>
      <c r="AY62" s="242"/>
      <c r="AZ62" s="242"/>
      <c r="BA62" s="242"/>
      <c r="BB62" s="243"/>
      <c r="BC62" s="243"/>
      <c r="BD62" s="243"/>
      <c r="BE62" s="243"/>
      <c r="BF62" s="243"/>
      <c r="BG62" s="243"/>
      <c r="BH62" s="243"/>
      <c r="BI62" s="242"/>
      <c r="BJ62" s="242"/>
      <c r="BK62" s="242"/>
      <c r="BL62" s="242"/>
      <c r="BM62" s="242"/>
      <c r="BN62" s="242"/>
      <c r="BO62" s="242"/>
      <c r="BP62" s="243"/>
      <c r="BQ62" s="243"/>
      <c r="BR62" s="243"/>
      <c r="BS62" s="243"/>
      <c r="BT62" s="243"/>
      <c r="BU62" s="243"/>
      <c r="BV62" s="243"/>
      <c r="BW62" s="242"/>
      <c r="BX62" s="242"/>
      <c r="BY62" s="242"/>
      <c r="BZ62" s="242"/>
      <c r="CA62" s="242"/>
      <c r="CB62" s="242"/>
      <c r="CC62" s="242"/>
      <c r="CD62" s="243"/>
      <c r="CE62" s="243"/>
      <c r="CF62" s="243"/>
      <c r="CG62" s="243"/>
      <c r="CH62" s="243"/>
      <c r="CI62" s="243"/>
      <c r="CJ62" s="243"/>
      <c r="CK62" s="242"/>
      <c r="CL62" s="242"/>
      <c r="CM62" s="242"/>
      <c r="CN62" s="242"/>
      <c r="CO62" s="242"/>
      <c r="CP62" s="242"/>
      <c r="CQ62" s="242"/>
      <c r="CR62" s="243"/>
      <c r="CS62" s="243"/>
      <c r="CT62" s="243"/>
      <c r="CU62" s="243">
        <v>8</v>
      </c>
      <c r="CV62" s="243">
        <v>24</v>
      </c>
      <c r="CW62" s="243">
        <v>24</v>
      </c>
      <c r="CX62" s="243">
        <v>24</v>
      </c>
      <c r="CY62" s="242">
        <v>24</v>
      </c>
      <c r="CZ62" s="242">
        <v>24</v>
      </c>
      <c r="DA62" s="242">
        <v>24</v>
      </c>
      <c r="DB62" s="242">
        <v>24</v>
      </c>
      <c r="DC62" s="242">
        <v>24</v>
      </c>
      <c r="DD62" s="242">
        <v>8</v>
      </c>
      <c r="DE62" s="242"/>
      <c r="DF62" s="243"/>
      <c r="DG62" s="243"/>
      <c r="DH62" s="243"/>
      <c r="DI62" s="243"/>
      <c r="DJ62" s="243"/>
      <c r="DK62" s="243"/>
      <c r="DL62" s="243"/>
      <c r="DM62" s="242"/>
      <c r="DN62" s="242"/>
      <c r="DO62" s="242"/>
      <c r="DP62" s="242"/>
      <c r="DQ62" s="242"/>
      <c r="DR62" s="242"/>
      <c r="DS62" s="242"/>
      <c r="DT62" s="243"/>
      <c r="DU62" s="243"/>
      <c r="DV62" s="243"/>
      <c r="DW62" s="243"/>
      <c r="DX62" s="243"/>
      <c r="DY62" s="243"/>
      <c r="DZ62" s="243"/>
      <c r="EA62" s="242"/>
      <c r="EB62" s="242"/>
      <c r="EC62" s="242"/>
      <c r="ED62" s="242"/>
      <c r="EE62" s="242"/>
      <c r="EF62" s="242"/>
      <c r="EG62" s="242"/>
      <c r="EH62" s="243"/>
      <c r="EI62" s="243"/>
      <c r="EJ62" s="243"/>
      <c r="EK62" s="243"/>
      <c r="EL62" s="243"/>
      <c r="EM62" s="243"/>
      <c r="EN62" s="243"/>
      <c r="EO62" s="242"/>
      <c r="EP62" s="242"/>
      <c r="EQ62" s="242"/>
      <c r="ER62" s="242"/>
      <c r="ES62" s="242"/>
      <c r="ET62" s="242"/>
      <c r="EU62" s="242"/>
      <c r="EV62" s="243"/>
      <c r="EW62" s="243"/>
      <c r="EX62" s="243"/>
      <c r="EY62" s="243"/>
      <c r="EZ62" s="243"/>
      <c r="FA62" s="243"/>
      <c r="FB62" s="243"/>
      <c r="FC62" s="242"/>
      <c r="FD62" s="242"/>
      <c r="FE62" s="242"/>
      <c r="FF62" s="242"/>
      <c r="FG62" s="242"/>
      <c r="FH62" s="242"/>
      <c r="FI62" s="242"/>
      <c r="FJ62" s="243"/>
      <c r="FK62" s="243"/>
      <c r="FL62" s="243"/>
      <c r="FM62" s="243"/>
      <c r="FN62" s="243"/>
      <c r="FO62" s="243"/>
      <c r="FP62" s="243"/>
      <c r="FQ62" s="242"/>
      <c r="FR62" s="242"/>
      <c r="FS62" s="242"/>
      <c r="FT62" s="242"/>
      <c r="FU62" s="242"/>
      <c r="FV62" s="242"/>
      <c r="FW62" s="242"/>
      <c r="FX62" s="243"/>
      <c r="FY62" s="243"/>
      <c r="FZ62" s="243"/>
      <c r="GA62" s="243"/>
      <c r="GB62" s="243"/>
      <c r="GC62" s="243"/>
      <c r="GD62" s="243"/>
      <c r="GE62" s="242"/>
      <c r="GF62" s="242"/>
      <c r="GG62" s="242"/>
      <c r="GH62" s="242"/>
      <c r="GI62" s="242"/>
      <c r="GJ62" s="242"/>
      <c r="GK62" s="242"/>
      <c r="GL62" s="243"/>
      <c r="GM62" s="243"/>
      <c r="GN62" s="243"/>
      <c r="GO62" s="243"/>
      <c r="GP62" s="243"/>
      <c r="GQ62" s="243"/>
      <c r="GR62" s="243"/>
      <c r="GS62" s="242"/>
      <c r="GT62" s="242"/>
      <c r="GU62" s="242"/>
      <c r="GV62" s="242"/>
      <c r="GW62" s="242"/>
      <c r="GX62" s="242"/>
      <c r="GY62" s="242"/>
      <c r="GZ62" s="243"/>
      <c r="HA62" s="243"/>
      <c r="HB62" s="243"/>
      <c r="HC62" s="243"/>
      <c r="HD62" s="243"/>
      <c r="HE62" s="243"/>
      <c r="HF62" s="243"/>
      <c r="HG62" s="242"/>
      <c r="HH62" s="242"/>
      <c r="HI62" s="242"/>
      <c r="HJ62" s="242"/>
      <c r="HK62" s="242"/>
      <c r="HL62" s="242"/>
      <c r="HM62" s="242"/>
      <c r="HN62" s="243"/>
      <c r="HO62" s="243"/>
      <c r="HP62" s="243"/>
      <c r="HQ62" s="243"/>
      <c r="HR62" s="243"/>
      <c r="HS62" s="243"/>
      <c r="HT62" s="243"/>
      <c r="HU62" s="242"/>
      <c r="HV62" s="242"/>
      <c r="HW62" s="242"/>
      <c r="HX62" s="242"/>
      <c r="HY62" s="242"/>
      <c r="HZ62" s="242"/>
      <c r="IA62" s="242"/>
      <c r="IB62" s="243"/>
      <c r="IC62" s="243"/>
      <c r="ID62" s="243"/>
      <c r="IE62" s="243"/>
      <c r="IF62" s="243"/>
      <c r="IG62" s="243"/>
      <c r="IH62" s="243"/>
      <c r="II62" s="242"/>
      <c r="IJ62" s="242"/>
      <c r="IK62" s="242"/>
      <c r="IL62" s="242"/>
      <c r="IM62" s="242"/>
      <c r="IN62" s="242"/>
      <c r="IO62" s="242"/>
      <c r="IP62" s="243"/>
      <c r="IQ62" s="243"/>
      <c r="IR62" s="243"/>
      <c r="IS62" s="243"/>
      <c r="IT62" s="243"/>
      <c r="IU62" s="243"/>
      <c r="IV62" s="243"/>
      <c r="IW62" s="242"/>
      <c r="IX62" s="242"/>
      <c r="IY62" s="242"/>
      <c r="IZ62" s="242"/>
      <c r="JA62" s="242"/>
      <c r="JB62" s="242"/>
      <c r="JC62" s="242"/>
      <c r="JD62" s="243"/>
      <c r="JE62" s="243"/>
      <c r="JF62" s="243"/>
      <c r="JG62" s="243"/>
      <c r="JH62" s="243"/>
      <c r="JI62" s="243"/>
      <c r="JJ62" s="243"/>
      <c r="JK62" s="242"/>
      <c r="JL62" s="242"/>
      <c r="JM62" s="242"/>
      <c r="JN62" s="242"/>
      <c r="JO62" s="242"/>
      <c r="JP62" s="242"/>
      <c r="JQ62" s="242"/>
      <c r="JR62" s="243"/>
      <c r="JS62" s="243"/>
      <c r="JT62" s="243"/>
      <c r="JU62" s="243">
        <v>8</v>
      </c>
      <c r="JV62" s="243">
        <v>24</v>
      </c>
      <c r="JW62" s="243">
        <v>24</v>
      </c>
      <c r="JX62" s="243">
        <v>24</v>
      </c>
      <c r="JY62" s="242">
        <v>24</v>
      </c>
      <c r="JZ62" s="242">
        <v>24</v>
      </c>
      <c r="KA62" s="242">
        <v>24</v>
      </c>
      <c r="KB62" s="242">
        <v>24</v>
      </c>
      <c r="KC62" s="242">
        <v>24</v>
      </c>
      <c r="KD62" s="242">
        <v>8</v>
      </c>
      <c r="KE62" s="242"/>
      <c r="KF62" s="243"/>
      <c r="KG62" s="243"/>
      <c r="KH62" s="243"/>
      <c r="KI62" s="243"/>
      <c r="KJ62" s="243"/>
      <c r="KK62" s="243"/>
      <c r="KL62" s="243"/>
      <c r="KM62" s="242"/>
      <c r="KN62" s="242"/>
      <c r="KO62" s="242"/>
      <c r="KP62" s="242"/>
      <c r="KQ62" s="242"/>
      <c r="KR62" s="242"/>
      <c r="KS62" s="242"/>
      <c r="KT62" s="243"/>
      <c r="KU62" s="243"/>
      <c r="KV62" s="243"/>
      <c r="KW62" s="243"/>
      <c r="KX62" s="243"/>
      <c r="KY62" s="243"/>
      <c r="KZ62" s="243"/>
      <c r="LA62" s="242"/>
      <c r="LB62" s="242"/>
      <c r="LC62" s="242"/>
      <c r="LD62" s="242"/>
      <c r="LE62" s="242"/>
      <c r="LF62" s="242"/>
      <c r="LG62" s="242"/>
      <c r="LH62" s="243"/>
      <c r="LI62" s="243"/>
      <c r="LJ62" s="243"/>
      <c r="LK62" s="243"/>
      <c r="LL62" s="243"/>
      <c r="LM62" s="243"/>
      <c r="LN62" s="243"/>
      <c r="LO62" s="242"/>
      <c r="LP62" s="242"/>
      <c r="LQ62" s="242"/>
      <c r="LR62" s="242"/>
      <c r="LS62" s="242"/>
      <c r="LT62" s="242"/>
      <c r="LU62" s="242"/>
      <c r="LV62" s="243"/>
      <c r="LW62" s="243"/>
      <c r="LX62" s="243"/>
      <c r="LY62" s="243"/>
      <c r="LZ62" s="243"/>
      <c r="MA62" s="243"/>
      <c r="MB62" s="243"/>
      <c r="MC62" s="242"/>
      <c r="MD62" s="242"/>
      <c r="ME62" s="242"/>
      <c r="MF62" s="242"/>
      <c r="MG62" s="242"/>
      <c r="MH62" s="242"/>
      <c r="MI62" s="242"/>
      <c r="MJ62" s="243"/>
      <c r="MK62" s="243"/>
      <c r="ML62" s="243"/>
      <c r="MM62" s="243"/>
      <c r="MN62" s="243"/>
      <c r="MO62" s="243"/>
      <c r="MP62" s="243"/>
      <c r="MQ62" s="242"/>
      <c r="MR62" s="242"/>
      <c r="MS62" s="242"/>
      <c r="MT62" s="242"/>
      <c r="MU62" s="242"/>
      <c r="MV62" s="242"/>
      <c r="MW62" s="242"/>
      <c r="MX62" s="243"/>
      <c r="MY62" s="243"/>
      <c r="MZ62" s="243"/>
      <c r="NA62" s="243"/>
      <c r="NB62" s="243"/>
      <c r="NC62" s="243"/>
      <c r="ND62" s="243"/>
      <c r="NE62" s="242"/>
      <c r="NF62" s="242"/>
      <c r="NG62" s="242"/>
      <c r="NH62" s="333"/>
    </row>
    <row r="63" spans="1:372">
      <c r="A63" s="251" t="s">
        <v>973</v>
      </c>
      <c r="B63" s="251" t="s">
        <v>362</v>
      </c>
      <c r="C63" s="251" t="s">
        <v>674</v>
      </c>
      <c r="D63" s="251" t="s">
        <v>982</v>
      </c>
      <c r="E63" s="241">
        <v>286.68537776605154</v>
      </c>
      <c r="F63" s="241">
        <v>352</v>
      </c>
      <c r="G63" s="242"/>
      <c r="H63" s="242"/>
      <c r="I63" s="242"/>
      <c r="J63" s="242"/>
      <c r="K63" s="242"/>
      <c r="L63" s="243"/>
      <c r="M63" s="243"/>
      <c r="N63" s="243"/>
      <c r="O63" s="243"/>
      <c r="P63" s="243"/>
      <c r="Q63" s="243"/>
      <c r="R63" s="243"/>
      <c r="S63" s="242"/>
      <c r="T63" s="242"/>
      <c r="U63" s="242"/>
      <c r="V63" s="242"/>
      <c r="W63" s="242"/>
      <c r="X63" s="242"/>
      <c r="Y63" s="242"/>
      <c r="Z63" s="243"/>
      <c r="AA63" s="243"/>
      <c r="AB63" s="243"/>
      <c r="AC63" s="243"/>
      <c r="AD63" s="243"/>
      <c r="AE63" s="243"/>
      <c r="AF63" s="243"/>
      <c r="AG63" s="242"/>
      <c r="AH63" s="242"/>
      <c r="AI63" s="242"/>
      <c r="AJ63" s="242"/>
      <c r="AK63" s="242"/>
      <c r="AL63" s="242"/>
      <c r="AM63" s="242"/>
      <c r="AN63" s="243"/>
      <c r="AO63" s="243"/>
      <c r="AP63" s="243"/>
      <c r="AQ63" s="243"/>
      <c r="AR63" s="243"/>
      <c r="AS63" s="243"/>
      <c r="AT63" s="243"/>
      <c r="AU63" s="242"/>
      <c r="AV63" s="242"/>
      <c r="AW63" s="242"/>
      <c r="AX63" s="242"/>
      <c r="AY63" s="242"/>
      <c r="AZ63" s="242"/>
      <c r="BA63" s="242"/>
      <c r="BB63" s="243"/>
      <c r="BC63" s="243"/>
      <c r="BD63" s="243"/>
      <c r="BE63" s="243"/>
      <c r="BF63" s="243"/>
      <c r="BG63" s="243"/>
      <c r="BH63" s="243"/>
      <c r="BI63" s="242"/>
      <c r="BJ63" s="242"/>
      <c r="BK63" s="242"/>
      <c r="BL63" s="242"/>
      <c r="BM63" s="242"/>
      <c r="BN63" s="242"/>
      <c r="BO63" s="242"/>
      <c r="BP63" s="243"/>
      <c r="BQ63" s="243"/>
      <c r="BR63" s="243"/>
      <c r="BS63" s="243"/>
      <c r="BT63" s="243"/>
      <c r="BU63" s="243"/>
      <c r="BV63" s="243"/>
      <c r="BW63" s="242"/>
      <c r="BX63" s="242"/>
      <c r="BY63" s="242"/>
      <c r="BZ63" s="242"/>
      <c r="CA63" s="242"/>
      <c r="CB63" s="242"/>
      <c r="CC63" s="242"/>
      <c r="CD63" s="243"/>
      <c r="CE63" s="243"/>
      <c r="CF63" s="243"/>
      <c r="CG63" s="243"/>
      <c r="CH63" s="243"/>
      <c r="CI63" s="243"/>
      <c r="CJ63" s="243"/>
      <c r="CK63" s="242"/>
      <c r="CL63" s="242"/>
      <c r="CM63" s="242"/>
      <c r="CN63" s="242"/>
      <c r="CO63" s="242"/>
      <c r="CP63" s="242"/>
      <c r="CQ63" s="242"/>
      <c r="CR63" s="243"/>
      <c r="CS63" s="243"/>
      <c r="CT63" s="243"/>
      <c r="CU63" s="243">
        <v>8</v>
      </c>
      <c r="CV63" s="243">
        <v>24</v>
      </c>
      <c r="CW63" s="243">
        <v>24</v>
      </c>
      <c r="CX63" s="243">
        <v>24</v>
      </c>
      <c r="CY63" s="242">
        <v>24</v>
      </c>
      <c r="CZ63" s="242">
        <v>24</v>
      </c>
      <c r="DA63" s="242">
        <v>24</v>
      </c>
      <c r="DB63" s="242">
        <v>24</v>
      </c>
      <c r="DC63" s="242"/>
      <c r="DD63" s="242"/>
      <c r="DE63" s="242"/>
      <c r="DF63" s="243"/>
      <c r="DG63" s="243"/>
      <c r="DH63" s="243"/>
      <c r="DI63" s="243"/>
      <c r="DJ63" s="243"/>
      <c r="DK63" s="243"/>
      <c r="DL63" s="243"/>
      <c r="DM63" s="242"/>
      <c r="DN63" s="242"/>
      <c r="DO63" s="242"/>
      <c r="DP63" s="242"/>
      <c r="DQ63" s="242"/>
      <c r="DR63" s="242"/>
      <c r="DS63" s="242"/>
      <c r="DT63" s="243"/>
      <c r="DU63" s="243"/>
      <c r="DV63" s="243"/>
      <c r="DW63" s="243"/>
      <c r="DX63" s="243"/>
      <c r="DY63" s="243"/>
      <c r="DZ63" s="243"/>
      <c r="EA63" s="242"/>
      <c r="EB63" s="242"/>
      <c r="EC63" s="242"/>
      <c r="ED63" s="242"/>
      <c r="EE63" s="242"/>
      <c r="EF63" s="242"/>
      <c r="EG63" s="242"/>
      <c r="EH63" s="243"/>
      <c r="EI63" s="243"/>
      <c r="EJ63" s="243"/>
      <c r="EK63" s="243"/>
      <c r="EL63" s="243"/>
      <c r="EM63" s="243"/>
      <c r="EN63" s="243"/>
      <c r="EO63" s="242"/>
      <c r="EP63" s="242"/>
      <c r="EQ63" s="242"/>
      <c r="ER63" s="242"/>
      <c r="ES63" s="242"/>
      <c r="ET63" s="242"/>
      <c r="EU63" s="242"/>
      <c r="EV63" s="243"/>
      <c r="EW63" s="243"/>
      <c r="EX63" s="243"/>
      <c r="EY63" s="243"/>
      <c r="EZ63" s="243"/>
      <c r="FA63" s="243"/>
      <c r="FB63" s="243"/>
      <c r="FC63" s="242"/>
      <c r="FD63" s="242"/>
      <c r="FE63" s="242"/>
      <c r="FF63" s="242"/>
      <c r="FG63" s="242"/>
      <c r="FH63" s="242"/>
      <c r="FI63" s="242"/>
      <c r="FJ63" s="243"/>
      <c r="FK63" s="243"/>
      <c r="FL63" s="243"/>
      <c r="FM63" s="243"/>
      <c r="FN63" s="243"/>
      <c r="FO63" s="243"/>
      <c r="FP63" s="243"/>
      <c r="FQ63" s="242"/>
      <c r="FR63" s="242"/>
      <c r="FS63" s="242"/>
      <c r="FT63" s="242"/>
      <c r="FU63" s="242"/>
      <c r="FV63" s="242"/>
      <c r="FW63" s="242"/>
      <c r="FX63" s="243"/>
      <c r="FY63" s="243"/>
      <c r="FZ63" s="243"/>
      <c r="GA63" s="243"/>
      <c r="GB63" s="243"/>
      <c r="GC63" s="243"/>
      <c r="GD63" s="243"/>
      <c r="GE63" s="242"/>
      <c r="GF63" s="242"/>
      <c r="GG63" s="242"/>
      <c r="GH63" s="242"/>
      <c r="GI63" s="242"/>
      <c r="GJ63" s="242"/>
      <c r="GK63" s="242"/>
      <c r="GL63" s="243"/>
      <c r="GM63" s="243"/>
      <c r="GN63" s="243"/>
      <c r="GO63" s="243"/>
      <c r="GP63" s="243"/>
      <c r="GQ63" s="243"/>
      <c r="GR63" s="243"/>
      <c r="GS63" s="242"/>
      <c r="GT63" s="242"/>
      <c r="GU63" s="242"/>
      <c r="GV63" s="242"/>
      <c r="GW63" s="242"/>
      <c r="GX63" s="242"/>
      <c r="GY63" s="242"/>
      <c r="GZ63" s="243"/>
      <c r="HA63" s="243"/>
      <c r="HB63" s="243"/>
      <c r="HC63" s="243"/>
      <c r="HD63" s="243"/>
      <c r="HE63" s="243"/>
      <c r="HF63" s="243"/>
      <c r="HG63" s="242"/>
      <c r="HH63" s="242"/>
      <c r="HI63" s="242"/>
      <c r="HJ63" s="242"/>
      <c r="HK63" s="242"/>
      <c r="HL63" s="242"/>
      <c r="HM63" s="242"/>
      <c r="HN63" s="243"/>
      <c r="HO63" s="243"/>
      <c r="HP63" s="243"/>
      <c r="HQ63" s="243"/>
      <c r="HR63" s="243"/>
      <c r="HS63" s="243"/>
      <c r="HT63" s="243"/>
      <c r="HU63" s="242"/>
      <c r="HV63" s="242"/>
      <c r="HW63" s="242"/>
      <c r="HX63" s="242"/>
      <c r="HY63" s="242"/>
      <c r="HZ63" s="242"/>
      <c r="IA63" s="242"/>
      <c r="IB63" s="243"/>
      <c r="IC63" s="243"/>
      <c r="ID63" s="243"/>
      <c r="IE63" s="243"/>
      <c r="IF63" s="243"/>
      <c r="IG63" s="243"/>
      <c r="IH63" s="243"/>
      <c r="II63" s="242"/>
      <c r="IJ63" s="242"/>
      <c r="IK63" s="242"/>
      <c r="IL63" s="242"/>
      <c r="IM63" s="242"/>
      <c r="IN63" s="242"/>
      <c r="IO63" s="242"/>
      <c r="IP63" s="243"/>
      <c r="IQ63" s="243"/>
      <c r="IR63" s="243"/>
      <c r="IS63" s="243"/>
      <c r="IT63" s="243"/>
      <c r="IU63" s="243"/>
      <c r="IV63" s="243"/>
      <c r="IW63" s="242"/>
      <c r="IX63" s="242"/>
      <c r="IY63" s="242"/>
      <c r="IZ63" s="242"/>
      <c r="JA63" s="242"/>
      <c r="JB63" s="242"/>
      <c r="JC63" s="242"/>
      <c r="JD63" s="243"/>
      <c r="JE63" s="243"/>
      <c r="JF63" s="243"/>
      <c r="JG63" s="243"/>
      <c r="JH63" s="243"/>
      <c r="JI63" s="243"/>
      <c r="JJ63" s="243"/>
      <c r="JK63" s="242"/>
      <c r="JL63" s="242"/>
      <c r="JM63" s="242"/>
      <c r="JN63" s="242"/>
      <c r="JO63" s="242"/>
      <c r="JP63" s="242"/>
      <c r="JQ63" s="242"/>
      <c r="JR63" s="243"/>
      <c r="JS63" s="243"/>
      <c r="JT63" s="243"/>
      <c r="JU63" s="243">
        <v>8</v>
      </c>
      <c r="JV63" s="243">
        <v>24</v>
      </c>
      <c r="JW63" s="243">
        <v>24</v>
      </c>
      <c r="JX63" s="243">
        <v>24</v>
      </c>
      <c r="JY63" s="242">
        <v>24</v>
      </c>
      <c r="JZ63" s="242">
        <v>24</v>
      </c>
      <c r="KA63" s="242">
        <v>24</v>
      </c>
      <c r="KB63" s="242">
        <v>24</v>
      </c>
      <c r="KC63" s="242"/>
      <c r="KD63" s="242"/>
      <c r="KE63" s="242"/>
      <c r="KF63" s="243"/>
      <c r="KG63" s="243"/>
      <c r="KH63" s="243"/>
      <c r="KI63" s="243"/>
      <c r="KJ63" s="243"/>
      <c r="KK63" s="243"/>
      <c r="KL63" s="243"/>
      <c r="KM63" s="242"/>
      <c r="KN63" s="242"/>
      <c r="KO63" s="242"/>
      <c r="KP63" s="242"/>
      <c r="KQ63" s="242"/>
      <c r="KR63" s="242"/>
      <c r="KS63" s="242"/>
      <c r="KT63" s="243"/>
      <c r="KU63" s="243"/>
      <c r="KV63" s="243"/>
      <c r="KW63" s="243"/>
      <c r="KX63" s="243"/>
      <c r="KY63" s="243"/>
      <c r="KZ63" s="243"/>
      <c r="LA63" s="242"/>
      <c r="LB63" s="242"/>
      <c r="LC63" s="242"/>
      <c r="LD63" s="242"/>
      <c r="LE63" s="242"/>
      <c r="LF63" s="242"/>
      <c r="LG63" s="242"/>
      <c r="LH63" s="243"/>
      <c r="LI63" s="243"/>
      <c r="LJ63" s="243"/>
      <c r="LK63" s="243"/>
      <c r="LL63" s="243"/>
      <c r="LM63" s="243"/>
      <c r="LN63" s="243"/>
      <c r="LO63" s="242"/>
      <c r="LP63" s="242"/>
      <c r="LQ63" s="242"/>
      <c r="LR63" s="242"/>
      <c r="LS63" s="242"/>
      <c r="LT63" s="242"/>
      <c r="LU63" s="242"/>
      <c r="LV63" s="243"/>
      <c r="LW63" s="243"/>
      <c r="LX63" s="243"/>
      <c r="LY63" s="243"/>
      <c r="LZ63" s="243"/>
      <c r="MA63" s="243"/>
      <c r="MB63" s="243"/>
      <c r="MC63" s="242"/>
      <c r="MD63" s="242"/>
      <c r="ME63" s="242"/>
      <c r="MF63" s="242"/>
      <c r="MG63" s="242"/>
      <c r="MH63" s="242"/>
      <c r="MI63" s="242"/>
      <c r="MJ63" s="243"/>
      <c r="MK63" s="243"/>
      <c r="ML63" s="243"/>
      <c r="MM63" s="243"/>
      <c r="MN63" s="243"/>
      <c r="MO63" s="243"/>
      <c r="MP63" s="243"/>
      <c r="MQ63" s="242"/>
      <c r="MR63" s="242"/>
      <c r="MS63" s="242"/>
      <c r="MT63" s="242"/>
      <c r="MU63" s="242"/>
      <c r="MV63" s="242"/>
      <c r="MW63" s="242"/>
      <c r="MX63" s="243"/>
      <c r="MY63" s="243"/>
      <c r="MZ63" s="243"/>
      <c r="NA63" s="243"/>
      <c r="NB63" s="243"/>
      <c r="NC63" s="243"/>
      <c r="ND63" s="243"/>
      <c r="NE63" s="242"/>
      <c r="NF63" s="242"/>
      <c r="NG63" s="242"/>
      <c r="NH63" s="333"/>
    </row>
    <row r="64" spans="1:372">
      <c r="A64" s="251" t="s">
        <v>973</v>
      </c>
      <c r="B64" s="251" t="s">
        <v>363</v>
      </c>
      <c r="C64" s="251" t="s">
        <v>674</v>
      </c>
      <c r="D64" s="251" t="s">
        <v>982</v>
      </c>
      <c r="E64" s="241">
        <v>323.78717776586689</v>
      </c>
      <c r="F64" s="241">
        <v>352</v>
      </c>
      <c r="G64" s="242"/>
      <c r="H64" s="242"/>
      <c r="I64" s="242"/>
      <c r="J64" s="242"/>
      <c r="K64" s="242"/>
      <c r="L64" s="243"/>
      <c r="M64" s="243"/>
      <c r="N64" s="243"/>
      <c r="O64" s="243"/>
      <c r="P64" s="243"/>
      <c r="Q64" s="243"/>
      <c r="R64" s="243"/>
      <c r="S64" s="242"/>
      <c r="T64" s="242"/>
      <c r="U64" s="242"/>
      <c r="V64" s="242"/>
      <c r="W64" s="242"/>
      <c r="X64" s="242"/>
      <c r="Y64" s="242"/>
      <c r="Z64" s="243"/>
      <c r="AA64" s="243"/>
      <c r="AB64" s="243"/>
      <c r="AC64" s="243"/>
      <c r="AD64" s="243"/>
      <c r="AE64" s="243"/>
      <c r="AF64" s="243"/>
      <c r="AG64" s="242"/>
      <c r="AH64" s="242"/>
      <c r="AI64" s="242"/>
      <c r="AJ64" s="242"/>
      <c r="AK64" s="242"/>
      <c r="AL64" s="242"/>
      <c r="AM64" s="242"/>
      <c r="AN64" s="243"/>
      <c r="AO64" s="243"/>
      <c r="AP64" s="243"/>
      <c r="AQ64" s="243"/>
      <c r="AR64" s="243"/>
      <c r="AS64" s="243"/>
      <c r="AT64" s="243"/>
      <c r="AU64" s="242"/>
      <c r="AV64" s="242"/>
      <c r="AW64" s="242"/>
      <c r="AX64" s="242"/>
      <c r="AY64" s="242"/>
      <c r="AZ64" s="242"/>
      <c r="BA64" s="242"/>
      <c r="BB64" s="243"/>
      <c r="BC64" s="243"/>
      <c r="BD64" s="243"/>
      <c r="BE64" s="243"/>
      <c r="BF64" s="243"/>
      <c r="BG64" s="243"/>
      <c r="BH64" s="243"/>
      <c r="BI64" s="242"/>
      <c r="BJ64" s="242"/>
      <c r="BK64" s="242"/>
      <c r="BL64" s="242"/>
      <c r="BM64" s="242"/>
      <c r="BN64" s="242"/>
      <c r="BO64" s="242"/>
      <c r="BP64" s="243"/>
      <c r="BQ64" s="243"/>
      <c r="BR64" s="243"/>
      <c r="BS64" s="243"/>
      <c r="BT64" s="243"/>
      <c r="BU64" s="243"/>
      <c r="BV64" s="243"/>
      <c r="BW64" s="242"/>
      <c r="BX64" s="242"/>
      <c r="BY64" s="242"/>
      <c r="BZ64" s="242"/>
      <c r="CA64" s="242"/>
      <c r="CB64" s="242"/>
      <c r="CC64" s="242"/>
      <c r="CD64" s="243"/>
      <c r="CE64" s="243"/>
      <c r="CF64" s="243"/>
      <c r="CG64" s="243"/>
      <c r="CH64" s="243"/>
      <c r="CI64" s="243"/>
      <c r="CJ64" s="243"/>
      <c r="CK64" s="242"/>
      <c r="CL64" s="242"/>
      <c r="CM64" s="242"/>
      <c r="CN64" s="242"/>
      <c r="CO64" s="242"/>
      <c r="CP64" s="242"/>
      <c r="CQ64" s="242"/>
      <c r="CR64" s="243"/>
      <c r="CS64" s="243"/>
      <c r="CT64" s="243"/>
      <c r="CU64" s="243"/>
      <c r="CV64" s="243">
        <v>8</v>
      </c>
      <c r="CW64" s="243">
        <v>24</v>
      </c>
      <c r="CX64" s="243">
        <v>24</v>
      </c>
      <c r="CY64" s="242">
        <v>24</v>
      </c>
      <c r="CZ64" s="242">
        <v>24</v>
      </c>
      <c r="DA64" s="242">
        <v>24</v>
      </c>
      <c r="DB64" s="242">
        <v>24</v>
      </c>
      <c r="DC64" s="242">
        <v>24</v>
      </c>
      <c r="DD64" s="242"/>
      <c r="DE64" s="242"/>
      <c r="DF64" s="243"/>
      <c r="DG64" s="243"/>
      <c r="DH64" s="243"/>
      <c r="DI64" s="243"/>
      <c r="DJ64" s="243"/>
      <c r="DK64" s="243"/>
      <c r="DL64" s="243"/>
      <c r="DM64" s="242"/>
      <c r="DN64" s="242"/>
      <c r="DO64" s="242"/>
      <c r="DP64" s="242"/>
      <c r="DQ64" s="242"/>
      <c r="DR64" s="242"/>
      <c r="DS64" s="242"/>
      <c r="DT64" s="243"/>
      <c r="DU64" s="243"/>
      <c r="DV64" s="243"/>
      <c r="DW64" s="243"/>
      <c r="DX64" s="243"/>
      <c r="DY64" s="243"/>
      <c r="DZ64" s="243"/>
      <c r="EA64" s="242"/>
      <c r="EB64" s="242"/>
      <c r="EC64" s="242"/>
      <c r="ED64" s="242"/>
      <c r="EE64" s="242"/>
      <c r="EF64" s="242"/>
      <c r="EG64" s="242"/>
      <c r="EH64" s="243"/>
      <c r="EI64" s="243"/>
      <c r="EJ64" s="243"/>
      <c r="EK64" s="243"/>
      <c r="EL64" s="243"/>
      <c r="EM64" s="243"/>
      <c r="EN64" s="243"/>
      <c r="EO64" s="242"/>
      <c r="EP64" s="242"/>
      <c r="EQ64" s="242"/>
      <c r="ER64" s="242"/>
      <c r="ES64" s="242"/>
      <c r="ET64" s="242"/>
      <c r="EU64" s="242"/>
      <c r="EV64" s="243"/>
      <c r="EW64" s="243"/>
      <c r="EX64" s="243"/>
      <c r="EY64" s="243"/>
      <c r="EZ64" s="243"/>
      <c r="FA64" s="243"/>
      <c r="FB64" s="243"/>
      <c r="FC64" s="242"/>
      <c r="FD64" s="242"/>
      <c r="FE64" s="242"/>
      <c r="FF64" s="242"/>
      <c r="FG64" s="242"/>
      <c r="FH64" s="242"/>
      <c r="FI64" s="242"/>
      <c r="FJ64" s="243"/>
      <c r="FK64" s="243"/>
      <c r="FL64" s="243"/>
      <c r="FM64" s="243"/>
      <c r="FN64" s="243"/>
      <c r="FO64" s="243"/>
      <c r="FP64" s="243"/>
      <c r="FQ64" s="242"/>
      <c r="FR64" s="242"/>
      <c r="FS64" s="242"/>
      <c r="FT64" s="242"/>
      <c r="FU64" s="242"/>
      <c r="FV64" s="242"/>
      <c r="FW64" s="242"/>
      <c r="FX64" s="243"/>
      <c r="FY64" s="243"/>
      <c r="FZ64" s="243"/>
      <c r="GA64" s="243"/>
      <c r="GB64" s="243"/>
      <c r="GC64" s="243"/>
      <c r="GD64" s="243"/>
      <c r="GE64" s="242"/>
      <c r="GF64" s="242"/>
      <c r="GG64" s="242"/>
      <c r="GH64" s="242"/>
      <c r="GI64" s="242"/>
      <c r="GJ64" s="242"/>
      <c r="GK64" s="242"/>
      <c r="GL64" s="243"/>
      <c r="GM64" s="243"/>
      <c r="GN64" s="243"/>
      <c r="GO64" s="243"/>
      <c r="GP64" s="243"/>
      <c r="GQ64" s="243"/>
      <c r="GR64" s="243"/>
      <c r="GS64" s="242"/>
      <c r="GT64" s="242"/>
      <c r="GU64" s="242"/>
      <c r="GV64" s="242"/>
      <c r="GW64" s="242"/>
      <c r="GX64" s="242"/>
      <c r="GY64" s="242"/>
      <c r="GZ64" s="243"/>
      <c r="HA64" s="243"/>
      <c r="HB64" s="243"/>
      <c r="HC64" s="243"/>
      <c r="HD64" s="243"/>
      <c r="HE64" s="243"/>
      <c r="HF64" s="243"/>
      <c r="HG64" s="242"/>
      <c r="HH64" s="242"/>
      <c r="HI64" s="242"/>
      <c r="HJ64" s="242"/>
      <c r="HK64" s="242"/>
      <c r="HL64" s="242"/>
      <c r="HM64" s="242"/>
      <c r="HN64" s="243"/>
      <c r="HO64" s="243"/>
      <c r="HP64" s="243"/>
      <c r="HQ64" s="243"/>
      <c r="HR64" s="243"/>
      <c r="HS64" s="243"/>
      <c r="HT64" s="243"/>
      <c r="HU64" s="242"/>
      <c r="HV64" s="242"/>
      <c r="HW64" s="242"/>
      <c r="HX64" s="242"/>
      <c r="HY64" s="242"/>
      <c r="HZ64" s="242"/>
      <c r="IA64" s="242"/>
      <c r="IB64" s="243"/>
      <c r="IC64" s="243"/>
      <c r="ID64" s="243"/>
      <c r="IE64" s="243"/>
      <c r="IF64" s="243"/>
      <c r="IG64" s="243"/>
      <c r="IH64" s="243"/>
      <c r="II64" s="242"/>
      <c r="IJ64" s="242"/>
      <c r="IK64" s="242"/>
      <c r="IL64" s="242"/>
      <c r="IM64" s="242"/>
      <c r="IN64" s="242"/>
      <c r="IO64" s="242"/>
      <c r="IP64" s="243"/>
      <c r="IQ64" s="243"/>
      <c r="IR64" s="243"/>
      <c r="IS64" s="243"/>
      <c r="IT64" s="243"/>
      <c r="IU64" s="243"/>
      <c r="IV64" s="243"/>
      <c r="IW64" s="242"/>
      <c r="IX64" s="242"/>
      <c r="IY64" s="242"/>
      <c r="IZ64" s="242"/>
      <c r="JA64" s="242"/>
      <c r="JB64" s="242"/>
      <c r="JC64" s="242"/>
      <c r="JD64" s="243"/>
      <c r="JE64" s="243"/>
      <c r="JF64" s="243"/>
      <c r="JG64" s="243"/>
      <c r="JH64" s="243"/>
      <c r="JI64" s="243"/>
      <c r="JJ64" s="243"/>
      <c r="JK64" s="242"/>
      <c r="JL64" s="242"/>
      <c r="JM64" s="242"/>
      <c r="JN64" s="242"/>
      <c r="JO64" s="242"/>
      <c r="JP64" s="242"/>
      <c r="JQ64" s="242"/>
      <c r="JR64" s="243"/>
      <c r="JS64" s="243"/>
      <c r="JT64" s="243"/>
      <c r="JU64" s="243"/>
      <c r="JV64" s="243">
        <v>8</v>
      </c>
      <c r="JW64" s="243">
        <v>24</v>
      </c>
      <c r="JX64" s="243">
        <v>24</v>
      </c>
      <c r="JY64" s="242">
        <v>24</v>
      </c>
      <c r="JZ64" s="242">
        <v>24</v>
      </c>
      <c r="KA64" s="242">
        <v>24</v>
      </c>
      <c r="KB64" s="242">
        <v>24</v>
      </c>
      <c r="KC64" s="242">
        <v>24</v>
      </c>
      <c r="KD64" s="242"/>
      <c r="KE64" s="242"/>
      <c r="KF64" s="243"/>
      <c r="KG64" s="243"/>
      <c r="KH64" s="243"/>
      <c r="KI64" s="243"/>
      <c r="KJ64" s="243"/>
      <c r="KK64" s="243"/>
      <c r="KL64" s="243"/>
      <c r="KM64" s="242"/>
      <c r="KN64" s="242"/>
      <c r="KO64" s="242"/>
      <c r="KP64" s="242"/>
      <c r="KQ64" s="242"/>
      <c r="KR64" s="242"/>
      <c r="KS64" s="242"/>
      <c r="KT64" s="243"/>
      <c r="KU64" s="243"/>
      <c r="KV64" s="243"/>
      <c r="KW64" s="243"/>
      <c r="KX64" s="243"/>
      <c r="KY64" s="243"/>
      <c r="KZ64" s="243"/>
      <c r="LA64" s="242"/>
      <c r="LB64" s="242"/>
      <c r="LC64" s="242"/>
      <c r="LD64" s="242"/>
      <c r="LE64" s="242"/>
      <c r="LF64" s="242"/>
      <c r="LG64" s="242"/>
      <c r="LH64" s="243"/>
      <c r="LI64" s="243"/>
      <c r="LJ64" s="243"/>
      <c r="LK64" s="243"/>
      <c r="LL64" s="243"/>
      <c r="LM64" s="243"/>
      <c r="LN64" s="243"/>
      <c r="LO64" s="242"/>
      <c r="LP64" s="242"/>
      <c r="LQ64" s="242"/>
      <c r="LR64" s="242"/>
      <c r="LS64" s="242"/>
      <c r="LT64" s="242"/>
      <c r="LU64" s="242"/>
      <c r="LV64" s="243"/>
      <c r="LW64" s="243"/>
      <c r="LX64" s="243"/>
      <c r="LY64" s="243"/>
      <c r="LZ64" s="243"/>
      <c r="MA64" s="243"/>
      <c r="MB64" s="243"/>
      <c r="MC64" s="242"/>
      <c r="MD64" s="242"/>
      <c r="ME64" s="242"/>
      <c r="MF64" s="242"/>
      <c r="MG64" s="242"/>
      <c r="MH64" s="242"/>
      <c r="MI64" s="242"/>
      <c r="MJ64" s="243"/>
      <c r="MK64" s="243"/>
      <c r="ML64" s="243"/>
      <c r="MM64" s="243"/>
      <c r="MN64" s="243"/>
      <c r="MO64" s="243"/>
      <c r="MP64" s="243"/>
      <c r="MQ64" s="242"/>
      <c r="MR64" s="242"/>
      <c r="MS64" s="242"/>
      <c r="MT64" s="242"/>
      <c r="MU64" s="242"/>
      <c r="MV64" s="242"/>
      <c r="MW64" s="242"/>
      <c r="MX64" s="243"/>
      <c r="MY64" s="243"/>
      <c r="MZ64" s="243"/>
      <c r="NA64" s="243"/>
      <c r="NB64" s="243"/>
      <c r="NC64" s="243"/>
      <c r="ND64" s="243"/>
      <c r="NE64" s="242"/>
      <c r="NF64" s="242"/>
      <c r="NG64" s="242"/>
      <c r="NH64" s="333"/>
    </row>
    <row r="65" spans="1:372">
      <c r="A65" s="251" t="s">
        <v>973</v>
      </c>
      <c r="B65" s="251" t="s">
        <v>364</v>
      </c>
      <c r="C65" s="251" t="s">
        <v>674</v>
      </c>
      <c r="D65" s="251" t="s">
        <v>982</v>
      </c>
      <c r="E65" s="241">
        <v>319.95458886539933</v>
      </c>
      <c r="F65" s="241">
        <v>368</v>
      </c>
      <c r="G65" s="242"/>
      <c r="H65" s="242"/>
      <c r="I65" s="242"/>
      <c r="J65" s="242"/>
      <c r="K65" s="242"/>
      <c r="L65" s="243"/>
      <c r="M65" s="243"/>
      <c r="N65" s="243"/>
      <c r="O65" s="243"/>
      <c r="P65" s="243"/>
      <c r="Q65" s="243"/>
      <c r="R65" s="243"/>
      <c r="S65" s="242"/>
      <c r="T65" s="242"/>
      <c r="U65" s="242"/>
      <c r="V65" s="242"/>
      <c r="W65" s="242"/>
      <c r="X65" s="242"/>
      <c r="Y65" s="242"/>
      <c r="Z65" s="243"/>
      <c r="AA65" s="243"/>
      <c r="AB65" s="243"/>
      <c r="AC65" s="243"/>
      <c r="AD65" s="243"/>
      <c r="AE65" s="243"/>
      <c r="AF65" s="243"/>
      <c r="AG65" s="242"/>
      <c r="AH65" s="242"/>
      <c r="AI65" s="242"/>
      <c r="AJ65" s="242"/>
      <c r="AK65" s="242"/>
      <c r="AL65" s="242"/>
      <c r="AM65" s="242"/>
      <c r="AN65" s="243"/>
      <c r="AO65" s="243"/>
      <c r="AP65" s="243"/>
      <c r="AQ65" s="243"/>
      <c r="AR65" s="243"/>
      <c r="AS65" s="243"/>
      <c r="AT65" s="243"/>
      <c r="AU65" s="242"/>
      <c r="AV65" s="242"/>
      <c r="AW65" s="242"/>
      <c r="AX65" s="242"/>
      <c r="AY65" s="242"/>
      <c r="AZ65" s="242"/>
      <c r="BA65" s="242"/>
      <c r="BB65" s="243"/>
      <c r="BC65" s="243"/>
      <c r="BD65" s="243"/>
      <c r="BE65" s="243"/>
      <c r="BF65" s="243"/>
      <c r="BG65" s="243"/>
      <c r="BH65" s="243"/>
      <c r="BI65" s="242"/>
      <c r="BJ65" s="242"/>
      <c r="BK65" s="242"/>
      <c r="BL65" s="242"/>
      <c r="BM65" s="242"/>
      <c r="BN65" s="242"/>
      <c r="BO65" s="242"/>
      <c r="BP65" s="243"/>
      <c r="BQ65" s="243"/>
      <c r="BR65" s="243"/>
      <c r="BS65" s="243"/>
      <c r="BT65" s="243"/>
      <c r="BU65" s="243"/>
      <c r="BV65" s="243"/>
      <c r="BW65" s="242"/>
      <c r="BX65" s="242"/>
      <c r="BY65" s="242"/>
      <c r="BZ65" s="242"/>
      <c r="CA65" s="242"/>
      <c r="CB65" s="242"/>
      <c r="CC65" s="242"/>
      <c r="CD65" s="243"/>
      <c r="CE65" s="243"/>
      <c r="CF65" s="243"/>
      <c r="CG65" s="243"/>
      <c r="CH65" s="243"/>
      <c r="CI65" s="243"/>
      <c r="CJ65" s="243"/>
      <c r="CK65" s="242"/>
      <c r="CL65" s="242"/>
      <c r="CM65" s="242"/>
      <c r="CN65" s="242"/>
      <c r="CO65" s="242"/>
      <c r="CP65" s="242"/>
      <c r="CQ65" s="242"/>
      <c r="CR65" s="243"/>
      <c r="CS65" s="243"/>
      <c r="CT65" s="243"/>
      <c r="CU65" s="243"/>
      <c r="CV65" s="243">
        <v>16</v>
      </c>
      <c r="CW65" s="243">
        <v>24</v>
      </c>
      <c r="CX65" s="243">
        <v>24</v>
      </c>
      <c r="CY65" s="242">
        <v>24</v>
      </c>
      <c r="CZ65" s="242">
        <v>24</v>
      </c>
      <c r="DA65" s="242">
        <v>24</v>
      </c>
      <c r="DB65" s="242">
        <v>24</v>
      </c>
      <c r="DC65" s="242">
        <v>24</v>
      </c>
      <c r="DD65" s="242"/>
      <c r="DE65" s="242"/>
      <c r="DF65" s="243"/>
      <c r="DG65" s="243"/>
      <c r="DH65" s="243"/>
      <c r="DI65" s="243"/>
      <c r="DJ65" s="243"/>
      <c r="DK65" s="243"/>
      <c r="DL65" s="243"/>
      <c r="DM65" s="242"/>
      <c r="DN65" s="242"/>
      <c r="DO65" s="242"/>
      <c r="DP65" s="242"/>
      <c r="DQ65" s="242"/>
      <c r="DR65" s="242"/>
      <c r="DS65" s="242"/>
      <c r="DT65" s="243"/>
      <c r="DU65" s="243"/>
      <c r="DV65" s="243"/>
      <c r="DW65" s="243"/>
      <c r="DX65" s="243"/>
      <c r="DY65" s="243"/>
      <c r="DZ65" s="243"/>
      <c r="EA65" s="242"/>
      <c r="EB65" s="242"/>
      <c r="EC65" s="242"/>
      <c r="ED65" s="242"/>
      <c r="EE65" s="242"/>
      <c r="EF65" s="242"/>
      <c r="EG65" s="242"/>
      <c r="EH65" s="243"/>
      <c r="EI65" s="243"/>
      <c r="EJ65" s="243"/>
      <c r="EK65" s="243"/>
      <c r="EL65" s="243"/>
      <c r="EM65" s="243"/>
      <c r="EN65" s="243"/>
      <c r="EO65" s="242"/>
      <c r="EP65" s="242"/>
      <c r="EQ65" s="242"/>
      <c r="ER65" s="242"/>
      <c r="ES65" s="242"/>
      <c r="ET65" s="242"/>
      <c r="EU65" s="242"/>
      <c r="EV65" s="243"/>
      <c r="EW65" s="243"/>
      <c r="EX65" s="243"/>
      <c r="EY65" s="243"/>
      <c r="EZ65" s="243"/>
      <c r="FA65" s="243"/>
      <c r="FB65" s="243"/>
      <c r="FC65" s="242"/>
      <c r="FD65" s="242"/>
      <c r="FE65" s="242"/>
      <c r="FF65" s="242"/>
      <c r="FG65" s="242"/>
      <c r="FH65" s="242"/>
      <c r="FI65" s="242"/>
      <c r="FJ65" s="243"/>
      <c r="FK65" s="243"/>
      <c r="FL65" s="243"/>
      <c r="FM65" s="243"/>
      <c r="FN65" s="243"/>
      <c r="FO65" s="243"/>
      <c r="FP65" s="243"/>
      <c r="FQ65" s="242"/>
      <c r="FR65" s="242"/>
      <c r="FS65" s="242"/>
      <c r="FT65" s="242"/>
      <c r="FU65" s="242"/>
      <c r="FV65" s="242"/>
      <c r="FW65" s="242"/>
      <c r="FX65" s="243"/>
      <c r="FY65" s="243"/>
      <c r="FZ65" s="243"/>
      <c r="GA65" s="243"/>
      <c r="GB65" s="243"/>
      <c r="GC65" s="243"/>
      <c r="GD65" s="243"/>
      <c r="GE65" s="242"/>
      <c r="GF65" s="242"/>
      <c r="GG65" s="242"/>
      <c r="GH65" s="242"/>
      <c r="GI65" s="242"/>
      <c r="GJ65" s="242"/>
      <c r="GK65" s="242"/>
      <c r="GL65" s="243"/>
      <c r="GM65" s="243"/>
      <c r="GN65" s="243"/>
      <c r="GO65" s="243"/>
      <c r="GP65" s="243"/>
      <c r="GQ65" s="243"/>
      <c r="GR65" s="243"/>
      <c r="GS65" s="242"/>
      <c r="GT65" s="242"/>
      <c r="GU65" s="242"/>
      <c r="GV65" s="242"/>
      <c r="GW65" s="242"/>
      <c r="GX65" s="242"/>
      <c r="GY65" s="242"/>
      <c r="GZ65" s="243"/>
      <c r="HA65" s="243"/>
      <c r="HB65" s="243"/>
      <c r="HC65" s="243"/>
      <c r="HD65" s="243"/>
      <c r="HE65" s="243"/>
      <c r="HF65" s="243"/>
      <c r="HG65" s="242"/>
      <c r="HH65" s="242"/>
      <c r="HI65" s="242"/>
      <c r="HJ65" s="242"/>
      <c r="HK65" s="242"/>
      <c r="HL65" s="242"/>
      <c r="HM65" s="242"/>
      <c r="HN65" s="243"/>
      <c r="HO65" s="243"/>
      <c r="HP65" s="243"/>
      <c r="HQ65" s="243"/>
      <c r="HR65" s="243"/>
      <c r="HS65" s="243"/>
      <c r="HT65" s="243"/>
      <c r="HU65" s="242"/>
      <c r="HV65" s="242"/>
      <c r="HW65" s="242"/>
      <c r="HX65" s="242"/>
      <c r="HY65" s="242"/>
      <c r="HZ65" s="242"/>
      <c r="IA65" s="242"/>
      <c r="IB65" s="243"/>
      <c r="IC65" s="243"/>
      <c r="ID65" s="243"/>
      <c r="IE65" s="243"/>
      <c r="IF65" s="243"/>
      <c r="IG65" s="243"/>
      <c r="IH65" s="243"/>
      <c r="II65" s="242"/>
      <c r="IJ65" s="242"/>
      <c r="IK65" s="242"/>
      <c r="IL65" s="242"/>
      <c r="IM65" s="242"/>
      <c r="IN65" s="242"/>
      <c r="IO65" s="242"/>
      <c r="IP65" s="243"/>
      <c r="IQ65" s="243"/>
      <c r="IR65" s="243"/>
      <c r="IS65" s="243"/>
      <c r="IT65" s="243"/>
      <c r="IU65" s="243"/>
      <c r="IV65" s="243"/>
      <c r="IW65" s="242"/>
      <c r="IX65" s="242"/>
      <c r="IY65" s="242"/>
      <c r="IZ65" s="242"/>
      <c r="JA65" s="242"/>
      <c r="JB65" s="242"/>
      <c r="JC65" s="242"/>
      <c r="JD65" s="243"/>
      <c r="JE65" s="243"/>
      <c r="JF65" s="243"/>
      <c r="JG65" s="243"/>
      <c r="JH65" s="243"/>
      <c r="JI65" s="243"/>
      <c r="JJ65" s="243"/>
      <c r="JK65" s="242"/>
      <c r="JL65" s="242"/>
      <c r="JM65" s="242"/>
      <c r="JN65" s="242"/>
      <c r="JO65" s="242"/>
      <c r="JP65" s="242"/>
      <c r="JQ65" s="242"/>
      <c r="JR65" s="243"/>
      <c r="JS65" s="243"/>
      <c r="JT65" s="243"/>
      <c r="JU65" s="243"/>
      <c r="JV65" s="243">
        <v>16</v>
      </c>
      <c r="JW65" s="243">
        <v>24</v>
      </c>
      <c r="JX65" s="243">
        <v>24</v>
      </c>
      <c r="JY65" s="242">
        <v>24</v>
      </c>
      <c r="JZ65" s="242">
        <v>24</v>
      </c>
      <c r="KA65" s="242">
        <v>24</v>
      </c>
      <c r="KB65" s="242">
        <v>24</v>
      </c>
      <c r="KC65" s="242">
        <v>24</v>
      </c>
      <c r="KD65" s="242"/>
      <c r="KE65" s="242"/>
      <c r="KF65" s="243"/>
      <c r="KG65" s="243"/>
      <c r="KH65" s="243"/>
      <c r="KI65" s="243"/>
      <c r="KJ65" s="243"/>
      <c r="KK65" s="243"/>
      <c r="KL65" s="243"/>
      <c r="KM65" s="242"/>
      <c r="KN65" s="242"/>
      <c r="KO65" s="242"/>
      <c r="KP65" s="242"/>
      <c r="KQ65" s="242"/>
      <c r="KR65" s="242"/>
      <c r="KS65" s="242"/>
      <c r="KT65" s="243"/>
      <c r="KU65" s="243"/>
      <c r="KV65" s="243"/>
      <c r="KW65" s="243"/>
      <c r="KX65" s="243"/>
      <c r="KY65" s="243"/>
      <c r="KZ65" s="243"/>
      <c r="LA65" s="242"/>
      <c r="LB65" s="242"/>
      <c r="LC65" s="242"/>
      <c r="LD65" s="242"/>
      <c r="LE65" s="242"/>
      <c r="LF65" s="242"/>
      <c r="LG65" s="242"/>
      <c r="LH65" s="243"/>
      <c r="LI65" s="243"/>
      <c r="LJ65" s="243"/>
      <c r="LK65" s="243"/>
      <c r="LL65" s="243"/>
      <c r="LM65" s="243"/>
      <c r="LN65" s="243"/>
      <c r="LO65" s="242"/>
      <c r="LP65" s="242"/>
      <c r="LQ65" s="242"/>
      <c r="LR65" s="242"/>
      <c r="LS65" s="242"/>
      <c r="LT65" s="242"/>
      <c r="LU65" s="242"/>
      <c r="LV65" s="243"/>
      <c r="LW65" s="243"/>
      <c r="LX65" s="243"/>
      <c r="LY65" s="243"/>
      <c r="LZ65" s="243"/>
      <c r="MA65" s="243"/>
      <c r="MB65" s="243"/>
      <c r="MC65" s="242"/>
      <c r="MD65" s="242"/>
      <c r="ME65" s="242"/>
      <c r="MF65" s="242"/>
      <c r="MG65" s="242"/>
      <c r="MH65" s="242"/>
      <c r="MI65" s="242"/>
      <c r="MJ65" s="243"/>
      <c r="MK65" s="243"/>
      <c r="ML65" s="243"/>
      <c r="MM65" s="243"/>
      <c r="MN65" s="243"/>
      <c r="MO65" s="243"/>
      <c r="MP65" s="243"/>
      <c r="MQ65" s="242"/>
      <c r="MR65" s="242"/>
      <c r="MS65" s="242"/>
      <c r="MT65" s="242"/>
      <c r="MU65" s="242"/>
      <c r="MV65" s="242"/>
      <c r="MW65" s="242"/>
      <c r="MX65" s="243"/>
      <c r="MY65" s="243"/>
      <c r="MZ65" s="243"/>
      <c r="NA65" s="243"/>
      <c r="NB65" s="243"/>
      <c r="NC65" s="243"/>
      <c r="ND65" s="243"/>
      <c r="NE65" s="242"/>
      <c r="NF65" s="242"/>
      <c r="NG65" s="242"/>
      <c r="NH65" s="333"/>
    </row>
    <row r="66" spans="1:372">
      <c r="A66" s="251" t="s">
        <v>973</v>
      </c>
      <c r="B66" s="251" t="s">
        <v>592</v>
      </c>
      <c r="C66" s="251" t="s">
        <v>674</v>
      </c>
      <c r="D66" s="251" t="s">
        <v>982</v>
      </c>
      <c r="E66" s="241">
        <v>267.30388333285009</v>
      </c>
      <c r="F66" s="241">
        <v>352</v>
      </c>
      <c r="G66" s="242"/>
      <c r="H66" s="242"/>
      <c r="I66" s="242"/>
      <c r="J66" s="242"/>
      <c r="K66" s="242"/>
      <c r="L66" s="243"/>
      <c r="M66" s="243"/>
      <c r="N66" s="243"/>
      <c r="O66" s="243"/>
      <c r="P66" s="243"/>
      <c r="Q66" s="243"/>
      <c r="R66" s="243"/>
      <c r="S66" s="242"/>
      <c r="T66" s="242"/>
      <c r="U66" s="242"/>
      <c r="V66" s="242"/>
      <c r="W66" s="242"/>
      <c r="X66" s="242"/>
      <c r="Y66" s="242"/>
      <c r="Z66" s="243"/>
      <c r="AA66" s="243"/>
      <c r="AB66" s="243"/>
      <c r="AC66" s="243"/>
      <c r="AD66" s="243"/>
      <c r="AE66" s="243"/>
      <c r="AF66" s="243"/>
      <c r="AG66" s="242"/>
      <c r="AH66" s="242"/>
      <c r="AI66" s="242"/>
      <c r="AJ66" s="242"/>
      <c r="AK66" s="242"/>
      <c r="AL66" s="242"/>
      <c r="AM66" s="242"/>
      <c r="AN66" s="243"/>
      <c r="AO66" s="243"/>
      <c r="AP66" s="243"/>
      <c r="AQ66" s="243"/>
      <c r="AR66" s="243"/>
      <c r="AS66" s="243"/>
      <c r="AT66" s="243"/>
      <c r="AU66" s="242"/>
      <c r="AV66" s="242"/>
      <c r="AW66" s="242"/>
      <c r="AX66" s="242"/>
      <c r="AY66" s="242"/>
      <c r="AZ66" s="242"/>
      <c r="BA66" s="242"/>
      <c r="BB66" s="243"/>
      <c r="BC66" s="243"/>
      <c r="BD66" s="243"/>
      <c r="BE66" s="243"/>
      <c r="BF66" s="243"/>
      <c r="BG66" s="243"/>
      <c r="BH66" s="243"/>
      <c r="BI66" s="242"/>
      <c r="BJ66" s="242"/>
      <c r="BK66" s="242"/>
      <c r="BL66" s="242"/>
      <c r="BM66" s="242"/>
      <c r="BN66" s="242"/>
      <c r="BO66" s="242"/>
      <c r="BP66" s="243"/>
      <c r="BQ66" s="243"/>
      <c r="BR66" s="243"/>
      <c r="BS66" s="243"/>
      <c r="BT66" s="243"/>
      <c r="BU66" s="243"/>
      <c r="BV66" s="243"/>
      <c r="BW66" s="242"/>
      <c r="BX66" s="242"/>
      <c r="BY66" s="242"/>
      <c r="BZ66" s="242"/>
      <c r="CA66" s="242"/>
      <c r="CB66" s="242"/>
      <c r="CC66" s="242"/>
      <c r="CD66" s="243"/>
      <c r="CE66" s="243"/>
      <c r="CF66" s="243"/>
      <c r="CG66" s="243"/>
      <c r="CH66" s="243"/>
      <c r="CI66" s="243"/>
      <c r="CJ66" s="243"/>
      <c r="CK66" s="242"/>
      <c r="CL66" s="242"/>
      <c r="CM66" s="242"/>
      <c r="CN66" s="242"/>
      <c r="CO66" s="242"/>
      <c r="CP66" s="242"/>
      <c r="CQ66" s="242"/>
      <c r="CR66" s="243"/>
      <c r="CS66" s="243"/>
      <c r="CT66" s="243"/>
      <c r="CU66" s="243">
        <v>8</v>
      </c>
      <c r="CV66" s="243">
        <v>24</v>
      </c>
      <c r="CW66" s="243">
        <v>24</v>
      </c>
      <c r="CX66" s="243">
        <v>24</v>
      </c>
      <c r="CY66" s="242">
        <v>24</v>
      </c>
      <c r="CZ66" s="242">
        <v>24</v>
      </c>
      <c r="DA66" s="242">
        <v>24</v>
      </c>
      <c r="DB66" s="242">
        <v>24</v>
      </c>
      <c r="DC66" s="242"/>
      <c r="DD66" s="242"/>
      <c r="DE66" s="242"/>
      <c r="DF66" s="243"/>
      <c r="DG66" s="243"/>
      <c r="DH66" s="243"/>
      <c r="DI66" s="243"/>
      <c r="DJ66" s="243"/>
      <c r="DK66" s="243"/>
      <c r="DL66" s="243"/>
      <c r="DM66" s="242"/>
      <c r="DN66" s="242"/>
      <c r="DO66" s="242"/>
      <c r="DP66" s="242"/>
      <c r="DQ66" s="242"/>
      <c r="DR66" s="242"/>
      <c r="DS66" s="242"/>
      <c r="DT66" s="243"/>
      <c r="DU66" s="243"/>
      <c r="DV66" s="243"/>
      <c r="DW66" s="243"/>
      <c r="DX66" s="243"/>
      <c r="DY66" s="243"/>
      <c r="DZ66" s="243"/>
      <c r="EA66" s="242"/>
      <c r="EB66" s="242"/>
      <c r="EC66" s="242"/>
      <c r="ED66" s="242"/>
      <c r="EE66" s="242"/>
      <c r="EF66" s="242"/>
      <c r="EG66" s="242"/>
      <c r="EH66" s="243"/>
      <c r="EI66" s="243"/>
      <c r="EJ66" s="243"/>
      <c r="EK66" s="243"/>
      <c r="EL66" s="243"/>
      <c r="EM66" s="243"/>
      <c r="EN66" s="243"/>
      <c r="EO66" s="242"/>
      <c r="EP66" s="242"/>
      <c r="EQ66" s="242"/>
      <c r="ER66" s="242"/>
      <c r="ES66" s="242"/>
      <c r="ET66" s="242"/>
      <c r="EU66" s="242"/>
      <c r="EV66" s="243"/>
      <c r="EW66" s="243"/>
      <c r="EX66" s="243"/>
      <c r="EY66" s="243"/>
      <c r="EZ66" s="243"/>
      <c r="FA66" s="243"/>
      <c r="FB66" s="243"/>
      <c r="FC66" s="242"/>
      <c r="FD66" s="242"/>
      <c r="FE66" s="242"/>
      <c r="FF66" s="242"/>
      <c r="FG66" s="242"/>
      <c r="FH66" s="242"/>
      <c r="FI66" s="242"/>
      <c r="FJ66" s="243"/>
      <c r="FK66" s="243"/>
      <c r="FL66" s="243"/>
      <c r="FM66" s="243"/>
      <c r="FN66" s="243"/>
      <c r="FO66" s="243"/>
      <c r="FP66" s="243"/>
      <c r="FQ66" s="242"/>
      <c r="FR66" s="242"/>
      <c r="FS66" s="242"/>
      <c r="FT66" s="242"/>
      <c r="FU66" s="242"/>
      <c r="FV66" s="242"/>
      <c r="FW66" s="242"/>
      <c r="FX66" s="243"/>
      <c r="FY66" s="243"/>
      <c r="FZ66" s="243"/>
      <c r="GA66" s="243"/>
      <c r="GB66" s="243"/>
      <c r="GC66" s="243"/>
      <c r="GD66" s="243"/>
      <c r="GE66" s="242"/>
      <c r="GF66" s="242"/>
      <c r="GG66" s="242"/>
      <c r="GH66" s="242"/>
      <c r="GI66" s="242"/>
      <c r="GJ66" s="242"/>
      <c r="GK66" s="242"/>
      <c r="GL66" s="243"/>
      <c r="GM66" s="243"/>
      <c r="GN66" s="243"/>
      <c r="GO66" s="243"/>
      <c r="GP66" s="243"/>
      <c r="GQ66" s="243"/>
      <c r="GR66" s="243"/>
      <c r="GS66" s="242"/>
      <c r="GT66" s="242"/>
      <c r="GU66" s="242"/>
      <c r="GV66" s="242"/>
      <c r="GW66" s="242"/>
      <c r="GX66" s="242"/>
      <c r="GY66" s="242"/>
      <c r="GZ66" s="243"/>
      <c r="HA66" s="243"/>
      <c r="HB66" s="243"/>
      <c r="HC66" s="243"/>
      <c r="HD66" s="243"/>
      <c r="HE66" s="243"/>
      <c r="HF66" s="243"/>
      <c r="HG66" s="242"/>
      <c r="HH66" s="242"/>
      <c r="HI66" s="242"/>
      <c r="HJ66" s="242"/>
      <c r="HK66" s="242"/>
      <c r="HL66" s="242"/>
      <c r="HM66" s="242"/>
      <c r="HN66" s="243"/>
      <c r="HO66" s="243"/>
      <c r="HP66" s="243"/>
      <c r="HQ66" s="243"/>
      <c r="HR66" s="243"/>
      <c r="HS66" s="243"/>
      <c r="HT66" s="243"/>
      <c r="HU66" s="242"/>
      <c r="HV66" s="242"/>
      <c r="HW66" s="242"/>
      <c r="HX66" s="242"/>
      <c r="HY66" s="242"/>
      <c r="HZ66" s="242"/>
      <c r="IA66" s="242"/>
      <c r="IB66" s="243"/>
      <c r="IC66" s="243"/>
      <c r="ID66" s="243"/>
      <c r="IE66" s="243"/>
      <c r="IF66" s="243"/>
      <c r="IG66" s="243"/>
      <c r="IH66" s="243"/>
      <c r="II66" s="242"/>
      <c r="IJ66" s="242"/>
      <c r="IK66" s="242"/>
      <c r="IL66" s="242"/>
      <c r="IM66" s="242"/>
      <c r="IN66" s="242"/>
      <c r="IO66" s="242"/>
      <c r="IP66" s="243"/>
      <c r="IQ66" s="243"/>
      <c r="IR66" s="243"/>
      <c r="IS66" s="243"/>
      <c r="IT66" s="243"/>
      <c r="IU66" s="243"/>
      <c r="IV66" s="243"/>
      <c r="IW66" s="242"/>
      <c r="IX66" s="242"/>
      <c r="IY66" s="242"/>
      <c r="IZ66" s="242"/>
      <c r="JA66" s="242"/>
      <c r="JB66" s="242"/>
      <c r="JC66" s="242"/>
      <c r="JD66" s="243"/>
      <c r="JE66" s="243"/>
      <c r="JF66" s="243"/>
      <c r="JG66" s="243"/>
      <c r="JH66" s="243"/>
      <c r="JI66" s="243"/>
      <c r="JJ66" s="243"/>
      <c r="JK66" s="242"/>
      <c r="JL66" s="242"/>
      <c r="JM66" s="242"/>
      <c r="JN66" s="242"/>
      <c r="JO66" s="242"/>
      <c r="JP66" s="242"/>
      <c r="JQ66" s="242"/>
      <c r="JR66" s="243"/>
      <c r="JS66" s="243"/>
      <c r="JT66" s="243"/>
      <c r="JU66" s="243">
        <v>8</v>
      </c>
      <c r="JV66" s="243">
        <v>24</v>
      </c>
      <c r="JW66" s="243">
        <v>24</v>
      </c>
      <c r="JX66" s="243">
        <v>24</v>
      </c>
      <c r="JY66" s="242">
        <v>24</v>
      </c>
      <c r="JZ66" s="242">
        <v>24</v>
      </c>
      <c r="KA66" s="242">
        <v>24</v>
      </c>
      <c r="KB66" s="242">
        <v>24</v>
      </c>
      <c r="KC66" s="242"/>
      <c r="KD66" s="242"/>
      <c r="KE66" s="242"/>
      <c r="KF66" s="243"/>
      <c r="KG66" s="243"/>
      <c r="KH66" s="243"/>
      <c r="KI66" s="243"/>
      <c r="KJ66" s="243"/>
      <c r="KK66" s="243"/>
      <c r="KL66" s="243"/>
      <c r="KM66" s="242"/>
      <c r="KN66" s="242"/>
      <c r="KO66" s="242"/>
      <c r="KP66" s="242"/>
      <c r="KQ66" s="242"/>
      <c r="KR66" s="242"/>
      <c r="KS66" s="242"/>
      <c r="KT66" s="243"/>
      <c r="KU66" s="243"/>
      <c r="KV66" s="243"/>
      <c r="KW66" s="243"/>
      <c r="KX66" s="243"/>
      <c r="KY66" s="243"/>
      <c r="KZ66" s="243"/>
      <c r="LA66" s="242"/>
      <c r="LB66" s="242"/>
      <c r="LC66" s="242"/>
      <c r="LD66" s="242"/>
      <c r="LE66" s="242"/>
      <c r="LF66" s="242"/>
      <c r="LG66" s="242"/>
      <c r="LH66" s="243"/>
      <c r="LI66" s="243"/>
      <c r="LJ66" s="243"/>
      <c r="LK66" s="243"/>
      <c r="LL66" s="243"/>
      <c r="LM66" s="243"/>
      <c r="LN66" s="243"/>
      <c r="LO66" s="242"/>
      <c r="LP66" s="242"/>
      <c r="LQ66" s="242"/>
      <c r="LR66" s="242"/>
      <c r="LS66" s="242"/>
      <c r="LT66" s="242"/>
      <c r="LU66" s="242"/>
      <c r="LV66" s="243"/>
      <c r="LW66" s="243"/>
      <c r="LX66" s="243"/>
      <c r="LY66" s="243"/>
      <c r="LZ66" s="243"/>
      <c r="MA66" s="243"/>
      <c r="MB66" s="243"/>
      <c r="MC66" s="242"/>
      <c r="MD66" s="242"/>
      <c r="ME66" s="242"/>
      <c r="MF66" s="242"/>
      <c r="MG66" s="242"/>
      <c r="MH66" s="242"/>
      <c r="MI66" s="242"/>
      <c r="MJ66" s="243"/>
      <c r="MK66" s="243"/>
      <c r="ML66" s="243"/>
      <c r="MM66" s="243"/>
      <c r="MN66" s="243"/>
      <c r="MO66" s="243"/>
      <c r="MP66" s="243"/>
      <c r="MQ66" s="242"/>
      <c r="MR66" s="242"/>
      <c r="MS66" s="242"/>
      <c r="MT66" s="242"/>
      <c r="MU66" s="242"/>
      <c r="MV66" s="242"/>
      <c r="MW66" s="242"/>
      <c r="MX66" s="243"/>
      <c r="MY66" s="243"/>
      <c r="MZ66" s="243"/>
      <c r="NA66" s="243"/>
      <c r="NB66" s="243"/>
      <c r="NC66" s="243"/>
      <c r="ND66" s="243"/>
      <c r="NE66" s="242"/>
      <c r="NF66" s="242"/>
      <c r="NG66" s="242"/>
      <c r="NH66" s="333"/>
    </row>
    <row r="67" spans="1:372">
      <c r="A67" s="251" t="s">
        <v>973</v>
      </c>
      <c r="B67" s="251" t="s">
        <v>593</v>
      </c>
      <c r="C67" s="251" t="s">
        <v>674</v>
      </c>
      <c r="D67" s="251" t="s">
        <v>982</v>
      </c>
      <c r="E67" s="241">
        <v>222.94867776711058</v>
      </c>
      <c r="F67" s="241">
        <v>368</v>
      </c>
      <c r="G67" s="242"/>
      <c r="H67" s="242"/>
      <c r="I67" s="242"/>
      <c r="J67" s="242"/>
      <c r="K67" s="242"/>
      <c r="L67" s="243"/>
      <c r="M67" s="243"/>
      <c r="N67" s="243"/>
      <c r="O67" s="243"/>
      <c r="P67" s="243"/>
      <c r="Q67" s="243"/>
      <c r="R67" s="243"/>
      <c r="S67" s="242"/>
      <c r="T67" s="242"/>
      <c r="U67" s="242"/>
      <c r="V67" s="242"/>
      <c r="W67" s="242"/>
      <c r="X67" s="242"/>
      <c r="Y67" s="242"/>
      <c r="Z67" s="243"/>
      <c r="AA67" s="243"/>
      <c r="AB67" s="243"/>
      <c r="AC67" s="243"/>
      <c r="AD67" s="243"/>
      <c r="AE67" s="243"/>
      <c r="AF67" s="243"/>
      <c r="AG67" s="242"/>
      <c r="AH67" s="242"/>
      <c r="AI67" s="242"/>
      <c r="AJ67" s="242"/>
      <c r="AK67" s="242"/>
      <c r="AL67" s="242"/>
      <c r="AM67" s="242"/>
      <c r="AN67" s="243"/>
      <c r="AO67" s="243"/>
      <c r="AP67" s="243"/>
      <c r="AQ67" s="243"/>
      <c r="AR67" s="243"/>
      <c r="AS67" s="243"/>
      <c r="AT67" s="243"/>
      <c r="AU67" s="242"/>
      <c r="AV67" s="242"/>
      <c r="AW67" s="242"/>
      <c r="AX67" s="242"/>
      <c r="AY67" s="242"/>
      <c r="AZ67" s="242"/>
      <c r="BA67" s="242"/>
      <c r="BB67" s="243"/>
      <c r="BC67" s="243"/>
      <c r="BD67" s="243"/>
      <c r="BE67" s="243"/>
      <c r="BF67" s="243"/>
      <c r="BG67" s="243"/>
      <c r="BH67" s="243"/>
      <c r="BI67" s="242"/>
      <c r="BJ67" s="242"/>
      <c r="BK67" s="242"/>
      <c r="BL67" s="242"/>
      <c r="BM67" s="242"/>
      <c r="BN67" s="242"/>
      <c r="BO67" s="242"/>
      <c r="BP67" s="243"/>
      <c r="BQ67" s="243"/>
      <c r="BR67" s="243"/>
      <c r="BS67" s="243"/>
      <c r="BT67" s="243"/>
      <c r="BU67" s="243"/>
      <c r="BV67" s="243"/>
      <c r="BW67" s="242"/>
      <c r="BX67" s="242"/>
      <c r="BY67" s="242"/>
      <c r="BZ67" s="242"/>
      <c r="CA67" s="242"/>
      <c r="CB67" s="242"/>
      <c r="CC67" s="242"/>
      <c r="CD67" s="243"/>
      <c r="CE67" s="243"/>
      <c r="CF67" s="243"/>
      <c r="CG67" s="243"/>
      <c r="CH67" s="243"/>
      <c r="CI67" s="243"/>
      <c r="CJ67" s="243"/>
      <c r="CK67" s="242"/>
      <c r="CL67" s="242"/>
      <c r="CM67" s="242"/>
      <c r="CN67" s="242"/>
      <c r="CO67" s="242"/>
      <c r="CP67" s="242"/>
      <c r="CQ67" s="242"/>
      <c r="CR67" s="243"/>
      <c r="CS67" s="243"/>
      <c r="CT67" s="243"/>
      <c r="CU67" s="243"/>
      <c r="CV67" s="243">
        <v>16</v>
      </c>
      <c r="CW67" s="243">
        <v>24</v>
      </c>
      <c r="CX67" s="243">
        <v>24</v>
      </c>
      <c r="CY67" s="242">
        <v>24</v>
      </c>
      <c r="CZ67" s="242">
        <v>24</v>
      </c>
      <c r="DA67" s="242">
        <v>24</v>
      </c>
      <c r="DB67" s="242">
        <v>24</v>
      </c>
      <c r="DC67" s="242">
        <v>24</v>
      </c>
      <c r="DD67" s="242"/>
      <c r="DE67" s="242"/>
      <c r="DF67" s="243"/>
      <c r="DG67" s="243"/>
      <c r="DH67" s="243"/>
      <c r="DI67" s="243"/>
      <c r="DJ67" s="243"/>
      <c r="DK67" s="243"/>
      <c r="DL67" s="243"/>
      <c r="DM67" s="242"/>
      <c r="DN67" s="242"/>
      <c r="DO67" s="242"/>
      <c r="DP67" s="242"/>
      <c r="DQ67" s="242"/>
      <c r="DR67" s="242"/>
      <c r="DS67" s="242"/>
      <c r="DT67" s="243"/>
      <c r="DU67" s="243"/>
      <c r="DV67" s="243"/>
      <c r="DW67" s="243"/>
      <c r="DX67" s="243"/>
      <c r="DY67" s="243"/>
      <c r="DZ67" s="243"/>
      <c r="EA67" s="242"/>
      <c r="EB67" s="242"/>
      <c r="EC67" s="242"/>
      <c r="ED67" s="242"/>
      <c r="EE67" s="242"/>
      <c r="EF67" s="242"/>
      <c r="EG67" s="242"/>
      <c r="EH67" s="243"/>
      <c r="EI67" s="243"/>
      <c r="EJ67" s="243"/>
      <c r="EK67" s="243"/>
      <c r="EL67" s="243"/>
      <c r="EM67" s="243"/>
      <c r="EN67" s="243"/>
      <c r="EO67" s="242"/>
      <c r="EP67" s="242"/>
      <c r="EQ67" s="242"/>
      <c r="ER67" s="242"/>
      <c r="ES67" s="242"/>
      <c r="ET67" s="242"/>
      <c r="EU67" s="242"/>
      <c r="EV67" s="243"/>
      <c r="EW67" s="243"/>
      <c r="EX67" s="243"/>
      <c r="EY67" s="243"/>
      <c r="EZ67" s="243"/>
      <c r="FA67" s="243"/>
      <c r="FB67" s="243"/>
      <c r="FC67" s="242"/>
      <c r="FD67" s="242"/>
      <c r="FE67" s="242"/>
      <c r="FF67" s="242"/>
      <c r="FG67" s="242"/>
      <c r="FH67" s="242"/>
      <c r="FI67" s="242"/>
      <c r="FJ67" s="243"/>
      <c r="FK67" s="243"/>
      <c r="FL67" s="243"/>
      <c r="FM67" s="243"/>
      <c r="FN67" s="243"/>
      <c r="FO67" s="243"/>
      <c r="FP67" s="243"/>
      <c r="FQ67" s="242"/>
      <c r="FR67" s="242"/>
      <c r="FS67" s="242"/>
      <c r="FT67" s="242"/>
      <c r="FU67" s="242"/>
      <c r="FV67" s="242"/>
      <c r="FW67" s="242"/>
      <c r="FX67" s="243"/>
      <c r="FY67" s="243"/>
      <c r="FZ67" s="243"/>
      <c r="GA67" s="243"/>
      <c r="GB67" s="243"/>
      <c r="GC67" s="243"/>
      <c r="GD67" s="243"/>
      <c r="GE67" s="242"/>
      <c r="GF67" s="242"/>
      <c r="GG67" s="242"/>
      <c r="GH67" s="242"/>
      <c r="GI67" s="242"/>
      <c r="GJ67" s="242"/>
      <c r="GK67" s="242"/>
      <c r="GL67" s="243"/>
      <c r="GM67" s="243"/>
      <c r="GN67" s="243"/>
      <c r="GO67" s="243"/>
      <c r="GP67" s="243"/>
      <c r="GQ67" s="243"/>
      <c r="GR67" s="243"/>
      <c r="GS67" s="242"/>
      <c r="GT67" s="242"/>
      <c r="GU67" s="242"/>
      <c r="GV67" s="242"/>
      <c r="GW67" s="242"/>
      <c r="GX67" s="242"/>
      <c r="GY67" s="242"/>
      <c r="GZ67" s="243"/>
      <c r="HA67" s="243"/>
      <c r="HB67" s="243"/>
      <c r="HC67" s="243"/>
      <c r="HD67" s="243"/>
      <c r="HE67" s="243"/>
      <c r="HF67" s="243"/>
      <c r="HG67" s="242"/>
      <c r="HH67" s="242"/>
      <c r="HI67" s="242"/>
      <c r="HJ67" s="242"/>
      <c r="HK67" s="242"/>
      <c r="HL67" s="242"/>
      <c r="HM67" s="242"/>
      <c r="HN67" s="243"/>
      <c r="HO67" s="243"/>
      <c r="HP67" s="243"/>
      <c r="HQ67" s="243"/>
      <c r="HR67" s="243"/>
      <c r="HS67" s="243"/>
      <c r="HT67" s="243"/>
      <c r="HU67" s="242"/>
      <c r="HV67" s="242"/>
      <c r="HW67" s="242"/>
      <c r="HX67" s="242"/>
      <c r="HY67" s="242"/>
      <c r="HZ67" s="242"/>
      <c r="IA67" s="242"/>
      <c r="IB67" s="243"/>
      <c r="IC67" s="243"/>
      <c r="ID67" s="243"/>
      <c r="IE67" s="243"/>
      <c r="IF67" s="243"/>
      <c r="IG67" s="243"/>
      <c r="IH67" s="243"/>
      <c r="II67" s="242"/>
      <c r="IJ67" s="242"/>
      <c r="IK67" s="242"/>
      <c r="IL67" s="242"/>
      <c r="IM67" s="242"/>
      <c r="IN67" s="242"/>
      <c r="IO67" s="242"/>
      <c r="IP67" s="243"/>
      <c r="IQ67" s="243"/>
      <c r="IR67" s="243"/>
      <c r="IS67" s="243"/>
      <c r="IT67" s="243"/>
      <c r="IU67" s="243"/>
      <c r="IV67" s="243"/>
      <c r="IW67" s="242"/>
      <c r="IX67" s="242"/>
      <c r="IY67" s="242"/>
      <c r="IZ67" s="242"/>
      <c r="JA67" s="242"/>
      <c r="JB67" s="242"/>
      <c r="JC67" s="242"/>
      <c r="JD67" s="243"/>
      <c r="JE67" s="243"/>
      <c r="JF67" s="243"/>
      <c r="JG67" s="243"/>
      <c r="JH67" s="243"/>
      <c r="JI67" s="243"/>
      <c r="JJ67" s="243"/>
      <c r="JK67" s="242"/>
      <c r="JL67" s="242"/>
      <c r="JM67" s="242"/>
      <c r="JN67" s="242"/>
      <c r="JO67" s="242"/>
      <c r="JP67" s="242"/>
      <c r="JQ67" s="242"/>
      <c r="JR67" s="243"/>
      <c r="JS67" s="243"/>
      <c r="JT67" s="243"/>
      <c r="JU67" s="243"/>
      <c r="JV67" s="243">
        <v>16</v>
      </c>
      <c r="JW67" s="243">
        <v>24</v>
      </c>
      <c r="JX67" s="243">
        <v>24</v>
      </c>
      <c r="JY67" s="242">
        <v>24</v>
      </c>
      <c r="JZ67" s="242">
        <v>24</v>
      </c>
      <c r="KA67" s="242">
        <v>24</v>
      </c>
      <c r="KB67" s="242">
        <v>24</v>
      </c>
      <c r="KC67" s="242">
        <v>24</v>
      </c>
      <c r="KD67" s="242"/>
      <c r="KE67" s="242"/>
      <c r="KF67" s="243"/>
      <c r="KG67" s="243"/>
      <c r="KH67" s="243"/>
      <c r="KI67" s="243"/>
      <c r="KJ67" s="243"/>
      <c r="KK67" s="243"/>
      <c r="KL67" s="243"/>
      <c r="KM67" s="242"/>
      <c r="KN67" s="242"/>
      <c r="KO67" s="242"/>
      <c r="KP67" s="242"/>
      <c r="KQ67" s="242"/>
      <c r="KR67" s="242"/>
      <c r="KS67" s="242"/>
      <c r="KT67" s="243"/>
      <c r="KU67" s="243"/>
      <c r="KV67" s="243"/>
      <c r="KW67" s="243"/>
      <c r="KX67" s="243"/>
      <c r="KY67" s="243"/>
      <c r="KZ67" s="243"/>
      <c r="LA67" s="242"/>
      <c r="LB67" s="242"/>
      <c r="LC67" s="242"/>
      <c r="LD67" s="242"/>
      <c r="LE67" s="242"/>
      <c r="LF67" s="242"/>
      <c r="LG67" s="242"/>
      <c r="LH67" s="243"/>
      <c r="LI67" s="243"/>
      <c r="LJ67" s="243"/>
      <c r="LK67" s="243"/>
      <c r="LL67" s="243"/>
      <c r="LM67" s="243"/>
      <c r="LN67" s="243"/>
      <c r="LO67" s="242"/>
      <c r="LP67" s="242"/>
      <c r="LQ67" s="242"/>
      <c r="LR67" s="242"/>
      <c r="LS67" s="242"/>
      <c r="LT67" s="242"/>
      <c r="LU67" s="242"/>
      <c r="LV67" s="243"/>
      <c r="LW67" s="243"/>
      <c r="LX67" s="243"/>
      <c r="LY67" s="243"/>
      <c r="LZ67" s="243"/>
      <c r="MA67" s="243"/>
      <c r="MB67" s="243"/>
      <c r="MC67" s="242"/>
      <c r="MD67" s="242"/>
      <c r="ME67" s="242"/>
      <c r="MF67" s="242"/>
      <c r="MG67" s="242"/>
      <c r="MH67" s="242"/>
      <c r="MI67" s="242"/>
      <c r="MJ67" s="243"/>
      <c r="MK67" s="243"/>
      <c r="ML67" s="243"/>
      <c r="MM67" s="243"/>
      <c r="MN67" s="243"/>
      <c r="MO67" s="243"/>
      <c r="MP67" s="243"/>
      <c r="MQ67" s="242"/>
      <c r="MR67" s="242"/>
      <c r="MS67" s="242"/>
      <c r="MT67" s="242"/>
      <c r="MU67" s="242"/>
      <c r="MV67" s="242"/>
      <c r="MW67" s="242"/>
      <c r="MX67" s="243"/>
      <c r="MY67" s="243"/>
      <c r="MZ67" s="243"/>
      <c r="NA67" s="243"/>
      <c r="NB67" s="243"/>
      <c r="NC67" s="243"/>
      <c r="ND67" s="243"/>
      <c r="NE67" s="242"/>
      <c r="NF67" s="242"/>
      <c r="NG67" s="242"/>
      <c r="NH67" s="333"/>
    </row>
    <row r="68" spans="1:372">
      <c r="A68" s="251" t="s">
        <v>973</v>
      </c>
      <c r="B68" s="251" t="s">
        <v>594</v>
      </c>
      <c r="C68" s="251" t="s">
        <v>674</v>
      </c>
      <c r="D68" s="251" t="s">
        <v>982</v>
      </c>
      <c r="E68" s="241">
        <v>304.11376109910026</v>
      </c>
      <c r="F68" s="241">
        <v>368</v>
      </c>
      <c r="G68" s="242"/>
      <c r="H68" s="242"/>
      <c r="I68" s="242"/>
      <c r="J68" s="242"/>
      <c r="K68" s="242"/>
      <c r="L68" s="243"/>
      <c r="M68" s="243"/>
      <c r="N68" s="243"/>
      <c r="O68" s="243"/>
      <c r="P68" s="243"/>
      <c r="Q68" s="243"/>
      <c r="R68" s="243"/>
      <c r="S68" s="242"/>
      <c r="T68" s="242"/>
      <c r="U68" s="242"/>
      <c r="V68" s="242"/>
      <c r="W68" s="242"/>
      <c r="X68" s="242"/>
      <c r="Y68" s="242"/>
      <c r="Z68" s="243"/>
      <c r="AA68" s="243"/>
      <c r="AB68" s="243"/>
      <c r="AC68" s="243"/>
      <c r="AD68" s="243"/>
      <c r="AE68" s="243"/>
      <c r="AF68" s="243"/>
      <c r="AG68" s="242"/>
      <c r="AH68" s="242"/>
      <c r="AI68" s="242"/>
      <c r="AJ68" s="242"/>
      <c r="AK68" s="242"/>
      <c r="AL68" s="242"/>
      <c r="AM68" s="242"/>
      <c r="AN68" s="243"/>
      <c r="AO68" s="243"/>
      <c r="AP68" s="243"/>
      <c r="AQ68" s="243"/>
      <c r="AR68" s="243"/>
      <c r="AS68" s="243"/>
      <c r="AT68" s="243"/>
      <c r="AU68" s="242"/>
      <c r="AV68" s="242"/>
      <c r="AW68" s="242"/>
      <c r="AX68" s="242"/>
      <c r="AY68" s="242"/>
      <c r="AZ68" s="242"/>
      <c r="BA68" s="242"/>
      <c r="BB68" s="243"/>
      <c r="BC68" s="243"/>
      <c r="BD68" s="243"/>
      <c r="BE68" s="243"/>
      <c r="BF68" s="243"/>
      <c r="BG68" s="243"/>
      <c r="BH68" s="243"/>
      <c r="BI68" s="242"/>
      <c r="BJ68" s="242"/>
      <c r="BK68" s="242"/>
      <c r="BL68" s="242"/>
      <c r="BM68" s="242"/>
      <c r="BN68" s="242"/>
      <c r="BO68" s="242"/>
      <c r="BP68" s="243"/>
      <c r="BQ68" s="243"/>
      <c r="BR68" s="243"/>
      <c r="BS68" s="243"/>
      <c r="BT68" s="243"/>
      <c r="BU68" s="243"/>
      <c r="BV68" s="243"/>
      <c r="BW68" s="242"/>
      <c r="BX68" s="242"/>
      <c r="BY68" s="242"/>
      <c r="BZ68" s="242"/>
      <c r="CA68" s="242"/>
      <c r="CB68" s="242"/>
      <c r="CC68" s="242"/>
      <c r="CD68" s="243"/>
      <c r="CE68" s="243"/>
      <c r="CF68" s="243"/>
      <c r="CG68" s="243"/>
      <c r="CH68" s="243"/>
      <c r="CI68" s="243"/>
      <c r="CJ68" s="243"/>
      <c r="CK68" s="242"/>
      <c r="CL68" s="242"/>
      <c r="CM68" s="242"/>
      <c r="CN68" s="242"/>
      <c r="CO68" s="242"/>
      <c r="CP68" s="242"/>
      <c r="CQ68" s="242"/>
      <c r="CR68" s="243"/>
      <c r="CS68" s="243"/>
      <c r="CT68" s="243"/>
      <c r="CU68" s="243"/>
      <c r="CV68" s="243"/>
      <c r="CW68" s="243">
        <v>16</v>
      </c>
      <c r="CX68" s="243">
        <v>24</v>
      </c>
      <c r="CY68" s="242">
        <v>24</v>
      </c>
      <c r="CZ68" s="242">
        <v>24</v>
      </c>
      <c r="DA68" s="242">
        <v>24</v>
      </c>
      <c r="DB68" s="242">
        <v>24</v>
      </c>
      <c r="DC68" s="242">
        <v>24</v>
      </c>
      <c r="DD68" s="242">
        <v>24</v>
      </c>
      <c r="DE68" s="242"/>
      <c r="DF68" s="243"/>
      <c r="DG68" s="243"/>
      <c r="DH68" s="243"/>
      <c r="DI68" s="243"/>
      <c r="DJ68" s="243"/>
      <c r="DK68" s="243"/>
      <c r="DL68" s="243"/>
      <c r="DM68" s="242"/>
      <c r="DN68" s="242"/>
      <c r="DO68" s="242"/>
      <c r="DP68" s="242"/>
      <c r="DQ68" s="242"/>
      <c r="DR68" s="242"/>
      <c r="DS68" s="242"/>
      <c r="DT68" s="243"/>
      <c r="DU68" s="243"/>
      <c r="DV68" s="243"/>
      <c r="DW68" s="243"/>
      <c r="DX68" s="243"/>
      <c r="DY68" s="243"/>
      <c r="DZ68" s="243"/>
      <c r="EA68" s="242"/>
      <c r="EB68" s="242"/>
      <c r="EC68" s="242"/>
      <c r="ED68" s="242"/>
      <c r="EE68" s="242"/>
      <c r="EF68" s="242"/>
      <c r="EG68" s="242"/>
      <c r="EH68" s="243"/>
      <c r="EI68" s="243"/>
      <c r="EJ68" s="243"/>
      <c r="EK68" s="243"/>
      <c r="EL68" s="243"/>
      <c r="EM68" s="243"/>
      <c r="EN68" s="243"/>
      <c r="EO68" s="242"/>
      <c r="EP68" s="242"/>
      <c r="EQ68" s="242"/>
      <c r="ER68" s="242"/>
      <c r="ES68" s="242"/>
      <c r="ET68" s="242"/>
      <c r="EU68" s="242"/>
      <c r="EV68" s="243"/>
      <c r="EW68" s="243"/>
      <c r="EX68" s="243"/>
      <c r="EY68" s="243"/>
      <c r="EZ68" s="243"/>
      <c r="FA68" s="243"/>
      <c r="FB68" s="243"/>
      <c r="FC68" s="242"/>
      <c r="FD68" s="242"/>
      <c r="FE68" s="242"/>
      <c r="FF68" s="242"/>
      <c r="FG68" s="242"/>
      <c r="FH68" s="242"/>
      <c r="FI68" s="242"/>
      <c r="FJ68" s="243"/>
      <c r="FK68" s="243"/>
      <c r="FL68" s="243"/>
      <c r="FM68" s="243"/>
      <c r="FN68" s="243"/>
      <c r="FO68" s="243"/>
      <c r="FP68" s="243"/>
      <c r="FQ68" s="242"/>
      <c r="FR68" s="242"/>
      <c r="FS68" s="242"/>
      <c r="FT68" s="242"/>
      <c r="FU68" s="242"/>
      <c r="FV68" s="242"/>
      <c r="FW68" s="242"/>
      <c r="FX68" s="243"/>
      <c r="FY68" s="243"/>
      <c r="FZ68" s="243"/>
      <c r="GA68" s="243"/>
      <c r="GB68" s="243"/>
      <c r="GC68" s="243"/>
      <c r="GD68" s="243"/>
      <c r="GE68" s="242"/>
      <c r="GF68" s="242"/>
      <c r="GG68" s="242"/>
      <c r="GH68" s="242"/>
      <c r="GI68" s="242"/>
      <c r="GJ68" s="242"/>
      <c r="GK68" s="242"/>
      <c r="GL68" s="243"/>
      <c r="GM68" s="243"/>
      <c r="GN68" s="243"/>
      <c r="GO68" s="243"/>
      <c r="GP68" s="243"/>
      <c r="GQ68" s="243"/>
      <c r="GR68" s="243"/>
      <c r="GS68" s="242"/>
      <c r="GT68" s="242"/>
      <c r="GU68" s="242"/>
      <c r="GV68" s="242"/>
      <c r="GW68" s="242"/>
      <c r="GX68" s="242"/>
      <c r="GY68" s="242"/>
      <c r="GZ68" s="243"/>
      <c r="HA68" s="243"/>
      <c r="HB68" s="243"/>
      <c r="HC68" s="243"/>
      <c r="HD68" s="243"/>
      <c r="HE68" s="243"/>
      <c r="HF68" s="243"/>
      <c r="HG68" s="242"/>
      <c r="HH68" s="242"/>
      <c r="HI68" s="242"/>
      <c r="HJ68" s="242"/>
      <c r="HK68" s="242"/>
      <c r="HL68" s="242"/>
      <c r="HM68" s="242"/>
      <c r="HN68" s="243"/>
      <c r="HO68" s="243"/>
      <c r="HP68" s="243"/>
      <c r="HQ68" s="243"/>
      <c r="HR68" s="243"/>
      <c r="HS68" s="243"/>
      <c r="HT68" s="243"/>
      <c r="HU68" s="242"/>
      <c r="HV68" s="242"/>
      <c r="HW68" s="242"/>
      <c r="HX68" s="242"/>
      <c r="HY68" s="242"/>
      <c r="HZ68" s="242"/>
      <c r="IA68" s="242"/>
      <c r="IB68" s="243"/>
      <c r="IC68" s="243"/>
      <c r="ID68" s="243"/>
      <c r="IE68" s="243"/>
      <c r="IF68" s="243"/>
      <c r="IG68" s="243"/>
      <c r="IH68" s="243"/>
      <c r="II68" s="242"/>
      <c r="IJ68" s="242"/>
      <c r="IK68" s="242"/>
      <c r="IL68" s="242"/>
      <c r="IM68" s="242"/>
      <c r="IN68" s="242"/>
      <c r="IO68" s="242"/>
      <c r="IP68" s="243"/>
      <c r="IQ68" s="243"/>
      <c r="IR68" s="243"/>
      <c r="IS68" s="243"/>
      <c r="IT68" s="243"/>
      <c r="IU68" s="243"/>
      <c r="IV68" s="243"/>
      <c r="IW68" s="242"/>
      <c r="IX68" s="242"/>
      <c r="IY68" s="242"/>
      <c r="IZ68" s="242"/>
      <c r="JA68" s="242"/>
      <c r="JB68" s="242"/>
      <c r="JC68" s="242"/>
      <c r="JD68" s="243"/>
      <c r="JE68" s="243"/>
      <c r="JF68" s="243"/>
      <c r="JG68" s="243"/>
      <c r="JH68" s="243"/>
      <c r="JI68" s="243"/>
      <c r="JJ68" s="243"/>
      <c r="JK68" s="242"/>
      <c r="JL68" s="242"/>
      <c r="JM68" s="242"/>
      <c r="JN68" s="242"/>
      <c r="JO68" s="242"/>
      <c r="JP68" s="242"/>
      <c r="JQ68" s="242"/>
      <c r="JR68" s="243"/>
      <c r="JS68" s="243"/>
      <c r="JT68" s="243"/>
      <c r="JU68" s="243"/>
      <c r="JV68" s="243"/>
      <c r="JW68" s="243">
        <v>16</v>
      </c>
      <c r="JX68" s="243">
        <v>24</v>
      </c>
      <c r="JY68" s="242">
        <v>24</v>
      </c>
      <c r="JZ68" s="242">
        <v>24</v>
      </c>
      <c r="KA68" s="242">
        <v>24</v>
      </c>
      <c r="KB68" s="242">
        <v>24</v>
      </c>
      <c r="KC68" s="242">
        <v>24</v>
      </c>
      <c r="KD68" s="242">
        <v>24</v>
      </c>
      <c r="KE68" s="242"/>
      <c r="KF68" s="243"/>
      <c r="KG68" s="243"/>
      <c r="KH68" s="243"/>
      <c r="KI68" s="243"/>
      <c r="KJ68" s="243"/>
      <c r="KK68" s="243"/>
      <c r="KL68" s="243"/>
      <c r="KM68" s="242"/>
      <c r="KN68" s="242"/>
      <c r="KO68" s="242"/>
      <c r="KP68" s="242"/>
      <c r="KQ68" s="242"/>
      <c r="KR68" s="242"/>
      <c r="KS68" s="242"/>
      <c r="KT68" s="243"/>
      <c r="KU68" s="243"/>
      <c r="KV68" s="243"/>
      <c r="KW68" s="243"/>
      <c r="KX68" s="243"/>
      <c r="KY68" s="243"/>
      <c r="KZ68" s="243"/>
      <c r="LA68" s="242"/>
      <c r="LB68" s="242"/>
      <c r="LC68" s="242"/>
      <c r="LD68" s="242"/>
      <c r="LE68" s="242"/>
      <c r="LF68" s="242"/>
      <c r="LG68" s="242"/>
      <c r="LH68" s="243"/>
      <c r="LI68" s="243"/>
      <c r="LJ68" s="243"/>
      <c r="LK68" s="243"/>
      <c r="LL68" s="243"/>
      <c r="LM68" s="243"/>
      <c r="LN68" s="243"/>
      <c r="LO68" s="242"/>
      <c r="LP68" s="242"/>
      <c r="LQ68" s="242"/>
      <c r="LR68" s="242"/>
      <c r="LS68" s="242"/>
      <c r="LT68" s="242"/>
      <c r="LU68" s="242"/>
      <c r="LV68" s="243"/>
      <c r="LW68" s="243"/>
      <c r="LX68" s="243"/>
      <c r="LY68" s="243"/>
      <c r="LZ68" s="243"/>
      <c r="MA68" s="243"/>
      <c r="MB68" s="243"/>
      <c r="MC68" s="242"/>
      <c r="MD68" s="242"/>
      <c r="ME68" s="242"/>
      <c r="MF68" s="242"/>
      <c r="MG68" s="242"/>
      <c r="MH68" s="242"/>
      <c r="MI68" s="242"/>
      <c r="MJ68" s="243"/>
      <c r="MK68" s="243"/>
      <c r="ML68" s="243"/>
      <c r="MM68" s="243"/>
      <c r="MN68" s="243"/>
      <c r="MO68" s="243"/>
      <c r="MP68" s="243"/>
      <c r="MQ68" s="242"/>
      <c r="MR68" s="242"/>
      <c r="MS68" s="242"/>
      <c r="MT68" s="242"/>
      <c r="MU68" s="242"/>
      <c r="MV68" s="242"/>
      <c r="MW68" s="242"/>
      <c r="MX68" s="243"/>
      <c r="MY68" s="243"/>
      <c r="MZ68" s="243"/>
      <c r="NA68" s="243"/>
      <c r="NB68" s="243"/>
      <c r="NC68" s="243"/>
      <c r="ND68" s="243"/>
      <c r="NE68" s="242"/>
      <c r="NF68" s="242"/>
      <c r="NG68" s="242"/>
      <c r="NH68" s="333"/>
    </row>
    <row r="69" spans="1:372">
      <c r="A69" s="251" t="s">
        <v>973</v>
      </c>
      <c r="B69" s="251" t="s">
        <v>586</v>
      </c>
      <c r="C69" s="251" t="s">
        <v>674</v>
      </c>
      <c r="D69" s="251" t="s">
        <v>982</v>
      </c>
      <c r="E69" s="241">
        <v>467.54137776508799</v>
      </c>
      <c r="F69" s="241">
        <v>328</v>
      </c>
      <c r="G69" s="242"/>
      <c r="H69" s="242"/>
      <c r="I69" s="242"/>
      <c r="J69" s="242"/>
      <c r="K69" s="242"/>
      <c r="L69" s="243"/>
      <c r="M69" s="243"/>
      <c r="N69" s="243"/>
      <c r="O69" s="243"/>
      <c r="P69" s="243"/>
      <c r="Q69" s="243"/>
      <c r="R69" s="243"/>
      <c r="S69" s="242"/>
      <c r="T69" s="242"/>
      <c r="U69" s="242"/>
      <c r="V69" s="242"/>
      <c r="W69" s="242"/>
      <c r="X69" s="242"/>
      <c r="Y69" s="242"/>
      <c r="Z69" s="243"/>
      <c r="AA69" s="243"/>
      <c r="AB69" s="243"/>
      <c r="AC69" s="243"/>
      <c r="AD69" s="243"/>
      <c r="AE69" s="243"/>
      <c r="AF69" s="243"/>
      <c r="AG69" s="242"/>
      <c r="AH69" s="242"/>
      <c r="AI69" s="242"/>
      <c r="AJ69" s="242"/>
      <c r="AK69" s="242"/>
      <c r="AL69" s="242"/>
      <c r="AM69" s="242"/>
      <c r="AN69" s="243"/>
      <c r="AO69" s="243"/>
      <c r="AP69" s="243"/>
      <c r="AQ69" s="243"/>
      <c r="AR69" s="243"/>
      <c r="AS69" s="243"/>
      <c r="AT69" s="243"/>
      <c r="AU69" s="242"/>
      <c r="AV69" s="242"/>
      <c r="AW69" s="242"/>
      <c r="AX69" s="242"/>
      <c r="AY69" s="242"/>
      <c r="AZ69" s="242"/>
      <c r="BA69" s="242"/>
      <c r="BB69" s="243"/>
      <c r="BC69" s="243"/>
      <c r="BD69" s="243"/>
      <c r="BE69" s="243"/>
      <c r="BF69" s="243"/>
      <c r="BG69" s="243"/>
      <c r="BH69" s="243"/>
      <c r="BI69" s="242"/>
      <c r="BJ69" s="242"/>
      <c r="BK69" s="242"/>
      <c r="BL69" s="242"/>
      <c r="BM69" s="242"/>
      <c r="BN69" s="242"/>
      <c r="BO69" s="242"/>
      <c r="BP69" s="243"/>
      <c r="BQ69" s="243"/>
      <c r="BR69" s="243"/>
      <c r="BS69" s="243"/>
      <c r="BT69" s="243"/>
      <c r="BU69" s="243"/>
      <c r="BV69" s="243"/>
      <c r="BW69" s="242"/>
      <c r="BX69" s="242"/>
      <c r="BY69" s="242"/>
      <c r="BZ69" s="242"/>
      <c r="CA69" s="242"/>
      <c r="CB69" s="242"/>
      <c r="CC69" s="242"/>
      <c r="CD69" s="243"/>
      <c r="CE69" s="243"/>
      <c r="CF69" s="243"/>
      <c r="CG69" s="243"/>
      <c r="CH69" s="243"/>
      <c r="CI69" s="243"/>
      <c r="CJ69" s="243"/>
      <c r="CK69" s="242"/>
      <c r="CL69" s="242"/>
      <c r="CM69" s="242"/>
      <c r="CN69" s="242"/>
      <c r="CO69" s="242"/>
      <c r="CP69" s="242"/>
      <c r="CQ69" s="242"/>
      <c r="CR69" s="243"/>
      <c r="CS69" s="243"/>
      <c r="CT69" s="243"/>
      <c r="CU69" s="243">
        <v>8</v>
      </c>
      <c r="CV69" s="243">
        <v>24</v>
      </c>
      <c r="CW69" s="243">
        <v>24</v>
      </c>
      <c r="CX69" s="243">
        <v>24</v>
      </c>
      <c r="CY69" s="242">
        <v>24</v>
      </c>
      <c r="CZ69" s="242">
        <v>24</v>
      </c>
      <c r="DA69" s="242">
        <v>24</v>
      </c>
      <c r="DB69" s="242">
        <v>12</v>
      </c>
      <c r="DC69" s="242"/>
      <c r="DD69" s="242"/>
      <c r="DE69" s="242"/>
      <c r="DF69" s="243"/>
      <c r="DG69" s="243"/>
      <c r="DH69" s="243"/>
      <c r="DI69" s="243"/>
      <c r="DJ69" s="243"/>
      <c r="DK69" s="243"/>
      <c r="DL69" s="243"/>
      <c r="DM69" s="242"/>
      <c r="DN69" s="242"/>
      <c r="DO69" s="242"/>
      <c r="DP69" s="242"/>
      <c r="DQ69" s="242"/>
      <c r="DR69" s="242"/>
      <c r="DS69" s="242"/>
      <c r="DT69" s="243"/>
      <c r="DU69" s="243"/>
      <c r="DV69" s="243"/>
      <c r="DW69" s="243"/>
      <c r="DX69" s="243"/>
      <c r="DY69" s="243"/>
      <c r="DZ69" s="243"/>
      <c r="EA69" s="242"/>
      <c r="EB69" s="242"/>
      <c r="EC69" s="242"/>
      <c r="ED69" s="242"/>
      <c r="EE69" s="242"/>
      <c r="EF69" s="242"/>
      <c r="EG69" s="242"/>
      <c r="EH69" s="243"/>
      <c r="EI69" s="243"/>
      <c r="EJ69" s="243"/>
      <c r="EK69" s="243"/>
      <c r="EL69" s="243"/>
      <c r="EM69" s="243"/>
      <c r="EN69" s="243"/>
      <c r="EO69" s="242"/>
      <c r="EP69" s="242"/>
      <c r="EQ69" s="242"/>
      <c r="ER69" s="242"/>
      <c r="ES69" s="242"/>
      <c r="ET69" s="242"/>
      <c r="EU69" s="242"/>
      <c r="EV69" s="243"/>
      <c r="EW69" s="243"/>
      <c r="EX69" s="243"/>
      <c r="EY69" s="243"/>
      <c r="EZ69" s="243"/>
      <c r="FA69" s="243"/>
      <c r="FB69" s="243"/>
      <c r="FC69" s="242"/>
      <c r="FD69" s="242"/>
      <c r="FE69" s="242"/>
      <c r="FF69" s="242"/>
      <c r="FG69" s="242"/>
      <c r="FH69" s="242"/>
      <c r="FI69" s="242"/>
      <c r="FJ69" s="243"/>
      <c r="FK69" s="243"/>
      <c r="FL69" s="243"/>
      <c r="FM69" s="243"/>
      <c r="FN69" s="243"/>
      <c r="FO69" s="243"/>
      <c r="FP69" s="243"/>
      <c r="FQ69" s="242"/>
      <c r="FR69" s="242"/>
      <c r="FS69" s="242"/>
      <c r="FT69" s="242"/>
      <c r="FU69" s="242"/>
      <c r="FV69" s="242"/>
      <c r="FW69" s="242"/>
      <c r="FX69" s="243"/>
      <c r="FY69" s="243"/>
      <c r="FZ69" s="243"/>
      <c r="GA69" s="243"/>
      <c r="GB69" s="243"/>
      <c r="GC69" s="243"/>
      <c r="GD69" s="243"/>
      <c r="GE69" s="242"/>
      <c r="GF69" s="242"/>
      <c r="GG69" s="242"/>
      <c r="GH69" s="242"/>
      <c r="GI69" s="242"/>
      <c r="GJ69" s="242"/>
      <c r="GK69" s="242"/>
      <c r="GL69" s="243"/>
      <c r="GM69" s="243"/>
      <c r="GN69" s="243"/>
      <c r="GO69" s="243"/>
      <c r="GP69" s="243"/>
      <c r="GQ69" s="243"/>
      <c r="GR69" s="243"/>
      <c r="GS69" s="242"/>
      <c r="GT69" s="242"/>
      <c r="GU69" s="242"/>
      <c r="GV69" s="242"/>
      <c r="GW69" s="242"/>
      <c r="GX69" s="242"/>
      <c r="GY69" s="242"/>
      <c r="GZ69" s="243"/>
      <c r="HA69" s="243"/>
      <c r="HB69" s="243"/>
      <c r="HC69" s="243"/>
      <c r="HD69" s="243"/>
      <c r="HE69" s="243"/>
      <c r="HF69" s="243"/>
      <c r="HG69" s="242"/>
      <c r="HH69" s="242"/>
      <c r="HI69" s="242"/>
      <c r="HJ69" s="242"/>
      <c r="HK69" s="242"/>
      <c r="HL69" s="242"/>
      <c r="HM69" s="242"/>
      <c r="HN69" s="243"/>
      <c r="HO69" s="243"/>
      <c r="HP69" s="243"/>
      <c r="HQ69" s="243"/>
      <c r="HR69" s="243"/>
      <c r="HS69" s="243"/>
      <c r="HT69" s="243"/>
      <c r="HU69" s="242"/>
      <c r="HV69" s="242"/>
      <c r="HW69" s="242"/>
      <c r="HX69" s="242"/>
      <c r="HY69" s="242"/>
      <c r="HZ69" s="242"/>
      <c r="IA69" s="242"/>
      <c r="IB69" s="243"/>
      <c r="IC69" s="243"/>
      <c r="ID69" s="243"/>
      <c r="IE69" s="243"/>
      <c r="IF69" s="243"/>
      <c r="IG69" s="243"/>
      <c r="IH69" s="243"/>
      <c r="II69" s="242"/>
      <c r="IJ69" s="242"/>
      <c r="IK69" s="242"/>
      <c r="IL69" s="242"/>
      <c r="IM69" s="242"/>
      <c r="IN69" s="242"/>
      <c r="IO69" s="242"/>
      <c r="IP69" s="243"/>
      <c r="IQ69" s="243"/>
      <c r="IR69" s="243"/>
      <c r="IS69" s="243"/>
      <c r="IT69" s="243"/>
      <c r="IU69" s="243"/>
      <c r="IV69" s="243"/>
      <c r="IW69" s="242"/>
      <c r="IX69" s="242"/>
      <c r="IY69" s="242"/>
      <c r="IZ69" s="242"/>
      <c r="JA69" s="242"/>
      <c r="JB69" s="242"/>
      <c r="JC69" s="242"/>
      <c r="JD69" s="243"/>
      <c r="JE69" s="243"/>
      <c r="JF69" s="243"/>
      <c r="JG69" s="243"/>
      <c r="JH69" s="243"/>
      <c r="JI69" s="243"/>
      <c r="JJ69" s="243"/>
      <c r="JK69" s="242"/>
      <c r="JL69" s="242"/>
      <c r="JM69" s="242"/>
      <c r="JN69" s="242"/>
      <c r="JO69" s="242"/>
      <c r="JP69" s="242"/>
      <c r="JQ69" s="242"/>
      <c r="JR69" s="243"/>
      <c r="JS69" s="243"/>
      <c r="JT69" s="243"/>
      <c r="JU69" s="243">
        <v>8</v>
      </c>
      <c r="JV69" s="243">
        <v>24</v>
      </c>
      <c r="JW69" s="243">
        <v>24</v>
      </c>
      <c r="JX69" s="243">
        <v>24</v>
      </c>
      <c r="JY69" s="242">
        <v>24</v>
      </c>
      <c r="JZ69" s="242">
        <v>24</v>
      </c>
      <c r="KA69" s="242">
        <v>24</v>
      </c>
      <c r="KB69" s="242">
        <v>12</v>
      </c>
      <c r="KC69" s="242"/>
      <c r="KD69" s="242"/>
      <c r="KE69" s="242"/>
      <c r="KF69" s="243"/>
      <c r="KG69" s="243"/>
      <c r="KH69" s="243"/>
      <c r="KI69" s="243"/>
      <c r="KJ69" s="243"/>
      <c r="KK69" s="243"/>
      <c r="KL69" s="243"/>
      <c r="KM69" s="242"/>
      <c r="KN69" s="242"/>
      <c r="KO69" s="242"/>
      <c r="KP69" s="242"/>
      <c r="KQ69" s="242"/>
      <c r="KR69" s="242"/>
      <c r="KS69" s="242"/>
      <c r="KT69" s="243"/>
      <c r="KU69" s="243"/>
      <c r="KV69" s="243"/>
      <c r="KW69" s="243"/>
      <c r="KX69" s="243"/>
      <c r="KY69" s="243"/>
      <c r="KZ69" s="243"/>
      <c r="LA69" s="242"/>
      <c r="LB69" s="242"/>
      <c r="LC69" s="242"/>
      <c r="LD69" s="242"/>
      <c r="LE69" s="242"/>
      <c r="LF69" s="242"/>
      <c r="LG69" s="242"/>
      <c r="LH69" s="243"/>
      <c r="LI69" s="243"/>
      <c r="LJ69" s="243"/>
      <c r="LK69" s="243"/>
      <c r="LL69" s="243"/>
      <c r="LM69" s="243"/>
      <c r="LN69" s="243"/>
      <c r="LO69" s="242"/>
      <c r="LP69" s="242"/>
      <c r="LQ69" s="242"/>
      <c r="LR69" s="242"/>
      <c r="LS69" s="242"/>
      <c r="LT69" s="242"/>
      <c r="LU69" s="242"/>
      <c r="LV69" s="243"/>
      <c r="LW69" s="243"/>
      <c r="LX69" s="243"/>
      <c r="LY69" s="243"/>
      <c r="LZ69" s="243"/>
      <c r="MA69" s="243"/>
      <c r="MB69" s="243"/>
      <c r="MC69" s="242"/>
      <c r="MD69" s="242"/>
      <c r="ME69" s="242"/>
      <c r="MF69" s="242"/>
      <c r="MG69" s="242"/>
      <c r="MH69" s="242"/>
      <c r="MI69" s="242"/>
      <c r="MJ69" s="243"/>
      <c r="MK69" s="243"/>
      <c r="ML69" s="243"/>
      <c r="MM69" s="243"/>
      <c r="MN69" s="243"/>
      <c r="MO69" s="243"/>
      <c r="MP69" s="243"/>
      <c r="MQ69" s="242"/>
      <c r="MR69" s="242"/>
      <c r="MS69" s="242"/>
      <c r="MT69" s="242"/>
      <c r="MU69" s="242"/>
      <c r="MV69" s="242"/>
      <c r="MW69" s="242"/>
      <c r="MX69" s="243"/>
      <c r="MY69" s="243"/>
      <c r="MZ69" s="243"/>
      <c r="NA69" s="243"/>
      <c r="NB69" s="243"/>
      <c r="NC69" s="243"/>
      <c r="ND69" s="243"/>
      <c r="NE69" s="242"/>
      <c r="NF69" s="242"/>
      <c r="NG69" s="242"/>
      <c r="NH69" s="333"/>
    </row>
    <row r="70" spans="1:372">
      <c r="A70" s="251" t="s">
        <v>973</v>
      </c>
      <c r="B70" s="251" t="s">
        <v>587</v>
      </c>
      <c r="C70" s="251" t="s">
        <v>674</v>
      </c>
      <c r="D70" s="251" t="s">
        <v>982</v>
      </c>
      <c r="E70" s="241">
        <v>470.61883329980191</v>
      </c>
      <c r="F70" s="241">
        <v>328</v>
      </c>
      <c r="G70" s="242"/>
      <c r="H70" s="242"/>
      <c r="I70" s="242"/>
      <c r="J70" s="242"/>
      <c r="K70" s="242"/>
      <c r="L70" s="243"/>
      <c r="M70" s="243"/>
      <c r="N70" s="243"/>
      <c r="O70" s="243"/>
      <c r="P70" s="243"/>
      <c r="Q70" s="243"/>
      <c r="R70" s="243"/>
      <c r="S70" s="242"/>
      <c r="T70" s="242"/>
      <c r="U70" s="242"/>
      <c r="V70" s="242"/>
      <c r="W70" s="242"/>
      <c r="X70" s="242"/>
      <c r="Y70" s="242"/>
      <c r="Z70" s="243"/>
      <c r="AA70" s="243"/>
      <c r="AB70" s="243"/>
      <c r="AC70" s="243"/>
      <c r="AD70" s="243"/>
      <c r="AE70" s="243"/>
      <c r="AF70" s="243"/>
      <c r="AG70" s="242"/>
      <c r="AH70" s="242"/>
      <c r="AI70" s="242"/>
      <c r="AJ70" s="242"/>
      <c r="AK70" s="242"/>
      <c r="AL70" s="242"/>
      <c r="AM70" s="242"/>
      <c r="AN70" s="243"/>
      <c r="AO70" s="243"/>
      <c r="AP70" s="243"/>
      <c r="AQ70" s="243"/>
      <c r="AR70" s="243"/>
      <c r="AS70" s="243"/>
      <c r="AT70" s="243"/>
      <c r="AU70" s="242"/>
      <c r="AV70" s="242"/>
      <c r="AW70" s="242"/>
      <c r="AX70" s="242"/>
      <c r="AY70" s="242"/>
      <c r="AZ70" s="242"/>
      <c r="BA70" s="242"/>
      <c r="BB70" s="243"/>
      <c r="BC70" s="243"/>
      <c r="BD70" s="243"/>
      <c r="BE70" s="243"/>
      <c r="BF70" s="243"/>
      <c r="BG70" s="243"/>
      <c r="BH70" s="243"/>
      <c r="BI70" s="242"/>
      <c r="BJ70" s="242"/>
      <c r="BK70" s="242"/>
      <c r="BL70" s="242"/>
      <c r="BM70" s="242"/>
      <c r="BN70" s="242"/>
      <c r="BO70" s="242"/>
      <c r="BP70" s="243"/>
      <c r="BQ70" s="243"/>
      <c r="BR70" s="243"/>
      <c r="BS70" s="243"/>
      <c r="BT70" s="243"/>
      <c r="BU70" s="243"/>
      <c r="BV70" s="243"/>
      <c r="BW70" s="242"/>
      <c r="BX70" s="242"/>
      <c r="BY70" s="242"/>
      <c r="BZ70" s="242"/>
      <c r="CA70" s="242"/>
      <c r="CB70" s="242"/>
      <c r="CC70" s="242"/>
      <c r="CD70" s="243"/>
      <c r="CE70" s="243"/>
      <c r="CF70" s="243"/>
      <c r="CG70" s="243"/>
      <c r="CH70" s="243"/>
      <c r="CI70" s="243"/>
      <c r="CJ70" s="243"/>
      <c r="CK70" s="242"/>
      <c r="CL70" s="242"/>
      <c r="CM70" s="242"/>
      <c r="CN70" s="242"/>
      <c r="CO70" s="242"/>
      <c r="CP70" s="242"/>
      <c r="CQ70" s="242"/>
      <c r="CR70" s="243"/>
      <c r="CS70" s="243"/>
      <c r="CT70" s="243"/>
      <c r="CU70" s="243"/>
      <c r="CV70" s="243">
        <v>8</v>
      </c>
      <c r="CW70" s="243">
        <v>24</v>
      </c>
      <c r="CX70" s="243">
        <v>24</v>
      </c>
      <c r="CY70" s="242">
        <v>24</v>
      </c>
      <c r="CZ70" s="242">
        <v>24</v>
      </c>
      <c r="DA70" s="242">
        <v>24</v>
      </c>
      <c r="DB70" s="242">
        <v>24</v>
      </c>
      <c r="DC70" s="242">
        <v>12</v>
      </c>
      <c r="DD70" s="242"/>
      <c r="DE70" s="242"/>
      <c r="DF70" s="243"/>
      <c r="DG70" s="243"/>
      <c r="DH70" s="243"/>
      <c r="DI70" s="243"/>
      <c r="DJ70" s="243"/>
      <c r="DK70" s="243"/>
      <c r="DL70" s="243"/>
      <c r="DM70" s="242"/>
      <c r="DN70" s="242"/>
      <c r="DO70" s="242"/>
      <c r="DP70" s="242"/>
      <c r="DQ70" s="242"/>
      <c r="DR70" s="242"/>
      <c r="DS70" s="242"/>
      <c r="DT70" s="243"/>
      <c r="DU70" s="243"/>
      <c r="DV70" s="243"/>
      <c r="DW70" s="243"/>
      <c r="DX70" s="243"/>
      <c r="DY70" s="243"/>
      <c r="DZ70" s="243"/>
      <c r="EA70" s="242"/>
      <c r="EB70" s="242"/>
      <c r="EC70" s="242"/>
      <c r="ED70" s="242"/>
      <c r="EE70" s="242"/>
      <c r="EF70" s="242"/>
      <c r="EG70" s="242"/>
      <c r="EH70" s="243"/>
      <c r="EI70" s="243"/>
      <c r="EJ70" s="243"/>
      <c r="EK70" s="243"/>
      <c r="EL70" s="243"/>
      <c r="EM70" s="243"/>
      <c r="EN70" s="243"/>
      <c r="EO70" s="242"/>
      <c r="EP70" s="242"/>
      <c r="EQ70" s="242"/>
      <c r="ER70" s="242"/>
      <c r="ES70" s="242"/>
      <c r="ET70" s="242"/>
      <c r="EU70" s="242"/>
      <c r="EV70" s="243"/>
      <c r="EW70" s="243"/>
      <c r="EX70" s="243"/>
      <c r="EY70" s="243"/>
      <c r="EZ70" s="243"/>
      <c r="FA70" s="243"/>
      <c r="FB70" s="243"/>
      <c r="FC70" s="242"/>
      <c r="FD70" s="242"/>
      <c r="FE70" s="242"/>
      <c r="FF70" s="242"/>
      <c r="FG70" s="242"/>
      <c r="FH70" s="242"/>
      <c r="FI70" s="242"/>
      <c r="FJ70" s="243"/>
      <c r="FK70" s="243"/>
      <c r="FL70" s="243"/>
      <c r="FM70" s="243"/>
      <c r="FN70" s="243"/>
      <c r="FO70" s="243"/>
      <c r="FP70" s="243"/>
      <c r="FQ70" s="242"/>
      <c r="FR70" s="242"/>
      <c r="FS70" s="242"/>
      <c r="FT70" s="242"/>
      <c r="FU70" s="242"/>
      <c r="FV70" s="242"/>
      <c r="FW70" s="242"/>
      <c r="FX70" s="243"/>
      <c r="FY70" s="243"/>
      <c r="FZ70" s="243"/>
      <c r="GA70" s="243"/>
      <c r="GB70" s="243"/>
      <c r="GC70" s="243"/>
      <c r="GD70" s="243"/>
      <c r="GE70" s="242"/>
      <c r="GF70" s="242"/>
      <c r="GG70" s="242"/>
      <c r="GH70" s="242"/>
      <c r="GI70" s="242"/>
      <c r="GJ70" s="242"/>
      <c r="GK70" s="242"/>
      <c r="GL70" s="243"/>
      <c r="GM70" s="243"/>
      <c r="GN70" s="243"/>
      <c r="GO70" s="243"/>
      <c r="GP70" s="243"/>
      <c r="GQ70" s="243"/>
      <c r="GR70" s="243"/>
      <c r="GS70" s="242"/>
      <c r="GT70" s="242"/>
      <c r="GU70" s="242"/>
      <c r="GV70" s="242"/>
      <c r="GW70" s="242"/>
      <c r="GX70" s="242"/>
      <c r="GY70" s="242"/>
      <c r="GZ70" s="243"/>
      <c r="HA70" s="243"/>
      <c r="HB70" s="243"/>
      <c r="HC70" s="243"/>
      <c r="HD70" s="243"/>
      <c r="HE70" s="243"/>
      <c r="HF70" s="243"/>
      <c r="HG70" s="242"/>
      <c r="HH70" s="242"/>
      <c r="HI70" s="242"/>
      <c r="HJ70" s="242"/>
      <c r="HK70" s="242"/>
      <c r="HL70" s="242"/>
      <c r="HM70" s="242"/>
      <c r="HN70" s="243"/>
      <c r="HO70" s="243"/>
      <c r="HP70" s="243"/>
      <c r="HQ70" s="243"/>
      <c r="HR70" s="243"/>
      <c r="HS70" s="243"/>
      <c r="HT70" s="243"/>
      <c r="HU70" s="242"/>
      <c r="HV70" s="242"/>
      <c r="HW70" s="242"/>
      <c r="HX70" s="242"/>
      <c r="HY70" s="242"/>
      <c r="HZ70" s="242"/>
      <c r="IA70" s="242"/>
      <c r="IB70" s="243"/>
      <c r="IC70" s="243"/>
      <c r="ID70" s="243"/>
      <c r="IE70" s="243"/>
      <c r="IF70" s="243"/>
      <c r="IG70" s="243"/>
      <c r="IH70" s="243"/>
      <c r="II70" s="242"/>
      <c r="IJ70" s="242"/>
      <c r="IK70" s="242"/>
      <c r="IL70" s="242"/>
      <c r="IM70" s="242"/>
      <c r="IN70" s="242"/>
      <c r="IO70" s="242"/>
      <c r="IP70" s="243"/>
      <c r="IQ70" s="243"/>
      <c r="IR70" s="243"/>
      <c r="IS70" s="243"/>
      <c r="IT70" s="243"/>
      <c r="IU70" s="243"/>
      <c r="IV70" s="243"/>
      <c r="IW70" s="242"/>
      <c r="IX70" s="242"/>
      <c r="IY70" s="242"/>
      <c r="IZ70" s="242"/>
      <c r="JA70" s="242"/>
      <c r="JB70" s="242"/>
      <c r="JC70" s="242"/>
      <c r="JD70" s="243"/>
      <c r="JE70" s="243"/>
      <c r="JF70" s="243"/>
      <c r="JG70" s="243"/>
      <c r="JH70" s="243"/>
      <c r="JI70" s="243"/>
      <c r="JJ70" s="243"/>
      <c r="JK70" s="242"/>
      <c r="JL70" s="242"/>
      <c r="JM70" s="242"/>
      <c r="JN70" s="242"/>
      <c r="JO70" s="242"/>
      <c r="JP70" s="242"/>
      <c r="JQ70" s="242"/>
      <c r="JR70" s="243"/>
      <c r="JS70" s="243"/>
      <c r="JT70" s="243"/>
      <c r="JU70" s="243"/>
      <c r="JV70" s="243">
        <v>8</v>
      </c>
      <c r="JW70" s="243">
        <v>24</v>
      </c>
      <c r="JX70" s="243">
        <v>24</v>
      </c>
      <c r="JY70" s="242">
        <v>24</v>
      </c>
      <c r="JZ70" s="242">
        <v>24</v>
      </c>
      <c r="KA70" s="242">
        <v>24</v>
      </c>
      <c r="KB70" s="242">
        <v>24</v>
      </c>
      <c r="KC70" s="242">
        <v>12</v>
      </c>
      <c r="KD70" s="242"/>
      <c r="KE70" s="242"/>
      <c r="KF70" s="243"/>
      <c r="KG70" s="243"/>
      <c r="KH70" s="243"/>
      <c r="KI70" s="243"/>
      <c r="KJ70" s="243"/>
      <c r="KK70" s="243"/>
      <c r="KL70" s="243"/>
      <c r="KM70" s="242"/>
      <c r="KN70" s="242"/>
      <c r="KO70" s="242"/>
      <c r="KP70" s="242"/>
      <c r="KQ70" s="242"/>
      <c r="KR70" s="242"/>
      <c r="KS70" s="242"/>
      <c r="KT70" s="243"/>
      <c r="KU70" s="243"/>
      <c r="KV70" s="243"/>
      <c r="KW70" s="243"/>
      <c r="KX70" s="243"/>
      <c r="KY70" s="243"/>
      <c r="KZ70" s="243"/>
      <c r="LA70" s="242"/>
      <c r="LB70" s="242"/>
      <c r="LC70" s="242"/>
      <c r="LD70" s="242"/>
      <c r="LE70" s="242"/>
      <c r="LF70" s="242"/>
      <c r="LG70" s="242"/>
      <c r="LH70" s="243"/>
      <c r="LI70" s="243"/>
      <c r="LJ70" s="243"/>
      <c r="LK70" s="243"/>
      <c r="LL70" s="243"/>
      <c r="LM70" s="243"/>
      <c r="LN70" s="243"/>
      <c r="LO70" s="242"/>
      <c r="LP70" s="242"/>
      <c r="LQ70" s="242"/>
      <c r="LR70" s="242"/>
      <c r="LS70" s="242"/>
      <c r="LT70" s="242"/>
      <c r="LU70" s="242"/>
      <c r="LV70" s="243"/>
      <c r="LW70" s="243"/>
      <c r="LX70" s="243"/>
      <c r="LY70" s="243"/>
      <c r="LZ70" s="243"/>
      <c r="MA70" s="243"/>
      <c r="MB70" s="243"/>
      <c r="MC70" s="242"/>
      <c r="MD70" s="242"/>
      <c r="ME70" s="242"/>
      <c r="MF70" s="242"/>
      <c r="MG70" s="242"/>
      <c r="MH70" s="242"/>
      <c r="MI70" s="242"/>
      <c r="MJ70" s="243"/>
      <c r="MK70" s="243"/>
      <c r="ML70" s="243"/>
      <c r="MM70" s="243"/>
      <c r="MN70" s="243"/>
      <c r="MO70" s="243"/>
      <c r="MP70" s="243"/>
      <c r="MQ70" s="242"/>
      <c r="MR70" s="242"/>
      <c r="MS70" s="242"/>
      <c r="MT70" s="242"/>
      <c r="MU70" s="242"/>
      <c r="MV70" s="242"/>
      <c r="MW70" s="242"/>
      <c r="MX70" s="243"/>
      <c r="MY70" s="243"/>
      <c r="MZ70" s="243"/>
      <c r="NA70" s="243"/>
      <c r="NB70" s="243"/>
      <c r="NC70" s="243"/>
      <c r="ND70" s="243"/>
      <c r="NE70" s="242"/>
      <c r="NF70" s="242"/>
      <c r="NG70" s="242"/>
      <c r="NH70" s="333"/>
    </row>
    <row r="71" spans="1:372">
      <c r="A71" s="251" t="s">
        <v>973</v>
      </c>
      <c r="B71" s="251" t="s">
        <v>588</v>
      </c>
      <c r="C71" s="251" t="s">
        <v>674</v>
      </c>
      <c r="D71" s="251" t="s">
        <v>982</v>
      </c>
      <c r="E71" s="241">
        <v>450.20882221607513</v>
      </c>
      <c r="F71" s="241">
        <v>328</v>
      </c>
      <c r="G71" s="242"/>
      <c r="H71" s="242"/>
      <c r="I71" s="242"/>
      <c r="J71" s="242"/>
      <c r="K71" s="242"/>
      <c r="L71" s="243"/>
      <c r="M71" s="243"/>
      <c r="N71" s="243"/>
      <c r="O71" s="243"/>
      <c r="P71" s="243"/>
      <c r="Q71" s="243"/>
      <c r="R71" s="243"/>
      <c r="S71" s="242"/>
      <c r="T71" s="242"/>
      <c r="U71" s="242"/>
      <c r="V71" s="242"/>
      <c r="W71" s="242"/>
      <c r="X71" s="242"/>
      <c r="Y71" s="242"/>
      <c r="Z71" s="243"/>
      <c r="AA71" s="243"/>
      <c r="AB71" s="243"/>
      <c r="AC71" s="243"/>
      <c r="AD71" s="243"/>
      <c r="AE71" s="243"/>
      <c r="AF71" s="243"/>
      <c r="AG71" s="242"/>
      <c r="AH71" s="242"/>
      <c r="AI71" s="242"/>
      <c r="AJ71" s="242"/>
      <c r="AK71" s="242"/>
      <c r="AL71" s="242"/>
      <c r="AM71" s="242"/>
      <c r="AN71" s="243"/>
      <c r="AO71" s="243"/>
      <c r="AP71" s="243"/>
      <c r="AQ71" s="243"/>
      <c r="AR71" s="243"/>
      <c r="AS71" s="243"/>
      <c r="AT71" s="243"/>
      <c r="AU71" s="242"/>
      <c r="AV71" s="242"/>
      <c r="AW71" s="242"/>
      <c r="AX71" s="242"/>
      <c r="AY71" s="242"/>
      <c r="AZ71" s="242"/>
      <c r="BA71" s="242"/>
      <c r="BB71" s="243"/>
      <c r="BC71" s="243"/>
      <c r="BD71" s="243"/>
      <c r="BE71" s="243"/>
      <c r="BF71" s="243"/>
      <c r="BG71" s="243"/>
      <c r="BH71" s="243"/>
      <c r="BI71" s="242"/>
      <c r="BJ71" s="242"/>
      <c r="BK71" s="242"/>
      <c r="BL71" s="242"/>
      <c r="BM71" s="242"/>
      <c r="BN71" s="242"/>
      <c r="BO71" s="242"/>
      <c r="BP71" s="243"/>
      <c r="BQ71" s="243"/>
      <c r="BR71" s="243"/>
      <c r="BS71" s="243"/>
      <c r="BT71" s="243"/>
      <c r="BU71" s="243"/>
      <c r="BV71" s="243"/>
      <c r="BW71" s="242"/>
      <c r="BX71" s="242"/>
      <c r="BY71" s="242"/>
      <c r="BZ71" s="242"/>
      <c r="CA71" s="242"/>
      <c r="CB71" s="242"/>
      <c r="CC71" s="242"/>
      <c r="CD71" s="243"/>
      <c r="CE71" s="243"/>
      <c r="CF71" s="243"/>
      <c r="CG71" s="243"/>
      <c r="CH71" s="243"/>
      <c r="CI71" s="243"/>
      <c r="CJ71" s="243"/>
      <c r="CK71" s="242"/>
      <c r="CL71" s="242"/>
      <c r="CM71" s="242"/>
      <c r="CN71" s="242"/>
      <c r="CO71" s="242"/>
      <c r="CP71" s="242"/>
      <c r="CQ71" s="242"/>
      <c r="CR71" s="243"/>
      <c r="CS71" s="243"/>
      <c r="CT71" s="243"/>
      <c r="CU71" s="243"/>
      <c r="CV71" s="243"/>
      <c r="CW71" s="243">
        <v>8</v>
      </c>
      <c r="CX71" s="243">
        <v>24</v>
      </c>
      <c r="CY71" s="242">
        <v>24</v>
      </c>
      <c r="CZ71" s="242">
        <v>24</v>
      </c>
      <c r="DA71" s="242">
        <v>24</v>
      </c>
      <c r="DB71" s="242">
        <v>24</v>
      </c>
      <c r="DC71" s="242">
        <v>24</v>
      </c>
      <c r="DD71" s="242">
        <v>12</v>
      </c>
      <c r="DE71" s="242"/>
      <c r="DF71" s="243"/>
      <c r="DG71" s="243"/>
      <c r="DH71" s="243"/>
      <c r="DI71" s="243"/>
      <c r="DJ71" s="243"/>
      <c r="DK71" s="243"/>
      <c r="DL71" s="243"/>
      <c r="DM71" s="242"/>
      <c r="DN71" s="242"/>
      <c r="DO71" s="242"/>
      <c r="DP71" s="242"/>
      <c r="DQ71" s="242"/>
      <c r="DR71" s="242"/>
      <c r="DS71" s="242"/>
      <c r="DT71" s="243"/>
      <c r="DU71" s="243"/>
      <c r="DV71" s="243"/>
      <c r="DW71" s="243"/>
      <c r="DX71" s="243"/>
      <c r="DY71" s="243"/>
      <c r="DZ71" s="243"/>
      <c r="EA71" s="242"/>
      <c r="EB71" s="242"/>
      <c r="EC71" s="242"/>
      <c r="ED71" s="242"/>
      <c r="EE71" s="242"/>
      <c r="EF71" s="242"/>
      <c r="EG71" s="242"/>
      <c r="EH71" s="243"/>
      <c r="EI71" s="243"/>
      <c r="EJ71" s="243"/>
      <c r="EK71" s="243"/>
      <c r="EL71" s="243"/>
      <c r="EM71" s="243"/>
      <c r="EN71" s="243"/>
      <c r="EO71" s="242"/>
      <c r="EP71" s="242"/>
      <c r="EQ71" s="242"/>
      <c r="ER71" s="242"/>
      <c r="ES71" s="242"/>
      <c r="ET71" s="242"/>
      <c r="EU71" s="242"/>
      <c r="EV71" s="243"/>
      <c r="EW71" s="243"/>
      <c r="EX71" s="243"/>
      <c r="EY71" s="243"/>
      <c r="EZ71" s="243"/>
      <c r="FA71" s="243"/>
      <c r="FB71" s="243"/>
      <c r="FC71" s="242"/>
      <c r="FD71" s="242"/>
      <c r="FE71" s="242"/>
      <c r="FF71" s="242"/>
      <c r="FG71" s="242"/>
      <c r="FH71" s="242"/>
      <c r="FI71" s="242"/>
      <c r="FJ71" s="243"/>
      <c r="FK71" s="243"/>
      <c r="FL71" s="243"/>
      <c r="FM71" s="243"/>
      <c r="FN71" s="243"/>
      <c r="FO71" s="243"/>
      <c r="FP71" s="243"/>
      <c r="FQ71" s="242"/>
      <c r="FR71" s="242"/>
      <c r="FS71" s="242"/>
      <c r="FT71" s="242"/>
      <c r="FU71" s="242"/>
      <c r="FV71" s="242"/>
      <c r="FW71" s="242"/>
      <c r="FX71" s="243"/>
      <c r="FY71" s="243"/>
      <c r="FZ71" s="243"/>
      <c r="GA71" s="243"/>
      <c r="GB71" s="243"/>
      <c r="GC71" s="243"/>
      <c r="GD71" s="243"/>
      <c r="GE71" s="242"/>
      <c r="GF71" s="242"/>
      <c r="GG71" s="242"/>
      <c r="GH71" s="242"/>
      <c r="GI71" s="242"/>
      <c r="GJ71" s="242"/>
      <c r="GK71" s="242"/>
      <c r="GL71" s="243"/>
      <c r="GM71" s="243"/>
      <c r="GN71" s="243"/>
      <c r="GO71" s="243"/>
      <c r="GP71" s="243"/>
      <c r="GQ71" s="243"/>
      <c r="GR71" s="243"/>
      <c r="GS71" s="242"/>
      <c r="GT71" s="242"/>
      <c r="GU71" s="242"/>
      <c r="GV71" s="242"/>
      <c r="GW71" s="242"/>
      <c r="GX71" s="242"/>
      <c r="GY71" s="242"/>
      <c r="GZ71" s="243"/>
      <c r="HA71" s="243"/>
      <c r="HB71" s="243"/>
      <c r="HC71" s="243"/>
      <c r="HD71" s="243"/>
      <c r="HE71" s="243"/>
      <c r="HF71" s="243"/>
      <c r="HG71" s="242"/>
      <c r="HH71" s="242"/>
      <c r="HI71" s="242"/>
      <c r="HJ71" s="242"/>
      <c r="HK71" s="242"/>
      <c r="HL71" s="242"/>
      <c r="HM71" s="242"/>
      <c r="HN71" s="243"/>
      <c r="HO71" s="243"/>
      <c r="HP71" s="243"/>
      <c r="HQ71" s="243"/>
      <c r="HR71" s="243"/>
      <c r="HS71" s="243"/>
      <c r="HT71" s="243"/>
      <c r="HU71" s="242"/>
      <c r="HV71" s="242"/>
      <c r="HW71" s="242"/>
      <c r="HX71" s="242"/>
      <c r="HY71" s="242"/>
      <c r="HZ71" s="242"/>
      <c r="IA71" s="242"/>
      <c r="IB71" s="243"/>
      <c r="IC71" s="243"/>
      <c r="ID71" s="243"/>
      <c r="IE71" s="243"/>
      <c r="IF71" s="243"/>
      <c r="IG71" s="243"/>
      <c r="IH71" s="243"/>
      <c r="II71" s="242"/>
      <c r="IJ71" s="242"/>
      <c r="IK71" s="242"/>
      <c r="IL71" s="242"/>
      <c r="IM71" s="242"/>
      <c r="IN71" s="242"/>
      <c r="IO71" s="242"/>
      <c r="IP71" s="243"/>
      <c r="IQ71" s="243"/>
      <c r="IR71" s="243"/>
      <c r="IS71" s="243"/>
      <c r="IT71" s="243"/>
      <c r="IU71" s="243"/>
      <c r="IV71" s="243"/>
      <c r="IW71" s="242"/>
      <c r="IX71" s="242"/>
      <c r="IY71" s="242"/>
      <c r="IZ71" s="242"/>
      <c r="JA71" s="242"/>
      <c r="JB71" s="242"/>
      <c r="JC71" s="242"/>
      <c r="JD71" s="243"/>
      <c r="JE71" s="243"/>
      <c r="JF71" s="243"/>
      <c r="JG71" s="243"/>
      <c r="JH71" s="243"/>
      <c r="JI71" s="243"/>
      <c r="JJ71" s="243"/>
      <c r="JK71" s="242"/>
      <c r="JL71" s="242"/>
      <c r="JM71" s="242"/>
      <c r="JN71" s="242"/>
      <c r="JO71" s="242"/>
      <c r="JP71" s="242"/>
      <c r="JQ71" s="242"/>
      <c r="JR71" s="243"/>
      <c r="JS71" s="243"/>
      <c r="JT71" s="243"/>
      <c r="JU71" s="243"/>
      <c r="JV71" s="243"/>
      <c r="JW71" s="243">
        <v>8</v>
      </c>
      <c r="JX71" s="243">
        <v>24</v>
      </c>
      <c r="JY71" s="242">
        <v>24</v>
      </c>
      <c r="JZ71" s="242">
        <v>24</v>
      </c>
      <c r="KA71" s="242">
        <v>24</v>
      </c>
      <c r="KB71" s="242">
        <v>24</v>
      </c>
      <c r="KC71" s="242">
        <v>24</v>
      </c>
      <c r="KD71" s="242">
        <v>12</v>
      </c>
      <c r="KE71" s="242"/>
      <c r="KF71" s="243"/>
      <c r="KG71" s="243"/>
      <c r="KH71" s="243"/>
      <c r="KI71" s="243"/>
      <c r="KJ71" s="243"/>
      <c r="KK71" s="243"/>
      <c r="KL71" s="243"/>
      <c r="KM71" s="242"/>
      <c r="KN71" s="242"/>
      <c r="KO71" s="242"/>
      <c r="KP71" s="242"/>
      <c r="KQ71" s="242"/>
      <c r="KR71" s="242"/>
      <c r="KS71" s="242"/>
      <c r="KT71" s="243"/>
      <c r="KU71" s="243"/>
      <c r="KV71" s="243"/>
      <c r="KW71" s="243"/>
      <c r="KX71" s="243"/>
      <c r="KY71" s="243"/>
      <c r="KZ71" s="243"/>
      <c r="LA71" s="242"/>
      <c r="LB71" s="242"/>
      <c r="LC71" s="242"/>
      <c r="LD71" s="242"/>
      <c r="LE71" s="242"/>
      <c r="LF71" s="242"/>
      <c r="LG71" s="242"/>
      <c r="LH71" s="243"/>
      <c r="LI71" s="243"/>
      <c r="LJ71" s="243"/>
      <c r="LK71" s="243"/>
      <c r="LL71" s="243"/>
      <c r="LM71" s="243"/>
      <c r="LN71" s="243"/>
      <c r="LO71" s="242"/>
      <c r="LP71" s="242"/>
      <c r="LQ71" s="242"/>
      <c r="LR71" s="242"/>
      <c r="LS71" s="242"/>
      <c r="LT71" s="242"/>
      <c r="LU71" s="242"/>
      <c r="LV71" s="243"/>
      <c r="LW71" s="243"/>
      <c r="LX71" s="243"/>
      <c r="LY71" s="243"/>
      <c r="LZ71" s="243"/>
      <c r="MA71" s="243"/>
      <c r="MB71" s="243"/>
      <c r="MC71" s="242"/>
      <c r="MD71" s="242"/>
      <c r="ME71" s="242"/>
      <c r="MF71" s="242"/>
      <c r="MG71" s="242"/>
      <c r="MH71" s="242"/>
      <c r="MI71" s="242"/>
      <c r="MJ71" s="243"/>
      <c r="MK71" s="243"/>
      <c r="ML71" s="243"/>
      <c r="MM71" s="243"/>
      <c r="MN71" s="243"/>
      <c r="MO71" s="243"/>
      <c r="MP71" s="243"/>
      <c r="MQ71" s="242"/>
      <c r="MR71" s="242"/>
      <c r="MS71" s="242"/>
      <c r="MT71" s="242"/>
      <c r="MU71" s="242"/>
      <c r="MV71" s="242"/>
      <c r="MW71" s="242"/>
      <c r="MX71" s="243"/>
      <c r="MY71" s="243"/>
      <c r="MZ71" s="243"/>
      <c r="NA71" s="243"/>
      <c r="NB71" s="243"/>
      <c r="NC71" s="243"/>
      <c r="ND71" s="243"/>
      <c r="NE71" s="242"/>
      <c r="NF71" s="242"/>
      <c r="NG71" s="242"/>
      <c r="NH71" s="333"/>
    </row>
    <row r="72" spans="1:372">
      <c r="A72" s="251" t="s">
        <v>973</v>
      </c>
      <c r="B72" s="251" t="s">
        <v>589</v>
      </c>
      <c r="C72" s="251" t="s">
        <v>674</v>
      </c>
      <c r="D72" s="251" t="s">
        <v>982</v>
      </c>
      <c r="E72" s="241">
        <v>423.82354443170067</v>
      </c>
      <c r="F72" s="241">
        <v>328</v>
      </c>
      <c r="G72" s="242"/>
      <c r="H72" s="242"/>
      <c r="I72" s="242"/>
      <c r="J72" s="242"/>
      <c r="K72" s="242"/>
      <c r="L72" s="243"/>
      <c r="M72" s="243"/>
      <c r="N72" s="243"/>
      <c r="O72" s="243"/>
      <c r="P72" s="243"/>
      <c r="Q72" s="243"/>
      <c r="R72" s="243"/>
      <c r="S72" s="242"/>
      <c r="T72" s="242"/>
      <c r="U72" s="242"/>
      <c r="V72" s="242"/>
      <c r="W72" s="242"/>
      <c r="X72" s="242"/>
      <c r="Y72" s="242"/>
      <c r="Z72" s="243"/>
      <c r="AA72" s="243"/>
      <c r="AB72" s="243"/>
      <c r="AC72" s="243"/>
      <c r="AD72" s="243"/>
      <c r="AE72" s="243"/>
      <c r="AF72" s="243"/>
      <c r="AG72" s="242"/>
      <c r="AH72" s="242"/>
      <c r="AI72" s="242"/>
      <c r="AJ72" s="242"/>
      <c r="AK72" s="242"/>
      <c r="AL72" s="242"/>
      <c r="AM72" s="242"/>
      <c r="AN72" s="243"/>
      <c r="AO72" s="243"/>
      <c r="AP72" s="243"/>
      <c r="AQ72" s="243"/>
      <c r="AR72" s="243"/>
      <c r="AS72" s="243"/>
      <c r="AT72" s="243"/>
      <c r="AU72" s="242"/>
      <c r="AV72" s="242"/>
      <c r="AW72" s="242"/>
      <c r="AX72" s="242"/>
      <c r="AY72" s="242"/>
      <c r="AZ72" s="242"/>
      <c r="BA72" s="242"/>
      <c r="BB72" s="243"/>
      <c r="BC72" s="243"/>
      <c r="BD72" s="243"/>
      <c r="BE72" s="243"/>
      <c r="BF72" s="243"/>
      <c r="BG72" s="243"/>
      <c r="BH72" s="243"/>
      <c r="BI72" s="242"/>
      <c r="BJ72" s="242"/>
      <c r="BK72" s="242"/>
      <c r="BL72" s="242"/>
      <c r="BM72" s="242"/>
      <c r="BN72" s="242"/>
      <c r="BO72" s="242"/>
      <c r="BP72" s="243"/>
      <c r="BQ72" s="243"/>
      <c r="BR72" s="243"/>
      <c r="BS72" s="243"/>
      <c r="BT72" s="243"/>
      <c r="BU72" s="243"/>
      <c r="BV72" s="243"/>
      <c r="BW72" s="242"/>
      <c r="BX72" s="242"/>
      <c r="BY72" s="242"/>
      <c r="BZ72" s="242"/>
      <c r="CA72" s="242"/>
      <c r="CB72" s="242"/>
      <c r="CC72" s="242"/>
      <c r="CD72" s="243"/>
      <c r="CE72" s="243"/>
      <c r="CF72" s="243"/>
      <c r="CG72" s="243"/>
      <c r="CH72" s="243"/>
      <c r="CI72" s="243"/>
      <c r="CJ72" s="243"/>
      <c r="CK72" s="242"/>
      <c r="CL72" s="242"/>
      <c r="CM72" s="242"/>
      <c r="CN72" s="242"/>
      <c r="CO72" s="242"/>
      <c r="CP72" s="242"/>
      <c r="CQ72" s="242"/>
      <c r="CR72" s="243"/>
      <c r="CS72" s="243"/>
      <c r="CT72" s="243"/>
      <c r="CU72" s="243">
        <v>8</v>
      </c>
      <c r="CV72" s="243">
        <v>24</v>
      </c>
      <c r="CW72" s="243">
        <v>24</v>
      </c>
      <c r="CX72" s="243">
        <v>24</v>
      </c>
      <c r="CY72" s="242">
        <v>24</v>
      </c>
      <c r="CZ72" s="242">
        <v>24</v>
      </c>
      <c r="DA72" s="242">
        <v>24</v>
      </c>
      <c r="DB72" s="242">
        <v>12</v>
      </c>
      <c r="DC72" s="242"/>
      <c r="DD72" s="242"/>
      <c r="DE72" s="242"/>
      <c r="DF72" s="243"/>
      <c r="DG72" s="243"/>
      <c r="DH72" s="243"/>
      <c r="DI72" s="243"/>
      <c r="DJ72" s="243"/>
      <c r="DK72" s="243"/>
      <c r="DL72" s="243"/>
      <c r="DM72" s="242"/>
      <c r="DN72" s="242"/>
      <c r="DO72" s="242"/>
      <c r="DP72" s="242"/>
      <c r="DQ72" s="242"/>
      <c r="DR72" s="242"/>
      <c r="DS72" s="242"/>
      <c r="DT72" s="243"/>
      <c r="DU72" s="243"/>
      <c r="DV72" s="243"/>
      <c r="DW72" s="243"/>
      <c r="DX72" s="243"/>
      <c r="DY72" s="243"/>
      <c r="DZ72" s="243"/>
      <c r="EA72" s="242"/>
      <c r="EB72" s="242"/>
      <c r="EC72" s="242"/>
      <c r="ED72" s="242"/>
      <c r="EE72" s="242"/>
      <c r="EF72" s="242"/>
      <c r="EG72" s="242"/>
      <c r="EH72" s="243"/>
      <c r="EI72" s="243"/>
      <c r="EJ72" s="243"/>
      <c r="EK72" s="243"/>
      <c r="EL72" s="243"/>
      <c r="EM72" s="243"/>
      <c r="EN72" s="243"/>
      <c r="EO72" s="242"/>
      <c r="EP72" s="242"/>
      <c r="EQ72" s="242"/>
      <c r="ER72" s="242"/>
      <c r="ES72" s="242"/>
      <c r="ET72" s="242"/>
      <c r="EU72" s="242"/>
      <c r="EV72" s="243"/>
      <c r="EW72" s="243"/>
      <c r="EX72" s="243"/>
      <c r="EY72" s="243"/>
      <c r="EZ72" s="243"/>
      <c r="FA72" s="243"/>
      <c r="FB72" s="243"/>
      <c r="FC72" s="242"/>
      <c r="FD72" s="242"/>
      <c r="FE72" s="242"/>
      <c r="FF72" s="242"/>
      <c r="FG72" s="242"/>
      <c r="FH72" s="242"/>
      <c r="FI72" s="242"/>
      <c r="FJ72" s="243"/>
      <c r="FK72" s="243"/>
      <c r="FL72" s="243"/>
      <c r="FM72" s="243"/>
      <c r="FN72" s="243"/>
      <c r="FO72" s="243"/>
      <c r="FP72" s="243"/>
      <c r="FQ72" s="242"/>
      <c r="FR72" s="242"/>
      <c r="FS72" s="242"/>
      <c r="FT72" s="242"/>
      <c r="FU72" s="242"/>
      <c r="FV72" s="242"/>
      <c r="FW72" s="242"/>
      <c r="FX72" s="243"/>
      <c r="FY72" s="243"/>
      <c r="FZ72" s="243"/>
      <c r="GA72" s="243"/>
      <c r="GB72" s="243"/>
      <c r="GC72" s="243"/>
      <c r="GD72" s="243"/>
      <c r="GE72" s="242"/>
      <c r="GF72" s="242"/>
      <c r="GG72" s="242"/>
      <c r="GH72" s="242"/>
      <c r="GI72" s="242"/>
      <c r="GJ72" s="242"/>
      <c r="GK72" s="242"/>
      <c r="GL72" s="243"/>
      <c r="GM72" s="243"/>
      <c r="GN72" s="243"/>
      <c r="GO72" s="243"/>
      <c r="GP72" s="243"/>
      <c r="GQ72" s="243"/>
      <c r="GR72" s="243"/>
      <c r="GS72" s="242"/>
      <c r="GT72" s="242"/>
      <c r="GU72" s="242"/>
      <c r="GV72" s="242"/>
      <c r="GW72" s="242"/>
      <c r="GX72" s="242"/>
      <c r="GY72" s="242"/>
      <c r="GZ72" s="243"/>
      <c r="HA72" s="243"/>
      <c r="HB72" s="243"/>
      <c r="HC72" s="243"/>
      <c r="HD72" s="243"/>
      <c r="HE72" s="243"/>
      <c r="HF72" s="243"/>
      <c r="HG72" s="242"/>
      <c r="HH72" s="242"/>
      <c r="HI72" s="242"/>
      <c r="HJ72" s="242"/>
      <c r="HK72" s="242"/>
      <c r="HL72" s="242"/>
      <c r="HM72" s="242"/>
      <c r="HN72" s="243"/>
      <c r="HO72" s="243"/>
      <c r="HP72" s="243"/>
      <c r="HQ72" s="243"/>
      <c r="HR72" s="243"/>
      <c r="HS72" s="243"/>
      <c r="HT72" s="243"/>
      <c r="HU72" s="242"/>
      <c r="HV72" s="242"/>
      <c r="HW72" s="242"/>
      <c r="HX72" s="242"/>
      <c r="HY72" s="242"/>
      <c r="HZ72" s="242"/>
      <c r="IA72" s="242"/>
      <c r="IB72" s="243"/>
      <c r="IC72" s="243"/>
      <c r="ID72" s="243"/>
      <c r="IE72" s="243"/>
      <c r="IF72" s="243"/>
      <c r="IG72" s="243"/>
      <c r="IH72" s="243"/>
      <c r="II72" s="242"/>
      <c r="IJ72" s="242"/>
      <c r="IK72" s="242"/>
      <c r="IL72" s="242"/>
      <c r="IM72" s="242"/>
      <c r="IN72" s="242"/>
      <c r="IO72" s="242"/>
      <c r="IP72" s="243"/>
      <c r="IQ72" s="243"/>
      <c r="IR72" s="243"/>
      <c r="IS72" s="243"/>
      <c r="IT72" s="243"/>
      <c r="IU72" s="243"/>
      <c r="IV72" s="243"/>
      <c r="IW72" s="242"/>
      <c r="IX72" s="242"/>
      <c r="IY72" s="242"/>
      <c r="IZ72" s="242"/>
      <c r="JA72" s="242"/>
      <c r="JB72" s="242"/>
      <c r="JC72" s="242"/>
      <c r="JD72" s="243"/>
      <c r="JE72" s="243"/>
      <c r="JF72" s="243"/>
      <c r="JG72" s="243"/>
      <c r="JH72" s="243"/>
      <c r="JI72" s="243"/>
      <c r="JJ72" s="243"/>
      <c r="JK72" s="242"/>
      <c r="JL72" s="242"/>
      <c r="JM72" s="242"/>
      <c r="JN72" s="242"/>
      <c r="JO72" s="242"/>
      <c r="JP72" s="242"/>
      <c r="JQ72" s="242"/>
      <c r="JR72" s="243"/>
      <c r="JS72" s="243"/>
      <c r="JT72" s="243"/>
      <c r="JU72" s="243">
        <v>8</v>
      </c>
      <c r="JV72" s="243">
        <v>24</v>
      </c>
      <c r="JW72" s="243">
        <v>24</v>
      </c>
      <c r="JX72" s="243">
        <v>24</v>
      </c>
      <c r="JY72" s="242">
        <v>24</v>
      </c>
      <c r="JZ72" s="242">
        <v>24</v>
      </c>
      <c r="KA72" s="242">
        <v>24</v>
      </c>
      <c r="KB72" s="242">
        <v>12</v>
      </c>
      <c r="KC72" s="242"/>
      <c r="KD72" s="242"/>
      <c r="KE72" s="242"/>
      <c r="KF72" s="243"/>
      <c r="KG72" s="243"/>
      <c r="KH72" s="243"/>
      <c r="KI72" s="243"/>
      <c r="KJ72" s="243"/>
      <c r="KK72" s="243"/>
      <c r="KL72" s="243"/>
      <c r="KM72" s="242"/>
      <c r="KN72" s="242"/>
      <c r="KO72" s="242"/>
      <c r="KP72" s="242"/>
      <c r="KQ72" s="242"/>
      <c r="KR72" s="242"/>
      <c r="KS72" s="242"/>
      <c r="KT72" s="243"/>
      <c r="KU72" s="243"/>
      <c r="KV72" s="243"/>
      <c r="KW72" s="243"/>
      <c r="KX72" s="243"/>
      <c r="KY72" s="243"/>
      <c r="KZ72" s="243"/>
      <c r="LA72" s="242"/>
      <c r="LB72" s="242"/>
      <c r="LC72" s="242"/>
      <c r="LD72" s="242"/>
      <c r="LE72" s="242"/>
      <c r="LF72" s="242"/>
      <c r="LG72" s="242"/>
      <c r="LH72" s="243"/>
      <c r="LI72" s="243"/>
      <c r="LJ72" s="243"/>
      <c r="LK72" s="243"/>
      <c r="LL72" s="243"/>
      <c r="LM72" s="243"/>
      <c r="LN72" s="243"/>
      <c r="LO72" s="242"/>
      <c r="LP72" s="242"/>
      <c r="LQ72" s="242"/>
      <c r="LR72" s="242"/>
      <c r="LS72" s="242"/>
      <c r="LT72" s="242"/>
      <c r="LU72" s="242"/>
      <c r="LV72" s="243"/>
      <c r="LW72" s="243"/>
      <c r="LX72" s="243"/>
      <c r="LY72" s="243"/>
      <c r="LZ72" s="243"/>
      <c r="MA72" s="243"/>
      <c r="MB72" s="243"/>
      <c r="MC72" s="242"/>
      <c r="MD72" s="242"/>
      <c r="ME72" s="242"/>
      <c r="MF72" s="242"/>
      <c r="MG72" s="242"/>
      <c r="MH72" s="242"/>
      <c r="MI72" s="242"/>
      <c r="MJ72" s="243"/>
      <c r="MK72" s="243"/>
      <c r="ML72" s="243"/>
      <c r="MM72" s="243"/>
      <c r="MN72" s="243"/>
      <c r="MO72" s="243"/>
      <c r="MP72" s="243"/>
      <c r="MQ72" s="242"/>
      <c r="MR72" s="242"/>
      <c r="MS72" s="242"/>
      <c r="MT72" s="242"/>
      <c r="MU72" s="242"/>
      <c r="MV72" s="242"/>
      <c r="MW72" s="242"/>
      <c r="MX72" s="243"/>
      <c r="MY72" s="243"/>
      <c r="MZ72" s="243"/>
      <c r="NA72" s="243"/>
      <c r="NB72" s="243"/>
      <c r="NC72" s="243"/>
      <c r="ND72" s="243"/>
      <c r="NE72" s="242"/>
      <c r="NF72" s="242"/>
      <c r="NG72" s="242"/>
      <c r="NH72" s="333"/>
    </row>
    <row r="73" spans="1:372">
      <c r="A73" s="251" t="s">
        <v>973</v>
      </c>
      <c r="B73" s="251" t="s">
        <v>590</v>
      </c>
      <c r="C73" s="251" t="s">
        <v>674</v>
      </c>
      <c r="D73" s="251" t="s">
        <v>982</v>
      </c>
      <c r="E73" s="241">
        <v>405.27734443272959</v>
      </c>
      <c r="F73" s="241">
        <v>328</v>
      </c>
      <c r="G73" s="242"/>
      <c r="H73" s="242"/>
      <c r="I73" s="242"/>
      <c r="J73" s="242"/>
      <c r="K73" s="242"/>
      <c r="L73" s="243"/>
      <c r="M73" s="243"/>
      <c r="N73" s="243"/>
      <c r="O73" s="243"/>
      <c r="P73" s="243"/>
      <c r="Q73" s="243"/>
      <c r="R73" s="243"/>
      <c r="S73" s="242"/>
      <c r="T73" s="242"/>
      <c r="U73" s="242"/>
      <c r="V73" s="242"/>
      <c r="W73" s="242"/>
      <c r="X73" s="242"/>
      <c r="Y73" s="242"/>
      <c r="Z73" s="243"/>
      <c r="AA73" s="243"/>
      <c r="AB73" s="243"/>
      <c r="AC73" s="243"/>
      <c r="AD73" s="243"/>
      <c r="AE73" s="243"/>
      <c r="AF73" s="243"/>
      <c r="AG73" s="242"/>
      <c r="AH73" s="242"/>
      <c r="AI73" s="242"/>
      <c r="AJ73" s="242"/>
      <c r="AK73" s="242"/>
      <c r="AL73" s="242"/>
      <c r="AM73" s="242"/>
      <c r="AN73" s="243"/>
      <c r="AO73" s="243"/>
      <c r="AP73" s="243"/>
      <c r="AQ73" s="243"/>
      <c r="AR73" s="243"/>
      <c r="AS73" s="243"/>
      <c r="AT73" s="243"/>
      <c r="AU73" s="242"/>
      <c r="AV73" s="242"/>
      <c r="AW73" s="242"/>
      <c r="AX73" s="242"/>
      <c r="AY73" s="242"/>
      <c r="AZ73" s="242"/>
      <c r="BA73" s="242"/>
      <c r="BB73" s="243"/>
      <c r="BC73" s="243"/>
      <c r="BD73" s="243"/>
      <c r="BE73" s="243"/>
      <c r="BF73" s="243"/>
      <c r="BG73" s="243"/>
      <c r="BH73" s="243"/>
      <c r="BI73" s="242"/>
      <c r="BJ73" s="242"/>
      <c r="BK73" s="242"/>
      <c r="BL73" s="242"/>
      <c r="BM73" s="242"/>
      <c r="BN73" s="242"/>
      <c r="BO73" s="242"/>
      <c r="BP73" s="243"/>
      <c r="BQ73" s="243"/>
      <c r="BR73" s="243"/>
      <c r="BS73" s="243"/>
      <c r="BT73" s="243"/>
      <c r="BU73" s="243"/>
      <c r="BV73" s="243"/>
      <c r="BW73" s="242"/>
      <c r="BX73" s="242"/>
      <c r="BY73" s="242"/>
      <c r="BZ73" s="242"/>
      <c r="CA73" s="242"/>
      <c r="CB73" s="242"/>
      <c r="CC73" s="242"/>
      <c r="CD73" s="243"/>
      <c r="CE73" s="243"/>
      <c r="CF73" s="243"/>
      <c r="CG73" s="243"/>
      <c r="CH73" s="243"/>
      <c r="CI73" s="243"/>
      <c r="CJ73" s="243"/>
      <c r="CK73" s="242"/>
      <c r="CL73" s="242"/>
      <c r="CM73" s="242"/>
      <c r="CN73" s="242"/>
      <c r="CO73" s="242"/>
      <c r="CP73" s="242"/>
      <c r="CQ73" s="242"/>
      <c r="CR73" s="243"/>
      <c r="CS73" s="243"/>
      <c r="CT73" s="243"/>
      <c r="CU73" s="243"/>
      <c r="CV73" s="243">
        <v>8</v>
      </c>
      <c r="CW73" s="243">
        <v>24</v>
      </c>
      <c r="CX73" s="243">
        <v>24</v>
      </c>
      <c r="CY73" s="242">
        <v>24</v>
      </c>
      <c r="CZ73" s="242">
        <v>24</v>
      </c>
      <c r="DA73" s="242">
        <v>24</v>
      </c>
      <c r="DB73" s="242">
        <v>24</v>
      </c>
      <c r="DC73" s="242">
        <v>12</v>
      </c>
      <c r="DD73" s="242"/>
      <c r="DE73" s="242"/>
      <c r="DF73" s="243"/>
      <c r="DG73" s="243"/>
      <c r="DH73" s="243"/>
      <c r="DI73" s="243"/>
      <c r="DJ73" s="243"/>
      <c r="DK73" s="243"/>
      <c r="DL73" s="243"/>
      <c r="DM73" s="242"/>
      <c r="DN73" s="242"/>
      <c r="DO73" s="242"/>
      <c r="DP73" s="242"/>
      <c r="DQ73" s="242"/>
      <c r="DR73" s="242"/>
      <c r="DS73" s="242"/>
      <c r="DT73" s="243"/>
      <c r="DU73" s="243"/>
      <c r="DV73" s="243"/>
      <c r="DW73" s="243"/>
      <c r="DX73" s="243"/>
      <c r="DY73" s="243"/>
      <c r="DZ73" s="243"/>
      <c r="EA73" s="242"/>
      <c r="EB73" s="242"/>
      <c r="EC73" s="242"/>
      <c r="ED73" s="242"/>
      <c r="EE73" s="242"/>
      <c r="EF73" s="242"/>
      <c r="EG73" s="242"/>
      <c r="EH73" s="243"/>
      <c r="EI73" s="243"/>
      <c r="EJ73" s="243"/>
      <c r="EK73" s="243"/>
      <c r="EL73" s="243"/>
      <c r="EM73" s="243"/>
      <c r="EN73" s="243"/>
      <c r="EO73" s="242"/>
      <c r="EP73" s="242"/>
      <c r="EQ73" s="242"/>
      <c r="ER73" s="242"/>
      <c r="ES73" s="242"/>
      <c r="ET73" s="242"/>
      <c r="EU73" s="242"/>
      <c r="EV73" s="243"/>
      <c r="EW73" s="243"/>
      <c r="EX73" s="243"/>
      <c r="EY73" s="243"/>
      <c r="EZ73" s="243"/>
      <c r="FA73" s="243"/>
      <c r="FB73" s="243"/>
      <c r="FC73" s="242"/>
      <c r="FD73" s="242"/>
      <c r="FE73" s="242"/>
      <c r="FF73" s="242"/>
      <c r="FG73" s="242"/>
      <c r="FH73" s="242"/>
      <c r="FI73" s="242"/>
      <c r="FJ73" s="243"/>
      <c r="FK73" s="243"/>
      <c r="FL73" s="243"/>
      <c r="FM73" s="243"/>
      <c r="FN73" s="243"/>
      <c r="FO73" s="243"/>
      <c r="FP73" s="243"/>
      <c r="FQ73" s="242"/>
      <c r="FR73" s="242"/>
      <c r="FS73" s="242"/>
      <c r="FT73" s="242"/>
      <c r="FU73" s="242"/>
      <c r="FV73" s="242"/>
      <c r="FW73" s="242"/>
      <c r="FX73" s="243"/>
      <c r="FY73" s="243"/>
      <c r="FZ73" s="243"/>
      <c r="GA73" s="243"/>
      <c r="GB73" s="243"/>
      <c r="GC73" s="243"/>
      <c r="GD73" s="243"/>
      <c r="GE73" s="242"/>
      <c r="GF73" s="242"/>
      <c r="GG73" s="242"/>
      <c r="GH73" s="242"/>
      <c r="GI73" s="242"/>
      <c r="GJ73" s="242"/>
      <c r="GK73" s="242"/>
      <c r="GL73" s="243"/>
      <c r="GM73" s="243"/>
      <c r="GN73" s="243"/>
      <c r="GO73" s="243"/>
      <c r="GP73" s="243"/>
      <c r="GQ73" s="243"/>
      <c r="GR73" s="243"/>
      <c r="GS73" s="242"/>
      <c r="GT73" s="242"/>
      <c r="GU73" s="242"/>
      <c r="GV73" s="242"/>
      <c r="GW73" s="242"/>
      <c r="GX73" s="242"/>
      <c r="GY73" s="242"/>
      <c r="GZ73" s="243"/>
      <c r="HA73" s="243"/>
      <c r="HB73" s="243"/>
      <c r="HC73" s="243"/>
      <c r="HD73" s="243"/>
      <c r="HE73" s="243"/>
      <c r="HF73" s="243"/>
      <c r="HG73" s="242"/>
      <c r="HH73" s="242"/>
      <c r="HI73" s="242"/>
      <c r="HJ73" s="242"/>
      <c r="HK73" s="242"/>
      <c r="HL73" s="242"/>
      <c r="HM73" s="242"/>
      <c r="HN73" s="243"/>
      <c r="HO73" s="243"/>
      <c r="HP73" s="243"/>
      <c r="HQ73" s="243"/>
      <c r="HR73" s="243"/>
      <c r="HS73" s="243"/>
      <c r="HT73" s="243"/>
      <c r="HU73" s="242"/>
      <c r="HV73" s="242"/>
      <c r="HW73" s="242"/>
      <c r="HX73" s="242"/>
      <c r="HY73" s="242"/>
      <c r="HZ73" s="242"/>
      <c r="IA73" s="242"/>
      <c r="IB73" s="243"/>
      <c r="IC73" s="243"/>
      <c r="ID73" s="243"/>
      <c r="IE73" s="243"/>
      <c r="IF73" s="243"/>
      <c r="IG73" s="243"/>
      <c r="IH73" s="243"/>
      <c r="II73" s="242"/>
      <c r="IJ73" s="242"/>
      <c r="IK73" s="242"/>
      <c r="IL73" s="242"/>
      <c r="IM73" s="242"/>
      <c r="IN73" s="242"/>
      <c r="IO73" s="242"/>
      <c r="IP73" s="243"/>
      <c r="IQ73" s="243"/>
      <c r="IR73" s="243"/>
      <c r="IS73" s="243"/>
      <c r="IT73" s="243"/>
      <c r="IU73" s="243"/>
      <c r="IV73" s="243"/>
      <c r="IW73" s="242"/>
      <c r="IX73" s="242"/>
      <c r="IY73" s="242"/>
      <c r="IZ73" s="242"/>
      <c r="JA73" s="242"/>
      <c r="JB73" s="242"/>
      <c r="JC73" s="242"/>
      <c r="JD73" s="243"/>
      <c r="JE73" s="243"/>
      <c r="JF73" s="243"/>
      <c r="JG73" s="243"/>
      <c r="JH73" s="243"/>
      <c r="JI73" s="243"/>
      <c r="JJ73" s="243"/>
      <c r="JK73" s="242"/>
      <c r="JL73" s="242"/>
      <c r="JM73" s="242"/>
      <c r="JN73" s="242"/>
      <c r="JO73" s="242"/>
      <c r="JP73" s="242"/>
      <c r="JQ73" s="242"/>
      <c r="JR73" s="243"/>
      <c r="JS73" s="243"/>
      <c r="JT73" s="243"/>
      <c r="JU73" s="243"/>
      <c r="JV73" s="243">
        <v>8</v>
      </c>
      <c r="JW73" s="243">
        <v>24</v>
      </c>
      <c r="JX73" s="243">
        <v>24</v>
      </c>
      <c r="JY73" s="242">
        <v>24</v>
      </c>
      <c r="JZ73" s="242">
        <v>24</v>
      </c>
      <c r="KA73" s="242">
        <v>24</v>
      </c>
      <c r="KB73" s="242">
        <v>24</v>
      </c>
      <c r="KC73" s="242">
        <v>12</v>
      </c>
      <c r="KD73" s="242"/>
      <c r="KE73" s="242"/>
      <c r="KF73" s="243"/>
      <c r="KG73" s="243"/>
      <c r="KH73" s="243"/>
      <c r="KI73" s="243"/>
      <c r="KJ73" s="243"/>
      <c r="KK73" s="243"/>
      <c r="KL73" s="243"/>
      <c r="KM73" s="242"/>
      <c r="KN73" s="242"/>
      <c r="KO73" s="242"/>
      <c r="KP73" s="242"/>
      <c r="KQ73" s="242"/>
      <c r="KR73" s="242"/>
      <c r="KS73" s="242"/>
      <c r="KT73" s="243"/>
      <c r="KU73" s="243"/>
      <c r="KV73" s="243"/>
      <c r="KW73" s="243"/>
      <c r="KX73" s="243"/>
      <c r="KY73" s="243"/>
      <c r="KZ73" s="243"/>
      <c r="LA73" s="242"/>
      <c r="LB73" s="242"/>
      <c r="LC73" s="242"/>
      <c r="LD73" s="242"/>
      <c r="LE73" s="242"/>
      <c r="LF73" s="242"/>
      <c r="LG73" s="242"/>
      <c r="LH73" s="243"/>
      <c r="LI73" s="243"/>
      <c r="LJ73" s="243"/>
      <c r="LK73" s="243"/>
      <c r="LL73" s="243"/>
      <c r="LM73" s="243"/>
      <c r="LN73" s="243"/>
      <c r="LO73" s="242"/>
      <c r="LP73" s="242"/>
      <c r="LQ73" s="242"/>
      <c r="LR73" s="242"/>
      <c r="LS73" s="242"/>
      <c r="LT73" s="242"/>
      <c r="LU73" s="242"/>
      <c r="LV73" s="243"/>
      <c r="LW73" s="243"/>
      <c r="LX73" s="243"/>
      <c r="LY73" s="243"/>
      <c r="LZ73" s="243"/>
      <c r="MA73" s="243"/>
      <c r="MB73" s="243"/>
      <c r="MC73" s="242"/>
      <c r="MD73" s="242"/>
      <c r="ME73" s="242"/>
      <c r="MF73" s="242"/>
      <c r="MG73" s="242"/>
      <c r="MH73" s="242"/>
      <c r="MI73" s="242"/>
      <c r="MJ73" s="243"/>
      <c r="MK73" s="243"/>
      <c r="ML73" s="243"/>
      <c r="MM73" s="243"/>
      <c r="MN73" s="243"/>
      <c r="MO73" s="243"/>
      <c r="MP73" s="243"/>
      <c r="MQ73" s="242"/>
      <c r="MR73" s="242"/>
      <c r="MS73" s="242"/>
      <c r="MT73" s="242"/>
      <c r="MU73" s="242"/>
      <c r="MV73" s="242"/>
      <c r="MW73" s="242"/>
      <c r="MX73" s="243"/>
      <c r="MY73" s="243"/>
      <c r="MZ73" s="243"/>
      <c r="NA73" s="243"/>
      <c r="NB73" s="243"/>
      <c r="NC73" s="243"/>
      <c r="ND73" s="243"/>
      <c r="NE73" s="242"/>
      <c r="NF73" s="242"/>
      <c r="NG73" s="242"/>
      <c r="NH73" s="333"/>
    </row>
    <row r="74" spans="1:372">
      <c r="A74" s="251" t="s">
        <v>973</v>
      </c>
      <c r="B74" s="251" t="s">
        <v>591</v>
      </c>
      <c r="C74" s="251" t="s">
        <v>674</v>
      </c>
      <c r="D74" s="251" t="s">
        <v>982</v>
      </c>
      <c r="E74" s="241">
        <v>461.52061108187792</v>
      </c>
      <c r="F74" s="241">
        <v>328</v>
      </c>
      <c r="G74" s="242"/>
      <c r="H74" s="242"/>
      <c r="I74" s="242"/>
      <c r="J74" s="242"/>
      <c r="K74" s="242"/>
      <c r="L74" s="243"/>
      <c r="M74" s="243"/>
      <c r="N74" s="243"/>
      <c r="O74" s="243"/>
      <c r="P74" s="243"/>
      <c r="Q74" s="243"/>
      <c r="R74" s="243"/>
      <c r="S74" s="242"/>
      <c r="T74" s="242"/>
      <c r="U74" s="242"/>
      <c r="V74" s="242"/>
      <c r="W74" s="242"/>
      <c r="X74" s="242"/>
      <c r="Y74" s="242"/>
      <c r="Z74" s="243"/>
      <c r="AA74" s="243"/>
      <c r="AB74" s="243"/>
      <c r="AC74" s="243"/>
      <c r="AD74" s="243"/>
      <c r="AE74" s="243"/>
      <c r="AF74" s="243"/>
      <c r="AG74" s="242"/>
      <c r="AH74" s="242"/>
      <c r="AI74" s="242"/>
      <c r="AJ74" s="242"/>
      <c r="AK74" s="242"/>
      <c r="AL74" s="242"/>
      <c r="AM74" s="242"/>
      <c r="AN74" s="243"/>
      <c r="AO74" s="243"/>
      <c r="AP74" s="243"/>
      <c r="AQ74" s="243"/>
      <c r="AR74" s="243"/>
      <c r="AS74" s="243"/>
      <c r="AT74" s="243"/>
      <c r="AU74" s="242"/>
      <c r="AV74" s="242"/>
      <c r="AW74" s="242"/>
      <c r="AX74" s="242"/>
      <c r="AY74" s="242"/>
      <c r="AZ74" s="242"/>
      <c r="BA74" s="242"/>
      <c r="BB74" s="243"/>
      <c r="BC74" s="243"/>
      <c r="BD74" s="243"/>
      <c r="BE74" s="243"/>
      <c r="BF74" s="243"/>
      <c r="BG74" s="243"/>
      <c r="BH74" s="243"/>
      <c r="BI74" s="242"/>
      <c r="BJ74" s="242"/>
      <c r="BK74" s="242"/>
      <c r="BL74" s="242"/>
      <c r="BM74" s="242"/>
      <c r="BN74" s="242"/>
      <c r="BO74" s="242"/>
      <c r="BP74" s="243"/>
      <c r="BQ74" s="243"/>
      <c r="BR74" s="243"/>
      <c r="BS74" s="243"/>
      <c r="BT74" s="243"/>
      <c r="BU74" s="243"/>
      <c r="BV74" s="243"/>
      <c r="BW74" s="242"/>
      <c r="BX74" s="242"/>
      <c r="BY74" s="242"/>
      <c r="BZ74" s="242"/>
      <c r="CA74" s="242"/>
      <c r="CB74" s="242"/>
      <c r="CC74" s="242"/>
      <c r="CD74" s="243"/>
      <c r="CE74" s="243"/>
      <c r="CF74" s="243"/>
      <c r="CG74" s="243"/>
      <c r="CH74" s="243"/>
      <c r="CI74" s="243"/>
      <c r="CJ74" s="243"/>
      <c r="CK74" s="242"/>
      <c r="CL74" s="242"/>
      <c r="CM74" s="242"/>
      <c r="CN74" s="242"/>
      <c r="CO74" s="242"/>
      <c r="CP74" s="242"/>
      <c r="CQ74" s="242"/>
      <c r="CR74" s="243"/>
      <c r="CS74" s="243"/>
      <c r="CT74" s="243"/>
      <c r="CU74" s="243"/>
      <c r="CV74" s="243"/>
      <c r="CW74" s="243">
        <v>8</v>
      </c>
      <c r="CX74" s="243">
        <v>24</v>
      </c>
      <c r="CY74" s="242">
        <v>24</v>
      </c>
      <c r="CZ74" s="242">
        <v>24</v>
      </c>
      <c r="DA74" s="242">
        <v>24</v>
      </c>
      <c r="DB74" s="242">
        <v>24</v>
      </c>
      <c r="DC74" s="242">
        <v>24</v>
      </c>
      <c r="DD74" s="242">
        <v>12</v>
      </c>
      <c r="DE74" s="242"/>
      <c r="DF74" s="243"/>
      <c r="DG74" s="243"/>
      <c r="DH74" s="243"/>
      <c r="DI74" s="243"/>
      <c r="DJ74" s="243"/>
      <c r="DK74" s="243"/>
      <c r="DL74" s="243"/>
      <c r="DM74" s="242"/>
      <c r="DN74" s="242"/>
      <c r="DO74" s="242"/>
      <c r="DP74" s="242"/>
      <c r="DQ74" s="242"/>
      <c r="DR74" s="242"/>
      <c r="DS74" s="242"/>
      <c r="DT74" s="243"/>
      <c r="DU74" s="243"/>
      <c r="DV74" s="243"/>
      <c r="DW74" s="243"/>
      <c r="DX74" s="243"/>
      <c r="DY74" s="243"/>
      <c r="DZ74" s="243"/>
      <c r="EA74" s="242"/>
      <c r="EB74" s="242"/>
      <c r="EC74" s="242"/>
      <c r="ED74" s="242"/>
      <c r="EE74" s="242"/>
      <c r="EF74" s="242"/>
      <c r="EG74" s="242"/>
      <c r="EH74" s="243"/>
      <c r="EI74" s="243"/>
      <c r="EJ74" s="243"/>
      <c r="EK74" s="243"/>
      <c r="EL74" s="243"/>
      <c r="EM74" s="243"/>
      <c r="EN74" s="243"/>
      <c r="EO74" s="242"/>
      <c r="EP74" s="242"/>
      <c r="EQ74" s="242"/>
      <c r="ER74" s="242"/>
      <c r="ES74" s="242"/>
      <c r="ET74" s="242"/>
      <c r="EU74" s="242"/>
      <c r="EV74" s="243"/>
      <c r="EW74" s="243"/>
      <c r="EX74" s="243"/>
      <c r="EY74" s="243"/>
      <c r="EZ74" s="243"/>
      <c r="FA74" s="243"/>
      <c r="FB74" s="243"/>
      <c r="FC74" s="242"/>
      <c r="FD74" s="242"/>
      <c r="FE74" s="242"/>
      <c r="FF74" s="242"/>
      <c r="FG74" s="242"/>
      <c r="FH74" s="242"/>
      <c r="FI74" s="242"/>
      <c r="FJ74" s="243"/>
      <c r="FK74" s="243"/>
      <c r="FL74" s="243"/>
      <c r="FM74" s="243"/>
      <c r="FN74" s="243"/>
      <c r="FO74" s="243"/>
      <c r="FP74" s="243"/>
      <c r="FQ74" s="242"/>
      <c r="FR74" s="242"/>
      <c r="FS74" s="242"/>
      <c r="FT74" s="242"/>
      <c r="FU74" s="242"/>
      <c r="FV74" s="242"/>
      <c r="FW74" s="242"/>
      <c r="FX74" s="243"/>
      <c r="FY74" s="243"/>
      <c r="FZ74" s="243"/>
      <c r="GA74" s="243"/>
      <c r="GB74" s="243"/>
      <c r="GC74" s="243"/>
      <c r="GD74" s="243"/>
      <c r="GE74" s="242"/>
      <c r="GF74" s="242"/>
      <c r="GG74" s="242"/>
      <c r="GH74" s="242"/>
      <c r="GI74" s="242"/>
      <c r="GJ74" s="242"/>
      <c r="GK74" s="242"/>
      <c r="GL74" s="243"/>
      <c r="GM74" s="243"/>
      <c r="GN74" s="243"/>
      <c r="GO74" s="243"/>
      <c r="GP74" s="243"/>
      <c r="GQ74" s="243"/>
      <c r="GR74" s="243"/>
      <c r="GS74" s="242"/>
      <c r="GT74" s="242"/>
      <c r="GU74" s="242"/>
      <c r="GV74" s="242"/>
      <c r="GW74" s="242"/>
      <c r="GX74" s="242"/>
      <c r="GY74" s="242"/>
      <c r="GZ74" s="243"/>
      <c r="HA74" s="243"/>
      <c r="HB74" s="243"/>
      <c r="HC74" s="243"/>
      <c r="HD74" s="243"/>
      <c r="HE74" s="243"/>
      <c r="HF74" s="243"/>
      <c r="HG74" s="242"/>
      <c r="HH74" s="242"/>
      <c r="HI74" s="242"/>
      <c r="HJ74" s="242"/>
      <c r="HK74" s="242"/>
      <c r="HL74" s="242"/>
      <c r="HM74" s="242"/>
      <c r="HN74" s="243"/>
      <c r="HO74" s="243"/>
      <c r="HP74" s="243"/>
      <c r="HQ74" s="243"/>
      <c r="HR74" s="243"/>
      <c r="HS74" s="243"/>
      <c r="HT74" s="243"/>
      <c r="HU74" s="242"/>
      <c r="HV74" s="242"/>
      <c r="HW74" s="242"/>
      <c r="HX74" s="242"/>
      <c r="HY74" s="242"/>
      <c r="HZ74" s="242"/>
      <c r="IA74" s="242"/>
      <c r="IB74" s="243"/>
      <c r="IC74" s="243"/>
      <c r="ID74" s="243"/>
      <c r="IE74" s="243"/>
      <c r="IF74" s="243"/>
      <c r="IG74" s="243"/>
      <c r="IH74" s="243"/>
      <c r="II74" s="242"/>
      <c r="IJ74" s="242"/>
      <c r="IK74" s="242"/>
      <c r="IL74" s="242"/>
      <c r="IM74" s="242"/>
      <c r="IN74" s="242"/>
      <c r="IO74" s="242"/>
      <c r="IP74" s="243"/>
      <c r="IQ74" s="243"/>
      <c r="IR74" s="243"/>
      <c r="IS74" s="243"/>
      <c r="IT74" s="243"/>
      <c r="IU74" s="243"/>
      <c r="IV74" s="243"/>
      <c r="IW74" s="242"/>
      <c r="IX74" s="242"/>
      <c r="IY74" s="242"/>
      <c r="IZ74" s="242"/>
      <c r="JA74" s="242"/>
      <c r="JB74" s="242"/>
      <c r="JC74" s="242"/>
      <c r="JD74" s="243"/>
      <c r="JE74" s="243"/>
      <c r="JF74" s="243"/>
      <c r="JG74" s="243"/>
      <c r="JH74" s="243"/>
      <c r="JI74" s="243"/>
      <c r="JJ74" s="243"/>
      <c r="JK74" s="242"/>
      <c r="JL74" s="242"/>
      <c r="JM74" s="242"/>
      <c r="JN74" s="242"/>
      <c r="JO74" s="242"/>
      <c r="JP74" s="242"/>
      <c r="JQ74" s="242"/>
      <c r="JR74" s="243"/>
      <c r="JS74" s="243"/>
      <c r="JT74" s="243"/>
      <c r="JU74" s="243"/>
      <c r="JV74" s="243"/>
      <c r="JW74" s="243">
        <v>8</v>
      </c>
      <c r="JX74" s="243">
        <v>24</v>
      </c>
      <c r="JY74" s="242">
        <v>24</v>
      </c>
      <c r="JZ74" s="242">
        <v>24</v>
      </c>
      <c r="KA74" s="242">
        <v>24</v>
      </c>
      <c r="KB74" s="242">
        <v>24</v>
      </c>
      <c r="KC74" s="242">
        <v>24</v>
      </c>
      <c r="KD74" s="242">
        <v>12</v>
      </c>
      <c r="KE74" s="242"/>
      <c r="KF74" s="243"/>
      <c r="KG74" s="243"/>
      <c r="KH74" s="243"/>
      <c r="KI74" s="243"/>
      <c r="KJ74" s="243"/>
      <c r="KK74" s="243"/>
      <c r="KL74" s="243"/>
      <c r="KM74" s="242"/>
      <c r="KN74" s="242"/>
      <c r="KO74" s="242"/>
      <c r="KP74" s="242"/>
      <c r="KQ74" s="242"/>
      <c r="KR74" s="242"/>
      <c r="KS74" s="242"/>
      <c r="KT74" s="243"/>
      <c r="KU74" s="243"/>
      <c r="KV74" s="243"/>
      <c r="KW74" s="243"/>
      <c r="KX74" s="243"/>
      <c r="KY74" s="243"/>
      <c r="KZ74" s="243"/>
      <c r="LA74" s="242"/>
      <c r="LB74" s="242"/>
      <c r="LC74" s="242"/>
      <c r="LD74" s="242"/>
      <c r="LE74" s="242"/>
      <c r="LF74" s="242"/>
      <c r="LG74" s="242"/>
      <c r="LH74" s="243"/>
      <c r="LI74" s="243"/>
      <c r="LJ74" s="243"/>
      <c r="LK74" s="243"/>
      <c r="LL74" s="243"/>
      <c r="LM74" s="243"/>
      <c r="LN74" s="243"/>
      <c r="LO74" s="242"/>
      <c r="LP74" s="242"/>
      <c r="LQ74" s="242"/>
      <c r="LR74" s="242"/>
      <c r="LS74" s="242"/>
      <c r="LT74" s="242"/>
      <c r="LU74" s="242"/>
      <c r="LV74" s="243"/>
      <c r="LW74" s="243"/>
      <c r="LX74" s="243"/>
      <c r="LY74" s="243"/>
      <c r="LZ74" s="243"/>
      <c r="MA74" s="243"/>
      <c r="MB74" s="243"/>
      <c r="MC74" s="242"/>
      <c r="MD74" s="242"/>
      <c r="ME74" s="242"/>
      <c r="MF74" s="242"/>
      <c r="MG74" s="242"/>
      <c r="MH74" s="242"/>
      <c r="MI74" s="242"/>
      <c r="MJ74" s="243"/>
      <c r="MK74" s="243"/>
      <c r="ML74" s="243"/>
      <c r="MM74" s="243"/>
      <c r="MN74" s="243"/>
      <c r="MO74" s="243"/>
      <c r="MP74" s="243"/>
      <c r="MQ74" s="242"/>
      <c r="MR74" s="242"/>
      <c r="MS74" s="242"/>
      <c r="MT74" s="242"/>
      <c r="MU74" s="242"/>
      <c r="MV74" s="242"/>
      <c r="MW74" s="242"/>
      <c r="MX74" s="243"/>
      <c r="MY74" s="243"/>
      <c r="MZ74" s="243"/>
      <c r="NA74" s="243"/>
      <c r="NB74" s="243"/>
      <c r="NC74" s="243"/>
      <c r="ND74" s="243"/>
      <c r="NE74" s="242"/>
      <c r="NF74" s="242"/>
      <c r="NG74" s="242"/>
      <c r="NH74" s="333"/>
    </row>
    <row r="75" spans="1:372">
      <c r="A75" s="251" t="s">
        <v>974</v>
      </c>
      <c r="B75" s="251" t="s">
        <v>54</v>
      </c>
      <c r="C75" s="251" t="s">
        <v>674</v>
      </c>
      <c r="D75" s="251" t="s">
        <v>982</v>
      </c>
      <c r="E75" s="241">
        <v>41.719811100624987</v>
      </c>
      <c r="F75" s="241">
        <v>48</v>
      </c>
      <c r="G75" s="244"/>
      <c r="H75" s="244"/>
      <c r="I75" s="244"/>
      <c r="J75" s="244"/>
      <c r="K75" s="244"/>
      <c r="L75" s="245"/>
      <c r="M75" s="245"/>
      <c r="N75" s="245"/>
      <c r="O75" s="245"/>
      <c r="P75" s="245"/>
      <c r="Q75" s="245"/>
      <c r="R75" s="245"/>
      <c r="S75" s="244"/>
      <c r="T75" s="244"/>
      <c r="U75" s="244"/>
      <c r="V75" s="244"/>
      <c r="W75" s="244"/>
      <c r="X75" s="244"/>
      <c r="Y75" s="244"/>
      <c r="Z75" s="245"/>
      <c r="AA75" s="245"/>
      <c r="AB75" s="245"/>
      <c r="AC75" s="245"/>
      <c r="AD75" s="245"/>
      <c r="AE75" s="245"/>
      <c r="AF75" s="245"/>
      <c r="AG75" s="244"/>
      <c r="AH75" s="244"/>
      <c r="AI75" s="244"/>
      <c r="AJ75" s="244"/>
      <c r="AK75" s="244"/>
      <c r="AL75" s="244"/>
      <c r="AM75" s="244"/>
      <c r="AN75" s="245"/>
      <c r="AO75" s="245"/>
      <c r="AP75" s="245"/>
      <c r="AQ75" s="245"/>
      <c r="AR75" s="245"/>
      <c r="AS75" s="245"/>
      <c r="AT75" s="245"/>
      <c r="AU75" s="244"/>
      <c r="AV75" s="244"/>
      <c r="AW75" s="244"/>
      <c r="AX75" s="244"/>
      <c r="AY75" s="244"/>
      <c r="AZ75" s="244"/>
      <c r="BA75" s="244"/>
      <c r="BB75" s="245"/>
      <c r="BC75" s="245"/>
      <c r="BD75" s="245"/>
      <c r="BE75" s="245"/>
      <c r="BF75" s="245"/>
      <c r="BG75" s="245"/>
      <c r="BH75" s="245"/>
      <c r="BI75" s="244"/>
      <c r="BJ75" s="244"/>
      <c r="BK75" s="244">
        <v>24</v>
      </c>
      <c r="BL75" s="244">
        <v>24</v>
      </c>
      <c r="BM75" s="244"/>
      <c r="BN75" s="244"/>
      <c r="BO75" s="244"/>
      <c r="BP75" s="245"/>
      <c r="BQ75" s="245"/>
      <c r="BR75" s="245"/>
      <c r="BS75" s="245"/>
      <c r="BT75" s="245"/>
      <c r="BU75" s="245"/>
      <c r="BV75" s="245"/>
      <c r="BW75" s="244"/>
      <c r="BX75" s="244"/>
      <c r="BY75" s="244"/>
      <c r="BZ75" s="244"/>
      <c r="CA75" s="244"/>
      <c r="CB75" s="244"/>
      <c r="CC75" s="244"/>
      <c r="CD75" s="245"/>
      <c r="CE75" s="245"/>
      <c r="CF75" s="245"/>
      <c r="CG75" s="245"/>
      <c r="CH75" s="245"/>
      <c r="CI75" s="245"/>
      <c r="CJ75" s="245"/>
      <c r="CK75" s="244"/>
      <c r="CL75" s="244"/>
      <c r="CM75" s="244"/>
      <c r="CN75" s="244"/>
      <c r="CO75" s="244"/>
      <c r="CP75" s="244"/>
      <c r="CQ75" s="244"/>
      <c r="CR75" s="245"/>
      <c r="CS75" s="245"/>
      <c r="CT75" s="245"/>
      <c r="CU75" s="245"/>
      <c r="CV75" s="245"/>
      <c r="CW75" s="245"/>
      <c r="CX75" s="245"/>
      <c r="CY75" s="244"/>
      <c r="CZ75" s="244"/>
      <c r="DA75" s="244"/>
      <c r="DB75" s="244"/>
      <c r="DC75" s="244"/>
      <c r="DD75" s="244"/>
      <c r="DE75" s="244"/>
      <c r="DF75" s="245"/>
      <c r="DG75" s="245"/>
      <c r="DH75" s="245"/>
      <c r="DI75" s="245"/>
      <c r="DJ75" s="245"/>
      <c r="DK75" s="245"/>
      <c r="DL75" s="245"/>
      <c r="DM75" s="244"/>
      <c r="DN75" s="244"/>
      <c r="DO75" s="244"/>
      <c r="DP75" s="244"/>
      <c r="DQ75" s="244"/>
      <c r="DR75" s="244"/>
      <c r="DS75" s="244"/>
      <c r="DT75" s="245"/>
      <c r="DU75" s="245"/>
      <c r="DV75" s="245"/>
      <c r="DW75" s="245"/>
      <c r="DX75" s="245"/>
      <c r="DY75" s="245"/>
      <c r="DZ75" s="245"/>
      <c r="EA75" s="244"/>
      <c r="EB75" s="244"/>
      <c r="EC75" s="244"/>
      <c r="ED75" s="244"/>
      <c r="EE75" s="244"/>
      <c r="EF75" s="244"/>
      <c r="EG75" s="244"/>
      <c r="EH75" s="245"/>
      <c r="EI75" s="245"/>
      <c r="EJ75" s="245"/>
      <c r="EK75" s="245"/>
      <c r="EL75" s="245"/>
      <c r="EM75" s="245"/>
      <c r="EN75" s="245"/>
      <c r="EO75" s="244"/>
      <c r="EP75" s="244"/>
      <c r="EQ75" s="244"/>
      <c r="ER75" s="244"/>
      <c r="ES75" s="244"/>
      <c r="ET75" s="244"/>
      <c r="EU75" s="244"/>
      <c r="EV75" s="245"/>
      <c r="EW75" s="245"/>
      <c r="EX75" s="245"/>
      <c r="EY75" s="245"/>
      <c r="EZ75" s="245"/>
      <c r="FA75" s="245"/>
      <c r="FB75" s="245"/>
      <c r="FC75" s="244"/>
      <c r="FD75" s="244"/>
      <c r="FE75" s="244"/>
      <c r="FF75" s="244"/>
      <c r="FG75" s="244"/>
      <c r="FH75" s="244"/>
      <c r="FI75" s="244"/>
      <c r="FJ75" s="245"/>
      <c r="FK75" s="245"/>
      <c r="FL75" s="245"/>
      <c r="FM75" s="245"/>
      <c r="FN75" s="245"/>
      <c r="FO75" s="245"/>
      <c r="FP75" s="245"/>
      <c r="FQ75" s="244"/>
      <c r="FR75" s="244"/>
      <c r="FS75" s="244"/>
      <c r="FT75" s="244"/>
      <c r="FU75" s="244"/>
      <c r="FV75" s="244"/>
      <c r="FW75" s="244"/>
      <c r="FX75" s="245"/>
      <c r="FY75" s="245"/>
      <c r="FZ75" s="245"/>
      <c r="GA75" s="245"/>
      <c r="GB75" s="245"/>
      <c r="GC75" s="245"/>
      <c r="GD75" s="245"/>
      <c r="GE75" s="244"/>
      <c r="GF75" s="244"/>
      <c r="GG75" s="244"/>
      <c r="GH75" s="244"/>
      <c r="GI75" s="244"/>
      <c r="GJ75" s="244"/>
      <c r="GK75" s="244"/>
      <c r="GL75" s="245"/>
      <c r="GM75" s="245"/>
      <c r="GN75" s="245"/>
      <c r="GO75" s="245"/>
      <c r="GP75" s="245"/>
      <c r="GQ75" s="245"/>
      <c r="GR75" s="245"/>
      <c r="GS75" s="244"/>
      <c r="GT75" s="244"/>
      <c r="GU75" s="244"/>
      <c r="GV75" s="244"/>
      <c r="GW75" s="244"/>
      <c r="GX75" s="244"/>
      <c r="GY75" s="244"/>
      <c r="GZ75" s="245"/>
      <c r="HA75" s="245"/>
      <c r="HB75" s="245"/>
      <c r="HC75" s="245"/>
      <c r="HD75" s="245"/>
      <c r="HE75" s="245"/>
      <c r="HF75" s="245"/>
      <c r="HG75" s="244"/>
      <c r="HH75" s="244"/>
      <c r="HI75" s="244"/>
      <c r="HJ75" s="244"/>
      <c r="HK75" s="244"/>
      <c r="HL75" s="244"/>
      <c r="HM75" s="244"/>
      <c r="HN75" s="245"/>
      <c r="HO75" s="245"/>
      <c r="HP75" s="245"/>
      <c r="HQ75" s="245"/>
      <c r="HR75" s="245"/>
      <c r="HS75" s="245"/>
      <c r="HT75" s="245"/>
      <c r="HU75" s="244"/>
      <c r="HV75" s="244"/>
      <c r="HW75" s="244"/>
      <c r="HX75" s="244"/>
      <c r="HY75" s="244"/>
      <c r="HZ75" s="244"/>
      <c r="IA75" s="244"/>
      <c r="IB75" s="245"/>
      <c r="IC75" s="245"/>
      <c r="ID75" s="245"/>
      <c r="IE75" s="245"/>
      <c r="IF75" s="245"/>
      <c r="IG75" s="245"/>
      <c r="IH75" s="245"/>
      <c r="II75" s="244"/>
      <c r="IJ75" s="244"/>
      <c r="IK75" s="244"/>
      <c r="IL75" s="244"/>
      <c r="IM75" s="244"/>
      <c r="IN75" s="244"/>
      <c r="IO75" s="244"/>
      <c r="IP75" s="245"/>
      <c r="IQ75" s="245"/>
      <c r="IR75" s="245"/>
      <c r="IS75" s="245"/>
      <c r="IT75" s="245"/>
      <c r="IU75" s="245"/>
      <c r="IV75" s="245"/>
      <c r="IW75" s="244"/>
      <c r="IX75" s="244"/>
      <c r="IY75" s="244"/>
      <c r="IZ75" s="244"/>
      <c r="JA75" s="244"/>
      <c r="JB75" s="244"/>
      <c r="JC75" s="244"/>
      <c r="JD75" s="245"/>
      <c r="JE75" s="245"/>
      <c r="JF75" s="245"/>
      <c r="JG75" s="245"/>
      <c r="JH75" s="245"/>
      <c r="JI75" s="245"/>
      <c r="JJ75" s="245"/>
      <c r="JK75" s="244"/>
      <c r="JL75" s="244"/>
      <c r="JM75" s="244"/>
      <c r="JN75" s="244"/>
      <c r="JO75" s="244"/>
      <c r="JP75" s="244"/>
      <c r="JQ75" s="244"/>
      <c r="JR75" s="245"/>
      <c r="JS75" s="245"/>
      <c r="JT75" s="245"/>
      <c r="JU75" s="245"/>
      <c r="JV75" s="245"/>
      <c r="JW75" s="245"/>
      <c r="JX75" s="245"/>
      <c r="JY75" s="244"/>
      <c r="JZ75" s="244"/>
      <c r="KA75" s="244"/>
      <c r="KB75" s="244"/>
      <c r="KC75" s="244"/>
      <c r="KD75" s="244"/>
      <c r="KE75" s="244"/>
      <c r="KF75" s="245"/>
      <c r="KG75" s="245"/>
      <c r="KH75" s="245"/>
      <c r="KI75" s="245"/>
      <c r="KJ75" s="245"/>
      <c r="KK75" s="245"/>
      <c r="KL75" s="245"/>
      <c r="KM75" s="244"/>
      <c r="KN75" s="244"/>
      <c r="KO75" s="244"/>
      <c r="KP75" s="244"/>
      <c r="KQ75" s="244"/>
      <c r="KR75" s="244"/>
      <c r="KS75" s="244"/>
      <c r="KT75" s="245"/>
      <c r="KU75" s="245"/>
      <c r="KV75" s="245"/>
      <c r="KW75" s="245"/>
      <c r="KX75" s="245"/>
      <c r="KY75" s="245"/>
      <c r="KZ75" s="245"/>
      <c r="LA75" s="244"/>
      <c r="LB75" s="244"/>
      <c r="LC75" s="244"/>
      <c r="LD75" s="244"/>
      <c r="LE75" s="244"/>
      <c r="LF75" s="244"/>
      <c r="LG75" s="244"/>
      <c r="LH75" s="245"/>
      <c r="LI75" s="245"/>
      <c r="LJ75" s="245"/>
      <c r="LK75" s="245"/>
      <c r="LL75" s="245"/>
      <c r="LM75" s="245"/>
      <c r="LN75" s="245"/>
      <c r="LO75" s="244"/>
      <c r="LP75" s="244"/>
      <c r="LQ75" s="244"/>
      <c r="LR75" s="244"/>
      <c r="LS75" s="244"/>
      <c r="LT75" s="244"/>
      <c r="LU75" s="244"/>
      <c r="LV75" s="245"/>
      <c r="LW75" s="245"/>
      <c r="LX75" s="245"/>
      <c r="LY75" s="245"/>
      <c r="LZ75" s="245"/>
      <c r="MA75" s="245"/>
      <c r="MB75" s="245"/>
      <c r="MC75" s="244"/>
      <c r="MD75" s="244"/>
      <c r="ME75" s="244"/>
      <c r="MF75" s="244"/>
      <c r="MG75" s="244"/>
      <c r="MH75" s="244"/>
      <c r="MI75" s="244"/>
      <c r="MJ75" s="245"/>
      <c r="MK75" s="245"/>
      <c r="ML75" s="245"/>
      <c r="MM75" s="245"/>
      <c r="MN75" s="245"/>
      <c r="MO75" s="245"/>
      <c r="MP75" s="245"/>
      <c r="MQ75" s="244"/>
      <c r="MR75" s="244"/>
      <c r="MS75" s="244"/>
      <c r="MT75" s="244"/>
      <c r="MU75" s="244"/>
      <c r="MV75" s="244"/>
      <c r="MW75" s="244"/>
      <c r="MX75" s="245"/>
      <c r="MY75" s="245"/>
      <c r="MZ75" s="245"/>
      <c r="NA75" s="245"/>
      <c r="NB75" s="245"/>
      <c r="NC75" s="245"/>
      <c r="ND75" s="245"/>
      <c r="NE75" s="244"/>
      <c r="NF75" s="244"/>
      <c r="NG75" s="244"/>
      <c r="NH75" s="333"/>
    </row>
    <row r="76" spans="1:372">
      <c r="A76" s="251" t="s">
        <v>974</v>
      </c>
      <c r="B76" s="251" t="s">
        <v>55</v>
      </c>
      <c r="C76" s="251" t="s">
        <v>674</v>
      </c>
      <c r="D76" s="251" t="s">
        <v>982</v>
      </c>
      <c r="E76" s="241">
        <v>45.829438883620789</v>
      </c>
      <c r="F76" s="241">
        <v>48</v>
      </c>
      <c r="G76" s="246"/>
      <c r="H76" s="246"/>
      <c r="I76" s="246"/>
      <c r="J76" s="246"/>
      <c r="K76" s="246"/>
      <c r="L76" s="247"/>
      <c r="M76" s="247"/>
      <c r="N76" s="247"/>
      <c r="O76" s="247"/>
      <c r="P76" s="247"/>
      <c r="Q76" s="247"/>
      <c r="R76" s="247"/>
      <c r="S76" s="246"/>
      <c r="T76" s="246"/>
      <c r="U76" s="246"/>
      <c r="V76" s="246"/>
      <c r="W76" s="246"/>
      <c r="X76" s="246"/>
      <c r="Y76" s="246"/>
      <c r="Z76" s="247"/>
      <c r="AA76" s="247"/>
      <c r="AB76" s="247"/>
      <c r="AC76" s="247"/>
      <c r="AD76" s="247"/>
      <c r="AE76" s="247"/>
      <c r="AF76" s="247"/>
      <c r="AG76" s="246"/>
      <c r="AH76" s="246"/>
      <c r="AI76" s="246"/>
      <c r="AJ76" s="246"/>
      <c r="AK76" s="246"/>
      <c r="AL76" s="246"/>
      <c r="AM76" s="246"/>
      <c r="AN76" s="247"/>
      <c r="AO76" s="247"/>
      <c r="AP76" s="247"/>
      <c r="AQ76" s="247"/>
      <c r="AR76" s="247"/>
      <c r="AS76" s="247"/>
      <c r="AT76" s="247"/>
      <c r="AU76" s="246"/>
      <c r="AV76" s="246"/>
      <c r="AW76" s="246"/>
      <c r="AX76" s="246"/>
      <c r="AY76" s="246"/>
      <c r="AZ76" s="246"/>
      <c r="BA76" s="246"/>
      <c r="BB76" s="247"/>
      <c r="BC76" s="247"/>
      <c r="BD76" s="247"/>
      <c r="BE76" s="247"/>
      <c r="BF76" s="247"/>
      <c r="BG76" s="247"/>
      <c r="BH76" s="247"/>
      <c r="BI76" s="246"/>
      <c r="BJ76" s="246"/>
      <c r="BK76" s="246">
        <v>24</v>
      </c>
      <c r="BL76" s="246">
        <v>24</v>
      </c>
      <c r="BM76" s="246"/>
      <c r="BN76" s="246"/>
      <c r="BO76" s="246"/>
      <c r="BP76" s="247"/>
      <c r="BQ76" s="247"/>
      <c r="BR76" s="247"/>
      <c r="BS76" s="247"/>
      <c r="BT76" s="247"/>
      <c r="BU76" s="247"/>
      <c r="BV76" s="247"/>
      <c r="BW76" s="246"/>
      <c r="BX76" s="246"/>
      <c r="BY76" s="246"/>
      <c r="BZ76" s="246"/>
      <c r="CA76" s="246"/>
      <c r="CB76" s="246"/>
      <c r="CC76" s="246"/>
      <c r="CD76" s="247"/>
      <c r="CE76" s="247"/>
      <c r="CF76" s="247"/>
      <c r="CG76" s="247"/>
      <c r="CH76" s="247"/>
      <c r="CI76" s="247"/>
      <c r="CJ76" s="247"/>
      <c r="CK76" s="246"/>
      <c r="CL76" s="246"/>
      <c r="CM76" s="246"/>
      <c r="CN76" s="246"/>
      <c r="CO76" s="246"/>
      <c r="CP76" s="246"/>
      <c r="CQ76" s="246"/>
      <c r="CR76" s="247"/>
      <c r="CS76" s="247"/>
      <c r="CT76" s="247"/>
      <c r="CU76" s="247"/>
      <c r="CV76" s="247"/>
      <c r="CW76" s="247"/>
      <c r="CX76" s="247"/>
      <c r="CY76" s="246"/>
      <c r="CZ76" s="246"/>
      <c r="DA76" s="246"/>
      <c r="DB76" s="246"/>
      <c r="DC76" s="246"/>
      <c r="DD76" s="246"/>
      <c r="DE76" s="246"/>
      <c r="DF76" s="247"/>
      <c r="DG76" s="247"/>
      <c r="DH76" s="247"/>
      <c r="DI76" s="247"/>
      <c r="DJ76" s="247"/>
      <c r="DK76" s="247"/>
      <c r="DL76" s="247"/>
      <c r="DM76" s="246"/>
      <c r="DN76" s="246"/>
      <c r="DO76" s="246"/>
      <c r="DP76" s="246"/>
      <c r="DQ76" s="246"/>
      <c r="DR76" s="246"/>
      <c r="DS76" s="246"/>
      <c r="DT76" s="247"/>
      <c r="DU76" s="247"/>
      <c r="DV76" s="247"/>
      <c r="DW76" s="247"/>
      <c r="DX76" s="247"/>
      <c r="DY76" s="247"/>
      <c r="DZ76" s="247"/>
      <c r="EA76" s="246"/>
      <c r="EB76" s="246"/>
      <c r="EC76" s="246"/>
      <c r="ED76" s="246"/>
      <c r="EE76" s="246"/>
      <c r="EF76" s="246"/>
      <c r="EG76" s="246"/>
      <c r="EH76" s="247"/>
      <c r="EI76" s="247"/>
      <c r="EJ76" s="247"/>
      <c r="EK76" s="247"/>
      <c r="EL76" s="247"/>
      <c r="EM76" s="247"/>
      <c r="EN76" s="247"/>
      <c r="EO76" s="246"/>
      <c r="EP76" s="246"/>
      <c r="EQ76" s="246"/>
      <c r="ER76" s="246"/>
      <c r="ES76" s="246"/>
      <c r="ET76" s="246"/>
      <c r="EU76" s="246"/>
      <c r="EV76" s="247"/>
      <c r="EW76" s="247"/>
      <c r="EX76" s="247"/>
      <c r="EY76" s="247"/>
      <c r="EZ76" s="247"/>
      <c r="FA76" s="247"/>
      <c r="FB76" s="247"/>
      <c r="FC76" s="246"/>
      <c r="FD76" s="246"/>
      <c r="FE76" s="246"/>
      <c r="FF76" s="246"/>
      <c r="FG76" s="246"/>
      <c r="FH76" s="246"/>
      <c r="FI76" s="246"/>
      <c r="FJ76" s="247"/>
      <c r="FK76" s="247"/>
      <c r="FL76" s="247"/>
      <c r="FM76" s="247"/>
      <c r="FN76" s="247"/>
      <c r="FO76" s="247"/>
      <c r="FP76" s="247"/>
      <c r="FQ76" s="246"/>
      <c r="FR76" s="246"/>
      <c r="FS76" s="246"/>
      <c r="FT76" s="246"/>
      <c r="FU76" s="246"/>
      <c r="FV76" s="246"/>
      <c r="FW76" s="246"/>
      <c r="FX76" s="247"/>
      <c r="FY76" s="247"/>
      <c r="FZ76" s="247"/>
      <c r="GA76" s="247"/>
      <c r="GB76" s="247"/>
      <c r="GC76" s="247"/>
      <c r="GD76" s="247"/>
      <c r="GE76" s="246"/>
      <c r="GF76" s="246"/>
      <c r="GG76" s="246"/>
      <c r="GH76" s="246"/>
      <c r="GI76" s="246"/>
      <c r="GJ76" s="246"/>
      <c r="GK76" s="246"/>
      <c r="GL76" s="247"/>
      <c r="GM76" s="247"/>
      <c r="GN76" s="247"/>
      <c r="GO76" s="247"/>
      <c r="GP76" s="247"/>
      <c r="GQ76" s="247"/>
      <c r="GR76" s="247"/>
      <c r="GS76" s="246"/>
      <c r="GT76" s="246"/>
      <c r="GU76" s="246"/>
      <c r="GV76" s="246"/>
      <c r="GW76" s="246"/>
      <c r="GX76" s="246"/>
      <c r="GY76" s="246"/>
      <c r="GZ76" s="247"/>
      <c r="HA76" s="247"/>
      <c r="HB76" s="247"/>
      <c r="HC76" s="247"/>
      <c r="HD76" s="247"/>
      <c r="HE76" s="247"/>
      <c r="HF76" s="247"/>
      <c r="HG76" s="246"/>
      <c r="HH76" s="246"/>
      <c r="HI76" s="246"/>
      <c r="HJ76" s="246"/>
      <c r="HK76" s="246"/>
      <c r="HL76" s="246"/>
      <c r="HM76" s="246"/>
      <c r="HN76" s="247"/>
      <c r="HO76" s="247"/>
      <c r="HP76" s="247"/>
      <c r="HQ76" s="247"/>
      <c r="HR76" s="247"/>
      <c r="HS76" s="247"/>
      <c r="HT76" s="247"/>
      <c r="HU76" s="246"/>
      <c r="HV76" s="246"/>
      <c r="HW76" s="246"/>
      <c r="HX76" s="246"/>
      <c r="HY76" s="246"/>
      <c r="HZ76" s="246"/>
      <c r="IA76" s="246"/>
      <c r="IB76" s="247"/>
      <c r="IC76" s="247"/>
      <c r="ID76" s="247"/>
      <c r="IE76" s="247"/>
      <c r="IF76" s="247"/>
      <c r="IG76" s="247"/>
      <c r="IH76" s="247"/>
      <c r="II76" s="246"/>
      <c r="IJ76" s="246"/>
      <c r="IK76" s="246"/>
      <c r="IL76" s="246"/>
      <c r="IM76" s="246"/>
      <c r="IN76" s="246"/>
      <c r="IO76" s="246"/>
      <c r="IP76" s="247"/>
      <c r="IQ76" s="247"/>
      <c r="IR76" s="247"/>
      <c r="IS76" s="247"/>
      <c r="IT76" s="247"/>
      <c r="IU76" s="247"/>
      <c r="IV76" s="247"/>
      <c r="IW76" s="246"/>
      <c r="IX76" s="246"/>
      <c r="IY76" s="246"/>
      <c r="IZ76" s="246"/>
      <c r="JA76" s="246"/>
      <c r="JB76" s="246"/>
      <c r="JC76" s="246"/>
      <c r="JD76" s="247"/>
      <c r="JE76" s="247"/>
      <c r="JF76" s="247"/>
      <c r="JG76" s="247"/>
      <c r="JH76" s="247"/>
      <c r="JI76" s="247"/>
      <c r="JJ76" s="247"/>
      <c r="JK76" s="246"/>
      <c r="JL76" s="246"/>
      <c r="JM76" s="246"/>
      <c r="JN76" s="246"/>
      <c r="JO76" s="246"/>
      <c r="JP76" s="246"/>
      <c r="JQ76" s="246"/>
      <c r="JR76" s="247"/>
      <c r="JS76" s="247"/>
      <c r="JT76" s="247"/>
      <c r="JU76" s="247"/>
      <c r="JV76" s="247"/>
      <c r="JW76" s="247"/>
      <c r="JX76" s="247"/>
      <c r="JY76" s="246"/>
      <c r="JZ76" s="246"/>
      <c r="KA76" s="246"/>
      <c r="KB76" s="246"/>
      <c r="KC76" s="246"/>
      <c r="KD76" s="246"/>
      <c r="KE76" s="246"/>
      <c r="KF76" s="247"/>
      <c r="KG76" s="247"/>
      <c r="KH76" s="247"/>
      <c r="KI76" s="247"/>
      <c r="KJ76" s="247"/>
      <c r="KK76" s="247"/>
      <c r="KL76" s="247"/>
      <c r="KM76" s="246"/>
      <c r="KN76" s="246"/>
      <c r="KO76" s="246"/>
      <c r="KP76" s="246"/>
      <c r="KQ76" s="246"/>
      <c r="KR76" s="246"/>
      <c r="KS76" s="246"/>
      <c r="KT76" s="247"/>
      <c r="KU76" s="247"/>
      <c r="KV76" s="247"/>
      <c r="KW76" s="247"/>
      <c r="KX76" s="247"/>
      <c r="KY76" s="247"/>
      <c r="KZ76" s="247"/>
      <c r="LA76" s="246"/>
      <c r="LB76" s="246"/>
      <c r="LC76" s="246"/>
      <c r="LD76" s="246"/>
      <c r="LE76" s="246"/>
      <c r="LF76" s="246"/>
      <c r="LG76" s="246"/>
      <c r="LH76" s="247"/>
      <c r="LI76" s="247"/>
      <c r="LJ76" s="247"/>
      <c r="LK76" s="247"/>
      <c r="LL76" s="247"/>
      <c r="LM76" s="247"/>
      <c r="LN76" s="247"/>
      <c r="LO76" s="246"/>
      <c r="LP76" s="246"/>
      <c r="LQ76" s="246"/>
      <c r="LR76" s="246"/>
      <c r="LS76" s="246"/>
      <c r="LT76" s="246"/>
      <c r="LU76" s="246"/>
      <c r="LV76" s="247"/>
      <c r="LW76" s="247"/>
      <c r="LX76" s="247"/>
      <c r="LY76" s="247"/>
      <c r="LZ76" s="247"/>
      <c r="MA76" s="247"/>
      <c r="MB76" s="247"/>
      <c r="MC76" s="246"/>
      <c r="MD76" s="246"/>
      <c r="ME76" s="246"/>
      <c r="MF76" s="246"/>
      <c r="MG76" s="246"/>
      <c r="MH76" s="246"/>
      <c r="MI76" s="246"/>
      <c r="MJ76" s="247"/>
      <c r="MK76" s="247"/>
      <c r="ML76" s="247"/>
      <c r="MM76" s="247"/>
      <c r="MN76" s="247"/>
      <c r="MO76" s="247"/>
      <c r="MP76" s="247"/>
      <c r="MQ76" s="246"/>
      <c r="MR76" s="246"/>
      <c r="MS76" s="246"/>
      <c r="MT76" s="246"/>
      <c r="MU76" s="246"/>
      <c r="MV76" s="246"/>
      <c r="MW76" s="246"/>
      <c r="MX76" s="247"/>
      <c r="MY76" s="247"/>
      <c r="MZ76" s="247"/>
      <c r="NA76" s="247"/>
      <c r="NB76" s="247"/>
      <c r="NC76" s="247"/>
      <c r="ND76" s="247"/>
      <c r="NE76" s="246"/>
      <c r="NF76" s="246"/>
      <c r="NG76" s="246"/>
      <c r="NH76" s="333"/>
    </row>
    <row r="77" spans="1:372">
      <c r="A77" s="251" t="s">
        <v>974</v>
      </c>
      <c r="B77" s="251" t="s">
        <v>57</v>
      </c>
      <c r="C77" s="251" t="s">
        <v>674</v>
      </c>
      <c r="D77" s="251" t="s">
        <v>982</v>
      </c>
      <c r="E77" s="241">
        <v>0</v>
      </c>
      <c r="F77" s="241">
        <v>0</v>
      </c>
      <c r="G77" s="246"/>
      <c r="H77" s="246"/>
      <c r="I77" s="246"/>
      <c r="J77" s="246"/>
      <c r="K77" s="246"/>
      <c r="L77" s="247"/>
      <c r="M77" s="247"/>
      <c r="N77" s="247"/>
      <c r="O77" s="247"/>
      <c r="P77" s="247"/>
      <c r="Q77" s="247"/>
      <c r="R77" s="247"/>
      <c r="S77" s="246"/>
      <c r="T77" s="246"/>
      <c r="U77" s="246"/>
      <c r="V77" s="246"/>
      <c r="W77" s="246"/>
      <c r="X77" s="246"/>
      <c r="Y77" s="246"/>
      <c r="Z77" s="247"/>
      <c r="AA77" s="247"/>
      <c r="AB77" s="247"/>
      <c r="AC77" s="247"/>
      <c r="AD77" s="247"/>
      <c r="AE77" s="247"/>
      <c r="AF77" s="247"/>
      <c r="AG77" s="246"/>
      <c r="AH77" s="246"/>
      <c r="AI77" s="246"/>
      <c r="AJ77" s="246"/>
      <c r="AK77" s="246"/>
      <c r="AL77" s="246"/>
      <c r="AM77" s="246"/>
      <c r="AN77" s="247"/>
      <c r="AO77" s="247"/>
      <c r="AP77" s="247"/>
      <c r="AQ77" s="247"/>
      <c r="AR77" s="247"/>
      <c r="AS77" s="247"/>
      <c r="AT77" s="247"/>
      <c r="AU77" s="246"/>
      <c r="AV77" s="246"/>
      <c r="AW77" s="246"/>
      <c r="AX77" s="246"/>
      <c r="AY77" s="246"/>
      <c r="AZ77" s="246"/>
      <c r="BA77" s="246"/>
      <c r="BB77" s="247"/>
      <c r="BC77" s="247"/>
      <c r="BD77" s="247"/>
      <c r="BE77" s="247"/>
      <c r="BF77" s="247"/>
      <c r="BG77" s="247"/>
      <c r="BH77" s="247"/>
      <c r="BI77" s="246"/>
      <c r="BJ77" s="246"/>
      <c r="BK77" s="246"/>
      <c r="BL77" s="246"/>
      <c r="BM77" s="246"/>
      <c r="BN77" s="246"/>
      <c r="BO77" s="246"/>
      <c r="BP77" s="247"/>
      <c r="BQ77" s="247"/>
      <c r="BR77" s="247"/>
      <c r="BS77" s="247"/>
      <c r="BT77" s="247"/>
      <c r="BU77" s="247"/>
      <c r="BV77" s="247"/>
      <c r="BW77" s="246"/>
      <c r="BX77" s="246"/>
      <c r="BY77" s="246"/>
      <c r="BZ77" s="246"/>
      <c r="CA77" s="246"/>
      <c r="CB77" s="246"/>
      <c r="CC77" s="246"/>
      <c r="CD77" s="247"/>
      <c r="CE77" s="247"/>
      <c r="CF77" s="247"/>
      <c r="CG77" s="247"/>
      <c r="CH77" s="247"/>
      <c r="CI77" s="247"/>
      <c r="CJ77" s="247"/>
      <c r="CK77" s="246"/>
      <c r="CL77" s="246"/>
      <c r="CM77" s="246"/>
      <c r="CN77" s="246"/>
      <c r="CO77" s="246"/>
      <c r="CP77" s="246"/>
      <c r="CQ77" s="246"/>
      <c r="CR77" s="247"/>
      <c r="CS77" s="247"/>
      <c r="CT77" s="247"/>
      <c r="CU77" s="247"/>
      <c r="CV77" s="247"/>
      <c r="CW77" s="247"/>
      <c r="CX77" s="247"/>
      <c r="CY77" s="246"/>
      <c r="CZ77" s="246"/>
      <c r="DA77" s="246"/>
      <c r="DB77" s="246"/>
      <c r="DC77" s="246"/>
      <c r="DD77" s="246"/>
      <c r="DE77" s="246"/>
      <c r="DF77" s="247"/>
      <c r="DG77" s="247"/>
      <c r="DH77" s="247"/>
      <c r="DI77" s="247"/>
      <c r="DJ77" s="247"/>
      <c r="DK77" s="247"/>
      <c r="DL77" s="247"/>
      <c r="DM77" s="246"/>
      <c r="DN77" s="246"/>
      <c r="DO77" s="246"/>
      <c r="DP77" s="246"/>
      <c r="DQ77" s="246"/>
      <c r="DR77" s="246"/>
      <c r="DS77" s="246"/>
      <c r="DT77" s="247"/>
      <c r="DU77" s="247"/>
      <c r="DV77" s="247"/>
      <c r="DW77" s="247"/>
      <c r="DX77" s="247"/>
      <c r="DY77" s="247"/>
      <c r="DZ77" s="247"/>
      <c r="EA77" s="246"/>
      <c r="EB77" s="246"/>
      <c r="EC77" s="246"/>
      <c r="ED77" s="246"/>
      <c r="EE77" s="246"/>
      <c r="EF77" s="246"/>
      <c r="EG77" s="246"/>
      <c r="EH77" s="247"/>
      <c r="EI77" s="247"/>
      <c r="EJ77" s="247"/>
      <c r="EK77" s="247"/>
      <c r="EL77" s="247"/>
      <c r="EM77" s="247"/>
      <c r="EN77" s="247"/>
      <c r="EO77" s="246"/>
      <c r="EP77" s="246"/>
      <c r="EQ77" s="246"/>
      <c r="ER77" s="246"/>
      <c r="ES77" s="246"/>
      <c r="ET77" s="246"/>
      <c r="EU77" s="246"/>
      <c r="EV77" s="247"/>
      <c r="EW77" s="247"/>
      <c r="EX77" s="247"/>
      <c r="EY77" s="247"/>
      <c r="EZ77" s="247"/>
      <c r="FA77" s="247"/>
      <c r="FB77" s="247"/>
      <c r="FC77" s="246"/>
      <c r="FD77" s="246"/>
      <c r="FE77" s="246"/>
      <c r="FF77" s="246"/>
      <c r="FG77" s="246"/>
      <c r="FH77" s="246"/>
      <c r="FI77" s="246"/>
      <c r="FJ77" s="247"/>
      <c r="FK77" s="247"/>
      <c r="FL77" s="247"/>
      <c r="FM77" s="247"/>
      <c r="FN77" s="247"/>
      <c r="FO77" s="247"/>
      <c r="FP77" s="247"/>
      <c r="FQ77" s="246"/>
      <c r="FR77" s="246"/>
      <c r="FS77" s="246"/>
      <c r="FT77" s="246"/>
      <c r="FU77" s="246"/>
      <c r="FV77" s="246"/>
      <c r="FW77" s="246"/>
      <c r="FX77" s="247"/>
      <c r="FY77" s="247"/>
      <c r="FZ77" s="247"/>
      <c r="GA77" s="247"/>
      <c r="GB77" s="247"/>
      <c r="GC77" s="247"/>
      <c r="GD77" s="247"/>
      <c r="GE77" s="246"/>
      <c r="GF77" s="246"/>
      <c r="GG77" s="246"/>
      <c r="GH77" s="246"/>
      <c r="GI77" s="246"/>
      <c r="GJ77" s="246"/>
      <c r="GK77" s="246"/>
      <c r="GL77" s="247"/>
      <c r="GM77" s="247"/>
      <c r="GN77" s="247"/>
      <c r="GO77" s="247"/>
      <c r="GP77" s="247"/>
      <c r="GQ77" s="247"/>
      <c r="GR77" s="247"/>
      <c r="GS77" s="246"/>
      <c r="GT77" s="246"/>
      <c r="GU77" s="246"/>
      <c r="GV77" s="246"/>
      <c r="GW77" s="246"/>
      <c r="GX77" s="246"/>
      <c r="GY77" s="246"/>
      <c r="GZ77" s="247"/>
      <c r="HA77" s="247"/>
      <c r="HB77" s="247"/>
      <c r="HC77" s="247"/>
      <c r="HD77" s="247"/>
      <c r="HE77" s="247"/>
      <c r="HF77" s="247"/>
      <c r="HG77" s="246"/>
      <c r="HH77" s="246"/>
      <c r="HI77" s="246"/>
      <c r="HJ77" s="246"/>
      <c r="HK77" s="246"/>
      <c r="HL77" s="246"/>
      <c r="HM77" s="246"/>
      <c r="HN77" s="247"/>
      <c r="HO77" s="247"/>
      <c r="HP77" s="247"/>
      <c r="HQ77" s="247"/>
      <c r="HR77" s="247"/>
      <c r="HS77" s="247"/>
      <c r="HT77" s="247"/>
      <c r="HU77" s="246"/>
      <c r="HV77" s="246"/>
      <c r="HW77" s="246"/>
      <c r="HX77" s="246"/>
      <c r="HY77" s="246"/>
      <c r="HZ77" s="246"/>
      <c r="IA77" s="246"/>
      <c r="IB77" s="247"/>
      <c r="IC77" s="247"/>
      <c r="ID77" s="247"/>
      <c r="IE77" s="247"/>
      <c r="IF77" s="247"/>
      <c r="IG77" s="247"/>
      <c r="IH77" s="247"/>
      <c r="II77" s="246"/>
      <c r="IJ77" s="246"/>
      <c r="IK77" s="246"/>
      <c r="IL77" s="246"/>
      <c r="IM77" s="246"/>
      <c r="IN77" s="246"/>
      <c r="IO77" s="246"/>
      <c r="IP77" s="247"/>
      <c r="IQ77" s="247"/>
      <c r="IR77" s="247"/>
      <c r="IS77" s="247"/>
      <c r="IT77" s="247"/>
      <c r="IU77" s="247"/>
      <c r="IV77" s="247"/>
      <c r="IW77" s="246"/>
      <c r="IX77" s="246"/>
      <c r="IY77" s="246"/>
      <c r="IZ77" s="246"/>
      <c r="JA77" s="246"/>
      <c r="JB77" s="246"/>
      <c r="JC77" s="246"/>
      <c r="JD77" s="247"/>
      <c r="JE77" s="247"/>
      <c r="JF77" s="247"/>
      <c r="JG77" s="247"/>
      <c r="JH77" s="247"/>
      <c r="JI77" s="247"/>
      <c r="JJ77" s="247"/>
      <c r="JK77" s="246"/>
      <c r="JL77" s="246"/>
      <c r="JM77" s="246"/>
      <c r="JN77" s="246"/>
      <c r="JO77" s="246"/>
      <c r="JP77" s="246"/>
      <c r="JQ77" s="246"/>
      <c r="JR77" s="247"/>
      <c r="JS77" s="247"/>
      <c r="JT77" s="247"/>
      <c r="JU77" s="247"/>
      <c r="JV77" s="247"/>
      <c r="JW77" s="247"/>
      <c r="JX77" s="247"/>
      <c r="JY77" s="246"/>
      <c r="JZ77" s="246"/>
      <c r="KA77" s="246"/>
      <c r="KB77" s="246"/>
      <c r="KC77" s="246"/>
      <c r="KD77" s="246"/>
      <c r="KE77" s="246"/>
      <c r="KF77" s="247"/>
      <c r="KG77" s="247"/>
      <c r="KH77" s="247"/>
      <c r="KI77" s="247"/>
      <c r="KJ77" s="247"/>
      <c r="KK77" s="247"/>
      <c r="KL77" s="247"/>
      <c r="KM77" s="246"/>
      <c r="KN77" s="246"/>
      <c r="KO77" s="246"/>
      <c r="KP77" s="246"/>
      <c r="KQ77" s="246"/>
      <c r="KR77" s="246"/>
      <c r="KS77" s="246"/>
      <c r="KT77" s="247"/>
      <c r="KU77" s="247"/>
      <c r="KV77" s="247"/>
      <c r="KW77" s="247"/>
      <c r="KX77" s="247"/>
      <c r="KY77" s="247"/>
      <c r="KZ77" s="247"/>
      <c r="LA77" s="246"/>
      <c r="LB77" s="246"/>
      <c r="LC77" s="246"/>
      <c r="LD77" s="246"/>
      <c r="LE77" s="246"/>
      <c r="LF77" s="246"/>
      <c r="LG77" s="246"/>
      <c r="LH77" s="247"/>
      <c r="LI77" s="247"/>
      <c r="LJ77" s="247"/>
      <c r="LK77" s="247"/>
      <c r="LL77" s="247"/>
      <c r="LM77" s="247"/>
      <c r="LN77" s="247"/>
      <c r="LO77" s="246"/>
      <c r="LP77" s="246"/>
      <c r="LQ77" s="246"/>
      <c r="LR77" s="246"/>
      <c r="LS77" s="246"/>
      <c r="LT77" s="246"/>
      <c r="LU77" s="246"/>
      <c r="LV77" s="247"/>
      <c r="LW77" s="247"/>
      <c r="LX77" s="247"/>
      <c r="LY77" s="247"/>
      <c r="LZ77" s="247"/>
      <c r="MA77" s="247"/>
      <c r="MB77" s="247"/>
      <c r="MC77" s="246"/>
      <c r="MD77" s="246"/>
      <c r="ME77" s="246"/>
      <c r="MF77" s="246"/>
      <c r="MG77" s="246"/>
      <c r="MH77" s="246"/>
      <c r="MI77" s="246"/>
      <c r="MJ77" s="247"/>
      <c r="MK77" s="247"/>
      <c r="ML77" s="247"/>
      <c r="MM77" s="247"/>
      <c r="MN77" s="247"/>
      <c r="MO77" s="247"/>
      <c r="MP77" s="247"/>
      <c r="MQ77" s="246"/>
      <c r="MR77" s="246"/>
      <c r="MS77" s="246"/>
      <c r="MT77" s="246"/>
      <c r="MU77" s="246"/>
      <c r="MV77" s="246"/>
      <c r="MW77" s="246"/>
      <c r="MX77" s="247"/>
      <c r="MY77" s="247"/>
      <c r="MZ77" s="247"/>
      <c r="NA77" s="247"/>
      <c r="NB77" s="247"/>
      <c r="NC77" s="247"/>
      <c r="ND77" s="247"/>
      <c r="NE77" s="246"/>
      <c r="NF77" s="246"/>
      <c r="NG77" s="246"/>
      <c r="NH77" s="333"/>
    </row>
    <row r="78" spans="1:372">
      <c r="A78" s="251" t="s">
        <v>974</v>
      </c>
      <c r="B78" s="251" t="s">
        <v>58</v>
      </c>
      <c r="C78" s="251" t="s">
        <v>674</v>
      </c>
      <c r="D78" s="251" t="s">
        <v>982</v>
      </c>
      <c r="E78" s="241">
        <v>157.91999999943599</v>
      </c>
      <c r="F78" s="241">
        <v>192</v>
      </c>
      <c r="G78" s="246"/>
      <c r="H78" s="246"/>
      <c r="I78" s="246"/>
      <c r="J78" s="246"/>
      <c r="K78" s="246"/>
      <c r="L78" s="247"/>
      <c r="M78" s="247"/>
      <c r="N78" s="247"/>
      <c r="O78" s="247"/>
      <c r="P78" s="247"/>
      <c r="Q78" s="247"/>
      <c r="R78" s="247"/>
      <c r="S78" s="246"/>
      <c r="T78" s="246"/>
      <c r="U78" s="246"/>
      <c r="V78" s="246"/>
      <c r="W78" s="246"/>
      <c r="X78" s="246"/>
      <c r="Y78" s="246"/>
      <c r="Z78" s="247"/>
      <c r="AA78" s="247"/>
      <c r="AB78" s="247"/>
      <c r="AC78" s="247"/>
      <c r="AD78" s="247"/>
      <c r="AE78" s="247"/>
      <c r="AF78" s="247"/>
      <c r="AG78" s="246"/>
      <c r="AH78" s="246"/>
      <c r="AI78" s="246"/>
      <c r="AJ78" s="246"/>
      <c r="AK78" s="246"/>
      <c r="AL78" s="246"/>
      <c r="AM78" s="246"/>
      <c r="AN78" s="247"/>
      <c r="AO78" s="247"/>
      <c r="AP78" s="247"/>
      <c r="AQ78" s="247"/>
      <c r="AR78" s="247"/>
      <c r="AS78" s="247"/>
      <c r="AT78" s="247"/>
      <c r="AU78" s="246"/>
      <c r="AV78" s="246"/>
      <c r="AW78" s="246"/>
      <c r="AX78" s="246"/>
      <c r="AY78" s="246"/>
      <c r="AZ78" s="246"/>
      <c r="BA78" s="246"/>
      <c r="BB78" s="247"/>
      <c r="BC78" s="247"/>
      <c r="BD78" s="247"/>
      <c r="BE78" s="247"/>
      <c r="BF78" s="247"/>
      <c r="BG78" s="247"/>
      <c r="BH78" s="247"/>
      <c r="BI78" s="246"/>
      <c r="BJ78" s="246"/>
      <c r="BK78" s="246"/>
      <c r="BL78" s="246"/>
      <c r="BM78" s="246"/>
      <c r="BN78" s="246"/>
      <c r="BO78" s="246"/>
      <c r="BP78" s="247"/>
      <c r="BQ78" s="247"/>
      <c r="BR78" s="247"/>
      <c r="BS78" s="247"/>
      <c r="BT78" s="247"/>
      <c r="BU78" s="247"/>
      <c r="BV78" s="247"/>
      <c r="BW78" s="246"/>
      <c r="BX78" s="246"/>
      <c r="BY78" s="246"/>
      <c r="BZ78" s="246"/>
      <c r="CA78" s="246"/>
      <c r="CB78" s="246"/>
      <c r="CC78" s="246"/>
      <c r="CD78" s="247"/>
      <c r="CE78" s="247"/>
      <c r="CF78" s="247"/>
      <c r="CG78" s="247"/>
      <c r="CH78" s="247"/>
      <c r="CI78" s="247"/>
      <c r="CJ78" s="247"/>
      <c r="CK78" s="246"/>
      <c r="CL78" s="246"/>
      <c r="CM78" s="246"/>
      <c r="CN78" s="246"/>
      <c r="CO78" s="246"/>
      <c r="CP78" s="246"/>
      <c r="CQ78" s="246"/>
      <c r="CR78" s="247"/>
      <c r="CS78" s="247"/>
      <c r="CT78" s="247"/>
      <c r="CU78" s="247"/>
      <c r="CV78" s="247"/>
      <c r="CW78" s="247"/>
      <c r="CX78" s="247"/>
      <c r="CY78" s="246"/>
      <c r="CZ78" s="246"/>
      <c r="DA78" s="246"/>
      <c r="DB78" s="246"/>
      <c r="DC78" s="246"/>
      <c r="DD78" s="246" t="s">
        <v>989</v>
      </c>
      <c r="DE78" s="246"/>
      <c r="DF78" s="247"/>
      <c r="DG78" s="247"/>
      <c r="DH78" s="247"/>
      <c r="DI78" s="247"/>
      <c r="DJ78" s="247"/>
      <c r="DK78" s="247"/>
      <c r="DL78" s="247"/>
      <c r="DM78" s="246"/>
      <c r="DN78" s="246"/>
      <c r="DO78" s="246"/>
      <c r="DP78" s="246"/>
      <c r="DQ78" s="246"/>
      <c r="DR78" s="246"/>
      <c r="DS78" s="246"/>
      <c r="DT78" s="247"/>
      <c r="DU78" s="247"/>
      <c r="DV78" s="247"/>
      <c r="DW78" s="247"/>
      <c r="DX78" s="247"/>
      <c r="DY78" s="247"/>
      <c r="DZ78" s="247"/>
      <c r="EA78" s="246"/>
      <c r="EB78" s="246"/>
      <c r="EC78" s="246"/>
      <c r="ED78" s="246"/>
      <c r="EE78" s="246"/>
      <c r="EF78" s="246"/>
      <c r="EG78" s="246"/>
      <c r="EH78" s="247"/>
      <c r="EI78" s="247"/>
      <c r="EJ78" s="247"/>
      <c r="EK78" s="247"/>
      <c r="EL78" s="247"/>
      <c r="EM78" s="247">
        <v>24</v>
      </c>
      <c r="EN78" s="247">
        <v>24</v>
      </c>
      <c r="EO78" s="246">
        <v>24</v>
      </c>
      <c r="EP78" s="246">
        <v>24</v>
      </c>
      <c r="EQ78" s="246">
        <v>24</v>
      </c>
      <c r="ER78" s="246">
        <v>24</v>
      </c>
      <c r="ES78" s="246">
        <v>24</v>
      </c>
      <c r="ET78" s="246">
        <v>24</v>
      </c>
      <c r="EU78" s="246"/>
      <c r="EV78" s="247"/>
      <c r="EW78" s="247"/>
      <c r="EX78" s="247"/>
      <c r="EY78" s="247"/>
      <c r="EZ78" s="247"/>
      <c r="FA78" s="247"/>
      <c r="FB78" s="247"/>
      <c r="FC78" s="246"/>
      <c r="FD78" s="246"/>
      <c r="FE78" s="246"/>
      <c r="FF78" s="246"/>
      <c r="FG78" s="246"/>
      <c r="FH78" s="246"/>
      <c r="FI78" s="246"/>
      <c r="FJ78" s="247"/>
      <c r="FK78" s="247"/>
      <c r="FL78" s="247"/>
      <c r="FM78" s="247"/>
      <c r="FN78" s="247"/>
      <c r="FO78" s="247"/>
      <c r="FP78" s="247"/>
      <c r="FQ78" s="246"/>
      <c r="FR78" s="246"/>
      <c r="FS78" s="246"/>
      <c r="FT78" s="246"/>
      <c r="FU78" s="246"/>
      <c r="FV78" s="246"/>
      <c r="FW78" s="246"/>
      <c r="FX78" s="247"/>
      <c r="FY78" s="247"/>
      <c r="FZ78" s="247"/>
      <c r="GA78" s="247"/>
      <c r="GB78" s="247"/>
      <c r="GC78" s="247"/>
      <c r="GD78" s="247"/>
      <c r="GE78" s="246"/>
      <c r="GF78" s="246"/>
      <c r="GG78" s="246"/>
      <c r="GH78" s="246"/>
      <c r="GI78" s="246"/>
      <c r="GJ78" s="246"/>
      <c r="GK78" s="246"/>
      <c r="GL78" s="247"/>
      <c r="GM78" s="247"/>
      <c r="GN78" s="247"/>
      <c r="GO78" s="247"/>
      <c r="GP78" s="247"/>
      <c r="GQ78" s="247"/>
      <c r="GR78" s="247"/>
      <c r="GS78" s="246"/>
      <c r="GT78" s="246"/>
      <c r="GU78" s="246"/>
      <c r="GV78" s="246"/>
      <c r="GW78" s="246"/>
      <c r="GX78" s="246"/>
      <c r="GY78" s="246"/>
      <c r="GZ78" s="247"/>
      <c r="HA78" s="247"/>
      <c r="HB78" s="247"/>
      <c r="HC78" s="247"/>
      <c r="HD78" s="247"/>
      <c r="HE78" s="247"/>
      <c r="HF78" s="247"/>
      <c r="HG78" s="246"/>
      <c r="HH78" s="246"/>
      <c r="HI78" s="246"/>
      <c r="HJ78" s="246"/>
      <c r="HK78" s="246"/>
      <c r="HL78" s="246"/>
      <c r="HM78" s="246"/>
      <c r="HN78" s="247"/>
      <c r="HO78" s="247"/>
      <c r="HP78" s="247"/>
      <c r="HQ78" s="247"/>
      <c r="HR78" s="247"/>
      <c r="HS78" s="247"/>
      <c r="HT78" s="247"/>
      <c r="HU78" s="246"/>
      <c r="HV78" s="246"/>
      <c r="HW78" s="246"/>
      <c r="HX78" s="246"/>
      <c r="HY78" s="246"/>
      <c r="HZ78" s="246"/>
      <c r="IA78" s="246"/>
      <c r="IB78" s="247"/>
      <c r="IC78" s="247"/>
      <c r="ID78" s="247"/>
      <c r="IE78" s="247"/>
      <c r="IF78" s="247"/>
      <c r="IG78" s="247"/>
      <c r="IH78" s="247"/>
      <c r="II78" s="246"/>
      <c r="IJ78" s="246"/>
      <c r="IK78" s="246"/>
      <c r="IL78" s="246"/>
      <c r="IM78" s="246"/>
      <c r="IN78" s="246"/>
      <c r="IO78" s="246"/>
      <c r="IP78" s="247"/>
      <c r="IQ78" s="247"/>
      <c r="IR78" s="247"/>
      <c r="IS78" s="247"/>
      <c r="IT78" s="247"/>
      <c r="IU78" s="247"/>
      <c r="IV78" s="247"/>
      <c r="IW78" s="246"/>
      <c r="IX78" s="246"/>
      <c r="IY78" s="246"/>
      <c r="IZ78" s="246"/>
      <c r="JA78" s="246"/>
      <c r="JB78" s="246"/>
      <c r="JC78" s="246"/>
      <c r="JD78" s="247"/>
      <c r="JE78" s="247"/>
      <c r="JF78" s="247"/>
      <c r="JG78" s="247"/>
      <c r="JH78" s="247"/>
      <c r="JI78" s="247"/>
      <c r="JJ78" s="247"/>
      <c r="JK78" s="246"/>
      <c r="JL78" s="246"/>
      <c r="JM78" s="246"/>
      <c r="JN78" s="246"/>
      <c r="JO78" s="246"/>
      <c r="JP78" s="246"/>
      <c r="JQ78" s="246"/>
      <c r="JR78" s="247"/>
      <c r="JS78" s="247"/>
      <c r="JT78" s="247"/>
      <c r="JU78" s="247"/>
      <c r="JV78" s="247"/>
      <c r="JW78" s="247"/>
      <c r="JX78" s="247"/>
      <c r="JY78" s="246"/>
      <c r="JZ78" s="246"/>
      <c r="KA78" s="246"/>
      <c r="KB78" s="246"/>
      <c r="KC78" s="246"/>
      <c r="KD78" s="246"/>
      <c r="KE78" s="246"/>
      <c r="KF78" s="247"/>
      <c r="KG78" s="247"/>
      <c r="KH78" s="247"/>
      <c r="KI78" s="247"/>
      <c r="KJ78" s="247"/>
      <c r="KK78" s="247"/>
      <c r="KL78" s="247"/>
      <c r="KM78" s="246"/>
      <c r="KN78" s="246"/>
      <c r="KO78" s="246"/>
      <c r="KP78" s="246"/>
      <c r="KQ78" s="246"/>
      <c r="KR78" s="246"/>
      <c r="KS78" s="246"/>
      <c r="KT78" s="247"/>
      <c r="KU78" s="247"/>
      <c r="KV78" s="247"/>
      <c r="KW78" s="247"/>
      <c r="KX78" s="247"/>
      <c r="KY78" s="247"/>
      <c r="KZ78" s="247"/>
      <c r="LA78" s="246"/>
      <c r="LB78" s="246"/>
      <c r="LC78" s="246"/>
      <c r="LD78" s="246"/>
      <c r="LE78" s="246"/>
      <c r="LF78" s="246"/>
      <c r="LG78" s="246"/>
      <c r="LH78" s="247"/>
      <c r="LI78" s="247"/>
      <c r="LJ78" s="247"/>
      <c r="LK78" s="247"/>
      <c r="LL78" s="247"/>
      <c r="LM78" s="247"/>
      <c r="LN78" s="247"/>
      <c r="LO78" s="246"/>
      <c r="LP78" s="246"/>
      <c r="LQ78" s="246"/>
      <c r="LR78" s="246"/>
      <c r="LS78" s="246"/>
      <c r="LT78" s="246"/>
      <c r="LU78" s="246"/>
      <c r="LV78" s="247"/>
      <c r="LW78" s="247"/>
      <c r="LX78" s="247"/>
      <c r="LY78" s="247"/>
      <c r="LZ78" s="247"/>
      <c r="MA78" s="247"/>
      <c r="MB78" s="247"/>
      <c r="MC78" s="246"/>
      <c r="MD78" s="246"/>
      <c r="ME78" s="246"/>
      <c r="MF78" s="246"/>
      <c r="MG78" s="246"/>
      <c r="MH78" s="246"/>
      <c r="MI78" s="246"/>
      <c r="MJ78" s="247"/>
      <c r="MK78" s="247"/>
      <c r="ML78" s="247"/>
      <c r="MM78" s="247"/>
      <c r="MN78" s="247"/>
      <c r="MO78" s="247"/>
      <c r="MP78" s="247"/>
      <c r="MQ78" s="246"/>
      <c r="MR78" s="246"/>
      <c r="MS78" s="246"/>
      <c r="MT78" s="246"/>
      <c r="MU78" s="246"/>
      <c r="MV78" s="246"/>
      <c r="MW78" s="246"/>
      <c r="MX78" s="247"/>
      <c r="MY78" s="247"/>
      <c r="MZ78" s="247"/>
      <c r="NA78" s="247"/>
      <c r="NB78" s="247"/>
      <c r="NC78" s="247"/>
      <c r="ND78" s="247"/>
      <c r="NE78" s="246"/>
      <c r="NF78" s="246"/>
      <c r="NG78" s="246"/>
      <c r="NH78" s="333"/>
    </row>
    <row r="79" spans="1:372">
      <c r="A79" s="251" t="s">
        <v>974</v>
      </c>
      <c r="B79" s="251" t="s">
        <v>59</v>
      </c>
      <c r="C79" s="251" t="s">
        <v>674</v>
      </c>
      <c r="D79" s="251" t="s">
        <v>982</v>
      </c>
      <c r="E79" s="241">
        <v>157.91999999999999</v>
      </c>
      <c r="F79" s="241">
        <v>192</v>
      </c>
      <c r="G79" s="246"/>
      <c r="H79" s="246"/>
      <c r="I79" s="246"/>
      <c r="J79" s="246"/>
      <c r="K79" s="246"/>
      <c r="L79" s="247"/>
      <c r="M79" s="247"/>
      <c r="N79" s="247"/>
      <c r="O79" s="247"/>
      <c r="P79" s="247"/>
      <c r="Q79" s="247"/>
      <c r="R79" s="247"/>
      <c r="S79" s="246"/>
      <c r="T79" s="246"/>
      <c r="U79" s="246"/>
      <c r="V79" s="246"/>
      <c r="W79" s="246"/>
      <c r="X79" s="246"/>
      <c r="Y79" s="246"/>
      <c r="Z79" s="247"/>
      <c r="AA79" s="247"/>
      <c r="AB79" s="247"/>
      <c r="AC79" s="247"/>
      <c r="AD79" s="247"/>
      <c r="AE79" s="247"/>
      <c r="AF79" s="247"/>
      <c r="AG79" s="246"/>
      <c r="AH79" s="246"/>
      <c r="AI79" s="246"/>
      <c r="AJ79" s="246"/>
      <c r="AK79" s="246"/>
      <c r="AL79" s="246"/>
      <c r="AM79" s="246"/>
      <c r="AN79" s="247"/>
      <c r="AO79" s="247"/>
      <c r="AP79" s="247"/>
      <c r="AQ79" s="247"/>
      <c r="AR79" s="247"/>
      <c r="AS79" s="247"/>
      <c r="AT79" s="247"/>
      <c r="AU79" s="246"/>
      <c r="AV79" s="246"/>
      <c r="AW79" s="246"/>
      <c r="AX79" s="246"/>
      <c r="AY79" s="246"/>
      <c r="AZ79" s="246"/>
      <c r="BA79" s="246"/>
      <c r="BB79" s="247"/>
      <c r="BC79" s="247"/>
      <c r="BD79" s="247"/>
      <c r="BE79" s="247"/>
      <c r="BF79" s="247"/>
      <c r="BG79" s="247"/>
      <c r="BH79" s="247"/>
      <c r="BI79" s="246"/>
      <c r="BJ79" s="246"/>
      <c r="BK79" s="246"/>
      <c r="BL79" s="246"/>
      <c r="BM79" s="246"/>
      <c r="BN79" s="246"/>
      <c r="BO79" s="246"/>
      <c r="BP79" s="247"/>
      <c r="BQ79" s="247"/>
      <c r="BR79" s="247"/>
      <c r="BS79" s="247"/>
      <c r="BT79" s="247"/>
      <c r="BU79" s="247"/>
      <c r="BV79" s="247"/>
      <c r="BW79" s="246"/>
      <c r="BX79" s="246"/>
      <c r="BY79" s="246"/>
      <c r="BZ79" s="246"/>
      <c r="CA79" s="246"/>
      <c r="CB79" s="246"/>
      <c r="CC79" s="246"/>
      <c r="CD79" s="247"/>
      <c r="CE79" s="247"/>
      <c r="CF79" s="247"/>
      <c r="CG79" s="247"/>
      <c r="CH79" s="247"/>
      <c r="CI79" s="247"/>
      <c r="CJ79" s="247"/>
      <c r="CK79" s="246"/>
      <c r="CL79" s="246"/>
      <c r="CM79" s="246"/>
      <c r="CN79" s="246"/>
      <c r="CO79" s="246"/>
      <c r="CP79" s="246"/>
      <c r="CQ79" s="246"/>
      <c r="CR79" s="247"/>
      <c r="CS79" s="247"/>
      <c r="CT79" s="247"/>
      <c r="CU79" s="247"/>
      <c r="CV79" s="247"/>
      <c r="CW79" s="247"/>
      <c r="CX79" s="247"/>
      <c r="CY79" s="246"/>
      <c r="CZ79" s="246"/>
      <c r="DA79" s="246"/>
      <c r="DB79" s="246"/>
      <c r="DC79" s="246"/>
      <c r="DD79" s="246"/>
      <c r="DE79" s="246"/>
      <c r="DF79" s="247"/>
      <c r="DG79" s="247"/>
      <c r="DH79" s="247"/>
      <c r="DI79" s="247"/>
      <c r="DJ79" s="247"/>
      <c r="DK79" s="247"/>
      <c r="DL79" s="247"/>
      <c r="DM79" s="246"/>
      <c r="DN79" s="246"/>
      <c r="DO79" s="246"/>
      <c r="DP79" s="246"/>
      <c r="DQ79" s="246"/>
      <c r="DR79" s="246"/>
      <c r="DS79" s="246"/>
      <c r="DT79" s="247"/>
      <c r="DU79" s="247"/>
      <c r="DV79" s="247"/>
      <c r="DW79" s="247"/>
      <c r="DX79" s="247"/>
      <c r="DY79" s="247"/>
      <c r="DZ79" s="247"/>
      <c r="EA79" s="246"/>
      <c r="EB79" s="246"/>
      <c r="EC79" s="246"/>
      <c r="ED79" s="246"/>
      <c r="EE79" s="246"/>
      <c r="EF79" s="246"/>
      <c r="EG79" s="246"/>
      <c r="EH79" s="247"/>
      <c r="EI79" s="247"/>
      <c r="EJ79" s="247"/>
      <c r="EK79" s="247"/>
      <c r="EL79" s="247"/>
      <c r="EM79" s="247">
        <v>24</v>
      </c>
      <c r="EN79" s="247">
        <v>24</v>
      </c>
      <c r="EO79" s="246">
        <v>24</v>
      </c>
      <c r="EP79" s="246">
        <v>24</v>
      </c>
      <c r="EQ79" s="246">
        <v>24</v>
      </c>
      <c r="ER79" s="246">
        <v>24</v>
      </c>
      <c r="ES79" s="246">
        <v>24</v>
      </c>
      <c r="ET79" s="246">
        <v>24</v>
      </c>
      <c r="EU79" s="246"/>
      <c r="EV79" s="247"/>
      <c r="EW79" s="247"/>
      <c r="EX79" s="247"/>
      <c r="EY79" s="247"/>
      <c r="EZ79" s="247"/>
      <c r="FA79" s="247"/>
      <c r="FB79" s="247"/>
      <c r="FC79" s="246"/>
      <c r="FD79" s="246"/>
      <c r="FE79" s="246"/>
      <c r="FF79" s="246"/>
      <c r="FG79" s="246"/>
      <c r="FH79" s="246"/>
      <c r="FI79" s="246"/>
      <c r="FJ79" s="247"/>
      <c r="FK79" s="247"/>
      <c r="FL79" s="247"/>
      <c r="FM79" s="247"/>
      <c r="FN79" s="247"/>
      <c r="FO79" s="247"/>
      <c r="FP79" s="247"/>
      <c r="FQ79" s="246"/>
      <c r="FR79" s="246"/>
      <c r="FS79" s="246"/>
      <c r="FT79" s="246"/>
      <c r="FU79" s="246"/>
      <c r="FV79" s="246"/>
      <c r="FW79" s="246"/>
      <c r="FX79" s="247"/>
      <c r="FY79" s="247"/>
      <c r="FZ79" s="247"/>
      <c r="GA79" s="247"/>
      <c r="GB79" s="247"/>
      <c r="GC79" s="247"/>
      <c r="GD79" s="247"/>
      <c r="GE79" s="246"/>
      <c r="GF79" s="246"/>
      <c r="GG79" s="246"/>
      <c r="GH79" s="246"/>
      <c r="GI79" s="246"/>
      <c r="GJ79" s="246"/>
      <c r="GK79" s="246"/>
      <c r="GL79" s="247"/>
      <c r="GM79" s="247"/>
      <c r="GN79" s="247"/>
      <c r="GO79" s="247"/>
      <c r="GP79" s="247"/>
      <c r="GQ79" s="247"/>
      <c r="GR79" s="247"/>
      <c r="GS79" s="246"/>
      <c r="GT79" s="246"/>
      <c r="GU79" s="246"/>
      <c r="GV79" s="246"/>
      <c r="GW79" s="246"/>
      <c r="GX79" s="246"/>
      <c r="GY79" s="246"/>
      <c r="GZ79" s="247"/>
      <c r="HA79" s="247"/>
      <c r="HB79" s="247"/>
      <c r="HC79" s="247"/>
      <c r="HD79" s="247"/>
      <c r="HE79" s="247"/>
      <c r="HF79" s="247"/>
      <c r="HG79" s="246"/>
      <c r="HH79" s="246"/>
      <c r="HI79" s="246"/>
      <c r="HJ79" s="246"/>
      <c r="HK79" s="246"/>
      <c r="HL79" s="246"/>
      <c r="HM79" s="246"/>
      <c r="HN79" s="247"/>
      <c r="HO79" s="247"/>
      <c r="HP79" s="247"/>
      <c r="HQ79" s="247"/>
      <c r="HR79" s="247"/>
      <c r="HS79" s="247"/>
      <c r="HT79" s="247"/>
      <c r="HU79" s="246"/>
      <c r="HV79" s="246"/>
      <c r="HW79" s="246"/>
      <c r="HX79" s="246"/>
      <c r="HY79" s="246"/>
      <c r="HZ79" s="246"/>
      <c r="IA79" s="246"/>
      <c r="IB79" s="247"/>
      <c r="IC79" s="247"/>
      <c r="ID79" s="247"/>
      <c r="IE79" s="247"/>
      <c r="IF79" s="247"/>
      <c r="IG79" s="247"/>
      <c r="IH79" s="247"/>
      <c r="II79" s="246"/>
      <c r="IJ79" s="246"/>
      <c r="IK79" s="246"/>
      <c r="IL79" s="246"/>
      <c r="IM79" s="246"/>
      <c r="IN79" s="246"/>
      <c r="IO79" s="246"/>
      <c r="IP79" s="247"/>
      <c r="IQ79" s="247"/>
      <c r="IR79" s="247"/>
      <c r="IS79" s="247"/>
      <c r="IT79" s="247"/>
      <c r="IU79" s="247"/>
      <c r="IV79" s="247"/>
      <c r="IW79" s="246"/>
      <c r="IX79" s="246"/>
      <c r="IY79" s="246"/>
      <c r="IZ79" s="246"/>
      <c r="JA79" s="246"/>
      <c r="JB79" s="246"/>
      <c r="JC79" s="246"/>
      <c r="JD79" s="247"/>
      <c r="JE79" s="247"/>
      <c r="JF79" s="247"/>
      <c r="JG79" s="247"/>
      <c r="JH79" s="247"/>
      <c r="JI79" s="247"/>
      <c r="JJ79" s="247"/>
      <c r="JK79" s="246"/>
      <c r="JL79" s="246"/>
      <c r="JM79" s="246"/>
      <c r="JN79" s="246"/>
      <c r="JO79" s="246"/>
      <c r="JP79" s="246"/>
      <c r="JQ79" s="246"/>
      <c r="JR79" s="247"/>
      <c r="JS79" s="247"/>
      <c r="JT79" s="247"/>
      <c r="JU79" s="247"/>
      <c r="JV79" s="247"/>
      <c r="JW79" s="247"/>
      <c r="JX79" s="247"/>
      <c r="JY79" s="246"/>
      <c r="JZ79" s="246"/>
      <c r="KA79" s="246"/>
      <c r="KB79" s="246"/>
      <c r="KC79" s="246"/>
      <c r="KD79" s="246"/>
      <c r="KE79" s="246"/>
      <c r="KF79" s="247"/>
      <c r="KG79" s="247"/>
      <c r="KH79" s="247"/>
      <c r="KI79" s="247"/>
      <c r="KJ79" s="247"/>
      <c r="KK79" s="247"/>
      <c r="KL79" s="247"/>
      <c r="KM79" s="246"/>
      <c r="KN79" s="246"/>
      <c r="KO79" s="246"/>
      <c r="KP79" s="246"/>
      <c r="KQ79" s="246"/>
      <c r="KR79" s="246"/>
      <c r="KS79" s="246"/>
      <c r="KT79" s="247"/>
      <c r="KU79" s="247"/>
      <c r="KV79" s="247"/>
      <c r="KW79" s="247"/>
      <c r="KX79" s="247"/>
      <c r="KY79" s="247"/>
      <c r="KZ79" s="247"/>
      <c r="LA79" s="246"/>
      <c r="LB79" s="246"/>
      <c r="LC79" s="246"/>
      <c r="LD79" s="246"/>
      <c r="LE79" s="246"/>
      <c r="LF79" s="246"/>
      <c r="LG79" s="246"/>
      <c r="LH79" s="247"/>
      <c r="LI79" s="247"/>
      <c r="LJ79" s="247"/>
      <c r="LK79" s="247"/>
      <c r="LL79" s="247"/>
      <c r="LM79" s="247"/>
      <c r="LN79" s="247"/>
      <c r="LO79" s="246"/>
      <c r="LP79" s="246"/>
      <c r="LQ79" s="246"/>
      <c r="LR79" s="246"/>
      <c r="LS79" s="246"/>
      <c r="LT79" s="246"/>
      <c r="LU79" s="246"/>
      <c r="LV79" s="247"/>
      <c r="LW79" s="247"/>
      <c r="LX79" s="247"/>
      <c r="LY79" s="247"/>
      <c r="LZ79" s="247"/>
      <c r="MA79" s="247"/>
      <c r="MB79" s="247"/>
      <c r="MC79" s="246"/>
      <c r="MD79" s="246"/>
      <c r="ME79" s="246"/>
      <c r="MF79" s="246"/>
      <c r="MG79" s="246"/>
      <c r="MH79" s="246"/>
      <c r="MI79" s="246"/>
      <c r="MJ79" s="247"/>
      <c r="MK79" s="247"/>
      <c r="ML79" s="247"/>
      <c r="MM79" s="247"/>
      <c r="MN79" s="247"/>
      <c r="MO79" s="247"/>
      <c r="MP79" s="247"/>
      <c r="MQ79" s="246"/>
      <c r="MR79" s="246"/>
      <c r="MS79" s="246"/>
      <c r="MT79" s="246"/>
      <c r="MU79" s="246"/>
      <c r="MV79" s="246"/>
      <c r="MW79" s="246"/>
      <c r="MX79" s="247"/>
      <c r="MY79" s="247"/>
      <c r="MZ79" s="247"/>
      <c r="NA79" s="247"/>
      <c r="NB79" s="247"/>
      <c r="NC79" s="247"/>
      <c r="ND79" s="247"/>
      <c r="NE79" s="246"/>
      <c r="NF79" s="246"/>
      <c r="NG79" s="246"/>
      <c r="NH79" s="333"/>
    </row>
    <row r="80" spans="1:372">
      <c r="A80" s="251" t="s">
        <v>974</v>
      </c>
      <c r="B80" s="251" t="s">
        <v>60</v>
      </c>
      <c r="C80" s="251" t="s">
        <v>674</v>
      </c>
      <c r="D80" s="251" t="s">
        <v>982</v>
      </c>
      <c r="E80" s="241">
        <v>157.91999999999999</v>
      </c>
      <c r="F80" s="241">
        <v>192</v>
      </c>
      <c r="G80" s="246"/>
      <c r="H80" s="246"/>
      <c r="I80" s="246"/>
      <c r="J80" s="246"/>
      <c r="K80" s="246"/>
      <c r="L80" s="247"/>
      <c r="M80" s="247"/>
      <c r="N80" s="247"/>
      <c r="O80" s="247"/>
      <c r="P80" s="247"/>
      <c r="Q80" s="247"/>
      <c r="R80" s="247"/>
      <c r="S80" s="246"/>
      <c r="T80" s="246"/>
      <c r="U80" s="246"/>
      <c r="V80" s="246"/>
      <c r="W80" s="246"/>
      <c r="X80" s="246"/>
      <c r="Y80" s="246"/>
      <c r="Z80" s="247"/>
      <c r="AA80" s="247"/>
      <c r="AB80" s="247"/>
      <c r="AC80" s="247"/>
      <c r="AD80" s="247"/>
      <c r="AE80" s="247"/>
      <c r="AF80" s="247"/>
      <c r="AG80" s="246"/>
      <c r="AH80" s="246"/>
      <c r="AI80" s="246"/>
      <c r="AJ80" s="246"/>
      <c r="AK80" s="246"/>
      <c r="AL80" s="246"/>
      <c r="AM80" s="246"/>
      <c r="AN80" s="247"/>
      <c r="AO80" s="247"/>
      <c r="AP80" s="247"/>
      <c r="AQ80" s="247"/>
      <c r="AR80" s="247"/>
      <c r="AS80" s="247"/>
      <c r="AT80" s="247"/>
      <c r="AU80" s="246"/>
      <c r="AV80" s="246"/>
      <c r="AW80" s="246"/>
      <c r="AX80" s="246"/>
      <c r="AY80" s="246"/>
      <c r="AZ80" s="246"/>
      <c r="BA80" s="246"/>
      <c r="BB80" s="247"/>
      <c r="BC80" s="247"/>
      <c r="BD80" s="247"/>
      <c r="BE80" s="247"/>
      <c r="BF80" s="247"/>
      <c r="BG80" s="247"/>
      <c r="BH80" s="247"/>
      <c r="BI80" s="246"/>
      <c r="BJ80" s="246"/>
      <c r="BK80" s="246"/>
      <c r="BL80" s="246"/>
      <c r="BM80" s="246"/>
      <c r="BN80" s="246"/>
      <c r="BO80" s="246"/>
      <c r="BP80" s="247"/>
      <c r="BQ80" s="247"/>
      <c r="BR80" s="247"/>
      <c r="BS80" s="247"/>
      <c r="BT80" s="247"/>
      <c r="BU80" s="247"/>
      <c r="BV80" s="247"/>
      <c r="BW80" s="246"/>
      <c r="BX80" s="246"/>
      <c r="BY80" s="246"/>
      <c r="BZ80" s="246"/>
      <c r="CA80" s="246"/>
      <c r="CB80" s="246"/>
      <c r="CC80" s="246"/>
      <c r="CD80" s="247"/>
      <c r="CE80" s="247"/>
      <c r="CF80" s="247"/>
      <c r="CG80" s="247"/>
      <c r="CH80" s="247"/>
      <c r="CI80" s="247"/>
      <c r="CJ80" s="247"/>
      <c r="CK80" s="246"/>
      <c r="CL80" s="246"/>
      <c r="CM80" s="246"/>
      <c r="CN80" s="246"/>
      <c r="CO80" s="246"/>
      <c r="CP80" s="246"/>
      <c r="CQ80" s="246"/>
      <c r="CR80" s="247"/>
      <c r="CS80" s="247"/>
      <c r="CT80" s="247"/>
      <c r="CU80" s="247"/>
      <c r="CV80" s="247"/>
      <c r="CW80" s="247"/>
      <c r="CX80" s="247"/>
      <c r="CY80" s="246"/>
      <c r="CZ80" s="246"/>
      <c r="DA80" s="246"/>
      <c r="DB80" s="246"/>
      <c r="DC80" s="246"/>
      <c r="DD80" s="246"/>
      <c r="DE80" s="246"/>
      <c r="DF80" s="247"/>
      <c r="DG80" s="247"/>
      <c r="DH80" s="247"/>
      <c r="DI80" s="247"/>
      <c r="DJ80" s="247"/>
      <c r="DK80" s="247"/>
      <c r="DL80" s="247"/>
      <c r="DM80" s="246"/>
      <c r="DN80" s="246"/>
      <c r="DO80" s="246"/>
      <c r="DP80" s="246"/>
      <c r="DQ80" s="246"/>
      <c r="DR80" s="246"/>
      <c r="DS80" s="246"/>
      <c r="DT80" s="247"/>
      <c r="DU80" s="247"/>
      <c r="DV80" s="247"/>
      <c r="DW80" s="247"/>
      <c r="DX80" s="247"/>
      <c r="DY80" s="247"/>
      <c r="DZ80" s="247"/>
      <c r="EA80" s="246"/>
      <c r="EB80" s="246"/>
      <c r="EC80" s="246"/>
      <c r="ED80" s="246"/>
      <c r="EE80" s="246"/>
      <c r="EF80" s="246"/>
      <c r="EG80" s="246"/>
      <c r="EH80" s="247"/>
      <c r="EI80" s="247"/>
      <c r="EJ80" s="247"/>
      <c r="EK80" s="247"/>
      <c r="EL80" s="247"/>
      <c r="EM80" s="247">
        <v>24</v>
      </c>
      <c r="EN80" s="247">
        <v>24</v>
      </c>
      <c r="EO80" s="246">
        <v>24</v>
      </c>
      <c r="EP80" s="246">
        <v>24</v>
      </c>
      <c r="EQ80" s="246">
        <v>24</v>
      </c>
      <c r="ER80" s="246">
        <v>24</v>
      </c>
      <c r="ES80" s="246">
        <v>24</v>
      </c>
      <c r="ET80" s="246">
        <v>24</v>
      </c>
      <c r="EU80" s="246"/>
      <c r="EV80" s="247"/>
      <c r="EW80" s="247"/>
      <c r="EX80" s="247"/>
      <c r="EY80" s="247"/>
      <c r="EZ80" s="247"/>
      <c r="FA80" s="247"/>
      <c r="FB80" s="247"/>
      <c r="FC80" s="246"/>
      <c r="FD80" s="246"/>
      <c r="FE80" s="246"/>
      <c r="FF80" s="246"/>
      <c r="FG80" s="246"/>
      <c r="FH80" s="246"/>
      <c r="FI80" s="246"/>
      <c r="FJ80" s="247"/>
      <c r="FK80" s="247"/>
      <c r="FL80" s="247"/>
      <c r="FM80" s="247"/>
      <c r="FN80" s="247"/>
      <c r="FO80" s="247"/>
      <c r="FP80" s="247"/>
      <c r="FQ80" s="246"/>
      <c r="FR80" s="246"/>
      <c r="FS80" s="246"/>
      <c r="FT80" s="246"/>
      <c r="FU80" s="246"/>
      <c r="FV80" s="246"/>
      <c r="FW80" s="246"/>
      <c r="FX80" s="247"/>
      <c r="FY80" s="247"/>
      <c r="FZ80" s="247"/>
      <c r="GA80" s="247"/>
      <c r="GB80" s="247"/>
      <c r="GC80" s="247"/>
      <c r="GD80" s="247"/>
      <c r="GE80" s="246"/>
      <c r="GF80" s="246"/>
      <c r="GG80" s="246"/>
      <c r="GH80" s="246"/>
      <c r="GI80" s="246"/>
      <c r="GJ80" s="246"/>
      <c r="GK80" s="246"/>
      <c r="GL80" s="247"/>
      <c r="GM80" s="247"/>
      <c r="GN80" s="247"/>
      <c r="GO80" s="247"/>
      <c r="GP80" s="247"/>
      <c r="GQ80" s="247"/>
      <c r="GR80" s="247"/>
      <c r="GS80" s="246"/>
      <c r="GT80" s="246"/>
      <c r="GU80" s="246"/>
      <c r="GV80" s="246"/>
      <c r="GW80" s="246"/>
      <c r="GX80" s="246"/>
      <c r="GY80" s="246"/>
      <c r="GZ80" s="247"/>
      <c r="HA80" s="247"/>
      <c r="HB80" s="247"/>
      <c r="HC80" s="247"/>
      <c r="HD80" s="247"/>
      <c r="HE80" s="247"/>
      <c r="HF80" s="247"/>
      <c r="HG80" s="246"/>
      <c r="HH80" s="246"/>
      <c r="HI80" s="246"/>
      <c r="HJ80" s="246"/>
      <c r="HK80" s="246"/>
      <c r="HL80" s="246"/>
      <c r="HM80" s="246"/>
      <c r="HN80" s="247"/>
      <c r="HO80" s="247"/>
      <c r="HP80" s="247"/>
      <c r="HQ80" s="247"/>
      <c r="HR80" s="247"/>
      <c r="HS80" s="247"/>
      <c r="HT80" s="247"/>
      <c r="HU80" s="246"/>
      <c r="HV80" s="246"/>
      <c r="HW80" s="246"/>
      <c r="HX80" s="246"/>
      <c r="HY80" s="246"/>
      <c r="HZ80" s="246"/>
      <c r="IA80" s="246"/>
      <c r="IB80" s="247"/>
      <c r="IC80" s="247"/>
      <c r="ID80" s="247"/>
      <c r="IE80" s="247"/>
      <c r="IF80" s="247"/>
      <c r="IG80" s="247"/>
      <c r="IH80" s="247"/>
      <c r="II80" s="246"/>
      <c r="IJ80" s="246"/>
      <c r="IK80" s="246"/>
      <c r="IL80" s="246"/>
      <c r="IM80" s="246"/>
      <c r="IN80" s="246"/>
      <c r="IO80" s="246"/>
      <c r="IP80" s="247"/>
      <c r="IQ80" s="247"/>
      <c r="IR80" s="247"/>
      <c r="IS80" s="247"/>
      <c r="IT80" s="247"/>
      <c r="IU80" s="247"/>
      <c r="IV80" s="247"/>
      <c r="IW80" s="246"/>
      <c r="IX80" s="246"/>
      <c r="IY80" s="246"/>
      <c r="IZ80" s="246"/>
      <c r="JA80" s="246"/>
      <c r="JB80" s="246"/>
      <c r="JC80" s="246"/>
      <c r="JD80" s="247"/>
      <c r="JE80" s="247"/>
      <c r="JF80" s="247"/>
      <c r="JG80" s="247"/>
      <c r="JH80" s="247"/>
      <c r="JI80" s="247"/>
      <c r="JJ80" s="247"/>
      <c r="JK80" s="246"/>
      <c r="JL80" s="246"/>
      <c r="JM80" s="246"/>
      <c r="JN80" s="246"/>
      <c r="JO80" s="246"/>
      <c r="JP80" s="246"/>
      <c r="JQ80" s="246"/>
      <c r="JR80" s="247"/>
      <c r="JS80" s="247"/>
      <c r="JT80" s="247"/>
      <c r="JU80" s="247"/>
      <c r="JV80" s="247"/>
      <c r="JW80" s="247"/>
      <c r="JX80" s="247"/>
      <c r="JY80" s="246"/>
      <c r="JZ80" s="246"/>
      <c r="KA80" s="246"/>
      <c r="KB80" s="246"/>
      <c r="KC80" s="246"/>
      <c r="KD80" s="246"/>
      <c r="KE80" s="246"/>
      <c r="KF80" s="247"/>
      <c r="KG80" s="247"/>
      <c r="KH80" s="247"/>
      <c r="KI80" s="247"/>
      <c r="KJ80" s="247"/>
      <c r="KK80" s="247"/>
      <c r="KL80" s="247"/>
      <c r="KM80" s="246"/>
      <c r="KN80" s="246"/>
      <c r="KO80" s="246"/>
      <c r="KP80" s="246"/>
      <c r="KQ80" s="246"/>
      <c r="KR80" s="246"/>
      <c r="KS80" s="246"/>
      <c r="KT80" s="247"/>
      <c r="KU80" s="247"/>
      <c r="KV80" s="247"/>
      <c r="KW80" s="247"/>
      <c r="KX80" s="247"/>
      <c r="KY80" s="247"/>
      <c r="KZ80" s="247"/>
      <c r="LA80" s="246"/>
      <c r="LB80" s="246"/>
      <c r="LC80" s="246"/>
      <c r="LD80" s="246"/>
      <c r="LE80" s="246"/>
      <c r="LF80" s="246"/>
      <c r="LG80" s="246"/>
      <c r="LH80" s="247"/>
      <c r="LI80" s="247"/>
      <c r="LJ80" s="247"/>
      <c r="LK80" s="247"/>
      <c r="LL80" s="247"/>
      <c r="LM80" s="247"/>
      <c r="LN80" s="247"/>
      <c r="LO80" s="246"/>
      <c r="LP80" s="246"/>
      <c r="LQ80" s="246"/>
      <c r="LR80" s="246"/>
      <c r="LS80" s="246"/>
      <c r="LT80" s="246"/>
      <c r="LU80" s="246"/>
      <c r="LV80" s="247"/>
      <c r="LW80" s="247"/>
      <c r="LX80" s="247"/>
      <c r="LY80" s="247"/>
      <c r="LZ80" s="247"/>
      <c r="MA80" s="247"/>
      <c r="MB80" s="247"/>
      <c r="MC80" s="246"/>
      <c r="MD80" s="246"/>
      <c r="ME80" s="246"/>
      <c r="MF80" s="246"/>
      <c r="MG80" s="246"/>
      <c r="MH80" s="246"/>
      <c r="MI80" s="246"/>
      <c r="MJ80" s="247"/>
      <c r="MK80" s="247"/>
      <c r="ML80" s="247"/>
      <c r="MM80" s="247"/>
      <c r="MN80" s="247"/>
      <c r="MO80" s="247"/>
      <c r="MP80" s="247"/>
      <c r="MQ80" s="246"/>
      <c r="MR80" s="246"/>
      <c r="MS80" s="246"/>
      <c r="MT80" s="246"/>
      <c r="MU80" s="246"/>
      <c r="MV80" s="246"/>
      <c r="MW80" s="246"/>
      <c r="MX80" s="247"/>
      <c r="MY80" s="247"/>
      <c r="MZ80" s="247"/>
      <c r="NA80" s="247"/>
      <c r="NB80" s="247"/>
      <c r="NC80" s="247"/>
      <c r="ND80" s="247"/>
      <c r="NE80" s="246"/>
      <c r="NF80" s="246"/>
      <c r="NG80" s="246"/>
      <c r="NH80" s="333"/>
    </row>
    <row r="81" spans="1:372">
      <c r="A81" s="251" t="s">
        <v>974</v>
      </c>
      <c r="B81" s="251" t="s">
        <v>61</v>
      </c>
      <c r="C81" s="251" t="s">
        <v>674</v>
      </c>
      <c r="D81" s="251" t="s">
        <v>982</v>
      </c>
      <c r="E81" s="241">
        <v>22.562611100644098</v>
      </c>
      <c r="F81" s="241">
        <v>144</v>
      </c>
      <c r="G81" s="246"/>
      <c r="H81" s="246"/>
      <c r="I81" s="246"/>
      <c r="J81" s="246"/>
      <c r="K81" s="246"/>
      <c r="L81" s="247"/>
      <c r="M81" s="247"/>
      <c r="N81" s="247"/>
      <c r="O81" s="247"/>
      <c r="P81" s="247"/>
      <c r="Q81" s="247"/>
      <c r="R81" s="247"/>
      <c r="S81" s="246"/>
      <c r="T81" s="246"/>
      <c r="U81" s="246"/>
      <c r="V81" s="246"/>
      <c r="W81" s="246"/>
      <c r="X81" s="246"/>
      <c r="Y81" s="246"/>
      <c r="Z81" s="247"/>
      <c r="AA81" s="247"/>
      <c r="AB81" s="247"/>
      <c r="AC81" s="247"/>
      <c r="AD81" s="247"/>
      <c r="AE81" s="247"/>
      <c r="AF81" s="247"/>
      <c r="AG81" s="246"/>
      <c r="AH81" s="246"/>
      <c r="AI81" s="246"/>
      <c r="AJ81" s="246"/>
      <c r="AK81" s="246"/>
      <c r="AL81" s="246"/>
      <c r="AM81" s="246"/>
      <c r="AN81" s="247"/>
      <c r="AO81" s="247"/>
      <c r="AP81" s="247"/>
      <c r="AQ81" s="247"/>
      <c r="AR81" s="247"/>
      <c r="AS81" s="247"/>
      <c r="AT81" s="247"/>
      <c r="AU81" s="246"/>
      <c r="AV81" s="246"/>
      <c r="AW81" s="246"/>
      <c r="AX81" s="246"/>
      <c r="AY81" s="246"/>
      <c r="AZ81" s="246"/>
      <c r="BA81" s="246"/>
      <c r="BB81" s="247"/>
      <c r="BC81" s="247"/>
      <c r="BD81" s="247"/>
      <c r="BE81" s="247"/>
      <c r="BF81" s="247"/>
      <c r="BG81" s="247"/>
      <c r="BH81" s="247"/>
      <c r="BI81" s="246"/>
      <c r="BJ81" s="246"/>
      <c r="BK81" s="246"/>
      <c r="BL81" s="246"/>
      <c r="BM81" s="246"/>
      <c r="BN81" s="246"/>
      <c r="BO81" s="246"/>
      <c r="BP81" s="247"/>
      <c r="BQ81" s="247"/>
      <c r="BR81" s="247"/>
      <c r="BS81" s="247"/>
      <c r="BT81" s="247"/>
      <c r="BU81" s="247"/>
      <c r="BV81" s="247"/>
      <c r="BW81" s="246"/>
      <c r="BX81" s="246"/>
      <c r="BY81" s="246"/>
      <c r="BZ81" s="246"/>
      <c r="CA81" s="246"/>
      <c r="CB81" s="246"/>
      <c r="CC81" s="246"/>
      <c r="CD81" s="247"/>
      <c r="CE81" s="247"/>
      <c r="CF81" s="247"/>
      <c r="CG81" s="247"/>
      <c r="CH81" s="247"/>
      <c r="CI81" s="247"/>
      <c r="CJ81" s="247"/>
      <c r="CK81" s="246"/>
      <c r="CL81" s="246"/>
      <c r="CM81" s="246"/>
      <c r="CN81" s="246"/>
      <c r="CO81" s="246"/>
      <c r="CP81" s="246"/>
      <c r="CQ81" s="246"/>
      <c r="CR81" s="247"/>
      <c r="CS81" s="247"/>
      <c r="CT81" s="247"/>
      <c r="CU81" s="247"/>
      <c r="CV81" s="247"/>
      <c r="CW81" s="247"/>
      <c r="CX81" s="247"/>
      <c r="CY81" s="246"/>
      <c r="CZ81" s="246"/>
      <c r="DA81" s="246"/>
      <c r="DB81" s="246"/>
      <c r="DC81" s="246"/>
      <c r="DD81" s="246"/>
      <c r="DE81" s="246"/>
      <c r="DF81" s="247"/>
      <c r="DG81" s="247"/>
      <c r="DH81" s="247"/>
      <c r="DI81" s="247"/>
      <c r="DJ81" s="247"/>
      <c r="DK81" s="247"/>
      <c r="DL81" s="247"/>
      <c r="DM81" s="246"/>
      <c r="DN81" s="246"/>
      <c r="DO81" s="246"/>
      <c r="DP81" s="246"/>
      <c r="DQ81" s="246"/>
      <c r="DR81" s="246"/>
      <c r="DS81" s="246"/>
      <c r="DT81" s="247"/>
      <c r="DU81" s="247"/>
      <c r="DV81" s="247"/>
      <c r="DW81" s="247"/>
      <c r="DX81" s="247"/>
      <c r="DY81" s="247"/>
      <c r="DZ81" s="247"/>
      <c r="EA81" s="246"/>
      <c r="EB81" s="246"/>
      <c r="EC81" s="246"/>
      <c r="ED81" s="246"/>
      <c r="EE81" s="246"/>
      <c r="EF81" s="246"/>
      <c r="EG81" s="246"/>
      <c r="EH81" s="247"/>
      <c r="EI81" s="247"/>
      <c r="EJ81" s="247"/>
      <c r="EK81" s="247"/>
      <c r="EL81" s="247"/>
      <c r="EM81" s="247"/>
      <c r="EN81" s="247"/>
      <c r="EO81" s="246"/>
      <c r="EP81" s="246"/>
      <c r="EQ81" s="246"/>
      <c r="ER81" s="246"/>
      <c r="ES81" s="246"/>
      <c r="ET81" s="246"/>
      <c r="EU81" s="246"/>
      <c r="EV81" s="247"/>
      <c r="EW81" s="247"/>
      <c r="EX81" s="247"/>
      <c r="EY81" s="247"/>
      <c r="EZ81" s="247"/>
      <c r="FA81" s="247"/>
      <c r="FB81" s="247"/>
      <c r="FC81" s="246"/>
      <c r="FD81" s="246"/>
      <c r="FE81" s="246"/>
      <c r="FF81" s="246"/>
      <c r="FG81" s="246"/>
      <c r="FH81" s="246"/>
      <c r="FI81" s="246"/>
      <c r="FJ81" s="247"/>
      <c r="FK81" s="247"/>
      <c r="FL81" s="247"/>
      <c r="FM81" s="247"/>
      <c r="FN81" s="247"/>
      <c r="FO81" s="247"/>
      <c r="FP81" s="247"/>
      <c r="FQ81" s="246"/>
      <c r="FR81" s="246"/>
      <c r="FS81" s="246"/>
      <c r="FT81" s="246"/>
      <c r="FU81" s="246"/>
      <c r="FV81" s="246"/>
      <c r="FW81" s="246"/>
      <c r="FX81" s="247"/>
      <c r="FY81" s="247"/>
      <c r="FZ81" s="247"/>
      <c r="GA81" s="247"/>
      <c r="GB81" s="247"/>
      <c r="GC81" s="247"/>
      <c r="GD81" s="247"/>
      <c r="GE81" s="246"/>
      <c r="GF81" s="246"/>
      <c r="GG81" s="246"/>
      <c r="GH81" s="246"/>
      <c r="GI81" s="246"/>
      <c r="GJ81" s="246"/>
      <c r="GK81" s="246"/>
      <c r="GL81" s="247"/>
      <c r="GM81" s="247"/>
      <c r="GN81" s="247">
        <v>24</v>
      </c>
      <c r="GO81" s="247">
        <v>24</v>
      </c>
      <c r="GP81" s="247"/>
      <c r="GQ81" s="247"/>
      <c r="GR81" s="247"/>
      <c r="GS81" s="246"/>
      <c r="GT81" s="246"/>
      <c r="GU81" s="246"/>
      <c r="GV81" s="246"/>
      <c r="GW81" s="246"/>
      <c r="GX81" s="246"/>
      <c r="GY81" s="246"/>
      <c r="GZ81" s="247"/>
      <c r="HA81" s="247"/>
      <c r="HB81" s="247"/>
      <c r="HC81" s="247"/>
      <c r="HD81" s="247"/>
      <c r="HE81" s="247"/>
      <c r="HF81" s="247"/>
      <c r="HG81" s="246"/>
      <c r="HH81" s="246"/>
      <c r="HI81" s="246"/>
      <c r="HJ81" s="246"/>
      <c r="HK81" s="246"/>
      <c r="HL81" s="246"/>
      <c r="HM81" s="246"/>
      <c r="HN81" s="247"/>
      <c r="HO81" s="247"/>
      <c r="HP81" s="247"/>
      <c r="HQ81" s="247"/>
      <c r="HR81" s="247"/>
      <c r="HS81" s="247"/>
      <c r="HT81" s="247"/>
      <c r="HU81" s="246"/>
      <c r="HV81" s="246"/>
      <c r="HW81" s="246"/>
      <c r="HX81" s="246"/>
      <c r="HY81" s="246"/>
      <c r="HZ81" s="246"/>
      <c r="IA81" s="246"/>
      <c r="IB81" s="247"/>
      <c r="IC81" s="247"/>
      <c r="ID81" s="247"/>
      <c r="IE81" s="247"/>
      <c r="IF81" s="247"/>
      <c r="IG81" s="247"/>
      <c r="IH81" s="247"/>
      <c r="II81" s="246"/>
      <c r="IJ81" s="246"/>
      <c r="IK81" s="246"/>
      <c r="IL81" s="246"/>
      <c r="IM81" s="246"/>
      <c r="IN81" s="246"/>
      <c r="IO81" s="246"/>
      <c r="IP81" s="247"/>
      <c r="IQ81" s="247"/>
      <c r="IR81" s="247"/>
      <c r="IS81" s="247"/>
      <c r="IT81" s="247"/>
      <c r="IU81" s="247"/>
      <c r="IV81" s="247"/>
      <c r="IW81" s="246"/>
      <c r="IX81" s="246"/>
      <c r="IY81" s="246"/>
      <c r="IZ81" s="246"/>
      <c r="JA81" s="246"/>
      <c r="JB81" s="246"/>
      <c r="JC81" s="246"/>
      <c r="JD81" s="247"/>
      <c r="JE81" s="247"/>
      <c r="JF81" s="247"/>
      <c r="JG81" s="247"/>
      <c r="JH81" s="247"/>
      <c r="JI81" s="247"/>
      <c r="JJ81" s="247"/>
      <c r="JK81" s="246"/>
      <c r="JL81" s="246"/>
      <c r="JM81" s="246"/>
      <c r="JN81" s="246"/>
      <c r="JO81" s="246"/>
      <c r="JP81" s="246"/>
      <c r="JQ81" s="246"/>
      <c r="JR81" s="247"/>
      <c r="JS81" s="247"/>
      <c r="JT81" s="247">
        <v>24</v>
      </c>
      <c r="JU81" s="247">
        <v>24</v>
      </c>
      <c r="JV81" s="247"/>
      <c r="JW81" s="247"/>
      <c r="JX81" s="247"/>
      <c r="JY81" s="246"/>
      <c r="JZ81" s="246"/>
      <c r="KA81" s="246"/>
      <c r="KB81" s="246"/>
      <c r="KC81" s="246"/>
      <c r="KD81" s="246"/>
      <c r="KE81" s="246"/>
      <c r="KF81" s="247"/>
      <c r="KG81" s="247"/>
      <c r="KH81" s="247"/>
      <c r="KI81" s="247"/>
      <c r="KJ81" s="247"/>
      <c r="KK81" s="247"/>
      <c r="KL81" s="247"/>
      <c r="KM81" s="246"/>
      <c r="KN81" s="246"/>
      <c r="KO81" s="246"/>
      <c r="KP81" s="246"/>
      <c r="KQ81" s="246"/>
      <c r="KR81" s="246"/>
      <c r="KS81" s="246"/>
      <c r="KT81" s="247"/>
      <c r="KU81" s="247"/>
      <c r="KV81" s="247"/>
      <c r="KW81" s="247"/>
      <c r="KX81" s="247"/>
      <c r="KY81" s="247"/>
      <c r="KZ81" s="247"/>
      <c r="LA81" s="246"/>
      <c r="LB81" s="246"/>
      <c r="LC81" s="246"/>
      <c r="LD81" s="246"/>
      <c r="LE81" s="246"/>
      <c r="LF81" s="246"/>
      <c r="LG81" s="246"/>
      <c r="LH81" s="247"/>
      <c r="LI81" s="247"/>
      <c r="LJ81" s="247"/>
      <c r="LK81" s="247"/>
      <c r="LL81" s="247"/>
      <c r="LM81" s="247"/>
      <c r="LN81" s="247"/>
      <c r="LO81" s="246"/>
      <c r="LP81" s="246"/>
      <c r="LQ81" s="246"/>
      <c r="LR81" s="246"/>
      <c r="LS81" s="246"/>
      <c r="LT81" s="246"/>
      <c r="LU81" s="246"/>
      <c r="LV81" s="247"/>
      <c r="LW81" s="247"/>
      <c r="LX81" s="247"/>
      <c r="LY81" s="247"/>
      <c r="LZ81" s="247"/>
      <c r="MA81" s="247"/>
      <c r="MB81" s="247"/>
      <c r="MC81" s="246"/>
      <c r="MD81" s="246"/>
      <c r="ME81" s="246"/>
      <c r="MF81" s="246"/>
      <c r="MG81" s="246"/>
      <c r="MH81" s="246"/>
      <c r="MI81" s="246"/>
      <c r="MJ81" s="247"/>
      <c r="MK81" s="247"/>
      <c r="ML81" s="247">
        <v>24</v>
      </c>
      <c r="MM81" s="247">
        <v>24</v>
      </c>
      <c r="MN81" s="247"/>
      <c r="MO81" s="247"/>
      <c r="MP81" s="247"/>
      <c r="MQ81" s="246"/>
      <c r="MR81" s="246"/>
      <c r="MS81" s="246"/>
      <c r="MT81" s="246"/>
      <c r="MU81" s="246"/>
      <c r="MV81" s="246"/>
      <c r="MW81" s="246"/>
      <c r="MX81" s="247"/>
      <c r="MY81" s="247"/>
      <c r="MZ81" s="247"/>
      <c r="NA81" s="247"/>
      <c r="NB81" s="247"/>
      <c r="NC81" s="247"/>
      <c r="ND81" s="247"/>
      <c r="NE81" s="246"/>
      <c r="NF81" s="246"/>
      <c r="NG81" s="246"/>
      <c r="NH81" s="333"/>
    </row>
    <row r="82" spans="1:372">
      <c r="A82" s="251" t="s">
        <v>974</v>
      </c>
      <c r="B82" s="251" t="s">
        <v>62</v>
      </c>
      <c r="C82" s="251" t="s">
        <v>674</v>
      </c>
      <c r="D82" s="251" t="s">
        <v>982</v>
      </c>
      <c r="E82" s="241">
        <v>22.563916666644062</v>
      </c>
      <c r="F82" s="241">
        <v>144</v>
      </c>
      <c r="G82" s="246"/>
      <c r="H82" s="246"/>
      <c r="I82" s="246"/>
      <c r="J82" s="246"/>
      <c r="K82" s="246"/>
      <c r="L82" s="247"/>
      <c r="M82" s="247"/>
      <c r="N82" s="247"/>
      <c r="O82" s="247"/>
      <c r="P82" s="247"/>
      <c r="Q82" s="247"/>
      <c r="R82" s="247"/>
      <c r="S82" s="246"/>
      <c r="T82" s="246"/>
      <c r="U82" s="246"/>
      <c r="V82" s="246"/>
      <c r="W82" s="246"/>
      <c r="X82" s="246"/>
      <c r="Y82" s="246"/>
      <c r="Z82" s="247"/>
      <c r="AA82" s="247"/>
      <c r="AB82" s="247"/>
      <c r="AC82" s="247"/>
      <c r="AD82" s="247"/>
      <c r="AE82" s="247"/>
      <c r="AF82" s="247"/>
      <c r="AG82" s="246"/>
      <c r="AH82" s="246"/>
      <c r="AI82" s="246"/>
      <c r="AJ82" s="246"/>
      <c r="AK82" s="246"/>
      <c r="AL82" s="246"/>
      <c r="AM82" s="246"/>
      <c r="AN82" s="247"/>
      <c r="AO82" s="247"/>
      <c r="AP82" s="247"/>
      <c r="AQ82" s="247"/>
      <c r="AR82" s="247"/>
      <c r="AS82" s="247"/>
      <c r="AT82" s="247"/>
      <c r="AU82" s="246"/>
      <c r="AV82" s="246"/>
      <c r="AW82" s="246"/>
      <c r="AX82" s="246"/>
      <c r="AY82" s="246"/>
      <c r="AZ82" s="246"/>
      <c r="BA82" s="246"/>
      <c r="BB82" s="247"/>
      <c r="BC82" s="247"/>
      <c r="BD82" s="247"/>
      <c r="BE82" s="247"/>
      <c r="BF82" s="247"/>
      <c r="BG82" s="247"/>
      <c r="BH82" s="247"/>
      <c r="BI82" s="246"/>
      <c r="BJ82" s="246"/>
      <c r="BK82" s="246"/>
      <c r="BL82" s="246"/>
      <c r="BM82" s="246"/>
      <c r="BN82" s="246"/>
      <c r="BO82" s="246"/>
      <c r="BP82" s="247"/>
      <c r="BQ82" s="247"/>
      <c r="BR82" s="247"/>
      <c r="BS82" s="247"/>
      <c r="BT82" s="247"/>
      <c r="BU82" s="247"/>
      <c r="BV82" s="247"/>
      <c r="BW82" s="246"/>
      <c r="BX82" s="246"/>
      <c r="BY82" s="246"/>
      <c r="BZ82" s="246"/>
      <c r="CA82" s="246"/>
      <c r="CB82" s="246"/>
      <c r="CC82" s="246"/>
      <c r="CD82" s="247"/>
      <c r="CE82" s="247"/>
      <c r="CF82" s="247"/>
      <c r="CG82" s="247"/>
      <c r="CH82" s="247"/>
      <c r="CI82" s="247"/>
      <c r="CJ82" s="247"/>
      <c r="CK82" s="246"/>
      <c r="CL82" s="246"/>
      <c r="CM82" s="246"/>
      <c r="CN82" s="246"/>
      <c r="CO82" s="246"/>
      <c r="CP82" s="246"/>
      <c r="CQ82" s="246"/>
      <c r="CR82" s="247"/>
      <c r="CS82" s="247"/>
      <c r="CT82" s="247"/>
      <c r="CU82" s="247"/>
      <c r="CV82" s="247"/>
      <c r="CW82" s="247"/>
      <c r="CX82" s="247"/>
      <c r="CY82" s="246"/>
      <c r="CZ82" s="246"/>
      <c r="DA82" s="246"/>
      <c r="DB82" s="246"/>
      <c r="DC82" s="246"/>
      <c r="DD82" s="246"/>
      <c r="DE82" s="246"/>
      <c r="DF82" s="247"/>
      <c r="DG82" s="247"/>
      <c r="DH82" s="247"/>
      <c r="DI82" s="247"/>
      <c r="DJ82" s="247"/>
      <c r="DK82" s="247"/>
      <c r="DL82" s="247"/>
      <c r="DM82" s="246"/>
      <c r="DN82" s="246"/>
      <c r="DO82" s="246"/>
      <c r="DP82" s="246"/>
      <c r="DQ82" s="246"/>
      <c r="DR82" s="246"/>
      <c r="DS82" s="246"/>
      <c r="DT82" s="247"/>
      <c r="DU82" s="247"/>
      <c r="DV82" s="247"/>
      <c r="DW82" s="247"/>
      <c r="DX82" s="247"/>
      <c r="DY82" s="247"/>
      <c r="DZ82" s="247"/>
      <c r="EA82" s="246"/>
      <c r="EB82" s="246"/>
      <c r="EC82" s="246"/>
      <c r="ED82" s="246"/>
      <c r="EE82" s="246"/>
      <c r="EF82" s="246"/>
      <c r="EG82" s="246"/>
      <c r="EH82" s="247"/>
      <c r="EI82" s="247"/>
      <c r="EJ82" s="247"/>
      <c r="EK82" s="247"/>
      <c r="EL82" s="247"/>
      <c r="EM82" s="247"/>
      <c r="EN82" s="247"/>
      <c r="EO82" s="246"/>
      <c r="EP82" s="246"/>
      <c r="EQ82" s="246"/>
      <c r="ER82" s="246"/>
      <c r="ES82" s="246"/>
      <c r="ET82" s="246"/>
      <c r="EU82" s="246"/>
      <c r="EV82" s="247"/>
      <c r="EW82" s="247"/>
      <c r="EX82" s="247"/>
      <c r="EY82" s="247"/>
      <c r="EZ82" s="247"/>
      <c r="FA82" s="247"/>
      <c r="FB82" s="247"/>
      <c r="FC82" s="246"/>
      <c r="FD82" s="246"/>
      <c r="FE82" s="246"/>
      <c r="FF82" s="246"/>
      <c r="FG82" s="246"/>
      <c r="FH82" s="246"/>
      <c r="FI82" s="246"/>
      <c r="FJ82" s="247"/>
      <c r="FK82" s="247"/>
      <c r="FL82" s="247"/>
      <c r="FM82" s="247"/>
      <c r="FN82" s="247"/>
      <c r="FO82" s="247"/>
      <c r="FP82" s="247"/>
      <c r="FQ82" s="246"/>
      <c r="FR82" s="246"/>
      <c r="FS82" s="246"/>
      <c r="FT82" s="246"/>
      <c r="FU82" s="246"/>
      <c r="FV82" s="246"/>
      <c r="FW82" s="246"/>
      <c r="FX82" s="247"/>
      <c r="FY82" s="247"/>
      <c r="FZ82" s="247"/>
      <c r="GA82" s="247"/>
      <c r="GB82" s="247"/>
      <c r="GC82" s="247"/>
      <c r="GD82" s="247"/>
      <c r="GE82" s="246"/>
      <c r="GF82" s="246"/>
      <c r="GG82" s="246"/>
      <c r="GH82" s="246"/>
      <c r="GI82" s="246"/>
      <c r="GJ82" s="246"/>
      <c r="GK82" s="246"/>
      <c r="GL82" s="247"/>
      <c r="GM82" s="247"/>
      <c r="GN82" s="247">
        <v>24</v>
      </c>
      <c r="GO82" s="247">
        <v>24</v>
      </c>
      <c r="GP82" s="247"/>
      <c r="GQ82" s="247"/>
      <c r="GR82" s="247"/>
      <c r="GS82" s="246"/>
      <c r="GT82" s="246"/>
      <c r="GU82" s="246"/>
      <c r="GV82" s="246"/>
      <c r="GW82" s="246"/>
      <c r="GX82" s="246"/>
      <c r="GY82" s="246"/>
      <c r="GZ82" s="247"/>
      <c r="HA82" s="247"/>
      <c r="HB82" s="247"/>
      <c r="HC82" s="247"/>
      <c r="HD82" s="247"/>
      <c r="HE82" s="247"/>
      <c r="HF82" s="247"/>
      <c r="HG82" s="246"/>
      <c r="HH82" s="246"/>
      <c r="HI82" s="246"/>
      <c r="HJ82" s="246"/>
      <c r="HK82" s="246"/>
      <c r="HL82" s="246"/>
      <c r="HM82" s="246"/>
      <c r="HN82" s="247"/>
      <c r="HO82" s="247"/>
      <c r="HP82" s="247"/>
      <c r="HQ82" s="247"/>
      <c r="HR82" s="247"/>
      <c r="HS82" s="247"/>
      <c r="HT82" s="247"/>
      <c r="HU82" s="246"/>
      <c r="HV82" s="246"/>
      <c r="HW82" s="246"/>
      <c r="HX82" s="246"/>
      <c r="HY82" s="246"/>
      <c r="HZ82" s="246"/>
      <c r="IA82" s="246"/>
      <c r="IB82" s="247"/>
      <c r="IC82" s="247"/>
      <c r="ID82" s="247"/>
      <c r="IE82" s="247"/>
      <c r="IF82" s="247"/>
      <c r="IG82" s="247"/>
      <c r="IH82" s="247"/>
      <c r="II82" s="246"/>
      <c r="IJ82" s="246"/>
      <c r="IK82" s="246"/>
      <c r="IL82" s="246"/>
      <c r="IM82" s="246"/>
      <c r="IN82" s="246"/>
      <c r="IO82" s="246"/>
      <c r="IP82" s="247"/>
      <c r="IQ82" s="247"/>
      <c r="IR82" s="247"/>
      <c r="IS82" s="247"/>
      <c r="IT82" s="247"/>
      <c r="IU82" s="247"/>
      <c r="IV82" s="247"/>
      <c r="IW82" s="246"/>
      <c r="IX82" s="246"/>
      <c r="IY82" s="246"/>
      <c r="IZ82" s="246"/>
      <c r="JA82" s="246"/>
      <c r="JB82" s="246"/>
      <c r="JC82" s="246"/>
      <c r="JD82" s="247"/>
      <c r="JE82" s="247"/>
      <c r="JF82" s="247"/>
      <c r="JG82" s="247"/>
      <c r="JH82" s="247"/>
      <c r="JI82" s="247"/>
      <c r="JJ82" s="247"/>
      <c r="JK82" s="246"/>
      <c r="JL82" s="246"/>
      <c r="JM82" s="246"/>
      <c r="JN82" s="246"/>
      <c r="JO82" s="246"/>
      <c r="JP82" s="246"/>
      <c r="JQ82" s="246"/>
      <c r="JR82" s="247"/>
      <c r="JS82" s="247"/>
      <c r="JT82" s="247">
        <v>24</v>
      </c>
      <c r="JU82" s="247">
        <v>24</v>
      </c>
      <c r="JV82" s="247"/>
      <c r="JW82" s="247"/>
      <c r="JX82" s="247"/>
      <c r="JY82" s="246"/>
      <c r="JZ82" s="246"/>
      <c r="KA82" s="246"/>
      <c r="KB82" s="246"/>
      <c r="KC82" s="246"/>
      <c r="KD82" s="246"/>
      <c r="KE82" s="246"/>
      <c r="KF82" s="247"/>
      <c r="KG82" s="247"/>
      <c r="KH82" s="247"/>
      <c r="KI82" s="247"/>
      <c r="KJ82" s="247"/>
      <c r="KK82" s="247"/>
      <c r="KL82" s="247"/>
      <c r="KM82" s="246"/>
      <c r="KN82" s="246"/>
      <c r="KO82" s="246"/>
      <c r="KP82" s="246"/>
      <c r="KQ82" s="246"/>
      <c r="KR82" s="246"/>
      <c r="KS82" s="246"/>
      <c r="KT82" s="247"/>
      <c r="KU82" s="247"/>
      <c r="KV82" s="247"/>
      <c r="KW82" s="247"/>
      <c r="KX82" s="247"/>
      <c r="KY82" s="247"/>
      <c r="KZ82" s="247"/>
      <c r="LA82" s="246"/>
      <c r="LB82" s="246"/>
      <c r="LC82" s="246"/>
      <c r="LD82" s="246"/>
      <c r="LE82" s="246"/>
      <c r="LF82" s="246"/>
      <c r="LG82" s="246"/>
      <c r="LH82" s="247"/>
      <c r="LI82" s="247"/>
      <c r="LJ82" s="247"/>
      <c r="LK82" s="247"/>
      <c r="LL82" s="247"/>
      <c r="LM82" s="247"/>
      <c r="LN82" s="247"/>
      <c r="LO82" s="246"/>
      <c r="LP82" s="246"/>
      <c r="LQ82" s="246"/>
      <c r="LR82" s="246"/>
      <c r="LS82" s="246"/>
      <c r="LT82" s="246"/>
      <c r="LU82" s="246"/>
      <c r="LV82" s="247"/>
      <c r="LW82" s="247"/>
      <c r="LX82" s="247"/>
      <c r="LY82" s="247"/>
      <c r="LZ82" s="247"/>
      <c r="MA82" s="247"/>
      <c r="MB82" s="247"/>
      <c r="MC82" s="246"/>
      <c r="MD82" s="246"/>
      <c r="ME82" s="246"/>
      <c r="MF82" s="246"/>
      <c r="MG82" s="246"/>
      <c r="MH82" s="246"/>
      <c r="MI82" s="246"/>
      <c r="MJ82" s="247"/>
      <c r="MK82" s="247"/>
      <c r="ML82" s="247">
        <v>24</v>
      </c>
      <c r="MM82" s="247">
        <v>24</v>
      </c>
      <c r="MN82" s="247"/>
      <c r="MO82" s="247"/>
      <c r="MP82" s="247"/>
      <c r="MQ82" s="246"/>
      <c r="MR82" s="246"/>
      <c r="MS82" s="246"/>
      <c r="MT82" s="246"/>
      <c r="MU82" s="246"/>
      <c r="MV82" s="246"/>
      <c r="MW82" s="246"/>
      <c r="MX82" s="247"/>
      <c r="MY82" s="247"/>
      <c r="MZ82" s="247"/>
      <c r="NA82" s="247"/>
      <c r="NB82" s="247"/>
      <c r="NC82" s="247"/>
      <c r="ND82" s="247"/>
      <c r="NE82" s="246"/>
      <c r="NF82" s="246"/>
      <c r="NG82" s="246"/>
      <c r="NH82" s="333"/>
    </row>
    <row r="83" spans="1:372">
      <c r="A83" s="251" t="s">
        <v>974</v>
      </c>
      <c r="B83" s="251" t="s">
        <v>976</v>
      </c>
      <c r="C83" s="251" t="s">
        <v>674</v>
      </c>
      <c r="D83" s="251" t="s">
        <v>982</v>
      </c>
      <c r="E83" s="241">
        <v>0</v>
      </c>
      <c r="F83" s="241">
        <v>0</v>
      </c>
      <c r="G83" s="246"/>
      <c r="H83" s="246"/>
      <c r="I83" s="246"/>
      <c r="J83" s="246"/>
      <c r="K83" s="246"/>
      <c r="L83" s="247"/>
      <c r="M83" s="247"/>
      <c r="N83" s="247"/>
      <c r="O83" s="247"/>
      <c r="P83" s="247"/>
      <c r="Q83" s="247"/>
      <c r="R83" s="247"/>
      <c r="S83" s="246"/>
      <c r="T83" s="246"/>
      <c r="U83" s="246"/>
      <c r="V83" s="246"/>
      <c r="W83" s="246"/>
      <c r="X83" s="246"/>
      <c r="Y83" s="246"/>
      <c r="Z83" s="247"/>
      <c r="AA83" s="247"/>
      <c r="AB83" s="247"/>
      <c r="AC83" s="247"/>
      <c r="AD83" s="247"/>
      <c r="AE83" s="247"/>
      <c r="AF83" s="247"/>
      <c r="AG83" s="246"/>
      <c r="AH83" s="246"/>
      <c r="AI83" s="246"/>
      <c r="AJ83" s="246"/>
      <c r="AK83" s="246"/>
      <c r="AL83" s="246"/>
      <c r="AM83" s="246"/>
      <c r="AN83" s="247"/>
      <c r="AO83" s="247"/>
      <c r="AP83" s="247"/>
      <c r="AQ83" s="247"/>
      <c r="AR83" s="247"/>
      <c r="AS83" s="247"/>
      <c r="AT83" s="247"/>
      <c r="AU83" s="246"/>
      <c r="AV83" s="246"/>
      <c r="AW83" s="246"/>
      <c r="AX83" s="246"/>
      <c r="AY83" s="246"/>
      <c r="AZ83" s="246"/>
      <c r="BA83" s="246"/>
      <c r="BB83" s="247"/>
      <c r="BC83" s="247"/>
      <c r="BD83" s="247"/>
      <c r="BE83" s="247"/>
      <c r="BF83" s="247"/>
      <c r="BG83" s="247"/>
      <c r="BH83" s="247"/>
      <c r="BI83" s="246"/>
      <c r="BJ83" s="246"/>
      <c r="BK83" s="246"/>
      <c r="BL83" s="246"/>
      <c r="BM83" s="246"/>
      <c r="BN83" s="246"/>
      <c r="BO83" s="246"/>
      <c r="BP83" s="247"/>
      <c r="BQ83" s="247"/>
      <c r="BR83" s="247"/>
      <c r="BS83" s="247"/>
      <c r="BT83" s="247"/>
      <c r="BU83" s="247"/>
      <c r="BV83" s="247"/>
      <c r="BW83" s="246"/>
      <c r="BX83" s="246"/>
      <c r="BY83" s="246"/>
      <c r="BZ83" s="246"/>
      <c r="CA83" s="246"/>
      <c r="CB83" s="246"/>
      <c r="CC83" s="246"/>
      <c r="CD83" s="247"/>
      <c r="CE83" s="247"/>
      <c r="CF83" s="247"/>
      <c r="CG83" s="247"/>
      <c r="CH83" s="247"/>
      <c r="CI83" s="247"/>
      <c r="CJ83" s="247"/>
      <c r="CK83" s="246"/>
      <c r="CL83" s="246"/>
      <c r="CM83" s="246"/>
      <c r="CN83" s="246"/>
      <c r="CO83" s="246"/>
      <c r="CP83" s="246"/>
      <c r="CQ83" s="246"/>
      <c r="CR83" s="247"/>
      <c r="CS83" s="247"/>
      <c r="CT83" s="247"/>
      <c r="CU83" s="247"/>
      <c r="CV83" s="247"/>
      <c r="CW83" s="247"/>
      <c r="CX83" s="247"/>
      <c r="CY83" s="246"/>
      <c r="CZ83" s="246"/>
      <c r="DA83" s="246"/>
      <c r="DB83" s="246"/>
      <c r="DC83" s="246"/>
      <c r="DD83" s="246"/>
      <c r="DE83" s="246"/>
      <c r="DF83" s="247"/>
      <c r="DG83" s="247"/>
      <c r="DH83" s="247"/>
      <c r="DI83" s="247"/>
      <c r="DJ83" s="247"/>
      <c r="DK83" s="247"/>
      <c r="DL83" s="247"/>
      <c r="DM83" s="246"/>
      <c r="DN83" s="246"/>
      <c r="DO83" s="246"/>
      <c r="DP83" s="246"/>
      <c r="DQ83" s="246"/>
      <c r="DR83" s="246"/>
      <c r="DS83" s="246"/>
      <c r="DT83" s="247"/>
      <c r="DU83" s="247"/>
      <c r="DV83" s="247"/>
      <c r="DW83" s="247"/>
      <c r="DX83" s="247"/>
      <c r="DY83" s="247"/>
      <c r="DZ83" s="247"/>
      <c r="EA83" s="246"/>
      <c r="EB83" s="246"/>
      <c r="EC83" s="246"/>
      <c r="ED83" s="246"/>
      <c r="EE83" s="246"/>
      <c r="EF83" s="246"/>
      <c r="EG83" s="246"/>
      <c r="EH83" s="247"/>
      <c r="EI83" s="247"/>
      <c r="EJ83" s="247"/>
      <c r="EK83" s="247"/>
      <c r="EL83" s="247"/>
      <c r="EM83" s="247"/>
      <c r="EN83" s="247"/>
      <c r="EO83" s="246"/>
      <c r="EP83" s="246"/>
      <c r="EQ83" s="246"/>
      <c r="ER83" s="246"/>
      <c r="ES83" s="246"/>
      <c r="ET83" s="246"/>
      <c r="EU83" s="246"/>
      <c r="EV83" s="247"/>
      <c r="EW83" s="247"/>
      <c r="EX83" s="247"/>
      <c r="EY83" s="247"/>
      <c r="EZ83" s="247"/>
      <c r="FA83" s="247"/>
      <c r="FB83" s="247"/>
      <c r="FC83" s="246"/>
      <c r="FD83" s="246"/>
      <c r="FE83" s="246"/>
      <c r="FF83" s="246"/>
      <c r="FG83" s="246"/>
      <c r="FH83" s="246"/>
      <c r="FI83" s="246"/>
      <c r="FJ83" s="247"/>
      <c r="FK83" s="247"/>
      <c r="FL83" s="247"/>
      <c r="FM83" s="247"/>
      <c r="FN83" s="247"/>
      <c r="FO83" s="247"/>
      <c r="FP83" s="247"/>
      <c r="FQ83" s="246"/>
      <c r="FR83" s="246"/>
      <c r="FS83" s="246"/>
      <c r="FT83" s="246"/>
      <c r="FU83" s="246"/>
      <c r="FV83" s="246"/>
      <c r="FW83" s="246"/>
      <c r="FX83" s="247"/>
      <c r="FY83" s="247"/>
      <c r="FZ83" s="247"/>
      <c r="GA83" s="247"/>
      <c r="GB83" s="247"/>
      <c r="GC83" s="247"/>
      <c r="GD83" s="247"/>
      <c r="GE83" s="246"/>
      <c r="GF83" s="246"/>
      <c r="GG83" s="246"/>
      <c r="GH83" s="246"/>
      <c r="GI83" s="246"/>
      <c r="GJ83" s="246"/>
      <c r="GK83" s="246"/>
      <c r="GL83" s="247"/>
      <c r="GM83" s="247"/>
      <c r="GN83" s="247"/>
      <c r="GO83" s="247"/>
      <c r="GP83" s="247"/>
      <c r="GQ83" s="247"/>
      <c r="GR83" s="247"/>
      <c r="GS83" s="246"/>
      <c r="GT83" s="246"/>
      <c r="GU83" s="246"/>
      <c r="GV83" s="246"/>
      <c r="GW83" s="246"/>
      <c r="GX83" s="246"/>
      <c r="GY83" s="246"/>
      <c r="GZ83" s="247"/>
      <c r="HA83" s="247"/>
      <c r="HB83" s="247"/>
      <c r="HC83" s="247"/>
      <c r="HD83" s="247"/>
      <c r="HE83" s="247"/>
      <c r="HF83" s="247"/>
      <c r="HG83" s="246"/>
      <c r="HH83" s="246"/>
      <c r="HI83" s="246"/>
      <c r="HJ83" s="246"/>
      <c r="HK83" s="246"/>
      <c r="HL83" s="246"/>
      <c r="HM83" s="246"/>
      <c r="HN83" s="247"/>
      <c r="HO83" s="247"/>
      <c r="HP83" s="247"/>
      <c r="HQ83" s="247"/>
      <c r="HR83" s="247"/>
      <c r="HS83" s="247"/>
      <c r="HT83" s="247"/>
      <c r="HU83" s="246"/>
      <c r="HV83" s="246"/>
      <c r="HW83" s="246"/>
      <c r="HX83" s="246"/>
      <c r="HY83" s="246"/>
      <c r="HZ83" s="246"/>
      <c r="IA83" s="246"/>
      <c r="IB83" s="247"/>
      <c r="IC83" s="247"/>
      <c r="ID83" s="247"/>
      <c r="IE83" s="247"/>
      <c r="IF83" s="247"/>
      <c r="IG83" s="247"/>
      <c r="IH83" s="247"/>
      <c r="II83" s="246"/>
      <c r="IJ83" s="246"/>
      <c r="IK83" s="246"/>
      <c r="IL83" s="246"/>
      <c r="IM83" s="246"/>
      <c r="IN83" s="246"/>
      <c r="IO83" s="246"/>
      <c r="IP83" s="247"/>
      <c r="IQ83" s="247"/>
      <c r="IR83" s="247"/>
      <c r="IS83" s="247"/>
      <c r="IT83" s="247"/>
      <c r="IU83" s="247"/>
      <c r="IV83" s="247"/>
      <c r="IW83" s="246"/>
      <c r="IX83" s="246"/>
      <c r="IY83" s="246"/>
      <c r="IZ83" s="246"/>
      <c r="JA83" s="246"/>
      <c r="JB83" s="246"/>
      <c r="JC83" s="246"/>
      <c r="JD83" s="247"/>
      <c r="JE83" s="247"/>
      <c r="JF83" s="247"/>
      <c r="JG83" s="247"/>
      <c r="JH83" s="247"/>
      <c r="JI83" s="247"/>
      <c r="JJ83" s="247"/>
      <c r="JK83" s="246"/>
      <c r="JL83" s="246"/>
      <c r="JM83" s="246"/>
      <c r="JN83" s="246"/>
      <c r="JO83" s="246"/>
      <c r="JP83" s="246"/>
      <c r="JQ83" s="246"/>
      <c r="JR83" s="247"/>
      <c r="JS83" s="247"/>
      <c r="JT83" s="247"/>
      <c r="JU83" s="247"/>
      <c r="JV83" s="247"/>
      <c r="JW83" s="247"/>
      <c r="JX83" s="247"/>
      <c r="JY83" s="246"/>
      <c r="JZ83" s="246"/>
      <c r="KA83" s="246"/>
      <c r="KB83" s="246"/>
      <c r="KC83" s="246"/>
      <c r="KD83" s="246"/>
      <c r="KE83" s="246"/>
      <c r="KF83" s="247"/>
      <c r="KG83" s="247"/>
      <c r="KH83" s="247"/>
      <c r="KI83" s="247"/>
      <c r="KJ83" s="247"/>
      <c r="KK83" s="247"/>
      <c r="KL83" s="247"/>
      <c r="KM83" s="246"/>
      <c r="KN83" s="246"/>
      <c r="KO83" s="246"/>
      <c r="KP83" s="246"/>
      <c r="KQ83" s="246"/>
      <c r="KR83" s="246"/>
      <c r="KS83" s="246"/>
      <c r="KT83" s="247"/>
      <c r="KU83" s="247"/>
      <c r="KV83" s="247"/>
      <c r="KW83" s="247"/>
      <c r="KX83" s="247"/>
      <c r="KY83" s="247"/>
      <c r="KZ83" s="247"/>
      <c r="LA83" s="246"/>
      <c r="LB83" s="246"/>
      <c r="LC83" s="246"/>
      <c r="LD83" s="246"/>
      <c r="LE83" s="246"/>
      <c r="LF83" s="246"/>
      <c r="LG83" s="246"/>
      <c r="LH83" s="247"/>
      <c r="LI83" s="247"/>
      <c r="LJ83" s="247"/>
      <c r="LK83" s="247"/>
      <c r="LL83" s="247"/>
      <c r="LM83" s="247"/>
      <c r="LN83" s="247"/>
      <c r="LO83" s="246"/>
      <c r="LP83" s="246"/>
      <c r="LQ83" s="246"/>
      <c r="LR83" s="246"/>
      <c r="LS83" s="246"/>
      <c r="LT83" s="246"/>
      <c r="LU83" s="246"/>
      <c r="LV83" s="247"/>
      <c r="LW83" s="247"/>
      <c r="LX83" s="247"/>
      <c r="LY83" s="247"/>
      <c r="LZ83" s="247"/>
      <c r="MA83" s="247"/>
      <c r="MB83" s="247"/>
      <c r="MC83" s="246"/>
      <c r="MD83" s="246"/>
      <c r="ME83" s="246"/>
      <c r="MF83" s="246"/>
      <c r="MG83" s="246"/>
      <c r="MH83" s="246"/>
      <c r="MI83" s="246"/>
      <c r="MJ83" s="247"/>
      <c r="MK83" s="247"/>
      <c r="ML83" s="247"/>
      <c r="MM83" s="247"/>
      <c r="MN83" s="247"/>
      <c r="MO83" s="247"/>
      <c r="MP83" s="247"/>
      <c r="MQ83" s="246"/>
      <c r="MR83" s="246"/>
      <c r="MS83" s="246"/>
      <c r="MT83" s="246"/>
      <c r="MU83" s="246"/>
      <c r="MV83" s="246"/>
      <c r="MW83" s="246"/>
      <c r="MX83" s="247"/>
      <c r="MY83" s="247"/>
      <c r="MZ83" s="247"/>
      <c r="NA83" s="247"/>
      <c r="NB83" s="247"/>
      <c r="NC83" s="247"/>
      <c r="ND83" s="247"/>
      <c r="NE83" s="246"/>
      <c r="NF83" s="246"/>
      <c r="NG83" s="246"/>
      <c r="NH83" s="333"/>
    </row>
    <row r="84" spans="1:372">
      <c r="A84" s="251" t="s">
        <v>974</v>
      </c>
      <c r="B84" s="251" t="s">
        <v>63</v>
      </c>
      <c r="C84" s="251" t="s">
        <v>674</v>
      </c>
      <c r="D84" s="251" t="s">
        <v>982</v>
      </c>
      <c r="E84" s="241">
        <v>132.95203333322459</v>
      </c>
      <c r="F84" s="241">
        <v>144</v>
      </c>
      <c r="G84" s="246"/>
      <c r="H84" s="246"/>
      <c r="I84" s="246"/>
      <c r="J84" s="246"/>
      <c r="K84" s="246"/>
      <c r="L84" s="247"/>
      <c r="M84" s="247"/>
      <c r="N84" s="247"/>
      <c r="O84" s="247"/>
      <c r="P84" s="247"/>
      <c r="Q84" s="247"/>
      <c r="R84" s="247"/>
      <c r="S84" s="246"/>
      <c r="T84" s="246"/>
      <c r="U84" s="246"/>
      <c r="V84" s="246"/>
      <c r="W84" s="246"/>
      <c r="X84" s="246"/>
      <c r="Y84" s="246"/>
      <c r="Z84" s="247"/>
      <c r="AA84" s="247"/>
      <c r="AB84" s="247"/>
      <c r="AC84" s="247"/>
      <c r="AD84" s="247"/>
      <c r="AE84" s="247"/>
      <c r="AF84" s="247"/>
      <c r="AG84" s="246"/>
      <c r="AH84" s="246"/>
      <c r="AI84" s="246"/>
      <c r="AJ84" s="246"/>
      <c r="AK84" s="246"/>
      <c r="AL84" s="246"/>
      <c r="AM84" s="246"/>
      <c r="AN84" s="247"/>
      <c r="AO84" s="247"/>
      <c r="AP84" s="247"/>
      <c r="AQ84" s="247"/>
      <c r="AR84" s="247"/>
      <c r="AS84" s="247"/>
      <c r="AT84" s="247"/>
      <c r="AU84" s="246"/>
      <c r="AV84" s="246"/>
      <c r="AW84" s="246"/>
      <c r="AX84" s="246"/>
      <c r="AY84" s="246"/>
      <c r="AZ84" s="246"/>
      <c r="BA84" s="246"/>
      <c r="BB84" s="247"/>
      <c r="BC84" s="247"/>
      <c r="BD84" s="247"/>
      <c r="BE84" s="247"/>
      <c r="BF84" s="247">
        <v>24</v>
      </c>
      <c r="BG84" s="247">
        <v>24</v>
      </c>
      <c r="BH84" s="247"/>
      <c r="BI84" s="246"/>
      <c r="BJ84" s="246"/>
      <c r="BK84" s="246"/>
      <c r="BL84" s="246"/>
      <c r="BM84" s="246"/>
      <c r="BN84" s="246"/>
      <c r="BO84" s="246"/>
      <c r="BP84" s="247"/>
      <c r="BQ84" s="247"/>
      <c r="BR84" s="247"/>
      <c r="BS84" s="247"/>
      <c r="BT84" s="247"/>
      <c r="BU84" s="247"/>
      <c r="BV84" s="247"/>
      <c r="BW84" s="246"/>
      <c r="BX84" s="246"/>
      <c r="BY84" s="246"/>
      <c r="BZ84" s="246"/>
      <c r="CA84" s="246"/>
      <c r="CB84" s="246"/>
      <c r="CC84" s="246"/>
      <c r="CD84" s="247"/>
      <c r="CE84" s="247"/>
      <c r="CF84" s="247"/>
      <c r="CG84" s="247"/>
      <c r="CH84" s="247"/>
      <c r="CI84" s="247"/>
      <c r="CJ84" s="247"/>
      <c r="CK84" s="246"/>
      <c r="CL84" s="246"/>
      <c r="CM84" s="246"/>
      <c r="CN84" s="246"/>
      <c r="CO84" s="246"/>
      <c r="CP84" s="246"/>
      <c r="CQ84" s="246"/>
      <c r="CR84" s="247"/>
      <c r="CS84" s="247"/>
      <c r="CT84" s="247"/>
      <c r="CU84" s="247"/>
      <c r="CV84" s="247"/>
      <c r="CW84" s="247"/>
      <c r="CX84" s="247"/>
      <c r="CY84" s="246"/>
      <c r="CZ84" s="246"/>
      <c r="DA84" s="246"/>
      <c r="DB84" s="246"/>
      <c r="DC84" s="246"/>
      <c r="DD84" s="246"/>
      <c r="DE84" s="246"/>
      <c r="DF84" s="247"/>
      <c r="DG84" s="247"/>
      <c r="DH84" s="247"/>
      <c r="DI84" s="247"/>
      <c r="DJ84" s="247"/>
      <c r="DK84" s="247"/>
      <c r="DL84" s="247"/>
      <c r="DM84" s="246"/>
      <c r="DN84" s="246"/>
      <c r="DO84" s="246"/>
      <c r="DP84" s="246"/>
      <c r="DQ84" s="246"/>
      <c r="DR84" s="246"/>
      <c r="DS84" s="246"/>
      <c r="DT84" s="247"/>
      <c r="DU84" s="247"/>
      <c r="DV84" s="247"/>
      <c r="DW84" s="247"/>
      <c r="DX84" s="247"/>
      <c r="DY84" s="247"/>
      <c r="DZ84" s="247"/>
      <c r="EA84" s="246"/>
      <c r="EB84" s="246"/>
      <c r="EC84" s="246"/>
      <c r="ED84" s="246"/>
      <c r="EE84" s="246"/>
      <c r="EF84" s="246"/>
      <c r="EG84" s="246"/>
      <c r="EH84" s="247"/>
      <c r="EI84" s="247"/>
      <c r="EJ84" s="247"/>
      <c r="EK84" s="247"/>
      <c r="EL84" s="247"/>
      <c r="EM84" s="247"/>
      <c r="EN84" s="247"/>
      <c r="EO84" s="246"/>
      <c r="EP84" s="246"/>
      <c r="EQ84" s="246"/>
      <c r="ER84" s="246"/>
      <c r="ES84" s="246"/>
      <c r="ET84" s="246"/>
      <c r="EU84" s="246"/>
      <c r="EV84" s="247"/>
      <c r="EW84" s="247"/>
      <c r="EX84" s="247"/>
      <c r="EY84" s="247"/>
      <c r="EZ84" s="247"/>
      <c r="FA84" s="247"/>
      <c r="FB84" s="247"/>
      <c r="FC84" s="246"/>
      <c r="FD84" s="246"/>
      <c r="FE84" s="246">
        <v>24</v>
      </c>
      <c r="FF84" s="246">
        <v>24</v>
      </c>
      <c r="FG84" s="246"/>
      <c r="FH84" s="246"/>
      <c r="FI84" s="246"/>
      <c r="FJ84" s="247"/>
      <c r="FK84" s="247"/>
      <c r="FL84" s="247"/>
      <c r="FM84" s="247"/>
      <c r="FN84" s="247"/>
      <c r="FO84" s="247"/>
      <c r="FP84" s="247"/>
      <c r="FQ84" s="246"/>
      <c r="FR84" s="246"/>
      <c r="FS84" s="246"/>
      <c r="FT84" s="246"/>
      <c r="FU84" s="246"/>
      <c r="FV84" s="246"/>
      <c r="FW84" s="246"/>
      <c r="FX84" s="247"/>
      <c r="FY84" s="247"/>
      <c r="FZ84" s="247"/>
      <c r="GA84" s="247"/>
      <c r="GB84" s="247"/>
      <c r="GC84" s="247"/>
      <c r="GD84" s="247"/>
      <c r="GE84" s="246"/>
      <c r="GF84" s="246"/>
      <c r="GG84" s="246"/>
      <c r="GH84" s="246"/>
      <c r="GI84" s="246"/>
      <c r="GJ84" s="246"/>
      <c r="GK84" s="246"/>
      <c r="GL84" s="247"/>
      <c r="GM84" s="247"/>
      <c r="GN84" s="247"/>
      <c r="GO84" s="247"/>
      <c r="GP84" s="247"/>
      <c r="GQ84" s="247"/>
      <c r="GR84" s="247"/>
      <c r="GS84" s="246"/>
      <c r="GT84" s="246"/>
      <c r="GU84" s="246"/>
      <c r="GV84" s="246"/>
      <c r="GW84" s="246"/>
      <c r="GX84" s="246"/>
      <c r="GY84" s="246"/>
      <c r="GZ84" s="247"/>
      <c r="HA84" s="247"/>
      <c r="HB84" s="247"/>
      <c r="HC84" s="247"/>
      <c r="HD84" s="247"/>
      <c r="HE84" s="247"/>
      <c r="HF84" s="247"/>
      <c r="HG84" s="246"/>
      <c r="HH84" s="246"/>
      <c r="HI84" s="246"/>
      <c r="HJ84" s="246"/>
      <c r="HK84" s="246"/>
      <c r="HL84" s="246"/>
      <c r="HM84" s="246"/>
      <c r="HN84" s="247"/>
      <c r="HO84" s="247"/>
      <c r="HP84" s="247"/>
      <c r="HQ84" s="247"/>
      <c r="HR84" s="247"/>
      <c r="HS84" s="247"/>
      <c r="HT84" s="247"/>
      <c r="HU84" s="246"/>
      <c r="HV84" s="246"/>
      <c r="HW84" s="246"/>
      <c r="HX84" s="246"/>
      <c r="HY84" s="246"/>
      <c r="HZ84" s="246"/>
      <c r="IA84" s="246"/>
      <c r="IB84" s="247"/>
      <c r="IC84" s="247"/>
      <c r="ID84" s="247"/>
      <c r="IE84" s="247"/>
      <c r="IF84" s="247"/>
      <c r="IG84" s="247"/>
      <c r="IH84" s="247"/>
      <c r="II84" s="246"/>
      <c r="IJ84" s="246"/>
      <c r="IK84" s="246"/>
      <c r="IL84" s="246"/>
      <c r="IM84" s="246"/>
      <c r="IN84" s="246"/>
      <c r="IO84" s="246"/>
      <c r="IP84" s="247"/>
      <c r="IQ84" s="247"/>
      <c r="IR84" s="247"/>
      <c r="IS84" s="247"/>
      <c r="IT84" s="247"/>
      <c r="IU84" s="247"/>
      <c r="IV84" s="247"/>
      <c r="IW84" s="246"/>
      <c r="IX84" s="246"/>
      <c r="IY84" s="246"/>
      <c r="IZ84" s="246"/>
      <c r="JA84" s="246"/>
      <c r="JB84" s="246"/>
      <c r="JC84" s="246"/>
      <c r="JD84" s="247"/>
      <c r="JE84" s="247"/>
      <c r="JF84" s="247"/>
      <c r="JG84" s="247"/>
      <c r="JH84" s="247"/>
      <c r="JI84" s="247"/>
      <c r="JJ84" s="247"/>
      <c r="JK84" s="246"/>
      <c r="JL84" s="246"/>
      <c r="JM84" s="246"/>
      <c r="JN84" s="246"/>
      <c r="JO84" s="246"/>
      <c r="JP84" s="246"/>
      <c r="JQ84" s="246"/>
      <c r="JR84" s="247"/>
      <c r="JS84" s="247"/>
      <c r="JT84" s="247"/>
      <c r="JU84" s="247"/>
      <c r="JV84" s="247"/>
      <c r="JW84" s="247"/>
      <c r="JX84" s="247"/>
      <c r="JY84" s="246"/>
      <c r="JZ84" s="246"/>
      <c r="KA84" s="246"/>
      <c r="KB84" s="246"/>
      <c r="KC84" s="246"/>
      <c r="KD84" s="246"/>
      <c r="KE84" s="246"/>
      <c r="KF84" s="247"/>
      <c r="KG84" s="247"/>
      <c r="KH84" s="247"/>
      <c r="KI84" s="247"/>
      <c r="KJ84" s="247"/>
      <c r="KK84" s="247"/>
      <c r="KL84" s="247"/>
      <c r="KM84" s="246"/>
      <c r="KN84" s="246"/>
      <c r="KO84" s="246"/>
      <c r="KP84" s="246"/>
      <c r="KQ84" s="246"/>
      <c r="KR84" s="246"/>
      <c r="KS84" s="246"/>
      <c r="KT84" s="247"/>
      <c r="KU84" s="247"/>
      <c r="KV84" s="247"/>
      <c r="KW84" s="247"/>
      <c r="KX84" s="247"/>
      <c r="KY84" s="247"/>
      <c r="KZ84" s="247"/>
      <c r="LA84" s="246"/>
      <c r="LB84" s="246"/>
      <c r="LC84" s="246"/>
      <c r="LD84" s="246"/>
      <c r="LE84" s="246"/>
      <c r="LF84" s="246"/>
      <c r="LG84" s="246"/>
      <c r="LH84" s="247"/>
      <c r="LI84" s="247"/>
      <c r="LJ84" s="247"/>
      <c r="LK84" s="247"/>
      <c r="LL84" s="247"/>
      <c r="LM84" s="247"/>
      <c r="LN84" s="247"/>
      <c r="LO84" s="246"/>
      <c r="LP84" s="246"/>
      <c r="LQ84" s="246"/>
      <c r="LR84" s="246"/>
      <c r="LS84" s="246"/>
      <c r="LT84" s="246"/>
      <c r="LU84" s="246"/>
      <c r="LV84" s="247"/>
      <c r="LW84" s="247"/>
      <c r="LX84" s="247"/>
      <c r="LY84" s="247"/>
      <c r="LZ84" s="247"/>
      <c r="MA84" s="247"/>
      <c r="MB84" s="247"/>
      <c r="MC84" s="246"/>
      <c r="MD84" s="246"/>
      <c r="ME84" s="246"/>
      <c r="MF84" s="246"/>
      <c r="MG84" s="246"/>
      <c r="MH84" s="246"/>
      <c r="MI84" s="246"/>
      <c r="MJ84" s="247"/>
      <c r="MK84" s="247"/>
      <c r="ML84" s="247"/>
      <c r="MM84" s="247"/>
      <c r="MN84" s="247"/>
      <c r="MO84" s="247"/>
      <c r="MP84" s="247"/>
      <c r="MQ84" s="246"/>
      <c r="MR84" s="246"/>
      <c r="MS84" s="246">
        <v>24</v>
      </c>
      <c r="MT84" s="246">
        <v>24</v>
      </c>
      <c r="MU84" s="246"/>
      <c r="MV84" s="246"/>
      <c r="MW84" s="246"/>
      <c r="MX84" s="247"/>
      <c r="MY84" s="247"/>
      <c r="MZ84" s="247"/>
      <c r="NA84" s="247"/>
      <c r="NB84" s="247"/>
      <c r="NC84" s="247"/>
      <c r="ND84" s="247"/>
      <c r="NE84" s="246"/>
      <c r="NF84" s="246"/>
      <c r="NG84" s="246"/>
      <c r="NH84" s="333"/>
    </row>
    <row r="85" spans="1:372">
      <c r="A85" s="251" t="s">
        <v>974</v>
      </c>
      <c r="B85" s="251" t="s">
        <v>64</v>
      </c>
      <c r="C85" s="251" t="s">
        <v>674</v>
      </c>
      <c r="D85" s="251" t="s">
        <v>982</v>
      </c>
      <c r="E85" s="241">
        <v>150.20886666651646</v>
      </c>
      <c r="F85" s="241">
        <v>144</v>
      </c>
      <c r="G85" s="246"/>
      <c r="H85" s="246"/>
      <c r="I85" s="246"/>
      <c r="J85" s="246"/>
      <c r="K85" s="246"/>
      <c r="L85" s="247"/>
      <c r="M85" s="247"/>
      <c r="N85" s="247"/>
      <c r="O85" s="247"/>
      <c r="P85" s="247"/>
      <c r="Q85" s="247"/>
      <c r="R85" s="247"/>
      <c r="S85" s="246"/>
      <c r="T85" s="246"/>
      <c r="U85" s="246"/>
      <c r="V85" s="246"/>
      <c r="W85" s="246"/>
      <c r="X85" s="246"/>
      <c r="Y85" s="246"/>
      <c r="Z85" s="247"/>
      <c r="AA85" s="247"/>
      <c r="AB85" s="247"/>
      <c r="AC85" s="247"/>
      <c r="AD85" s="247"/>
      <c r="AE85" s="247"/>
      <c r="AF85" s="247"/>
      <c r="AG85" s="246"/>
      <c r="AH85" s="246"/>
      <c r="AI85" s="246"/>
      <c r="AJ85" s="246"/>
      <c r="AK85" s="246"/>
      <c r="AL85" s="246"/>
      <c r="AM85" s="246"/>
      <c r="AN85" s="247"/>
      <c r="AO85" s="247"/>
      <c r="AP85" s="247"/>
      <c r="AQ85" s="247"/>
      <c r="AR85" s="247"/>
      <c r="AS85" s="247"/>
      <c r="AT85" s="247"/>
      <c r="AU85" s="246"/>
      <c r="AV85" s="246"/>
      <c r="AW85" s="246"/>
      <c r="AX85" s="246"/>
      <c r="AY85" s="246"/>
      <c r="AZ85" s="246"/>
      <c r="BA85" s="246"/>
      <c r="BB85" s="247"/>
      <c r="BC85" s="247"/>
      <c r="BD85" s="247"/>
      <c r="BE85" s="247"/>
      <c r="BF85" s="247">
        <v>24</v>
      </c>
      <c r="BG85" s="247">
        <v>24</v>
      </c>
      <c r="BH85" s="247"/>
      <c r="BI85" s="246"/>
      <c r="BJ85" s="246"/>
      <c r="BK85" s="246"/>
      <c r="BL85" s="246"/>
      <c r="BM85" s="246"/>
      <c r="BN85" s="246"/>
      <c r="BO85" s="246"/>
      <c r="BP85" s="247"/>
      <c r="BQ85" s="247"/>
      <c r="BR85" s="247"/>
      <c r="BS85" s="247"/>
      <c r="BT85" s="247"/>
      <c r="BU85" s="247"/>
      <c r="BV85" s="247"/>
      <c r="BW85" s="246"/>
      <c r="BX85" s="246"/>
      <c r="BY85" s="246"/>
      <c r="BZ85" s="246"/>
      <c r="CA85" s="246"/>
      <c r="CB85" s="246"/>
      <c r="CC85" s="246"/>
      <c r="CD85" s="247"/>
      <c r="CE85" s="247"/>
      <c r="CF85" s="247"/>
      <c r="CG85" s="247"/>
      <c r="CH85" s="247"/>
      <c r="CI85" s="247"/>
      <c r="CJ85" s="247"/>
      <c r="CK85" s="246"/>
      <c r="CL85" s="246"/>
      <c r="CM85" s="246"/>
      <c r="CN85" s="246"/>
      <c r="CO85" s="246"/>
      <c r="CP85" s="246"/>
      <c r="CQ85" s="246"/>
      <c r="CR85" s="247"/>
      <c r="CS85" s="247"/>
      <c r="CT85" s="247"/>
      <c r="CU85" s="247"/>
      <c r="CV85" s="247"/>
      <c r="CW85" s="247"/>
      <c r="CX85" s="247"/>
      <c r="CY85" s="246"/>
      <c r="CZ85" s="246"/>
      <c r="DA85" s="246"/>
      <c r="DB85" s="246"/>
      <c r="DC85" s="246"/>
      <c r="DD85" s="246"/>
      <c r="DE85" s="246"/>
      <c r="DF85" s="247"/>
      <c r="DG85" s="247"/>
      <c r="DH85" s="247"/>
      <c r="DI85" s="247"/>
      <c r="DJ85" s="247"/>
      <c r="DK85" s="247"/>
      <c r="DL85" s="247"/>
      <c r="DM85" s="246"/>
      <c r="DN85" s="246"/>
      <c r="DO85" s="246"/>
      <c r="DP85" s="246"/>
      <c r="DQ85" s="246"/>
      <c r="DR85" s="246"/>
      <c r="DS85" s="246"/>
      <c r="DT85" s="247"/>
      <c r="DU85" s="247"/>
      <c r="DV85" s="247"/>
      <c r="DW85" s="247"/>
      <c r="DX85" s="247"/>
      <c r="DY85" s="247"/>
      <c r="DZ85" s="247"/>
      <c r="EA85" s="246"/>
      <c r="EB85" s="246"/>
      <c r="EC85" s="246"/>
      <c r="ED85" s="246"/>
      <c r="EE85" s="246"/>
      <c r="EF85" s="246"/>
      <c r="EG85" s="246"/>
      <c r="EH85" s="247"/>
      <c r="EI85" s="247"/>
      <c r="EJ85" s="247"/>
      <c r="EK85" s="247"/>
      <c r="EL85" s="247"/>
      <c r="EM85" s="247"/>
      <c r="EN85" s="247"/>
      <c r="EO85" s="246"/>
      <c r="EP85" s="246"/>
      <c r="EQ85" s="246"/>
      <c r="ER85" s="246"/>
      <c r="ES85" s="246"/>
      <c r="ET85" s="246"/>
      <c r="EU85" s="246"/>
      <c r="EV85" s="247"/>
      <c r="EW85" s="247"/>
      <c r="EX85" s="247"/>
      <c r="EY85" s="247"/>
      <c r="EZ85" s="247"/>
      <c r="FA85" s="247"/>
      <c r="FB85" s="247"/>
      <c r="FC85" s="246"/>
      <c r="FD85" s="246"/>
      <c r="FE85" s="246">
        <v>24</v>
      </c>
      <c r="FF85" s="246">
        <v>24</v>
      </c>
      <c r="FG85" s="246"/>
      <c r="FH85" s="246"/>
      <c r="FI85" s="246"/>
      <c r="FJ85" s="247"/>
      <c r="FK85" s="247"/>
      <c r="FL85" s="247"/>
      <c r="FM85" s="247"/>
      <c r="FN85" s="247"/>
      <c r="FO85" s="247"/>
      <c r="FP85" s="247"/>
      <c r="FQ85" s="246"/>
      <c r="FR85" s="246"/>
      <c r="FS85" s="246"/>
      <c r="FT85" s="246"/>
      <c r="FU85" s="246"/>
      <c r="FV85" s="246"/>
      <c r="FW85" s="246"/>
      <c r="FX85" s="247"/>
      <c r="FY85" s="247"/>
      <c r="FZ85" s="247"/>
      <c r="GA85" s="247"/>
      <c r="GB85" s="247"/>
      <c r="GC85" s="247"/>
      <c r="GD85" s="247"/>
      <c r="GE85" s="246"/>
      <c r="GF85" s="246"/>
      <c r="GG85" s="246"/>
      <c r="GH85" s="246"/>
      <c r="GI85" s="246"/>
      <c r="GJ85" s="246"/>
      <c r="GK85" s="246"/>
      <c r="GL85" s="247"/>
      <c r="GM85" s="247"/>
      <c r="GN85" s="247"/>
      <c r="GO85" s="247"/>
      <c r="GP85" s="247"/>
      <c r="GQ85" s="247"/>
      <c r="GR85" s="247"/>
      <c r="GS85" s="246"/>
      <c r="GT85" s="246"/>
      <c r="GU85" s="246"/>
      <c r="GV85" s="246"/>
      <c r="GW85" s="246"/>
      <c r="GX85" s="246"/>
      <c r="GY85" s="246"/>
      <c r="GZ85" s="247"/>
      <c r="HA85" s="247"/>
      <c r="HB85" s="247"/>
      <c r="HC85" s="247"/>
      <c r="HD85" s="247"/>
      <c r="HE85" s="247"/>
      <c r="HF85" s="247"/>
      <c r="HG85" s="246"/>
      <c r="HH85" s="246"/>
      <c r="HI85" s="246"/>
      <c r="HJ85" s="246"/>
      <c r="HK85" s="246"/>
      <c r="HL85" s="246"/>
      <c r="HM85" s="246"/>
      <c r="HN85" s="247"/>
      <c r="HO85" s="247"/>
      <c r="HP85" s="247"/>
      <c r="HQ85" s="247"/>
      <c r="HR85" s="247"/>
      <c r="HS85" s="247"/>
      <c r="HT85" s="247"/>
      <c r="HU85" s="246"/>
      <c r="HV85" s="246"/>
      <c r="HW85" s="246"/>
      <c r="HX85" s="246"/>
      <c r="HY85" s="246"/>
      <c r="HZ85" s="246"/>
      <c r="IA85" s="246"/>
      <c r="IB85" s="247"/>
      <c r="IC85" s="247"/>
      <c r="ID85" s="247"/>
      <c r="IE85" s="247"/>
      <c r="IF85" s="247"/>
      <c r="IG85" s="247"/>
      <c r="IH85" s="247"/>
      <c r="II85" s="246"/>
      <c r="IJ85" s="246"/>
      <c r="IK85" s="246"/>
      <c r="IL85" s="246"/>
      <c r="IM85" s="246"/>
      <c r="IN85" s="246"/>
      <c r="IO85" s="246"/>
      <c r="IP85" s="247"/>
      <c r="IQ85" s="247"/>
      <c r="IR85" s="247"/>
      <c r="IS85" s="247"/>
      <c r="IT85" s="247"/>
      <c r="IU85" s="247"/>
      <c r="IV85" s="247"/>
      <c r="IW85" s="246"/>
      <c r="IX85" s="246"/>
      <c r="IY85" s="246"/>
      <c r="IZ85" s="246"/>
      <c r="JA85" s="246"/>
      <c r="JB85" s="246"/>
      <c r="JC85" s="246"/>
      <c r="JD85" s="247"/>
      <c r="JE85" s="247"/>
      <c r="JF85" s="247"/>
      <c r="JG85" s="247"/>
      <c r="JH85" s="247"/>
      <c r="JI85" s="247"/>
      <c r="JJ85" s="247"/>
      <c r="JK85" s="246"/>
      <c r="JL85" s="246"/>
      <c r="JM85" s="246"/>
      <c r="JN85" s="246"/>
      <c r="JO85" s="246"/>
      <c r="JP85" s="246"/>
      <c r="JQ85" s="246"/>
      <c r="JR85" s="247"/>
      <c r="JS85" s="247"/>
      <c r="JT85" s="247"/>
      <c r="JU85" s="247"/>
      <c r="JV85" s="247"/>
      <c r="JW85" s="247"/>
      <c r="JX85" s="247"/>
      <c r="JY85" s="246"/>
      <c r="JZ85" s="246"/>
      <c r="KA85" s="246"/>
      <c r="KB85" s="246"/>
      <c r="KC85" s="246"/>
      <c r="KD85" s="246"/>
      <c r="KE85" s="246"/>
      <c r="KF85" s="247"/>
      <c r="KG85" s="247"/>
      <c r="KH85" s="247"/>
      <c r="KI85" s="247"/>
      <c r="KJ85" s="247"/>
      <c r="KK85" s="247"/>
      <c r="KL85" s="247"/>
      <c r="KM85" s="246"/>
      <c r="KN85" s="246"/>
      <c r="KO85" s="246"/>
      <c r="KP85" s="246"/>
      <c r="KQ85" s="246"/>
      <c r="KR85" s="246"/>
      <c r="KS85" s="246"/>
      <c r="KT85" s="247"/>
      <c r="KU85" s="247"/>
      <c r="KV85" s="247"/>
      <c r="KW85" s="247"/>
      <c r="KX85" s="247"/>
      <c r="KY85" s="247"/>
      <c r="KZ85" s="247"/>
      <c r="LA85" s="246"/>
      <c r="LB85" s="246"/>
      <c r="LC85" s="246"/>
      <c r="LD85" s="246"/>
      <c r="LE85" s="246"/>
      <c r="LF85" s="246"/>
      <c r="LG85" s="246"/>
      <c r="LH85" s="247"/>
      <c r="LI85" s="247"/>
      <c r="LJ85" s="247"/>
      <c r="LK85" s="247"/>
      <c r="LL85" s="247"/>
      <c r="LM85" s="247"/>
      <c r="LN85" s="247"/>
      <c r="LO85" s="246"/>
      <c r="LP85" s="246"/>
      <c r="LQ85" s="246"/>
      <c r="LR85" s="246"/>
      <c r="LS85" s="246"/>
      <c r="LT85" s="246"/>
      <c r="LU85" s="246"/>
      <c r="LV85" s="247"/>
      <c r="LW85" s="247"/>
      <c r="LX85" s="247"/>
      <c r="LY85" s="247"/>
      <c r="LZ85" s="247"/>
      <c r="MA85" s="247"/>
      <c r="MB85" s="247"/>
      <c r="MC85" s="246"/>
      <c r="MD85" s="246"/>
      <c r="ME85" s="246"/>
      <c r="MF85" s="246"/>
      <c r="MG85" s="246"/>
      <c r="MH85" s="246"/>
      <c r="MI85" s="246"/>
      <c r="MJ85" s="247"/>
      <c r="MK85" s="247"/>
      <c r="ML85" s="247"/>
      <c r="MM85" s="247"/>
      <c r="MN85" s="247"/>
      <c r="MO85" s="247"/>
      <c r="MP85" s="247"/>
      <c r="MQ85" s="246"/>
      <c r="MR85" s="246"/>
      <c r="MS85" s="246">
        <v>24</v>
      </c>
      <c r="MT85" s="246">
        <v>24</v>
      </c>
      <c r="MU85" s="246"/>
      <c r="MV85" s="246"/>
      <c r="MW85" s="246"/>
      <c r="MX85" s="247"/>
      <c r="MY85" s="247"/>
      <c r="MZ85" s="247"/>
      <c r="NA85" s="247"/>
      <c r="NB85" s="247"/>
      <c r="NC85" s="247"/>
      <c r="ND85" s="247"/>
      <c r="NE85" s="246"/>
      <c r="NF85" s="246"/>
      <c r="NG85" s="246"/>
      <c r="NH85" s="333"/>
    </row>
    <row r="86" spans="1:372">
      <c r="A86" s="251" t="s">
        <v>974</v>
      </c>
      <c r="B86" s="251" t="s">
        <v>65</v>
      </c>
      <c r="C86" s="251" t="s">
        <v>674</v>
      </c>
      <c r="D86" s="251" t="s">
        <v>982</v>
      </c>
      <c r="E86" s="241">
        <v>150.94049999981766</v>
      </c>
      <c r="F86" s="241">
        <v>144</v>
      </c>
      <c r="G86" s="246"/>
      <c r="H86" s="246"/>
      <c r="I86" s="246"/>
      <c r="J86" s="246"/>
      <c r="K86" s="246"/>
      <c r="L86" s="247"/>
      <c r="M86" s="247"/>
      <c r="N86" s="247"/>
      <c r="O86" s="247"/>
      <c r="P86" s="247"/>
      <c r="Q86" s="247"/>
      <c r="R86" s="247"/>
      <c r="S86" s="246"/>
      <c r="T86" s="246"/>
      <c r="U86" s="246"/>
      <c r="V86" s="246"/>
      <c r="W86" s="246"/>
      <c r="X86" s="246"/>
      <c r="Y86" s="246"/>
      <c r="Z86" s="247"/>
      <c r="AA86" s="247"/>
      <c r="AB86" s="247"/>
      <c r="AC86" s="247"/>
      <c r="AD86" s="247"/>
      <c r="AE86" s="247"/>
      <c r="AF86" s="247"/>
      <c r="AG86" s="246"/>
      <c r="AH86" s="246"/>
      <c r="AI86" s="246"/>
      <c r="AJ86" s="246"/>
      <c r="AK86" s="246"/>
      <c r="AL86" s="246"/>
      <c r="AM86" s="246"/>
      <c r="AN86" s="247"/>
      <c r="AO86" s="247"/>
      <c r="AP86" s="247"/>
      <c r="AQ86" s="247"/>
      <c r="AR86" s="247"/>
      <c r="AS86" s="247"/>
      <c r="AT86" s="247"/>
      <c r="AU86" s="246"/>
      <c r="AV86" s="246"/>
      <c r="AW86" s="246"/>
      <c r="AX86" s="246"/>
      <c r="AY86" s="246"/>
      <c r="AZ86" s="246"/>
      <c r="BA86" s="246"/>
      <c r="BB86" s="247"/>
      <c r="BC86" s="247"/>
      <c r="BD86" s="247"/>
      <c r="BE86" s="247"/>
      <c r="BF86" s="247">
        <v>24</v>
      </c>
      <c r="BG86" s="247">
        <v>24</v>
      </c>
      <c r="BH86" s="247"/>
      <c r="BI86" s="246"/>
      <c r="BJ86" s="246"/>
      <c r="BK86" s="246"/>
      <c r="BL86" s="246"/>
      <c r="BM86" s="246"/>
      <c r="BN86" s="246"/>
      <c r="BO86" s="246"/>
      <c r="BP86" s="247"/>
      <c r="BQ86" s="247"/>
      <c r="BR86" s="247"/>
      <c r="BS86" s="247"/>
      <c r="BT86" s="247"/>
      <c r="BU86" s="247"/>
      <c r="BV86" s="247"/>
      <c r="BW86" s="246"/>
      <c r="BX86" s="246"/>
      <c r="BY86" s="246"/>
      <c r="BZ86" s="246"/>
      <c r="CA86" s="246"/>
      <c r="CB86" s="246"/>
      <c r="CC86" s="246"/>
      <c r="CD86" s="247"/>
      <c r="CE86" s="247"/>
      <c r="CF86" s="247"/>
      <c r="CG86" s="247"/>
      <c r="CH86" s="247"/>
      <c r="CI86" s="247"/>
      <c r="CJ86" s="247"/>
      <c r="CK86" s="246"/>
      <c r="CL86" s="246"/>
      <c r="CM86" s="246"/>
      <c r="CN86" s="246"/>
      <c r="CO86" s="246"/>
      <c r="CP86" s="246"/>
      <c r="CQ86" s="246"/>
      <c r="CR86" s="247"/>
      <c r="CS86" s="247"/>
      <c r="CT86" s="247"/>
      <c r="CU86" s="247"/>
      <c r="CV86" s="247"/>
      <c r="CW86" s="247"/>
      <c r="CX86" s="247"/>
      <c r="CY86" s="246"/>
      <c r="CZ86" s="246"/>
      <c r="DA86" s="246"/>
      <c r="DB86" s="246"/>
      <c r="DC86" s="246"/>
      <c r="DD86" s="246"/>
      <c r="DE86" s="246"/>
      <c r="DF86" s="247"/>
      <c r="DG86" s="247"/>
      <c r="DH86" s="247"/>
      <c r="DI86" s="247"/>
      <c r="DJ86" s="247"/>
      <c r="DK86" s="247"/>
      <c r="DL86" s="247"/>
      <c r="DM86" s="246"/>
      <c r="DN86" s="246"/>
      <c r="DO86" s="246"/>
      <c r="DP86" s="246"/>
      <c r="DQ86" s="246"/>
      <c r="DR86" s="246"/>
      <c r="DS86" s="246"/>
      <c r="DT86" s="247"/>
      <c r="DU86" s="247"/>
      <c r="DV86" s="247"/>
      <c r="DW86" s="247"/>
      <c r="DX86" s="247"/>
      <c r="DY86" s="247"/>
      <c r="DZ86" s="247"/>
      <c r="EA86" s="246"/>
      <c r="EB86" s="246"/>
      <c r="EC86" s="246"/>
      <c r="ED86" s="246"/>
      <c r="EE86" s="246"/>
      <c r="EF86" s="246"/>
      <c r="EG86" s="246"/>
      <c r="EH86" s="247"/>
      <c r="EI86" s="247"/>
      <c r="EJ86" s="247"/>
      <c r="EK86" s="247"/>
      <c r="EL86" s="247"/>
      <c r="EM86" s="247"/>
      <c r="EN86" s="247"/>
      <c r="EO86" s="246"/>
      <c r="EP86" s="246"/>
      <c r="EQ86" s="246"/>
      <c r="ER86" s="246"/>
      <c r="ES86" s="246"/>
      <c r="ET86" s="246"/>
      <c r="EU86" s="246"/>
      <c r="EV86" s="247"/>
      <c r="EW86" s="247"/>
      <c r="EX86" s="247"/>
      <c r="EY86" s="247"/>
      <c r="EZ86" s="247"/>
      <c r="FA86" s="247"/>
      <c r="FB86" s="247"/>
      <c r="FC86" s="246"/>
      <c r="FD86" s="246"/>
      <c r="FE86" s="246">
        <v>24</v>
      </c>
      <c r="FF86" s="246">
        <v>24</v>
      </c>
      <c r="FG86" s="246"/>
      <c r="FH86" s="246"/>
      <c r="FI86" s="246"/>
      <c r="FJ86" s="247"/>
      <c r="FK86" s="247"/>
      <c r="FL86" s="247"/>
      <c r="FM86" s="247"/>
      <c r="FN86" s="247"/>
      <c r="FO86" s="247"/>
      <c r="FP86" s="247"/>
      <c r="FQ86" s="246"/>
      <c r="FR86" s="246"/>
      <c r="FS86" s="246"/>
      <c r="FT86" s="246"/>
      <c r="FU86" s="246"/>
      <c r="FV86" s="246"/>
      <c r="FW86" s="246"/>
      <c r="FX86" s="247"/>
      <c r="FY86" s="247"/>
      <c r="FZ86" s="247"/>
      <c r="GA86" s="247"/>
      <c r="GB86" s="247"/>
      <c r="GC86" s="247"/>
      <c r="GD86" s="247"/>
      <c r="GE86" s="246"/>
      <c r="GF86" s="246"/>
      <c r="GG86" s="246"/>
      <c r="GH86" s="246"/>
      <c r="GI86" s="246"/>
      <c r="GJ86" s="246"/>
      <c r="GK86" s="246"/>
      <c r="GL86" s="247"/>
      <c r="GM86" s="247"/>
      <c r="GN86" s="247"/>
      <c r="GO86" s="247"/>
      <c r="GP86" s="247"/>
      <c r="GQ86" s="247"/>
      <c r="GR86" s="247"/>
      <c r="GS86" s="246"/>
      <c r="GT86" s="246"/>
      <c r="GU86" s="246"/>
      <c r="GV86" s="246"/>
      <c r="GW86" s="246"/>
      <c r="GX86" s="246"/>
      <c r="GY86" s="246"/>
      <c r="GZ86" s="247"/>
      <c r="HA86" s="247"/>
      <c r="HB86" s="247"/>
      <c r="HC86" s="247"/>
      <c r="HD86" s="247"/>
      <c r="HE86" s="247"/>
      <c r="HF86" s="247"/>
      <c r="HG86" s="246"/>
      <c r="HH86" s="246"/>
      <c r="HI86" s="246"/>
      <c r="HJ86" s="246"/>
      <c r="HK86" s="246"/>
      <c r="HL86" s="246"/>
      <c r="HM86" s="246"/>
      <c r="HN86" s="247"/>
      <c r="HO86" s="247"/>
      <c r="HP86" s="247"/>
      <c r="HQ86" s="247"/>
      <c r="HR86" s="247"/>
      <c r="HS86" s="247"/>
      <c r="HT86" s="247"/>
      <c r="HU86" s="246"/>
      <c r="HV86" s="246"/>
      <c r="HW86" s="246"/>
      <c r="HX86" s="246"/>
      <c r="HY86" s="246"/>
      <c r="HZ86" s="246"/>
      <c r="IA86" s="246"/>
      <c r="IB86" s="247"/>
      <c r="IC86" s="247"/>
      <c r="ID86" s="247"/>
      <c r="IE86" s="247"/>
      <c r="IF86" s="247"/>
      <c r="IG86" s="247"/>
      <c r="IH86" s="247"/>
      <c r="II86" s="246"/>
      <c r="IJ86" s="246"/>
      <c r="IK86" s="246"/>
      <c r="IL86" s="246"/>
      <c r="IM86" s="246"/>
      <c r="IN86" s="246"/>
      <c r="IO86" s="246"/>
      <c r="IP86" s="247"/>
      <c r="IQ86" s="247"/>
      <c r="IR86" s="247"/>
      <c r="IS86" s="247"/>
      <c r="IT86" s="247"/>
      <c r="IU86" s="247"/>
      <c r="IV86" s="247"/>
      <c r="IW86" s="246"/>
      <c r="IX86" s="246"/>
      <c r="IY86" s="246"/>
      <c r="IZ86" s="246"/>
      <c r="JA86" s="246"/>
      <c r="JB86" s="246"/>
      <c r="JC86" s="246"/>
      <c r="JD86" s="247"/>
      <c r="JE86" s="247"/>
      <c r="JF86" s="247"/>
      <c r="JG86" s="247"/>
      <c r="JH86" s="247"/>
      <c r="JI86" s="247"/>
      <c r="JJ86" s="247"/>
      <c r="JK86" s="246"/>
      <c r="JL86" s="246"/>
      <c r="JM86" s="246"/>
      <c r="JN86" s="246"/>
      <c r="JO86" s="246"/>
      <c r="JP86" s="246"/>
      <c r="JQ86" s="246"/>
      <c r="JR86" s="247"/>
      <c r="JS86" s="247"/>
      <c r="JT86" s="247"/>
      <c r="JU86" s="247"/>
      <c r="JV86" s="247"/>
      <c r="JW86" s="247"/>
      <c r="JX86" s="247"/>
      <c r="JY86" s="246"/>
      <c r="JZ86" s="246"/>
      <c r="KA86" s="246"/>
      <c r="KB86" s="246"/>
      <c r="KC86" s="246"/>
      <c r="KD86" s="246"/>
      <c r="KE86" s="246"/>
      <c r="KF86" s="247"/>
      <c r="KG86" s="247"/>
      <c r="KH86" s="247"/>
      <c r="KI86" s="247"/>
      <c r="KJ86" s="247"/>
      <c r="KK86" s="247"/>
      <c r="KL86" s="247"/>
      <c r="KM86" s="246"/>
      <c r="KN86" s="246"/>
      <c r="KO86" s="246"/>
      <c r="KP86" s="246"/>
      <c r="KQ86" s="246"/>
      <c r="KR86" s="246"/>
      <c r="KS86" s="246"/>
      <c r="KT86" s="247"/>
      <c r="KU86" s="247"/>
      <c r="KV86" s="247"/>
      <c r="KW86" s="247"/>
      <c r="KX86" s="247"/>
      <c r="KY86" s="247"/>
      <c r="KZ86" s="247"/>
      <c r="LA86" s="246"/>
      <c r="LB86" s="246"/>
      <c r="LC86" s="246"/>
      <c r="LD86" s="246"/>
      <c r="LE86" s="246"/>
      <c r="LF86" s="246"/>
      <c r="LG86" s="246"/>
      <c r="LH86" s="247"/>
      <c r="LI86" s="247"/>
      <c r="LJ86" s="247"/>
      <c r="LK86" s="247"/>
      <c r="LL86" s="247"/>
      <c r="LM86" s="247"/>
      <c r="LN86" s="247"/>
      <c r="LO86" s="246"/>
      <c r="LP86" s="246"/>
      <c r="LQ86" s="246"/>
      <c r="LR86" s="246"/>
      <c r="LS86" s="246"/>
      <c r="LT86" s="246"/>
      <c r="LU86" s="246"/>
      <c r="LV86" s="247"/>
      <c r="LW86" s="247"/>
      <c r="LX86" s="247"/>
      <c r="LY86" s="247"/>
      <c r="LZ86" s="247"/>
      <c r="MA86" s="247"/>
      <c r="MB86" s="247"/>
      <c r="MC86" s="246"/>
      <c r="MD86" s="246"/>
      <c r="ME86" s="246"/>
      <c r="MF86" s="246"/>
      <c r="MG86" s="246"/>
      <c r="MH86" s="246"/>
      <c r="MI86" s="246"/>
      <c r="MJ86" s="247"/>
      <c r="MK86" s="247"/>
      <c r="ML86" s="247"/>
      <c r="MM86" s="247"/>
      <c r="MN86" s="247"/>
      <c r="MO86" s="247"/>
      <c r="MP86" s="247"/>
      <c r="MQ86" s="246"/>
      <c r="MR86" s="246"/>
      <c r="MS86" s="246">
        <v>24</v>
      </c>
      <c r="MT86" s="246">
        <v>24</v>
      </c>
      <c r="MU86" s="246"/>
      <c r="MV86" s="246"/>
      <c r="MW86" s="246"/>
      <c r="MX86" s="247"/>
      <c r="MY86" s="247"/>
      <c r="MZ86" s="247"/>
      <c r="NA86" s="247"/>
      <c r="NB86" s="247"/>
      <c r="NC86" s="247"/>
      <c r="ND86" s="247"/>
      <c r="NE86" s="246"/>
      <c r="NF86" s="246"/>
      <c r="NG86" s="246"/>
      <c r="NH86" s="333"/>
    </row>
    <row r="87" spans="1:372">
      <c r="A87" s="251" t="s">
        <v>974</v>
      </c>
      <c r="B87" s="251" t="s">
        <v>66</v>
      </c>
      <c r="C87" s="251" t="s">
        <v>674</v>
      </c>
      <c r="D87" s="251" t="s">
        <v>982</v>
      </c>
      <c r="E87" s="241">
        <v>166.1794666664552</v>
      </c>
      <c r="F87" s="241">
        <v>144</v>
      </c>
      <c r="G87" s="246"/>
      <c r="H87" s="246"/>
      <c r="I87" s="246"/>
      <c r="J87" s="246"/>
      <c r="K87" s="246"/>
      <c r="L87" s="247"/>
      <c r="M87" s="247"/>
      <c r="N87" s="247"/>
      <c r="O87" s="247"/>
      <c r="P87" s="247"/>
      <c r="Q87" s="247"/>
      <c r="R87" s="247"/>
      <c r="S87" s="246"/>
      <c r="T87" s="246"/>
      <c r="U87" s="246"/>
      <c r="V87" s="246"/>
      <c r="W87" s="246"/>
      <c r="X87" s="246"/>
      <c r="Y87" s="246"/>
      <c r="Z87" s="247"/>
      <c r="AA87" s="247"/>
      <c r="AB87" s="247"/>
      <c r="AC87" s="247"/>
      <c r="AD87" s="247"/>
      <c r="AE87" s="247"/>
      <c r="AF87" s="247"/>
      <c r="AG87" s="246"/>
      <c r="AH87" s="246"/>
      <c r="AI87" s="246"/>
      <c r="AJ87" s="246"/>
      <c r="AK87" s="246"/>
      <c r="AL87" s="246"/>
      <c r="AM87" s="246"/>
      <c r="AN87" s="247"/>
      <c r="AO87" s="247"/>
      <c r="AP87" s="247"/>
      <c r="AQ87" s="247"/>
      <c r="AR87" s="247"/>
      <c r="AS87" s="247"/>
      <c r="AT87" s="247"/>
      <c r="AU87" s="246"/>
      <c r="AV87" s="246"/>
      <c r="AW87" s="246"/>
      <c r="AX87" s="246"/>
      <c r="AY87" s="246"/>
      <c r="AZ87" s="246"/>
      <c r="BA87" s="246"/>
      <c r="BB87" s="247"/>
      <c r="BC87" s="247"/>
      <c r="BD87" s="247"/>
      <c r="BE87" s="247"/>
      <c r="BF87" s="247">
        <v>24</v>
      </c>
      <c r="BG87" s="247">
        <v>24</v>
      </c>
      <c r="BH87" s="247"/>
      <c r="BI87" s="246"/>
      <c r="BJ87" s="246"/>
      <c r="BK87" s="246"/>
      <c r="BL87" s="246"/>
      <c r="BM87" s="246"/>
      <c r="BN87" s="246"/>
      <c r="BO87" s="246"/>
      <c r="BP87" s="247"/>
      <c r="BQ87" s="247"/>
      <c r="BR87" s="247"/>
      <c r="BS87" s="247"/>
      <c r="BT87" s="247"/>
      <c r="BU87" s="247"/>
      <c r="BV87" s="247"/>
      <c r="BW87" s="246"/>
      <c r="BX87" s="246"/>
      <c r="BY87" s="246"/>
      <c r="BZ87" s="246"/>
      <c r="CA87" s="246"/>
      <c r="CB87" s="246"/>
      <c r="CC87" s="246"/>
      <c r="CD87" s="247"/>
      <c r="CE87" s="247"/>
      <c r="CF87" s="247"/>
      <c r="CG87" s="247"/>
      <c r="CH87" s="247"/>
      <c r="CI87" s="247"/>
      <c r="CJ87" s="247"/>
      <c r="CK87" s="246"/>
      <c r="CL87" s="246"/>
      <c r="CM87" s="246"/>
      <c r="CN87" s="246"/>
      <c r="CO87" s="246"/>
      <c r="CP87" s="246"/>
      <c r="CQ87" s="246"/>
      <c r="CR87" s="247"/>
      <c r="CS87" s="247"/>
      <c r="CT87" s="247"/>
      <c r="CU87" s="247"/>
      <c r="CV87" s="247"/>
      <c r="CW87" s="247"/>
      <c r="CX87" s="247"/>
      <c r="CY87" s="246"/>
      <c r="CZ87" s="246"/>
      <c r="DA87" s="246"/>
      <c r="DB87" s="246"/>
      <c r="DC87" s="246"/>
      <c r="DD87" s="246"/>
      <c r="DE87" s="246"/>
      <c r="DF87" s="247"/>
      <c r="DG87" s="247"/>
      <c r="DH87" s="247"/>
      <c r="DI87" s="247"/>
      <c r="DJ87" s="247"/>
      <c r="DK87" s="247"/>
      <c r="DL87" s="247"/>
      <c r="DM87" s="246"/>
      <c r="DN87" s="246"/>
      <c r="DO87" s="246"/>
      <c r="DP87" s="246"/>
      <c r="DQ87" s="246"/>
      <c r="DR87" s="246"/>
      <c r="DS87" s="246"/>
      <c r="DT87" s="247"/>
      <c r="DU87" s="247"/>
      <c r="DV87" s="247"/>
      <c r="DW87" s="247"/>
      <c r="DX87" s="247"/>
      <c r="DY87" s="247"/>
      <c r="DZ87" s="247"/>
      <c r="EA87" s="246"/>
      <c r="EB87" s="246"/>
      <c r="EC87" s="246"/>
      <c r="ED87" s="246"/>
      <c r="EE87" s="246"/>
      <c r="EF87" s="246"/>
      <c r="EG87" s="246"/>
      <c r="EH87" s="247"/>
      <c r="EI87" s="247"/>
      <c r="EJ87" s="247"/>
      <c r="EK87" s="247"/>
      <c r="EL87" s="247"/>
      <c r="EM87" s="247"/>
      <c r="EN87" s="247"/>
      <c r="EO87" s="246"/>
      <c r="EP87" s="246"/>
      <c r="EQ87" s="246"/>
      <c r="ER87" s="246"/>
      <c r="ES87" s="246"/>
      <c r="ET87" s="246"/>
      <c r="EU87" s="246"/>
      <c r="EV87" s="247"/>
      <c r="EW87" s="247"/>
      <c r="EX87" s="247"/>
      <c r="EY87" s="247"/>
      <c r="EZ87" s="247"/>
      <c r="FA87" s="247"/>
      <c r="FB87" s="247"/>
      <c r="FC87" s="246"/>
      <c r="FD87" s="246"/>
      <c r="FE87" s="246">
        <v>24</v>
      </c>
      <c r="FF87" s="246">
        <v>24</v>
      </c>
      <c r="FG87" s="246"/>
      <c r="FH87" s="246"/>
      <c r="FI87" s="246"/>
      <c r="FJ87" s="247"/>
      <c r="FK87" s="247"/>
      <c r="FL87" s="247"/>
      <c r="FM87" s="247"/>
      <c r="FN87" s="247"/>
      <c r="FO87" s="247"/>
      <c r="FP87" s="247"/>
      <c r="FQ87" s="246"/>
      <c r="FR87" s="246"/>
      <c r="FS87" s="246"/>
      <c r="FT87" s="246"/>
      <c r="FU87" s="246"/>
      <c r="FV87" s="246"/>
      <c r="FW87" s="246"/>
      <c r="FX87" s="247"/>
      <c r="FY87" s="247"/>
      <c r="FZ87" s="247"/>
      <c r="GA87" s="247"/>
      <c r="GB87" s="247"/>
      <c r="GC87" s="247"/>
      <c r="GD87" s="247"/>
      <c r="GE87" s="246"/>
      <c r="GF87" s="246"/>
      <c r="GG87" s="246"/>
      <c r="GH87" s="246"/>
      <c r="GI87" s="246"/>
      <c r="GJ87" s="246"/>
      <c r="GK87" s="246"/>
      <c r="GL87" s="247"/>
      <c r="GM87" s="247"/>
      <c r="GN87" s="247"/>
      <c r="GO87" s="247"/>
      <c r="GP87" s="247"/>
      <c r="GQ87" s="247"/>
      <c r="GR87" s="247"/>
      <c r="GS87" s="246"/>
      <c r="GT87" s="246"/>
      <c r="GU87" s="246"/>
      <c r="GV87" s="246"/>
      <c r="GW87" s="246"/>
      <c r="GX87" s="246"/>
      <c r="GY87" s="246"/>
      <c r="GZ87" s="247"/>
      <c r="HA87" s="247"/>
      <c r="HB87" s="247"/>
      <c r="HC87" s="247"/>
      <c r="HD87" s="247"/>
      <c r="HE87" s="247"/>
      <c r="HF87" s="247"/>
      <c r="HG87" s="246"/>
      <c r="HH87" s="246"/>
      <c r="HI87" s="246"/>
      <c r="HJ87" s="246"/>
      <c r="HK87" s="246"/>
      <c r="HL87" s="246"/>
      <c r="HM87" s="246"/>
      <c r="HN87" s="247"/>
      <c r="HO87" s="247"/>
      <c r="HP87" s="247"/>
      <c r="HQ87" s="247"/>
      <c r="HR87" s="247"/>
      <c r="HS87" s="247"/>
      <c r="HT87" s="247"/>
      <c r="HU87" s="246"/>
      <c r="HV87" s="246"/>
      <c r="HW87" s="246"/>
      <c r="HX87" s="246"/>
      <c r="HY87" s="246"/>
      <c r="HZ87" s="246"/>
      <c r="IA87" s="246"/>
      <c r="IB87" s="247"/>
      <c r="IC87" s="247"/>
      <c r="ID87" s="247"/>
      <c r="IE87" s="247"/>
      <c r="IF87" s="247"/>
      <c r="IG87" s="247"/>
      <c r="IH87" s="247"/>
      <c r="II87" s="246"/>
      <c r="IJ87" s="246"/>
      <c r="IK87" s="246"/>
      <c r="IL87" s="246"/>
      <c r="IM87" s="246"/>
      <c r="IN87" s="246"/>
      <c r="IO87" s="246"/>
      <c r="IP87" s="247"/>
      <c r="IQ87" s="247"/>
      <c r="IR87" s="247"/>
      <c r="IS87" s="247"/>
      <c r="IT87" s="247"/>
      <c r="IU87" s="247"/>
      <c r="IV87" s="247"/>
      <c r="IW87" s="246"/>
      <c r="IX87" s="246"/>
      <c r="IY87" s="246"/>
      <c r="IZ87" s="246"/>
      <c r="JA87" s="246"/>
      <c r="JB87" s="246"/>
      <c r="JC87" s="246"/>
      <c r="JD87" s="247"/>
      <c r="JE87" s="247"/>
      <c r="JF87" s="247"/>
      <c r="JG87" s="247"/>
      <c r="JH87" s="247"/>
      <c r="JI87" s="247"/>
      <c r="JJ87" s="247"/>
      <c r="JK87" s="246"/>
      <c r="JL87" s="246"/>
      <c r="JM87" s="246"/>
      <c r="JN87" s="246"/>
      <c r="JO87" s="246"/>
      <c r="JP87" s="246"/>
      <c r="JQ87" s="246"/>
      <c r="JR87" s="247"/>
      <c r="JS87" s="247"/>
      <c r="JT87" s="247"/>
      <c r="JU87" s="247"/>
      <c r="JV87" s="247"/>
      <c r="JW87" s="247"/>
      <c r="JX87" s="247"/>
      <c r="JY87" s="246"/>
      <c r="JZ87" s="246"/>
      <c r="KA87" s="246"/>
      <c r="KB87" s="246"/>
      <c r="KC87" s="246"/>
      <c r="KD87" s="246"/>
      <c r="KE87" s="246"/>
      <c r="KF87" s="247"/>
      <c r="KG87" s="247"/>
      <c r="KH87" s="247"/>
      <c r="KI87" s="247"/>
      <c r="KJ87" s="247"/>
      <c r="KK87" s="247"/>
      <c r="KL87" s="247"/>
      <c r="KM87" s="246"/>
      <c r="KN87" s="246"/>
      <c r="KO87" s="246"/>
      <c r="KP87" s="246"/>
      <c r="KQ87" s="246"/>
      <c r="KR87" s="246"/>
      <c r="KS87" s="246"/>
      <c r="KT87" s="247"/>
      <c r="KU87" s="247"/>
      <c r="KV87" s="247"/>
      <c r="KW87" s="247"/>
      <c r="KX87" s="247"/>
      <c r="KY87" s="247"/>
      <c r="KZ87" s="247"/>
      <c r="LA87" s="246"/>
      <c r="LB87" s="246"/>
      <c r="LC87" s="246"/>
      <c r="LD87" s="246"/>
      <c r="LE87" s="246"/>
      <c r="LF87" s="246"/>
      <c r="LG87" s="246"/>
      <c r="LH87" s="247"/>
      <c r="LI87" s="247"/>
      <c r="LJ87" s="247"/>
      <c r="LK87" s="247"/>
      <c r="LL87" s="247"/>
      <c r="LM87" s="247"/>
      <c r="LN87" s="247"/>
      <c r="LO87" s="246"/>
      <c r="LP87" s="246"/>
      <c r="LQ87" s="246"/>
      <c r="LR87" s="246"/>
      <c r="LS87" s="246"/>
      <c r="LT87" s="246"/>
      <c r="LU87" s="246"/>
      <c r="LV87" s="247"/>
      <c r="LW87" s="247"/>
      <c r="LX87" s="247"/>
      <c r="LY87" s="247"/>
      <c r="LZ87" s="247"/>
      <c r="MA87" s="247"/>
      <c r="MB87" s="247"/>
      <c r="MC87" s="246"/>
      <c r="MD87" s="246"/>
      <c r="ME87" s="246"/>
      <c r="MF87" s="246"/>
      <c r="MG87" s="246"/>
      <c r="MH87" s="246"/>
      <c r="MI87" s="246"/>
      <c r="MJ87" s="247"/>
      <c r="MK87" s="247"/>
      <c r="ML87" s="247"/>
      <c r="MM87" s="247"/>
      <c r="MN87" s="247"/>
      <c r="MO87" s="247"/>
      <c r="MP87" s="247"/>
      <c r="MQ87" s="246"/>
      <c r="MR87" s="246"/>
      <c r="MS87" s="246">
        <v>24</v>
      </c>
      <c r="MT87" s="246">
        <v>24</v>
      </c>
      <c r="MU87" s="246"/>
      <c r="MV87" s="246"/>
      <c r="MW87" s="246"/>
      <c r="MX87" s="247"/>
      <c r="MY87" s="247"/>
      <c r="MZ87" s="247"/>
      <c r="NA87" s="247"/>
      <c r="NB87" s="247"/>
      <c r="NC87" s="247"/>
      <c r="ND87" s="247"/>
      <c r="NE87" s="246"/>
      <c r="NF87" s="246"/>
      <c r="NG87" s="246"/>
      <c r="NH87" s="333"/>
    </row>
    <row r="88" spans="1:372">
      <c r="A88" s="251" t="s">
        <v>974</v>
      </c>
      <c r="B88" s="251" t="s">
        <v>67</v>
      </c>
      <c r="C88" s="251" t="s">
        <v>674</v>
      </c>
      <c r="D88" s="251" t="s">
        <v>982</v>
      </c>
      <c r="E88" s="241">
        <v>239.7976555342386</v>
      </c>
      <c r="F88" s="241">
        <v>168</v>
      </c>
      <c r="G88" s="246"/>
      <c r="H88" s="246"/>
      <c r="I88" s="246"/>
      <c r="J88" s="246"/>
      <c r="K88" s="246"/>
      <c r="L88" s="247"/>
      <c r="M88" s="247"/>
      <c r="N88" s="247"/>
      <c r="O88" s="247"/>
      <c r="P88" s="247"/>
      <c r="Q88" s="247"/>
      <c r="R88" s="247"/>
      <c r="S88" s="246"/>
      <c r="T88" s="246"/>
      <c r="U88" s="246"/>
      <c r="V88" s="246"/>
      <c r="W88" s="246"/>
      <c r="X88" s="246"/>
      <c r="Y88" s="246"/>
      <c r="Z88" s="247"/>
      <c r="AA88" s="247"/>
      <c r="AB88" s="247"/>
      <c r="AC88" s="247"/>
      <c r="AD88" s="247"/>
      <c r="AE88" s="247"/>
      <c r="AF88" s="247"/>
      <c r="AG88" s="246"/>
      <c r="AH88" s="246"/>
      <c r="AI88" s="246"/>
      <c r="AJ88" s="246"/>
      <c r="AK88" s="246"/>
      <c r="AL88" s="246"/>
      <c r="AM88" s="246"/>
      <c r="AN88" s="247"/>
      <c r="AO88" s="247"/>
      <c r="AP88" s="247"/>
      <c r="AQ88" s="247"/>
      <c r="AR88" s="247"/>
      <c r="AS88" s="247"/>
      <c r="AT88" s="247"/>
      <c r="AU88" s="246"/>
      <c r="AV88" s="246"/>
      <c r="AW88" s="246">
        <v>24</v>
      </c>
      <c r="AX88" s="246"/>
      <c r="AY88" s="246"/>
      <c r="AZ88" s="246"/>
      <c r="BA88" s="246"/>
      <c r="BB88" s="247"/>
      <c r="BC88" s="247"/>
      <c r="BD88" s="247"/>
      <c r="BE88" s="247"/>
      <c r="BF88" s="247"/>
      <c r="BG88" s="247"/>
      <c r="BH88" s="247"/>
      <c r="BI88" s="246"/>
      <c r="BJ88" s="246"/>
      <c r="BK88" s="246"/>
      <c r="BL88" s="246"/>
      <c r="BM88" s="246"/>
      <c r="BN88" s="246"/>
      <c r="BO88" s="246"/>
      <c r="BP88" s="247"/>
      <c r="BQ88" s="247"/>
      <c r="BR88" s="247"/>
      <c r="BS88" s="247"/>
      <c r="BT88" s="247"/>
      <c r="BU88" s="247"/>
      <c r="BV88" s="247"/>
      <c r="BW88" s="246"/>
      <c r="BX88" s="246"/>
      <c r="BY88" s="246"/>
      <c r="BZ88" s="246"/>
      <c r="CA88" s="246"/>
      <c r="CB88" s="246"/>
      <c r="CC88" s="246"/>
      <c r="CD88" s="247"/>
      <c r="CE88" s="247"/>
      <c r="CF88" s="247">
        <v>24</v>
      </c>
      <c r="CG88" s="247">
        <v>24</v>
      </c>
      <c r="CH88" s="247"/>
      <c r="CI88" s="247"/>
      <c r="CJ88" s="247"/>
      <c r="CK88" s="246"/>
      <c r="CL88" s="246"/>
      <c r="CM88" s="246"/>
      <c r="CN88" s="246"/>
      <c r="CO88" s="246"/>
      <c r="CP88" s="246"/>
      <c r="CQ88" s="246"/>
      <c r="CR88" s="247"/>
      <c r="CS88" s="247"/>
      <c r="CT88" s="247"/>
      <c r="CU88" s="247"/>
      <c r="CV88" s="247"/>
      <c r="CW88" s="247"/>
      <c r="CX88" s="247"/>
      <c r="CY88" s="246"/>
      <c r="CZ88" s="246"/>
      <c r="DA88" s="246"/>
      <c r="DB88" s="246"/>
      <c r="DC88" s="246"/>
      <c r="DD88" s="246"/>
      <c r="DE88" s="246"/>
      <c r="DF88" s="247"/>
      <c r="DG88" s="247"/>
      <c r="DH88" s="247"/>
      <c r="DI88" s="247"/>
      <c r="DJ88" s="247"/>
      <c r="DK88" s="247"/>
      <c r="DL88" s="247"/>
      <c r="DM88" s="246"/>
      <c r="DN88" s="246"/>
      <c r="DO88" s="246"/>
      <c r="DP88" s="246"/>
      <c r="DQ88" s="246"/>
      <c r="DR88" s="246"/>
      <c r="DS88" s="246"/>
      <c r="DT88" s="247"/>
      <c r="DU88" s="247"/>
      <c r="DV88" s="247"/>
      <c r="DW88" s="247"/>
      <c r="DX88" s="247"/>
      <c r="DY88" s="247"/>
      <c r="DZ88" s="247"/>
      <c r="EA88" s="246"/>
      <c r="EB88" s="246"/>
      <c r="EC88" s="246"/>
      <c r="ED88" s="246"/>
      <c r="EE88" s="246"/>
      <c r="EF88" s="246"/>
      <c r="EG88" s="246"/>
      <c r="EH88" s="247"/>
      <c r="EI88" s="247"/>
      <c r="EJ88" s="247"/>
      <c r="EK88" s="247"/>
      <c r="EL88" s="247"/>
      <c r="EM88" s="247"/>
      <c r="EN88" s="247"/>
      <c r="EO88" s="246"/>
      <c r="EP88" s="246"/>
      <c r="EQ88" s="246">
        <v>24</v>
      </c>
      <c r="ER88" s="246"/>
      <c r="ES88" s="246"/>
      <c r="ET88" s="246"/>
      <c r="EU88" s="246"/>
      <c r="EV88" s="247"/>
      <c r="EW88" s="247"/>
      <c r="EX88" s="247"/>
      <c r="EY88" s="247"/>
      <c r="EZ88" s="247"/>
      <c r="FA88" s="247"/>
      <c r="FB88" s="247"/>
      <c r="FC88" s="246"/>
      <c r="FD88" s="246"/>
      <c r="FE88" s="246"/>
      <c r="FF88" s="246"/>
      <c r="FG88" s="246"/>
      <c r="FH88" s="246"/>
      <c r="FI88" s="246"/>
      <c r="FJ88" s="247"/>
      <c r="FK88" s="247"/>
      <c r="FL88" s="247"/>
      <c r="FM88" s="247"/>
      <c r="FN88" s="247"/>
      <c r="FO88" s="247"/>
      <c r="FP88" s="247"/>
      <c r="FQ88" s="246"/>
      <c r="FR88" s="246"/>
      <c r="FS88" s="246"/>
      <c r="FT88" s="246"/>
      <c r="FU88" s="246"/>
      <c r="FV88" s="246"/>
      <c r="FW88" s="246"/>
      <c r="FX88" s="247"/>
      <c r="FY88" s="247"/>
      <c r="FZ88" s="247"/>
      <c r="GA88" s="247"/>
      <c r="GB88" s="247"/>
      <c r="GC88" s="247"/>
      <c r="GD88" s="247"/>
      <c r="GE88" s="246"/>
      <c r="GF88" s="246"/>
      <c r="GG88" s="246"/>
      <c r="GH88" s="246"/>
      <c r="GI88" s="246"/>
      <c r="GJ88" s="246"/>
      <c r="GK88" s="246"/>
      <c r="GL88" s="247"/>
      <c r="GM88" s="247"/>
      <c r="GN88" s="247"/>
      <c r="GO88" s="247"/>
      <c r="GP88" s="247"/>
      <c r="GQ88" s="247"/>
      <c r="GR88" s="247"/>
      <c r="GS88" s="246"/>
      <c r="GT88" s="246"/>
      <c r="GU88" s="246">
        <v>24</v>
      </c>
      <c r="GV88" s="246">
        <v>24</v>
      </c>
      <c r="GW88" s="246"/>
      <c r="GX88" s="246"/>
      <c r="GY88" s="246"/>
      <c r="GZ88" s="247"/>
      <c r="HA88" s="247"/>
      <c r="HB88" s="247"/>
      <c r="HC88" s="247"/>
      <c r="HD88" s="247"/>
      <c r="HE88" s="247"/>
      <c r="HF88" s="247"/>
      <c r="HG88" s="246"/>
      <c r="HH88" s="246"/>
      <c r="HI88" s="246"/>
      <c r="HJ88" s="246"/>
      <c r="HK88" s="246"/>
      <c r="HL88" s="246"/>
      <c r="HM88" s="246"/>
      <c r="HN88" s="247"/>
      <c r="HO88" s="247"/>
      <c r="HP88" s="247"/>
      <c r="HQ88" s="247"/>
      <c r="HR88" s="247"/>
      <c r="HS88" s="247"/>
      <c r="HT88" s="247"/>
      <c r="HU88" s="246"/>
      <c r="HV88" s="246"/>
      <c r="HW88" s="246"/>
      <c r="HX88" s="246"/>
      <c r="HY88" s="246"/>
      <c r="HZ88" s="246"/>
      <c r="IA88" s="246"/>
      <c r="IB88" s="247"/>
      <c r="IC88" s="247"/>
      <c r="ID88" s="247">
        <v>24</v>
      </c>
      <c r="IE88" s="247"/>
      <c r="IF88" s="247"/>
      <c r="IG88" s="247"/>
      <c r="IH88" s="247"/>
      <c r="II88" s="246"/>
      <c r="IJ88" s="246"/>
      <c r="IK88" s="246"/>
      <c r="IL88" s="246"/>
      <c r="IM88" s="246"/>
      <c r="IN88" s="246"/>
      <c r="IO88" s="246"/>
      <c r="IP88" s="247"/>
      <c r="IQ88" s="247"/>
      <c r="IR88" s="247"/>
      <c r="IS88" s="247"/>
      <c r="IT88" s="247"/>
      <c r="IU88" s="247"/>
      <c r="IV88" s="247"/>
      <c r="IW88" s="246"/>
      <c r="IX88" s="246"/>
      <c r="IY88" s="246"/>
      <c r="IZ88" s="246"/>
      <c r="JA88" s="246"/>
      <c r="JB88" s="246"/>
      <c r="JC88" s="246"/>
      <c r="JD88" s="247"/>
      <c r="JE88" s="247"/>
      <c r="JF88" s="247"/>
      <c r="JG88" s="247"/>
      <c r="JH88" s="247"/>
      <c r="JI88" s="247"/>
      <c r="JJ88" s="247"/>
      <c r="JK88" s="246"/>
      <c r="JL88" s="246"/>
      <c r="JM88" s="246"/>
      <c r="JN88" s="246"/>
      <c r="JO88" s="246"/>
      <c r="JP88" s="246"/>
      <c r="JQ88" s="246"/>
      <c r="JR88" s="247"/>
      <c r="JS88" s="247"/>
      <c r="JT88" s="247"/>
      <c r="JU88" s="247"/>
      <c r="JV88" s="247"/>
      <c r="JW88" s="247"/>
      <c r="JX88" s="247"/>
      <c r="JY88" s="246"/>
      <c r="JZ88" s="246"/>
      <c r="KA88" s="246"/>
      <c r="KB88" s="246"/>
      <c r="KC88" s="246"/>
      <c r="KD88" s="246"/>
      <c r="KE88" s="246"/>
      <c r="KF88" s="247"/>
      <c r="KG88" s="247"/>
      <c r="KH88" s="247"/>
      <c r="KI88" s="247"/>
      <c r="KJ88" s="247"/>
      <c r="KK88" s="247"/>
      <c r="KL88" s="247"/>
      <c r="KM88" s="246"/>
      <c r="KN88" s="246"/>
      <c r="KO88" s="246"/>
      <c r="KP88" s="246"/>
      <c r="KQ88" s="246"/>
      <c r="KR88" s="246"/>
      <c r="KS88" s="246"/>
      <c r="KT88" s="247"/>
      <c r="KU88" s="247"/>
      <c r="KV88" s="247"/>
      <c r="KW88" s="247"/>
      <c r="KX88" s="247"/>
      <c r="KY88" s="247"/>
      <c r="KZ88" s="247"/>
      <c r="LA88" s="246"/>
      <c r="LB88" s="246"/>
      <c r="LC88" s="246"/>
      <c r="LD88" s="246"/>
      <c r="LE88" s="246"/>
      <c r="LF88" s="246"/>
      <c r="LG88" s="246"/>
      <c r="LH88" s="247"/>
      <c r="LI88" s="247"/>
      <c r="LJ88" s="247"/>
      <c r="LK88" s="247"/>
      <c r="LL88" s="247"/>
      <c r="LM88" s="247"/>
      <c r="LN88" s="247"/>
      <c r="LO88" s="246"/>
      <c r="LP88" s="246"/>
      <c r="LQ88" s="246"/>
      <c r="LR88" s="246"/>
      <c r="LS88" s="246"/>
      <c r="LT88" s="246"/>
      <c r="LU88" s="246"/>
      <c r="LV88" s="247"/>
      <c r="LW88" s="247"/>
      <c r="LX88" s="247"/>
      <c r="LY88" s="247"/>
      <c r="LZ88" s="247"/>
      <c r="MA88" s="247"/>
      <c r="MB88" s="247"/>
      <c r="MC88" s="246"/>
      <c r="MD88" s="246"/>
      <c r="ME88" s="246"/>
      <c r="MF88" s="246"/>
      <c r="MG88" s="246"/>
      <c r="MH88" s="246"/>
      <c r="MI88" s="246"/>
      <c r="MJ88" s="247"/>
      <c r="MK88" s="247"/>
      <c r="ML88" s="247"/>
      <c r="MM88" s="247"/>
      <c r="MN88" s="247"/>
      <c r="MO88" s="247"/>
      <c r="MP88" s="247"/>
      <c r="MQ88" s="246"/>
      <c r="MR88" s="246"/>
      <c r="MS88" s="246"/>
      <c r="MT88" s="246"/>
      <c r="MU88" s="246"/>
      <c r="MV88" s="246"/>
      <c r="MW88" s="246"/>
      <c r="MX88" s="247"/>
      <c r="MY88" s="247"/>
      <c r="MZ88" s="247"/>
      <c r="NA88" s="247"/>
      <c r="NB88" s="247"/>
      <c r="NC88" s="247"/>
      <c r="ND88" s="247"/>
      <c r="NE88" s="246"/>
      <c r="NF88" s="246"/>
      <c r="NG88" s="246"/>
      <c r="NH88" s="333"/>
    </row>
    <row r="89" spans="1:372">
      <c r="A89" s="251" t="s">
        <v>974</v>
      </c>
      <c r="B89" s="251" t="s">
        <v>68</v>
      </c>
      <c r="C89" s="251" t="s">
        <v>674</v>
      </c>
      <c r="D89" s="251" t="s">
        <v>982</v>
      </c>
      <c r="E89" s="241">
        <v>89.271277767244058</v>
      </c>
      <c r="F89" s="241">
        <v>168</v>
      </c>
      <c r="G89" s="246"/>
      <c r="H89" s="246"/>
      <c r="I89" s="246"/>
      <c r="J89" s="246"/>
      <c r="K89" s="246"/>
      <c r="L89" s="247"/>
      <c r="M89" s="247"/>
      <c r="N89" s="247"/>
      <c r="O89" s="247"/>
      <c r="P89" s="247"/>
      <c r="Q89" s="247"/>
      <c r="R89" s="247"/>
      <c r="S89" s="246"/>
      <c r="T89" s="246"/>
      <c r="U89" s="246"/>
      <c r="V89" s="246"/>
      <c r="W89" s="246"/>
      <c r="X89" s="246"/>
      <c r="Y89" s="246"/>
      <c r="Z89" s="247"/>
      <c r="AA89" s="247"/>
      <c r="AB89" s="247"/>
      <c r="AC89" s="247"/>
      <c r="AD89" s="247"/>
      <c r="AE89" s="247"/>
      <c r="AF89" s="247"/>
      <c r="AG89" s="246"/>
      <c r="AH89" s="246"/>
      <c r="AI89" s="246"/>
      <c r="AJ89" s="246"/>
      <c r="AK89" s="246"/>
      <c r="AL89" s="246"/>
      <c r="AM89" s="246"/>
      <c r="AN89" s="247"/>
      <c r="AO89" s="247"/>
      <c r="AP89" s="247"/>
      <c r="AQ89" s="247"/>
      <c r="AR89" s="247"/>
      <c r="AS89" s="247"/>
      <c r="AT89" s="247"/>
      <c r="AU89" s="246"/>
      <c r="AV89" s="246"/>
      <c r="AW89" s="246">
        <v>24</v>
      </c>
      <c r="AX89" s="246"/>
      <c r="AY89" s="246"/>
      <c r="AZ89" s="246"/>
      <c r="BA89" s="246"/>
      <c r="BB89" s="247"/>
      <c r="BC89" s="247"/>
      <c r="BD89" s="247"/>
      <c r="BE89" s="247"/>
      <c r="BF89" s="247"/>
      <c r="BG89" s="247"/>
      <c r="BH89" s="247"/>
      <c r="BI89" s="246"/>
      <c r="BJ89" s="246"/>
      <c r="BK89" s="246"/>
      <c r="BL89" s="246"/>
      <c r="BM89" s="246"/>
      <c r="BN89" s="246"/>
      <c r="BO89" s="246"/>
      <c r="BP89" s="247"/>
      <c r="BQ89" s="247"/>
      <c r="BR89" s="247"/>
      <c r="BS89" s="247"/>
      <c r="BT89" s="247"/>
      <c r="BU89" s="247"/>
      <c r="BV89" s="247"/>
      <c r="BW89" s="246"/>
      <c r="BX89" s="246"/>
      <c r="BY89" s="246"/>
      <c r="BZ89" s="246"/>
      <c r="CA89" s="246"/>
      <c r="CB89" s="246"/>
      <c r="CC89" s="246"/>
      <c r="CD89" s="247"/>
      <c r="CE89" s="247"/>
      <c r="CF89" s="247">
        <v>24</v>
      </c>
      <c r="CG89" s="247">
        <v>24</v>
      </c>
      <c r="CH89" s="247"/>
      <c r="CI89" s="247"/>
      <c r="CJ89" s="247"/>
      <c r="CK89" s="246"/>
      <c r="CL89" s="246"/>
      <c r="CM89" s="246"/>
      <c r="CN89" s="246"/>
      <c r="CO89" s="246"/>
      <c r="CP89" s="246"/>
      <c r="CQ89" s="246"/>
      <c r="CR89" s="247"/>
      <c r="CS89" s="247"/>
      <c r="CT89" s="247"/>
      <c r="CU89" s="247"/>
      <c r="CV89" s="247"/>
      <c r="CW89" s="247"/>
      <c r="CX89" s="247"/>
      <c r="CY89" s="246"/>
      <c r="CZ89" s="246"/>
      <c r="DA89" s="246"/>
      <c r="DB89" s="246"/>
      <c r="DC89" s="246"/>
      <c r="DD89" s="246"/>
      <c r="DE89" s="246"/>
      <c r="DF89" s="247"/>
      <c r="DG89" s="247"/>
      <c r="DH89" s="247"/>
      <c r="DI89" s="247"/>
      <c r="DJ89" s="247"/>
      <c r="DK89" s="247"/>
      <c r="DL89" s="247"/>
      <c r="DM89" s="246"/>
      <c r="DN89" s="246"/>
      <c r="DO89" s="246"/>
      <c r="DP89" s="246"/>
      <c r="DQ89" s="246"/>
      <c r="DR89" s="246"/>
      <c r="DS89" s="246"/>
      <c r="DT89" s="247"/>
      <c r="DU89" s="247"/>
      <c r="DV89" s="247"/>
      <c r="DW89" s="247"/>
      <c r="DX89" s="247"/>
      <c r="DY89" s="247"/>
      <c r="DZ89" s="247"/>
      <c r="EA89" s="246"/>
      <c r="EB89" s="246"/>
      <c r="EC89" s="246"/>
      <c r="ED89" s="246"/>
      <c r="EE89" s="246"/>
      <c r="EF89" s="246"/>
      <c r="EG89" s="246"/>
      <c r="EH89" s="247"/>
      <c r="EI89" s="247"/>
      <c r="EJ89" s="247"/>
      <c r="EK89" s="247"/>
      <c r="EL89" s="247"/>
      <c r="EM89" s="247"/>
      <c r="EN89" s="247"/>
      <c r="EO89" s="246"/>
      <c r="EP89" s="246"/>
      <c r="EQ89" s="246">
        <v>24</v>
      </c>
      <c r="ER89" s="246"/>
      <c r="ES89" s="246"/>
      <c r="ET89" s="246"/>
      <c r="EU89" s="246"/>
      <c r="EV89" s="247"/>
      <c r="EW89" s="247"/>
      <c r="EX89" s="247"/>
      <c r="EY89" s="247"/>
      <c r="EZ89" s="247"/>
      <c r="FA89" s="247"/>
      <c r="FB89" s="247"/>
      <c r="FC89" s="246"/>
      <c r="FD89" s="246"/>
      <c r="FE89" s="246"/>
      <c r="FF89" s="246"/>
      <c r="FG89" s="246"/>
      <c r="FH89" s="246"/>
      <c r="FI89" s="246"/>
      <c r="FJ89" s="247"/>
      <c r="FK89" s="247"/>
      <c r="FL89" s="247"/>
      <c r="FM89" s="247"/>
      <c r="FN89" s="247"/>
      <c r="FO89" s="247"/>
      <c r="FP89" s="247"/>
      <c r="FQ89" s="246"/>
      <c r="FR89" s="246"/>
      <c r="FS89" s="246"/>
      <c r="FT89" s="246"/>
      <c r="FU89" s="246"/>
      <c r="FV89" s="246"/>
      <c r="FW89" s="246"/>
      <c r="FX89" s="247"/>
      <c r="FY89" s="247"/>
      <c r="FZ89" s="247"/>
      <c r="GA89" s="247"/>
      <c r="GB89" s="247"/>
      <c r="GC89" s="247"/>
      <c r="GD89" s="247"/>
      <c r="GE89" s="246"/>
      <c r="GF89" s="246"/>
      <c r="GG89" s="246"/>
      <c r="GH89" s="246"/>
      <c r="GI89" s="246"/>
      <c r="GJ89" s="246"/>
      <c r="GK89" s="246"/>
      <c r="GL89" s="247"/>
      <c r="GM89" s="247"/>
      <c r="GN89" s="247"/>
      <c r="GO89" s="247"/>
      <c r="GP89" s="247"/>
      <c r="GQ89" s="247"/>
      <c r="GR89" s="247"/>
      <c r="GS89" s="246"/>
      <c r="GT89" s="246"/>
      <c r="GU89" s="246">
        <v>24</v>
      </c>
      <c r="GV89" s="246">
        <v>24</v>
      </c>
      <c r="GW89" s="246"/>
      <c r="GX89" s="246"/>
      <c r="GY89" s="246"/>
      <c r="GZ89" s="247"/>
      <c r="HA89" s="247"/>
      <c r="HB89" s="247"/>
      <c r="HC89" s="247"/>
      <c r="HD89" s="247"/>
      <c r="HE89" s="247"/>
      <c r="HF89" s="247"/>
      <c r="HG89" s="246"/>
      <c r="HH89" s="246"/>
      <c r="HI89" s="246"/>
      <c r="HJ89" s="246"/>
      <c r="HK89" s="246"/>
      <c r="HL89" s="246"/>
      <c r="HM89" s="246"/>
      <c r="HN89" s="247"/>
      <c r="HO89" s="247"/>
      <c r="HP89" s="247"/>
      <c r="HQ89" s="247"/>
      <c r="HR89" s="247"/>
      <c r="HS89" s="247"/>
      <c r="HT89" s="247"/>
      <c r="HU89" s="246"/>
      <c r="HV89" s="246"/>
      <c r="HW89" s="246"/>
      <c r="HX89" s="246"/>
      <c r="HY89" s="246"/>
      <c r="HZ89" s="246"/>
      <c r="IA89" s="246"/>
      <c r="IB89" s="247"/>
      <c r="IC89" s="247"/>
      <c r="ID89" s="247">
        <v>24</v>
      </c>
      <c r="IE89" s="247"/>
      <c r="IF89" s="247"/>
      <c r="IG89" s="247"/>
      <c r="IH89" s="247"/>
      <c r="II89" s="246"/>
      <c r="IJ89" s="246"/>
      <c r="IK89" s="246"/>
      <c r="IL89" s="246"/>
      <c r="IM89" s="246"/>
      <c r="IN89" s="246"/>
      <c r="IO89" s="246"/>
      <c r="IP89" s="247"/>
      <c r="IQ89" s="247"/>
      <c r="IR89" s="247"/>
      <c r="IS89" s="247"/>
      <c r="IT89" s="247"/>
      <c r="IU89" s="247"/>
      <c r="IV89" s="247"/>
      <c r="IW89" s="246"/>
      <c r="IX89" s="246"/>
      <c r="IY89" s="246"/>
      <c r="IZ89" s="246"/>
      <c r="JA89" s="246"/>
      <c r="JB89" s="246"/>
      <c r="JC89" s="246"/>
      <c r="JD89" s="247"/>
      <c r="JE89" s="247"/>
      <c r="JF89" s="247"/>
      <c r="JG89" s="247"/>
      <c r="JH89" s="247"/>
      <c r="JI89" s="247"/>
      <c r="JJ89" s="247"/>
      <c r="JK89" s="246"/>
      <c r="JL89" s="246"/>
      <c r="JM89" s="246"/>
      <c r="JN89" s="246"/>
      <c r="JO89" s="246"/>
      <c r="JP89" s="246"/>
      <c r="JQ89" s="246"/>
      <c r="JR89" s="247"/>
      <c r="JS89" s="247"/>
      <c r="JT89" s="247"/>
      <c r="JU89" s="247"/>
      <c r="JV89" s="247"/>
      <c r="JW89" s="247"/>
      <c r="JX89" s="247"/>
      <c r="JY89" s="246"/>
      <c r="JZ89" s="246"/>
      <c r="KA89" s="246"/>
      <c r="KB89" s="246"/>
      <c r="KC89" s="246"/>
      <c r="KD89" s="246"/>
      <c r="KE89" s="246"/>
      <c r="KF89" s="247"/>
      <c r="KG89" s="247"/>
      <c r="KH89" s="247"/>
      <c r="KI89" s="247"/>
      <c r="KJ89" s="247"/>
      <c r="KK89" s="247"/>
      <c r="KL89" s="247"/>
      <c r="KM89" s="246"/>
      <c r="KN89" s="246"/>
      <c r="KO89" s="246"/>
      <c r="KP89" s="246"/>
      <c r="KQ89" s="246"/>
      <c r="KR89" s="246"/>
      <c r="KS89" s="246"/>
      <c r="KT89" s="247"/>
      <c r="KU89" s="247"/>
      <c r="KV89" s="247"/>
      <c r="KW89" s="247"/>
      <c r="KX89" s="247"/>
      <c r="KY89" s="247"/>
      <c r="KZ89" s="247"/>
      <c r="LA89" s="246"/>
      <c r="LB89" s="246"/>
      <c r="LC89" s="246"/>
      <c r="LD89" s="246"/>
      <c r="LE89" s="246"/>
      <c r="LF89" s="246"/>
      <c r="LG89" s="246"/>
      <c r="LH89" s="247"/>
      <c r="LI89" s="247"/>
      <c r="LJ89" s="247"/>
      <c r="LK89" s="247"/>
      <c r="LL89" s="247"/>
      <c r="LM89" s="247"/>
      <c r="LN89" s="247"/>
      <c r="LO89" s="246"/>
      <c r="LP89" s="246"/>
      <c r="LQ89" s="246"/>
      <c r="LR89" s="246"/>
      <c r="LS89" s="246"/>
      <c r="LT89" s="246"/>
      <c r="LU89" s="246"/>
      <c r="LV89" s="247"/>
      <c r="LW89" s="247"/>
      <c r="LX89" s="247"/>
      <c r="LY89" s="247"/>
      <c r="LZ89" s="247"/>
      <c r="MA89" s="247"/>
      <c r="MB89" s="247"/>
      <c r="MC89" s="246"/>
      <c r="MD89" s="246"/>
      <c r="ME89" s="246"/>
      <c r="MF89" s="246"/>
      <c r="MG89" s="246"/>
      <c r="MH89" s="246"/>
      <c r="MI89" s="246"/>
      <c r="MJ89" s="247"/>
      <c r="MK89" s="247"/>
      <c r="ML89" s="247"/>
      <c r="MM89" s="247"/>
      <c r="MN89" s="247"/>
      <c r="MO89" s="247"/>
      <c r="MP89" s="247"/>
      <c r="MQ89" s="246"/>
      <c r="MR89" s="246"/>
      <c r="MS89" s="246"/>
      <c r="MT89" s="246"/>
      <c r="MU89" s="246"/>
      <c r="MV89" s="246"/>
      <c r="MW89" s="246"/>
      <c r="MX89" s="247"/>
      <c r="MY89" s="247"/>
      <c r="MZ89" s="247"/>
      <c r="NA89" s="247"/>
      <c r="NB89" s="247"/>
      <c r="NC89" s="247"/>
      <c r="ND89" s="247"/>
      <c r="NE89" s="246"/>
      <c r="NF89" s="246"/>
      <c r="NG89" s="246"/>
      <c r="NH89" s="333"/>
    </row>
    <row r="90" spans="1:372">
      <c r="A90" s="251" t="s">
        <v>974</v>
      </c>
      <c r="B90" s="251" t="s">
        <v>69</v>
      </c>
      <c r="C90" s="251" t="s">
        <v>674</v>
      </c>
      <c r="D90" s="251" t="s">
        <v>997</v>
      </c>
      <c r="E90" s="241">
        <v>67.679999999932321</v>
      </c>
      <c r="F90" s="241">
        <v>48</v>
      </c>
      <c r="G90" s="246"/>
      <c r="H90" s="246"/>
      <c r="I90" s="246"/>
      <c r="J90" s="246"/>
      <c r="K90" s="246"/>
      <c r="L90" s="247"/>
      <c r="M90" s="247"/>
      <c r="N90" s="247"/>
      <c r="O90" s="247"/>
      <c r="P90" s="247"/>
      <c r="Q90" s="247"/>
      <c r="R90" s="247"/>
      <c r="S90" s="246"/>
      <c r="T90" s="246"/>
      <c r="U90" s="246"/>
      <c r="V90" s="246"/>
      <c r="W90" s="246"/>
      <c r="X90" s="246"/>
      <c r="Y90" s="246"/>
      <c r="Z90" s="247"/>
      <c r="AA90" s="247"/>
      <c r="AB90" s="247"/>
      <c r="AC90" s="247"/>
      <c r="AD90" s="247"/>
      <c r="AE90" s="247"/>
      <c r="AF90" s="247"/>
      <c r="AG90" s="246"/>
      <c r="AH90" s="246"/>
      <c r="AI90" s="246"/>
      <c r="AJ90" s="246"/>
      <c r="AK90" s="246"/>
      <c r="AL90" s="246"/>
      <c r="AM90" s="246"/>
      <c r="AN90" s="247"/>
      <c r="AO90" s="247"/>
      <c r="AP90" s="247"/>
      <c r="AQ90" s="247"/>
      <c r="AR90" s="247"/>
      <c r="AS90" s="247"/>
      <c r="AT90" s="247"/>
      <c r="AU90" s="246"/>
      <c r="AV90" s="246"/>
      <c r="AW90" s="246"/>
      <c r="AX90" s="246"/>
      <c r="AY90" s="246"/>
      <c r="AZ90" s="246"/>
      <c r="BA90" s="246"/>
      <c r="BB90" s="247"/>
      <c r="BC90" s="247"/>
      <c r="BD90" s="247"/>
      <c r="BE90" s="247"/>
      <c r="BF90" s="247"/>
      <c r="BG90" s="247"/>
      <c r="BH90" s="247"/>
      <c r="BI90" s="246"/>
      <c r="BJ90" s="246"/>
      <c r="BK90" s="246">
        <v>24</v>
      </c>
      <c r="BL90" s="246">
        <v>24</v>
      </c>
      <c r="BM90" s="246"/>
      <c r="BN90" s="246"/>
      <c r="BO90" s="246"/>
      <c r="BP90" s="247"/>
      <c r="BQ90" s="247"/>
      <c r="BR90" s="247"/>
      <c r="BS90" s="247"/>
      <c r="BT90" s="247"/>
      <c r="BU90" s="247"/>
      <c r="BV90" s="247"/>
      <c r="BW90" s="246"/>
      <c r="BX90" s="246"/>
      <c r="BY90" s="246"/>
      <c r="BZ90" s="246"/>
      <c r="CA90" s="246"/>
      <c r="CB90" s="246"/>
      <c r="CC90" s="246"/>
      <c r="CD90" s="247"/>
      <c r="CE90" s="247"/>
      <c r="CF90" s="247"/>
      <c r="CG90" s="247"/>
      <c r="CH90" s="247"/>
      <c r="CI90" s="247"/>
      <c r="CJ90" s="247"/>
      <c r="CK90" s="246"/>
      <c r="CL90" s="246"/>
      <c r="CM90" s="246"/>
      <c r="CN90" s="246"/>
      <c r="CO90" s="246"/>
      <c r="CP90" s="246"/>
      <c r="CQ90" s="246"/>
      <c r="CR90" s="247"/>
      <c r="CS90" s="247"/>
      <c r="CT90" s="247"/>
      <c r="CU90" s="247"/>
      <c r="CV90" s="247"/>
      <c r="CW90" s="247"/>
      <c r="CX90" s="247"/>
      <c r="CY90" s="246"/>
      <c r="CZ90" s="246"/>
      <c r="DA90" s="246"/>
      <c r="DB90" s="246"/>
      <c r="DC90" s="246"/>
      <c r="DD90" s="246"/>
      <c r="DE90" s="246"/>
      <c r="DF90" s="247"/>
      <c r="DG90" s="247"/>
      <c r="DH90" s="247"/>
      <c r="DI90" s="247"/>
      <c r="DJ90" s="247"/>
      <c r="DK90" s="247"/>
      <c r="DL90" s="247"/>
      <c r="DM90" s="246"/>
      <c r="DN90" s="246"/>
      <c r="DO90" s="246"/>
      <c r="DP90" s="246"/>
      <c r="DQ90" s="246"/>
      <c r="DR90" s="246"/>
      <c r="DS90" s="246"/>
      <c r="DT90" s="247"/>
      <c r="DU90" s="247"/>
      <c r="DV90" s="247"/>
      <c r="DW90" s="247"/>
      <c r="DX90" s="247"/>
      <c r="DY90" s="247"/>
      <c r="DZ90" s="247"/>
      <c r="EA90" s="246"/>
      <c r="EB90" s="246"/>
      <c r="EC90" s="246"/>
      <c r="ED90" s="246"/>
      <c r="EE90" s="246"/>
      <c r="EF90" s="246"/>
      <c r="EG90" s="246"/>
      <c r="EH90" s="247"/>
      <c r="EI90" s="247"/>
      <c r="EJ90" s="247"/>
      <c r="EK90" s="247"/>
      <c r="EL90" s="247"/>
      <c r="EM90" s="247"/>
      <c r="EN90" s="247"/>
      <c r="EO90" s="246"/>
      <c r="EP90" s="246"/>
      <c r="EQ90" s="246"/>
      <c r="ER90" s="246"/>
      <c r="ES90" s="246"/>
      <c r="ET90" s="246"/>
      <c r="EU90" s="246"/>
      <c r="EV90" s="247"/>
      <c r="EW90" s="247"/>
      <c r="EX90" s="247"/>
      <c r="EY90" s="247"/>
      <c r="EZ90" s="247"/>
      <c r="FA90" s="247"/>
      <c r="FB90" s="247"/>
      <c r="FC90" s="246"/>
      <c r="FD90" s="246"/>
      <c r="FE90" s="246"/>
      <c r="FF90" s="246"/>
      <c r="FG90" s="246"/>
      <c r="FH90" s="246"/>
      <c r="FI90" s="246"/>
      <c r="FJ90" s="247"/>
      <c r="FK90" s="247"/>
      <c r="FL90" s="247"/>
      <c r="FM90" s="247"/>
      <c r="FN90" s="247"/>
      <c r="FO90" s="247"/>
      <c r="FP90" s="247"/>
      <c r="FQ90" s="246"/>
      <c r="FR90" s="246"/>
      <c r="FS90" s="246"/>
      <c r="FT90" s="246"/>
      <c r="FU90" s="246"/>
      <c r="FV90" s="246"/>
      <c r="FW90" s="246"/>
      <c r="FX90" s="247"/>
      <c r="FY90" s="247"/>
      <c r="FZ90" s="247"/>
      <c r="GA90" s="247"/>
      <c r="GB90" s="247"/>
      <c r="GC90" s="247"/>
      <c r="GD90" s="247"/>
      <c r="GE90" s="246"/>
      <c r="GF90" s="246"/>
      <c r="GG90" s="246"/>
      <c r="GH90" s="246"/>
      <c r="GI90" s="246"/>
      <c r="GJ90" s="246"/>
      <c r="GK90" s="246"/>
      <c r="GL90" s="247"/>
      <c r="GM90" s="247"/>
      <c r="GN90" s="247"/>
      <c r="GO90" s="247"/>
      <c r="GP90" s="247"/>
      <c r="GQ90" s="247"/>
      <c r="GR90" s="247"/>
      <c r="GS90" s="246"/>
      <c r="GT90" s="246"/>
      <c r="GU90" s="246"/>
      <c r="GV90" s="246"/>
      <c r="GW90" s="246"/>
      <c r="GX90" s="246"/>
      <c r="GY90" s="246"/>
      <c r="GZ90" s="247"/>
      <c r="HA90" s="247"/>
      <c r="HB90" s="247"/>
      <c r="HC90" s="247"/>
      <c r="HD90" s="247"/>
      <c r="HE90" s="247"/>
      <c r="HF90" s="247"/>
      <c r="HG90" s="246"/>
      <c r="HH90" s="246"/>
      <c r="HI90" s="246"/>
      <c r="HJ90" s="246"/>
      <c r="HK90" s="246"/>
      <c r="HL90" s="246"/>
      <c r="HM90" s="246"/>
      <c r="HN90" s="247"/>
      <c r="HO90" s="247"/>
      <c r="HP90" s="247"/>
      <c r="HQ90" s="247"/>
      <c r="HR90" s="247"/>
      <c r="HS90" s="247"/>
      <c r="HT90" s="247"/>
      <c r="HU90" s="246"/>
      <c r="HV90" s="246"/>
      <c r="HW90" s="246"/>
      <c r="HX90" s="246"/>
      <c r="HY90" s="246"/>
      <c r="HZ90" s="246"/>
      <c r="IA90" s="246"/>
      <c r="IB90" s="247"/>
      <c r="IC90" s="247"/>
      <c r="ID90" s="247"/>
      <c r="IE90" s="247"/>
      <c r="IF90" s="247"/>
      <c r="IG90" s="247"/>
      <c r="IH90" s="247"/>
      <c r="II90" s="246"/>
      <c r="IJ90" s="246"/>
      <c r="IK90" s="246"/>
      <c r="IL90" s="246"/>
      <c r="IM90" s="246"/>
      <c r="IN90" s="246"/>
      <c r="IO90" s="246"/>
      <c r="IP90" s="247"/>
      <c r="IQ90" s="247"/>
      <c r="IR90" s="247"/>
      <c r="IS90" s="247"/>
      <c r="IT90" s="247"/>
      <c r="IU90" s="247"/>
      <c r="IV90" s="247"/>
      <c r="IW90" s="246"/>
      <c r="IX90" s="246"/>
      <c r="IY90" s="246"/>
      <c r="IZ90" s="246"/>
      <c r="JA90" s="246"/>
      <c r="JB90" s="246"/>
      <c r="JC90" s="246"/>
      <c r="JD90" s="247"/>
      <c r="JE90" s="247"/>
      <c r="JF90" s="247"/>
      <c r="JG90" s="247"/>
      <c r="JH90" s="247"/>
      <c r="JI90" s="247"/>
      <c r="JJ90" s="247"/>
      <c r="JK90" s="246"/>
      <c r="JL90" s="246"/>
      <c r="JM90" s="246"/>
      <c r="JN90" s="246"/>
      <c r="JO90" s="246"/>
      <c r="JP90" s="246"/>
      <c r="JQ90" s="246"/>
      <c r="JR90" s="247"/>
      <c r="JS90" s="247"/>
      <c r="JT90" s="247"/>
      <c r="JU90" s="247"/>
      <c r="JV90" s="247"/>
      <c r="JW90" s="247"/>
      <c r="JX90" s="247"/>
      <c r="JY90" s="246"/>
      <c r="JZ90" s="246"/>
      <c r="KA90" s="246"/>
      <c r="KB90" s="246"/>
      <c r="KC90" s="246"/>
      <c r="KD90" s="246"/>
      <c r="KE90" s="246"/>
      <c r="KF90" s="247"/>
      <c r="KG90" s="247"/>
      <c r="KH90" s="247"/>
      <c r="KI90" s="247"/>
      <c r="KJ90" s="247"/>
      <c r="KK90" s="247"/>
      <c r="KL90" s="247"/>
      <c r="KM90" s="246"/>
      <c r="KN90" s="246"/>
      <c r="KO90" s="246"/>
      <c r="KP90" s="246"/>
      <c r="KQ90" s="246"/>
      <c r="KR90" s="246"/>
      <c r="KS90" s="246"/>
      <c r="KT90" s="247"/>
      <c r="KU90" s="247"/>
      <c r="KV90" s="247"/>
      <c r="KW90" s="247"/>
      <c r="KX90" s="247"/>
      <c r="KY90" s="247"/>
      <c r="KZ90" s="247"/>
      <c r="LA90" s="246"/>
      <c r="LB90" s="246"/>
      <c r="LC90" s="246"/>
      <c r="LD90" s="246"/>
      <c r="LE90" s="246"/>
      <c r="LF90" s="246"/>
      <c r="LG90" s="246"/>
      <c r="LH90" s="247"/>
      <c r="LI90" s="247"/>
      <c r="LJ90" s="247"/>
      <c r="LK90" s="247"/>
      <c r="LL90" s="247"/>
      <c r="LM90" s="247"/>
      <c r="LN90" s="247"/>
      <c r="LO90" s="246"/>
      <c r="LP90" s="246"/>
      <c r="LQ90" s="246"/>
      <c r="LR90" s="246"/>
      <c r="LS90" s="246"/>
      <c r="LT90" s="246"/>
      <c r="LU90" s="246"/>
      <c r="LV90" s="247"/>
      <c r="LW90" s="247"/>
      <c r="LX90" s="247"/>
      <c r="LY90" s="247"/>
      <c r="LZ90" s="247"/>
      <c r="MA90" s="247"/>
      <c r="MB90" s="247"/>
      <c r="MC90" s="246"/>
      <c r="MD90" s="246"/>
      <c r="ME90" s="246"/>
      <c r="MF90" s="246"/>
      <c r="MG90" s="246"/>
      <c r="MH90" s="246"/>
      <c r="MI90" s="246"/>
      <c r="MJ90" s="247"/>
      <c r="MK90" s="247"/>
      <c r="ML90" s="247"/>
      <c r="MM90" s="247"/>
      <c r="MN90" s="247"/>
      <c r="MO90" s="247"/>
      <c r="MP90" s="247"/>
      <c r="MQ90" s="246"/>
      <c r="MR90" s="246"/>
      <c r="MS90" s="246"/>
      <c r="MT90" s="246"/>
      <c r="MU90" s="246"/>
      <c r="MV90" s="246"/>
      <c r="MW90" s="246"/>
      <c r="MX90" s="247"/>
      <c r="MY90" s="247"/>
      <c r="MZ90" s="247"/>
      <c r="NA90" s="247"/>
      <c r="NB90" s="247"/>
      <c r="NC90" s="247"/>
      <c r="ND90" s="247"/>
      <c r="NE90" s="246"/>
      <c r="NF90" s="246"/>
      <c r="NG90" s="246"/>
      <c r="NH90" s="333"/>
    </row>
    <row r="91" spans="1:372">
      <c r="A91" s="251" t="s">
        <v>974</v>
      </c>
      <c r="B91" s="251" t="s">
        <v>70</v>
      </c>
      <c r="C91" s="251" t="s">
        <v>674</v>
      </c>
      <c r="D91" s="251" t="s">
        <v>982</v>
      </c>
      <c r="E91" s="241">
        <v>67.679999999932306</v>
      </c>
      <c r="F91" s="241">
        <v>48</v>
      </c>
      <c r="G91" s="246"/>
      <c r="H91" s="246"/>
      <c r="I91" s="246"/>
      <c r="J91" s="246"/>
      <c r="K91" s="246"/>
      <c r="L91" s="247"/>
      <c r="M91" s="247"/>
      <c r="N91" s="247"/>
      <c r="O91" s="247"/>
      <c r="P91" s="247"/>
      <c r="Q91" s="247"/>
      <c r="R91" s="247"/>
      <c r="S91" s="246"/>
      <c r="T91" s="246"/>
      <c r="U91" s="246"/>
      <c r="V91" s="246"/>
      <c r="W91" s="246"/>
      <c r="X91" s="246"/>
      <c r="Y91" s="246"/>
      <c r="Z91" s="247"/>
      <c r="AA91" s="247"/>
      <c r="AB91" s="247"/>
      <c r="AC91" s="247"/>
      <c r="AD91" s="247"/>
      <c r="AE91" s="247"/>
      <c r="AF91" s="247"/>
      <c r="AG91" s="246"/>
      <c r="AH91" s="246"/>
      <c r="AI91" s="246"/>
      <c r="AJ91" s="246"/>
      <c r="AK91" s="246"/>
      <c r="AL91" s="246"/>
      <c r="AM91" s="246"/>
      <c r="AN91" s="247"/>
      <c r="AO91" s="247"/>
      <c r="AP91" s="247"/>
      <c r="AQ91" s="247"/>
      <c r="AR91" s="247"/>
      <c r="AS91" s="247"/>
      <c r="AT91" s="247"/>
      <c r="AU91" s="246"/>
      <c r="AV91" s="246"/>
      <c r="AW91" s="246"/>
      <c r="AX91" s="246"/>
      <c r="AY91" s="246"/>
      <c r="AZ91" s="246"/>
      <c r="BA91" s="246"/>
      <c r="BB91" s="247"/>
      <c r="BC91" s="247"/>
      <c r="BD91" s="247"/>
      <c r="BE91" s="247"/>
      <c r="BF91" s="247"/>
      <c r="BG91" s="247"/>
      <c r="BH91" s="247"/>
      <c r="BI91" s="246"/>
      <c r="BJ91" s="246"/>
      <c r="BK91" s="246">
        <v>24</v>
      </c>
      <c r="BL91" s="246">
        <v>24</v>
      </c>
      <c r="BM91" s="246"/>
      <c r="BN91" s="246"/>
      <c r="BO91" s="246"/>
      <c r="BP91" s="247"/>
      <c r="BQ91" s="247"/>
      <c r="BR91" s="247"/>
      <c r="BS91" s="247"/>
      <c r="BT91" s="247"/>
      <c r="BU91" s="247"/>
      <c r="BV91" s="247"/>
      <c r="BW91" s="246"/>
      <c r="BX91" s="246"/>
      <c r="BY91" s="246"/>
      <c r="BZ91" s="246"/>
      <c r="CA91" s="246"/>
      <c r="CB91" s="246"/>
      <c r="CC91" s="246"/>
      <c r="CD91" s="247"/>
      <c r="CE91" s="247"/>
      <c r="CF91" s="247"/>
      <c r="CG91" s="247"/>
      <c r="CH91" s="247"/>
      <c r="CI91" s="247"/>
      <c r="CJ91" s="247"/>
      <c r="CK91" s="246"/>
      <c r="CL91" s="246"/>
      <c r="CM91" s="246"/>
      <c r="CN91" s="246"/>
      <c r="CO91" s="246"/>
      <c r="CP91" s="246"/>
      <c r="CQ91" s="246"/>
      <c r="CR91" s="247"/>
      <c r="CS91" s="247"/>
      <c r="CT91" s="247"/>
      <c r="CU91" s="247"/>
      <c r="CV91" s="247"/>
      <c r="CW91" s="247"/>
      <c r="CX91" s="247"/>
      <c r="CY91" s="246"/>
      <c r="CZ91" s="246"/>
      <c r="DA91" s="246"/>
      <c r="DB91" s="246"/>
      <c r="DC91" s="246"/>
      <c r="DD91" s="246"/>
      <c r="DE91" s="246"/>
      <c r="DF91" s="247"/>
      <c r="DG91" s="247"/>
      <c r="DH91" s="247"/>
      <c r="DI91" s="247"/>
      <c r="DJ91" s="247"/>
      <c r="DK91" s="247"/>
      <c r="DL91" s="247"/>
      <c r="DM91" s="246"/>
      <c r="DN91" s="246"/>
      <c r="DO91" s="246"/>
      <c r="DP91" s="246"/>
      <c r="DQ91" s="246"/>
      <c r="DR91" s="246"/>
      <c r="DS91" s="246"/>
      <c r="DT91" s="247"/>
      <c r="DU91" s="247"/>
      <c r="DV91" s="247"/>
      <c r="DW91" s="247"/>
      <c r="DX91" s="247"/>
      <c r="DY91" s="247"/>
      <c r="DZ91" s="247"/>
      <c r="EA91" s="246"/>
      <c r="EB91" s="246"/>
      <c r="EC91" s="246"/>
      <c r="ED91" s="246"/>
      <c r="EE91" s="246"/>
      <c r="EF91" s="246"/>
      <c r="EG91" s="246"/>
      <c r="EH91" s="247"/>
      <c r="EI91" s="247"/>
      <c r="EJ91" s="247"/>
      <c r="EK91" s="247"/>
      <c r="EL91" s="247"/>
      <c r="EM91" s="247"/>
      <c r="EN91" s="247"/>
      <c r="EO91" s="246"/>
      <c r="EP91" s="246"/>
      <c r="EQ91" s="246"/>
      <c r="ER91" s="246"/>
      <c r="ES91" s="246"/>
      <c r="ET91" s="246"/>
      <c r="EU91" s="246"/>
      <c r="EV91" s="247"/>
      <c r="EW91" s="247"/>
      <c r="EX91" s="247"/>
      <c r="EY91" s="247"/>
      <c r="EZ91" s="247"/>
      <c r="FA91" s="247"/>
      <c r="FB91" s="247"/>
      <c r="FC91" s="246"/>
      <c r="FD91" s="246"/>
      <c r="FE91" s="246"/>
      <c r="FF91" s="246"/>
      <c r="FG91" s="246"/>
      <c r="FH91" s="246"/>
      <c r="FI91" s="246"/>
      <c r="FJ91" s="247"/>
      <c r="FK91" s="247"/>
      <c r="FL91" s="247"/>
      <c r="FM91" s="247"/>
      <c r="FN91" s="247"/>
      <c r="FO91" s="247"/>
      <c r="FP91" s="247"/>
      <c r="FQ91" s="246"/>
      <c r="FR91" s="246"/>
      <c r="FS91" s="246"/>
      <c r="FT91" s="246"/>
      <c r="FU91" s="246"/>
      <c r="FV91" s="246"/>
      <c r="FW91" s="246"/>
      <c r="FX91" s="247"/>
      <c r="FY91" s="247"/>
      <c r="FZ91" s="247"/>
      <c r="GA91" s="247"/>
      <c r="GB91" s="247"/>
      <c r="GC91" s="247"/>
      <c r="GD91" s="247"/>
      <c r="GE91" s="246"/>
      <c r="GF91" s="246"/>
      <c r="GG91" s="246"/>
      <c r="GH91" s="246"/>
      <c r="GI91" s="246"/>
      <c r="GJ91" s="246"/>
      <c r="GK91" s="246"/>
      <c r="GL91" s="247"/>
      <c r="GM91" s="247"/>
      <c r="GN91" s="247"/>
      <c r="GO91" s="247"/>
      <c r="GP91" s="247"/>
      <c r="GQ91" s="247"/>
      <c r="GR91" s="247"/>
      <c r="GS91" s="246"/>
      <c r="GT91" s="246"/>
      <c r="GU91" s="246"/>
      <c r="GV91" s="246"/>
      <c r="GW91" s="246"/>
      <c r="GX91" s="246"/>
      <c r="GY91" s="246"/>
      <c r="GZ91" s="247"/>
      <c r="HA91" s="247"/>
      <c r="HB91" s="247"/>
      <c r="HC91" s="247"/>
      <c r="HD91" s="247"/>
      <c r="HE91" s="247"/>
      <c r="HF91" s="247"/>
      <c r="HG91" s="246"/>
      <c r="HH91" s="246"/>
      <c r="HI91" s="246"/>
      <c r="HJ91" s="246"/>
      <c r="HK91" s="246"/>
      <c r="HL91" s="246"/>
      <c r="HM91" s="246"/>
      <c r="HN91" s="247"/>
      <c r="HO91" s="247"/>
      <c r="HP91" s="247"/>
      <c r="HQ91" s="247"/>
      <c r="HR91" s="247"/>
      <c r="HS91" s="247"/>
      <c r="HT91" s="247"/>
      <c r="HU91" s="246"/>
      <c r="HV91" s="246"/>
      <c r="HW91" s="246"/>
      <c r="HX91" s="246"/>
      <c r="HY91" s="246"/>
      <c r="HZ91" s="246"/>
      <c r="IA91" s="246"/>
      <c r="IB91" s="247"/>
      <c r="IC91" s="247"/>
      <c r="ID91" s="247"/>
      <c r="IE91" s="247"/>
      <c r="IF91" s="247"/>
      <c r="IG91" s="247"/>
      <c r="IH91" s="247"/>
      <c r="II91" s="246"/>
      <c r="IJ91" s="246"/>
      <c r="IK91" s="246"/>
      <c r="IL91" s="246"/>
      <c r="IM91" s="246"/>
      <c r="IN91" s="246"/>
      <c r="IO91" s="246"/>
      <c r="IP91" s="247"/>
      <c r="IQ91" s="247"/>
      <c r="IR91" s="247"/>
      <c r="IS91" s="247"/>
      <c r="IT91" s="247"/>
      <c r="IU91" s="247"/>
      <c r="IV91" s="247"/>
      <c r="IW91" s="246"/>
      <c r="IX91" s="246"/>
      <c r="IY91" s="246"/>
      <c r="IZ91" s="246"/>
      <c r="JA91" s="246"/>
      <c r="JB91" s="246"/>
      <c r="JC91" s="246"/>
      <c r="JD91" s="247"/>
      <c r="JE91" s="247"/>
      <c r="JF91" s="247"/>
      <c r="JG91" s="247"/>
      <c r="JH91" s="247"/>
      <c r="JI91" s="247"/>
      <c r="JJ91" s="247"/>
      <c r="JK91" s="246"/>
      <c r="JL91" s="246"/>
      <c r="JM91" s="246"/>
      <c r="JN91" s="246"/>
      <c r="JO91" s="246"/>
      <c r="JP91" s="246"/>
      <c r="JQ91" s="246"/>
      <c r="JR91" s="247"/>
      <c r="JS91" s="247"/>
      <c r="JT91" s="247"/>
      <c r="JU91" s="247"/>
      <c r="JV91" s="247"/>
      <c r="JW91" s="247"/>
      <c r="JX91" s="247"/>
      <c r="JY91" s="246"/>
      <c r="JZ91" s="246"/>
      <c r="KA91" s="246"/>
      <c r="KB91" s="246"/>
      <c r="KC91" s="246"/>
      <c r="KD91" s="246"/>
      <c r="KE91" s="246"/>
      <c r="KF91" s="247"/>
      <c r="KG91" s="247"/>
      <c r="KH91" s="247"/>
      <c r="KI91" s="247"/>
      <c r="KJ91" s="247"/>
      <c r="KK91" s="247"/>
      <c r="KL91" s="247"/>
      <c r="KM91" s="246"/>
      <c r="KN91" s="246"/>
      <c r="KO91" s="246"/>
      <c r="KP91" s="246"/>
      <c r="KQ91" s="246"/>
      <c r="KR91" s="246"/>
      <c r="KS91" s="246"/>
      <c r="KT91" s="247"/>
      <c r="KU91" s="247"/>
      <c r="KV91" s="247"/>
      <c r="KW91" s="247"/>
      <c r="KX91" s="247"/>
      <c r="KY91" s="247"/>
      <c r="KZ91" s="247"/>
      <c r="LA91" s="246"/>
      <c r="LB91" s="246"/>
      <c r="LC91" s="246"/>
      <c r="LD91" s="246"/>
      <c r="LE91" s="246"/>
      <c r="LF91" s="246"/>
      <c r="LG91" s="246"/>
      <c r="LH91" s="247"/>
      <c r="LI91" s="247"/>
      <c r="LJ91" s="247"/>
      <c r="LK91" s="247"/>
      <c r="LL91" s="247"/>
      <c r="LM91" s="247"/>
      <c r="LN91" s="247"/>
      <c r="LO91" s="246"/>
      <c r="LP91" s="246"/>
      <c r="LQ91" s="246"/>
      <c r="LR91" s="246"/>
      <c r="LS91" s="246"/>
      <c r="LT91" s="246"/>
      <c r="LU91" s="246"/>
      <c r="LV91" s="247"/>
      <c r="LW91" s="247"/>
      <c r="LX91" s="247"/>
      <c r="LY91" s="247"/>
      <c r="LZ91" s="247"/>
      <c r="MA91" s="247"/>
      <c r="MB91" s="247"/>
      <c r="MC91" s="246"/>
      <c r="MD91" s="246"/>
      <c r="ME91" s="246"/>
      <c r="MF91" s="246"/>
      <c r="MG91" s="246"/>
      <c r="MH91" s="246"/>
      <c r="MI91" s="246"/>
      <c r="MJ91" s="247"/>
      <c r="MK91" s="247"/>
      <c r="ML91" s="247"/>
      <c r="MM91" s="247"/>
      <c r="MN91" s="247"/>
      <c r="MO91" s="247"/>
      <c r="MP91" s="247"/>
      <c r="MQ91" s="246"/>
      <c r="MR91" s="246"/>
      <c r="MS91" s="246"/>
      <c r="MT91" s="246"/>
      <c r="MU91" s="246"/>
      <c r="MV91" s="246"/>
      <c r="MW91" s="246"/>
      <c r="MX91" s="247"/>
      <c r="MY91" s="247"/>
      <c r="MZ91" s="247"/>
      <c r="NA91" s="247"/>
      <c r="NB91" s="247"/>
      <c r="NC91" s="247"/>
      <c r="ND91" s="247"/>
      <c r="NE91" s="246"/>
      <c r="NF91" s="246"/>
      <c r="NG91" s="246"/>
      <c r="NH91" s="333"/>
    </row>
    <row r="92" spans="1:372">
      <c r="A92" s="251" t="s">
        <v>977</v>
      </c>
      <c r="B92" s="251" t="s">
        <v>71</v>
      </c>
      <c r="C92" s="251" t="s">
        <v>675</v>
      </c>
      <c r="D92" s="251" t="s">
        <v>997</v>
      </c>
      <c r="E92" s="241">
        <v>348</v>
      </c>
      <c r="F92" s="241">
        <v>348</v>
      </c>
      <c r="G92" s="242"/>
      <c r="H92" s="242"/>
      <c r="I92" s="242"/>
      <c r="J92" s="242"/>
      <c r="K92" s="242"/>
      <c r="L92" s="243"/>
      <c r="M92" s="243"/>
      <c r="N92" s="243"/>
      <c r="O92" s="243"/>
      <c r="P92" s="243"/>
      <c r="Q92" s="243"/>
      <c r="R92" s="243"/>
      <c r="S92" s="242"/>
      <c r="T92" s="242"/>
      <c r="U92" s="242"/>
      <c r="V92" s="242"/>
      <c r="W92" s="242"/>
      <c r="X92" s="242"/>
      <c r="Y92" s="242"/>
      <c r="Z92" s="243"/>
      <c r="AA92" s="243"/>
      <c r="AB92" s="243"/>
      <c r="AC92" s="243"/>
      <c r="AD92" s="243"/>
      <c r="AE92" s="243"/>
      <c r="AF92" s="243"/>
      <c r="AG92" s="242"/>
      <c r="AH92" s="242"/>
      <c r="AI92" s="242"/>
      <c r="AJ92" s="242"/>
      <c r="AK92" s="242"/>
      <c r="AL92" s="242"/>
      <c r="AM92" s="242"/>
      <c r="AN92" s="243"/>
      <c r="AO92" s="243"/>
      <c r="AP92" s="243"/>
      <c r="AQ92" s="243"/>
      <c r="AR92" s="243"/>
      <c r="AS92" s="243"/>
      <c r="AT92" s="243"/>
      <c r="AU92" s="242"/>
      <c r="AV92" s="242"/>
      <c r="AW92" s="242"/>
      <c r="AX92" s="242"/>
      <c r="AY92" s="242"/>
      <c r="AZ92" s="242"/>
      <c r="BA92" s="242"/>
      <c r="BB92" s="243"/>
      <c r="BC92" s="243"/>
      <c r="BD92" s="243"/>
      <c r="BE92" s="243"/>
      <c r="BF92" s="243"/>
      <c r="BG92" s="243"/>
      <c r="BH92" s="243"/>
      <c r="BI92" s="242"/>
      <c r="BJ92" s="242"/>
      <c r="BK92" s="242"/>
      <c r="BL92" s="242"/>
      <c r="BM92" s="242"/>
      <c r="BN92" s="242"/>
      <c r="BO92" s="242"/>
      <c r="BP92" s="243"/>
      <c r="BQ92" s="243"/>
      <c r="BR92" s="243"/>
      <c r="BS92" s="243"/>
      <c r="BT92" s="243"/>
      <c r="BU92" s="243"/>
      <c r="BV92" s="243"/>
      <c r="BW92" s="242"/>
      <c r="BX92" s="242"/>
      <c r="BY92" s="242"/>
      <c r="BZ92" s="242"/>
      <c r="CA92" s="242"/>
      <c r="CB92" s="242"/>
      <c r="CC92" s="242"/>
      <c r="CD92" s="243"/>
      <c r="CE92" s="243"/>
      <c r="CF92" s="243"/>
      <c r="CG92" s="243"/>
      <c r="CH92" s="243"/>
      <c r="CI92" s="243"/>
      <c r="CJ92" s="243"/>
      <c r="CK92" s="242"/>
      <c r="CL92" s="242"/>
      <c r="CM92" s="242"/>
      <c r="CN92" s="242"/>
      <c r="CO92" s="242"/>
      <c r="CP92" s="242"/>
      <c r="CQ92" s="242"/>
      <c r="CR92" s="243"/>
      <c r="CS92" s="243"/>
      <c r="CT92" s="243"/>
      <c r="CU92" s="243"/>
      <c r="CV92" s="243"/>
      <c r="CW92" s="243"/>
      <c r="CX92" s="243"/>
      <c r="CY92" s="242"/>
      <c r="CZ92" s="242"/>
      <c r="DA92" s="242"/>
      <c r="DB92" s="242"/>
      <c r="DC92" s="242"/>
      <c r="DD92" s="242"/>
      <c r="DE92" s="242">
        <v>12</v>
      </c>
      <c r="DF92" s="243">
        <v>24</v>
      </c>
      <c r="DG92" s="243">
        <v>24</v>
      </c>
      <c r="DH92" s="243">
        <v>24</v>
      </c>
      <c r="DI92" s="243">
        <v>24</v>
      </c>
      <c r="DJ92" s="243">
        <v>24</v>
      </c>
      <c r="DK92" s="243">
        <v>24</v>
      </c>
      <c r="DL92" s="243">
        <v>24</v>
      </c>
      <c r="DM92" s="242">
        <v>24</v>
      </c>
      <c r="DN92" s="242">
        <v>24</v>
      </c>
      <c r="DO92" s="242">
        <v>24</v>
      </c>
      <c r="DP92" s="242">
        <v>24</v>
      </c>
      <c r="DQ92" s="242">
        <v>24</v>
      </c>
      <c r="DR92" s="242">
        <v>24</v>
      </c>
      <c r="DS92" s="242">
        <v>24</v>
      </c>
      <c r="DT92" s="243"/>
      <c r="DU92" s="243"/>
      <c r="DV92" s="243"/>
      <c r="DW92" s="243"/>
      <c r="DX92" s="243"/>
      <c r="DY92" s="243"/>
      <c r="DZ92" s="243"/>
      <c r="EA92" s="242"/>
      <c r="EB92" s="242"/>
      <c r="EC92" s="242"/>
      <c r="ED92" s="242"/>
      <c r="EE92" s="242"/>
      <c r="EF92" s="242"/>
      <c r="EG92" s="242"/>
      <c r="EH92" s="243"/>
      <c r="EI92" s="243"/>
      <c r="EJ92" s="243"/>
      <c r="EK92" s="243"/>
      <c r="EL92" s="243"/>
      <c r="EM92" s="243"/>
      <c r="EN92" s="243"/>
      <c r="EO92" s="242"/>
      <c r="EP92" s="242"/>
      <c r="EQ92" s="242"/>
      <c r="ER92" s="242"/>
      <c r="ES92" s="242"/>
      <c r="ET92" s="242"/>
      <c r="EU92" s="242"/>
      <c r="EV92" s="243"/>
      <c r="EW92" s="243"/>
      <c r="EX92" s="243"/>
      <c r="EY92" s="243"/>
      <c r="EZ92" s="243"/>
      <c r="FA92" s="243"/>
      <c r="FB92" s="243"/>
      <c r="FC92" s="242"/>
      <c r="FD92" s="242"/>
      <c r="FE92" s="242"/>
      <c r="FF92" s="242"/>
      <c r="FG92" s="242"/>
      <c r="FH92" s="242"/>
      <c r="FI92" s="242"/>
      <c r="FJ92" s="243"/>
      <c r="FK92" s="243"/>
      <c r="FL92" s="243"/>
      <c r="FM92" s="243"/>
      <c r="FN92" s="243"/>
      <c r="FO92" s="243"/>
      <c r="FP92" s="243"/>
      <c r="FQ92" s="242"/>
      <c r="FR92" s="242"/>
      <c r="FS92" s="242"/>
      <c r="FT92" s="242"/>
      <c r="FU92" s="242"/>
      <c r="FV92" s="242"/>
      <c r="FW92" s="242"/>
      <c r="FX92" s="243"/>
      <c r="FY92" s="243"/>
      <c r="FZ92" s="243"/>
      <c r="GA92" s="243"/>
      <c r="GB92" s="243"/>
      <c r="GC92" s="243"/>
      <c r="GD92" s="243"/>
      <c r="GE92" s="242"/>
      <c r="GF92" s="242"/>
      <c r="GG92" s="242"/>
      <c r="GH92" s="242"/>
      <c r="GI92" s="242"/>
      <c r="GJ92" s="242"/>
      <c r="GK92" s="242"/>
      <c r="GL92" s="243"/>
      <c r="GM92" s="243"/>
      <c r="GN92" s="243"/>
      <c r="GO92" s="243"/>
      <c r="GP92" s="243"/>
      <c r="GQ92" s="243"/>
      <c r="GR92" s="243"/>
      <c r="GS92" s="242"/>
      <c r="GT92" s="242"/>
      <c r="GU92" s="242"/>
      <c r="GV92" s="242"/>
      <c r="GW92" s="242"/>
      <c r="GX92" s="242"/>
      <c r="GY92" s="242"/>
      <c r="GZ92" s="243"/>
      <c r="HA92" s="243"/>
      <c r="HB92" s="243"/>
      <c r="HC92" s="243"/>
      <c r="HD92" s="243"/>
      <c r="HE92" s="243"/>
      <c r="HF92" s="243"/>
      <c r="HG92" s="242"/>
      <c r="HH92" s="242"/>
      <c r="HI92" s="242"/>
      <c r="HJ92" s="242"/>
      <c r="HK92" s="242"/>
      <c r="HL92" s="242"/>
      <c r="HM92" s="242"/>
      <c r="HN92" s="243"/>
      <c r="HO92" s="243"/>
      <c r="HP92" s="243"/>
      <c r="HQ92" s="243"/>
      <c r="HR92" s="243"/>
      <c r="HS92" s="243"/>
      <c r="HT92" s="243"/>
      <c r="HU92" s="242"/>
      <c r="HV92" s="242"/>
      <c r="HW92" s="242"/>
      <c r="HX92" s="242"/>
      <c r="HY92" s="242"/>
      <c r="HZ92" s="242"/>
      <c r="IA92" s="242"/>
      <c r="IB92" s="243"/>
      <c r="IC92" s="243"/>
      <c r="ID92" s="243"/>
      <c r="IE92" s="243"/>
      <c r="IF92" s="243"/>
      <c r="IG92" s="243"/>
      <c r="IH92" s="243"/>
      <c r="II92" s="242"/>
      <c r="IJ92" s="242"/>
      <c r="IK92" s="242"/>
      <c r="IL92" s="242"/>
      <c r="IM92" s="242"/>
      <c r="IN92" s="242"/>
      <c r="IO92" s="242"/>
      <c r="IP92" s="243"/>
      <c r="IQ92" s="243"/>
      <c r="IR92" s="243"/>
      <c r="IS92" s="243"/>
      <c r="IT92" s="243"/>
      <c r="IU92" s="243"/>
      <c r="IV92" s="243"/>
      <c r="IW92" s="242"/>
      <c r="IX92" s="242"/>
      <c r="IY92" s="242"/>
      <c r="IZ92" s="242"/>
      <c r="JA92" s="242"/>
      <c r="JB92" s="242"/>
      <c r="JC92" s="242"/>
      <c r="JD92" s="243"/>
      <c r="JE92" s="243"/>
      <c r="JF92" s="243"/>
      <c r="JG92" s="243"/>
      <c r="JH92" s="243"/>
      <c r="JI92" s="243"/>
      <c r="JJ92" s="243"/>
      <c r="JK92" s="242"/>
      <c r="JL92" s="242"/>
      <c r="JM92" s="242"/>
      <c r="JN92" s="242"/>
      <c r="JO92" s="242"/>
      <c r="JP92" s="242"/>
      <c r="JQ92" s="242"/>
      <c r="JR92" s="243"/>
      <c r="JS92" s="243"/>
      <c r="JT92" s="243"/>
      <c r="JU92" s="243"/>
      <c r="JV92" s="243"/>
      <c r="JW92" s="243"/>
      <c r="JX92" s="243"/>
      <c r="JY92" s="242"/>
      <c r="JZ92" s="242"/>
      <c r="KA92" s="242"/>
      <c r="KB92" s="242"/>
      <c r="KC92" s="242"/>
      <c r="KD92" s="242"/>
      <c r="KE92" s="242"/>
      <c r="KF92" s="243"/>
      <c r="KG92" s="243"/>
      <c r="KH92" s="243"/>
      <c r="KI92" s="243"/>
      <c r="KJ92" s="243"/>
      <c r="KK92" s="243"/>
      <c r="KL92" s="243"/>
      <c r="KM92" s="242"/>
      <c r="KN92" s="242"/>
      <c r="KO92" s="242"/>
      <c r="KP92" s="242"/>
      <c r="KQ92" s="242"/>
      <c r="KR92" s="242"/>
      <c r="KS92" s="242"/>
      <c r="KT92" s="243"/>
      <c r="KU92" s="243"/>
      <c r="KV92" s="243"/>
      <c r="KW92" s="243"/>
      <c r="KX92" s="243"/>
      <c r="KY92" s="243"/>
      <c r="KZ92" s="243"/>
      <c r="LA92" s="242"/>
      <c r="LB92" s="242"/>
      <c r="LC92" s="242"/>
      <c r="LD92" s="242"/>
      <c r="LE92" s="242"/>
      <c r="LF92" s="242"/>
      <c r="LG92" s="242"/>
      <c r="LH92" s="243"/>
      <c r="LI92" s="243"/>
      <c r="LJ92" s="243"/>
      <c r="LK92" s="243"/>
      <c r="LL92" s="243"/>
      <c r="LM92" s="243"/>
      <c r="LN92" s="243"/>
      <c r="LO92" s="242"/>
      <c r="LP92" s="242"/>
      <c r="LQ92" s="242"/>
      <c r="LR92" s="242"/>
      <c r="LS92" s="242"/>
      <c r="LT92" s="242"/>
      <c r="LU92" s="242"/>
      <c r="LV92" s="243"/>
      <c r="LW92" s="243"/>
      <c r="LX92" s="243"/>
      <c r="LY92" s="243"/>
      <c r="LZ92" s="243"/>
      <c r="MA92" s="243"/>
      <c r="MB92" s="243"/>
      <c r="MC92" s="242"/>
      <c r="MD92" s="242"/>
      <c r="ME92" s="242"/>
      <c r="MF92" s="242"/>
      <c r="MG92" s="242"/>
      <c r="MH92" s="242"/>
      <c r="MI92" s="242"/>
      <c r="MJ92" s="243"/>
      <c r="MK92" s="243"/>
      <c r="ML92" s="243"/>
      <c r="MM92" s="243"/>
      <c r="MN92" s="243"/>
      <c r="MO92" s="243"/>
      <c r="MP92" s="243"/>
      <c r="MQ92" s="242"/>
      <c r="MR92" s="242"/>
      <c r="MS92" s="242"/>
      <c r="MT92" s="242"/>
      <c r="MU92" s="242"/>
      <c r="MV92" s="242"/>
      <c r="MW92" s="242"/>
      <c r="MX92" s="243"/>
      <c r="MY92" s="243"/>
      <c r="MZ92" s="243"/>
      <c r="NA92" s="243"/>
      <c r="NB92" s="243"/>
      <c r="NC92" s="243"/>
      <c r="ND92" s="243"/>
      <c r="NE92" s="242"/>
      <c r="NF92" s="242"/>
      <c r="NG92" s="242"/>
      <c r="NH92" s="333"/>
    </row>
    <row r="93" spans="1:372">
      <c r="A93" s="251" t="s">
        <v>977</v>
      </c>
      <c r="B93" s="251" t="s">
        <v>72</v>
      </c>
      <c r="C93" s="251" t="s">
        <v>675</v>
      </c>
      <c r="D93" s="251" t="s">
        <v>997</v>
      </c>
      <c r="E93" s="241">
        <v>348</v>
      </c>
      <c r="F93" s="241">
        <v>348</v>
      </c>
      <c r="G93" s="242"/>
      <c r="H93" s="242"/>
      <c r="I93" s="242"/>
      <c r="J93" s="242"/>
      <c r="K93" s="242"/>
      <c r="L93" s="243"/>
      <c r="M93" s="243"/>
      <c r="N93" s="243"/>
      <c r="O93" s="243"/>
      <c r="P93" s="243"/>
      <c r="Q93" s="243"/>
      <c r="R93" s="243"/>
      <c r="S93" s="242"/>
      <c r="T93" s="242"/>
      <c r="U93" s="242"/>
      <c r="V93" s="242"/>
      <c r="W93" s="242"/>
      <c r="X93" s="242"/>
      <c r="Y93" s="242"/>
      <c r="Z93" s="243"/>
      <c r="AA93" s="243"/>
      <c r="AB93" s="243"/>
      <c r="AC93" s="243"/>
      <c r="AD93" s="243"/>
      <c r="AE93" s="243"/>
      <c r="AF93" s="243"/>
      <c r="AG93" s="242"/>
      <c r="AH93" s="242"/>
      <c r="AI93" s="242"/>
      <c r="AJ93" s="242"/>
      <c r="AK93" s="242"/>
      <c r="AL93" s="242"/>
      <c r="AM93" s="242"/>
      <c r="AN93" s="243"/>
      <c r="AO93" s="243"/>
      <c r="AP93" s="243"/>
      <c r="AQ93" s="243"/>
      <c r="AR93" s="243"/>
      <c r="AS93" s="243"/>
      <c r="AT93" s="243"/>
      <c r="AU93" s="242"/>
      <c r="AV93" s="242"/>
      <c r="AW93" s="242"/>
      <c r="AX93" s="242"/>
      <c r="AY93" s="242"/>
      <c r="AZ93" s="242"/>
      <c r="BA93" s="242"/>
      <c r="BB93" s="243"/>
      <c r="BC93" s="243"/>
      <c r="BD93" s="243"/>
      <c r="BE93" s="243"/>
      <c r="BF93" s="243"/>
      <c r="BG93" s="243"/>
      <c r="BH93" s="243"/>
      <c r="BI93" s="242"/>
      <c r="BJ93" s="242"/>
      <c r="BK93" s="242"/>
      <c r="BL93" s="242"/>
      <c r="BM93" s="242"/>
      <c r="BN93" s="242"/>
      <c r="BO93" s="242"/>
      <c r="BP93" s="243"/>
      <c r="BQ93" s="243"/>
      <c r="BR93" s="243"/>
      <c r="BS93" s="243"/>
      <c r="BT93" s="243"/>
      <c r="BU93" s="243"/>
      <c r="BV93" s="243"/>
      <c r="BW93" s="242"/>
      <c r="BX93" s="242"/>
      <c r="BY93" s="242"/>
      <c r="BZ93" s="242"/>
      <c r="CA93" s="242"/>
      <c r="CB93" s="242"/>
      <c r="CC93" s="242"/>
      <c r="CD93" s="243"/>
      <c r="CE93" s="243"/>
      <c r="CF93" s="243"/>
      <c r="CG93" s="243"/>
      <c r="CH93" s="243"/>
      <c r="CI93" s="243"/>
      <c r="CJ93" s="243"/>
      <c r="CK93" s="242"/>
      <c r="CL93" s="242"/>
      <c r="CM93" s="242"/>
      <c r="CN93" s="242"/>
      <c r="CO93" s="242"/>
      <c r="CP93" s="242"/>
      <c r="CQ93" s="242"/>
      <c r="CR93" s="243"/>
      <c r="CS93" s="243"/>
      <c r="CT93" s="243"/>
      <c r="CU93" s="243"/>
      <c r="CV93" s="243"/>
      <c r="CW93" s="243"/>
      <c r="CX93" s="243"/>
      <c r="CY93" s="242"/>
      <c r="CZ93" s="242"/>
      <c r="DA93" s="242"/>
      <c r="DB93" s="242"/>
      <c r="DC93" s="242"/>
      <c r="DD93" s="242"/>
      <c r="DE93" s="242">
        <v>12</v>
      </c>
      <c r="DF93" s="243">
        <v>24</v>
      </c>
      <c r="DG93" s="243">
        <v>24</v>
      </c>
      <c r="DH93" s="243">
        <v>24</v>
      </c>
      <c r="DI93" s="243">
        <v>24</v>
      </c>
      <c r="DJ93" s="243">
        <v>24</v>
      </c>
      <c r="DK93" s="243">
        <v>24</v>
      </c>
      <c r="DL93" s="243">
        <v>24</v>
      </c>
      <c r="DM93" s="242">
        <v>24</v>
      </c>
      <c r="DN93" s="242">
        <v>24</v>
      </c>
      <c r="DO93" s="242">
        <v>24</v>
      </c>
      <c r="DP93" s="242">
        <v>24</v>
      </c>
      <c r="DQ93" s="242">
        <v>24</v>
      </c>
      <c r="DR93" s="242">
        <v>24</v>
      </c>
      <c r="DS93" s="242">
        <v>24</v>
      </c>
      <c r="DT93" s="243"/>
      <c r="DU93" s="243"/>
      <c r="DV93" s="243"/>
      <c r="DW93" s="243"/>
      <c r="DX93" s="243"/>
      <c r="DY93" s="243"/>
      <c r="DZ93" s="243"/>
      <c r="EA93" s="242"/>
      <c r="EB93" s="242"/>
      <c r="EC93" s="242"/>
      <c r="ED93" s="242"/>
      <c r="EE93" s="242"/>
      <c r="EF93" s="242"/>
      <c r="EG93" s="242"/>
      <c r="EH93" s="243"/>
      <c r="EI93" s="243"/>
      <c r="EJ93" s="243"/>
      <c r="EK93" s="243"/>
      <c r="EL93" s="243"/>
      <c r="EM93" s="243"/>
      <c r="EN93" s="243"/>
      <c r="EO93" s="242"/>
      <c r="EP93" s="242"/>
      <c r="EQ93" s="242"/>
      <c r="ER93" s="242"/>
      <c r="ES93" s="242"/>
      <c r="ET93" s="242"/>
      <c r="EU93" s="242"/>
      <c r="EV93" s="243"/>
      <c r="EW93" s="243"/>
      <c r="EX93" s="243"/>
      <c r="EY93" s="243"/>
      <c r="EZ93" s="243"/>
      <c r="FA93" s="243"/>
      <c r="FB93" s="243"/>
      <c r="FC93" s="242"/>
      <c r="FD93" s="242"/>
      <c r="FE93" s="242"/>
      <c r="FF93" s="242"/>
      <c r="FG93" s="242"/>
      <c r="FH93" s="242"/>
      <c r="FI93" s="242"/>
      <c r="FJ93" s="243"/>
      <c r="FK93" s="243"/>
      <c r="FL93" s="243"/>
      <c r="FM93" s="243"/>
      <c r="FN93" s="243"/>
      <c r="FO93" s="243"/>
      <c r="FP93" s="243"/>
      <c r="FQ93" s="242"/>
      <c r="FR93" s="242"/>
      <c r="FS93" s="242"/>
      <c r="FT93" s="242"/>
      <c r="FU93" s="242"/>
      <c r="FV93" s="242"/>
      <c r="FW93" s="242"/>
      <c r="FX93" s="243"/>
      <c r="FY93" s="243"/>
      <c r="FZ93" s="243"/>
      <c r="GA93" s="243"/>
      <c r="GB93" s="243"/>
      <c r="GC93" s="243"/>
      <c r="GD93" s="243"/>
      <c r="GE93" s="242"/>
      <c r="GF93" s="242"/>
      <c r="GG93" s="242"/>
      <c r="GH93" s="242"/>
      <c r="GI93" s="242"/>
      <c r="GJ93" s="242"/>
      <c r="GK93" s="242"/>
      <c r="GL93" s="243"/>
      <c r="GM93" s="243"/>
      <c r="GN93" s="243"/>
      <c r="GO93" s="243"/>
      <c r="GP93" s="243"/>
      <c r="GQ93" s="243"/>
      <c r="GR93" s="243"/>
      <c r="GS93" s="242"/>
      <c r="GT93" s="242"/>
      <c r="GU93" s="242"/>
      <c r="GV93" s="242"/>
      <c r="GW93" s="242"/>
      <c r="GX93" s="242"/>
      <c r="GY93" s="242"/>
      <c r="GZ93" s="243"/>
      <c r="HA93" s="243"/>
      <c r="HB93" s="243"/>
      <c r="HC93" s="243"/>
      <c r="HD93" s="243"/>
      <c r="HE93" s="243"/>
      <c r="HF93" s="243"/>
      <c r="HG93" s="242"/>
      <c r="HH93" s="242"/>
      <c r="HI93" s="242"/>
      <c r="HJ93" s="242"/>
      <c r="HK93" s="242"/>
      <c r="HL93" s="242"/>
      <c r="HM93" s="242"/>
      <c r="HN93" s="243"/>
      <c r="HO93" s="243"/>
      <c r="HP93" s="243"/>
      <c r="HQ93" s="243"/>
      <c r="HR93" s="243"/>
      <c r="HS93" s="243"/>
      <c r="HT93" s="243"/>
      <c r="HU93" s="242"/>
      <c r="HV93" s="242"/>
      <c r="HW93" s="242"/>
      <c r="HX93" s="242"/>
      <c r="HY93" s="242"/>
      <c r="HZ93" s="242"/>
      <c r="IA93" s="242"/>
      <c r="IB93" s="243"/>
      <c r="IC93" s="243"/>
      <c r="ID93" s="243"/>
      <c r="IE93" s="243"/>
      <c r="IF93" s="243"/>
      <c r="IG93" s="243"/>
      <c r="IH93" s="243"/>
      <c r="II93" s="242"/>
      <c r="IJ93" s="242"/>
      <c r="IK93" s="242"/>
      <c r="IL93" s="242"/>
      <c r="IM93" s="242"/>
      <c r="IN93" s="242"/>
      <c r="IO93" s="242"/>
      <c r="IP93" s="243"/>
      <c r="IQ93" s="243"/>
      <c r="IR93" s="243"/>
      <c r="IS93" s="243"/>
      <c r="IT93" s="243"/>
      <c r="IU93" s="243"/>
      <c r="IV93" s="243"/>
      <c r="IW93" s="242"/>
      <c r="IX93" s="242"/>
      <c r="IY93" s="242"/>
      <c r="IZ93" s="242"/>
      <c r="JA93" s="242"/>
      <c r="JB93" s="242"/>
      <c r="JC93" s="242"/>
      <c r="JD93" s="243"/>
      <c r="JE93" s="243"/>
      <c r="JF93" s="243"/>
      <c r="JG93" s="243"/>
      <c r="JH93" s="243"/>
      <c r="JI93" s="243"/>
      <c r="JJ93" s="243"/>
      <c r="JK93" s="242"/>
      <c r="JL93" s="242"/>
      <c r="JM93" s="242"/>
      <c r="JN93" s="242"/>
      <c r="JO93" s="242"/>
      <c r="JP93" s="242"/>
      <c r="JQ93" s="242"/>
      <c r="JR93" s="243"/>
      <c r="JS93" s="243"/>
      <c r="JT93" s="243"/>
      <c r="JU93" s="243"/>
      <c r="JV93" s="243"/>
      <c r="JW93" s="243"/>
      <c r="JX93" s="243"/>
      <c r="JY93" s="242"/>
      <c r="JZ93" s="242"/>
      <c r="KA93" s="242"/>
      <c r="KB93" s="242"/>
      <c r="KC93" s="242"/>
      <c r="KD93" s="242"/>
      <c r="KE93" s="242"/>
      <c r="KF93" s="243"/>
      <c r="KG93" s="243"/>
      <c r="KH93" s="243"/>
      <c r="KI93" s="243"/>
      <c r="KJ93" s="243"/>
      <c r="KK93" s="243"/>
      <c r="KL93" s="243"/>
      <c r="KM93" s="242"/>
      <c r="KN93" s="242"/>
      <c r="KO93" s="242"/>
      <c r="KP93" s="242"/>
      <c r="KQ93" s="242"/>
      <c r="KR93" s="242"/>
      <c r="KS93" s="242"/>
      <c r="KT93" s="243"/>
      <c r="KU93" s="243"/>
      <c r="KV93" s="243"/>
      <c r="KW93" s="243"/>
      <c r="KX93" s="243"/>
      <c r="KY93" s="243"/>
      <c r="KZ93" s="243"/>
      <c r="LA93" s="242"/>
      <c r="LB93" s="242"/>
      <c r="LC93" s="242"/>
      <c r="LD93" s="242"/>
      <c r="LE93" s="242"/>
      <c r="LF93" s="242"/>
      <c r="LG93" s="242"/>
      <c r="LH93" s="243"/>
      <c r="LI93" s="243"/>
      <c r="LJ93" s="243"/>
      <c r="LK93" s="243"/>
      <c r="LL93" s="243"/>
      <c r="LM93" s="243"/>
      <c r="LN93" s="243"/>
      <c r="LO93" s="242"/>
      <c r="LP93" s="242"/>
      <c r="LQ93" s="242"/>
      <c r="LR93" s="242"/>
      <c r="LS93" s="242"/>
      <c r="LT93" s="242"/>
      <c r="LU93" s="242"/>
      <c r="LV93" s="243"/>
      <c r="LW93" s="243"/>
      <c r="LX93" s="243"/>
      <c r="LY93" s="243"/>
      <c r="LZ93" s="243"/>
      <c r="MA93" s="243"/>
      <c r="MB93" s="243"/>
      <c r="MC93" s="242"/>
      <c r="MD93" s="242"/>
      <c r="ME93" s="242"/>
      <c r="MF93" s="242"/>
      <c r="MG93" s="242"/>
      <c r="MH93" s="242"/>
      <c r="MI93" s="242"/>
      <c r="MJ93" s="243"/>
      <c r="MK93" s="243"/>
      <c r="ML93" s="243"/>
      <c r="MM93" s="243"/>
      <c r="MN93" s="243"/>
      <c r="MO93" s="243"/>
      <c r="MP93" s="243"/>
      <c r="MQ93" s="242"/>
      <c r="MR93" s="242"/>
      <c r="MS93" s="242"/>
      <c r="MT93" s="242"/>
      <c r="MU93" s="242"/>
      <c r="MV93" s="242"/>
      <c r="MW93" s="242"/>
      <c r="MX93" s="243"/>
      <c r="MY93" s="243"/>
      <c r="MZ93" s="243"/>
      <c r="NA93" s="243"/>
      <c r="NB93" s="243"/>
      <c r="NC93" s="243"/>
      <c r="ND93" s="243"/>
      <c r="NE93" s="242"/>
      <c r="NF93" s="242"/>
      <c r="NG93" s="242"/>
      <c r="NH93" s="333"/>
    </row>
    <row r="94" spans="1:372" ht="15" customHeight="1">
      <c r="A94" s="251" t="s">
        <v>978</v>
      </c>
      <c r="B94" s="251" t="s">
        <v>74</v>
      </c>
      <c r="C94" s="251" t="s">
        <v>674</v>
      </c>
      <c r="D94" s="251" t="s">
        <v>982</v>
      </c>
      <c r="E94" s="241">
        <v>327.51140548531941</v>
      </c>
      <c r="F94" s="241">
        <v>564</v>
      </c>
      <c r="G94" s="242"/>
      <c r="H94" s="242"/>
      <c r="I94" s="242"/>
      <c r="J94" s="242"/>
      <c r="K94" s="242"/>
      <c r="L94" s="243"/>
      <c r="M94" s="243"/>
      <c r="N94" s="243"/>
      <c r="O94" s="243"/>
      <c r="P94" s="243"/>
      <c r="Q94" s="243"/>
      <c r="R94" s="243"/>
      <c r="S94" s="242"/>
      <c r="T94" s="242"/>
      <c r="U94" s="242"/>
      <c r="V94" s="242"/>
      <c r="W94" s="242"/>
      <c r="X94" s="242"/>
      <c r="Y94" s="242"/>
      <c r="Z94" s="243"/>
      <c r="AA94" s="243"/>
      <c r="AB94" s="243"/>
      <c r="AC94" s="243"/>
      <c r="AD94" s="243"/>
      <c r="AE94" s="243"/>
      <c r="AF94" s="243"/>
      <c r="AG94" s="242"/>
      <c r="AH94" s="242"/>
      <c r="AI94" s="242"/>
      <c r="AJ94" s="242"/>
      <c r="AK94" s="242"/>
      <c r="AL94" s="242"/>
      <c r="AM94" s="242"/>
      <c r="AN94" s="243"/>
      <c r="AO94" s="243"/>
      <c r="AP94" s="243"/>
      <c r="AQ94" s="243"/>
      <c r="AR94" s="243"/>
      <c r="AS94" s="243"/>
      <c r="AT94" s="243"/>
      <c r="AU94" s="242"/>
      <c r="AV94" s="242"/>
      <c r="AW94" s="242"/>
      <c r="AX94" s="242"/>
      <c r="AY94" s="242"/>
      <c r="AZ94" s="242"/>
      <c r="BA94" s="242"/>
      <c r="BB94" s="243"/>
      <c r="BC94" s="243"/>
      <c r="BD94" s="243"/>
      <c r="BE94" s="243"/>
      <c r="BF94" s="243"/>
      <c r="BG94" s="243"/>
      <c r="BH94" s="243"/>
      <c r="BI94" s="242"/>
      <c r="BJ94" s="242"/>
      <c r="BK94" s="242"/>
      <c r="BL94" s="242"/>
      <c r="BM94" s="242"/>
      <c r="BN94" s="242"/>
      <c r="BO94" s="242"/>
      <c r="BP94" s="243"/>
      <c r="BQ94" s="243"/>
      <c r="BR94" s="243"/>
      <c r="BS94" s="243"/>
      <c r="BT94" s="243"/>
      <c r="BU94" s="243"/>
      <c r="BV94" s="243"/>
      <c r="BW94" s="242"/>
      <c r="BX94" s="242"/>
      <c r="BY94" s="242"/>
      <c r="BZ94" s="242"/>
      <c r="CA94" s="242"/>
      <c r="CB94" s="242"/>
      <c r="CC94" s="242"/>
      <c r="CD94" s="243"/>
      <c r="CE94" s="243"/>
      <c r="CF94" s="243"/>
      <c r="CG94" s="243"/>
      <c r="CH94" s="243"/>
      <c r="CI94" s="243"/>
      <c r="CJ94" s="243"/>
      <c r="CK94" s="242"/>
      <c r="CL94" s="242"/>
      <c r="CM94" s="242"/>
      <c r="CN94" s="242"/>
      <c r="CO94" s="242"/>
      <c r="CP94" s="242"/>
      <c r="CQ94" s="242"/>
      <c r="CR94" s="243"/>
      <c r="CS94" s="243"/>
      <c r="CT94" s="243"/>
      <c r="CU94" s="243"/>
      <c r="CV94" s="243"/>
      <c r="CW94" s="243">
        <v>12</v>
      </c>
      <c r="CX94" s="243">
        <v>24</v>
      </c>
      <c r="CY94" s="242">
        <v>24</v>
      </c>
      <c r="CZ94" s="242">
        <v>24</v>
      </c>
      <c r="DA94" s="242">
        <v>24</v>
      </c>
      <c r="DB94" s="242">
        <v>24</v>
      </c>
      <c r="DC94" s="242">
        <v>24</v>
      </c>
      <c r="DD94" s="242">
        <v>12</v>
      </c>
      <c r="DE94" s="242"/>
      <c r="DF94" s="243" t="s">
        <v>989</v>
      </c>
      <c r="DG94" s="243" t="s">
        <v>989</v>
      </c>
      <c r="DH94" s="243" t="s">
        <v>989</v>
      </c>
      <c r="DI94" s="243" t="s">
        <v>989</v>
      </c>
      <c r="DJ94" s="243" t="s">
        <v>989</v>
      </c>
      <c r="DK94" s="243" t="s">
        <v>989</v>
      </c>
      <c r="DL94" s="243" t="s">
        <v>989</v>
      </c>
      <c r="DM94" s="242" t="s">
        <v>989</v>
      </c>
      <c r="DN94" s="242" t="s">
        <v>989</v>
      </c>
      <c r="DO94" s="242" t="s">
        <v>989</v>
      </c>
      <c r="DP94" s="242" t="s">
        <v>989</v>
      </c>
      <c r="DQ94" s="242" t="s">
        <v>989</v>
      </c>
      <c r="DR94" s="242" t="s">
        <v>989</v>
      </c>
      <c r="DS94" s="242" t="s">
        <v>989</v>
      </c>
      <c r="DT94" s="243"/>
      <c r="DU94" s="243"/>
      <c r="DV94" s="243"/>
      <c r="DW94" s="243"/>
      <c r="DX94" s="243"/>
      <c r="DY94" s="243"/>
      <c r="DZ94" s="243"/>
      <c r="EA94" s="242"/>
      <c r="EB94" s="242"/>
      <c r="EC94" s="242"/>
      <c r="ED94" s="242"/>
      <c r="EE94" s="242"/>
      <c r="EF94" s="242"/>
      <c r="EG94" s="242"/>
      <c r="EH94" s="243"/>
      <c r="EI94" s="243"/>
      <c r="EJ94" s="243"/>
      <c r="EK94" s="243"/>
      <c r="EL94" s="243"/>
      <c r="EM94" s="243"/>
      <c r="EN94" s="243"/>
      <c r="EO94" s="242"/>
      <c r="EP94" s="242"/>
      <c r="EQ94" s="242"/>
      <c r="ER94" s="242"/>
      <c r="ES94" s="242"/>
      <c r="ET94" s="242"/>
      <c r="EU94" s="242"/>
      <c r="EV94" s="243"/>
      <c r="EW94" s="243"/>
      <c r="EX94" s="243"/>
      <c r="EY94" s="243"/>
      <c r="EZ94" s="243"/>
      <c r="FA94" s="243"/>
      <c r="FB94" s="243">
        <v>12</v>
      </c>
      <c r="FC94" s="242">
        <v>24</v>
      </c>
      <c r="FD94" s="242">
        <v>24</v>
      </c>
      <c r="FE94" s="242">
        <v>24</v>
      </c>
      <c r="FF94" s="242">
        <v>24</v>
      </c>
      <c r="FG94" s="242">
        <v>12</v>
      </c>
      <c r="FH94" s="242"/>
      <c r="FI94" s="242"/>
      <c r="FJ94" s="243"/>
      <c r="FK94" s="243"/>
      <c r="FL94" s="243"/>
      <c r="FM94" s="243"/>
      <c r="FN94" s="243"/>
      <c r="FO94" s="243"/>
      <c r="FP94" s="243"/>
      <c r="FQ94" s="242"/>
      <c r="FR94" s="242"/>
      <c r="FS94" s="242"/>
      <c r="FT94" s="242"/>
      <c r="FU94" s="242"/>
      <c r="FV94" s="242"/>
      <c r="FW94" s="242"/>
      <c r="FX94" s="243"/>
      <c r="FY94" s="243"/>
      <c r="FZ94" s="243"/>
      <c r="GA94" s="243"/>
      <c r="GB94" s="243"/>
      <c r="GC94" s="243"/>
      <c r="GD94" s="243"/>
      <c r="GE94" s="242"/>
      <c r="GF94" s="242"/>
      <c r="GG94" s="242"/>
      <c r="GH94" s="242"/>
      <c r="GI94" s="242"/>
      <c r="GJ94" s="242"/>
      <c r="GK94" s="242"/>
      <c r="GL94" s="243"/>
      <c r="GM94" s="243"/>
      <c r="GN94" s="243"/>
      <c r="GO94" s="243"/>
      <c r="GP94" s="243"/>
      <c r="GQ94" s="243"/>
      <c r="GR94" s="243"/>
      <c r="GS94" s="242"/>
      <c r="GT94" s="242"/>
      <c r="GU94" s="242"/>
      <c r="GV94" s="242"/>
      <c r="GW94" s="242"/>
      <c r="GX94" s="242"/>
      <c r="GY94" s="242"/>
      <c r="GZ94" s="243">
        <v>24</v>
      </c>
      <c r="HA94" s="243">
        <v>24</v>
      </c>
      <c r="HB94" s="243">
        <v>24</v>
      </c>
      <c r="HC94" s="243">
        <v>24</v>
      </c>
      <c r="HD94" s="243"/>
      <c r="HE94" s="243"/>
      <c r="HF94" s="243"/>
      <c r="HG94" s="242"/>
      <c r="HH94" s="242"/>
      <c r="HI94" s="242"/>
      <c r="HJ94" s="242"/>
      <c r="HK94" s="242"/>
      <c r="HL94" s="242"/>
      <c r="HM94" s="242"/>
      <c r="HN94" s="243"/>
      <c r="HO94" s="243"/>
      <c r="HP94" s="243"/>
      <c r="HQ94" s="243"/>
      <c r="HR94" s="243"/>
      <c r="HS94" s="243"/>
      <c r="HT94" s="243">
        <v>12</v>
      </c>
      <c r="HU94" s="242">
        <v>24</v>
      </c>
      <c r="HV94" s="242">
        <v>24</v>
      </c>
      <c r="HW94" s="242">
        <v>24</v>
      </c>
      <c r="HX94" s="242"/>
      <c r="HY94" s="242"/>
      <c r="HZ94" s="242"/>
      <c r="IA94" s="242"/>
      <c r="IB94" s="243"/>
      <c r="IC94" s="243"/>
      <c r="ID94" s="243"/>
      <c r="IE94" s="243"/>
      <c r="IF94" s="243"/>
      <c r="IG94" s="243"/>
      <c r="IH94" s="243"/>
      <c r="II94" s="242"/>
      <c r="IJ94" s="242"/>
      <c r="IK94" s="242"/>
      <c r="IL94" s="242"/>
      <c r="IM94" s="242"/>
      <c r="IN94" s="242"/>
      <c r="IO94" s="242"/>
      <c r="IP94" s="243"/>
      <c r="IQ94" s="243"/>
      <c r="IR94" s="243"/>
      <c r="IS94" s="243"/>
      <c r="IT94" s="243"/>
      <c r="IU94" s="243"/>
      <c r="IV94" s="243"/>
      <c r="IW94" s="242"/>
      <c r="IX94" s="242"/>
      <c r="IY94" s="242"/>
      <c r="IZ94" s="242"/>
      <c r="JA94" s="242"/>
      <c r="JB94" s="242"/>
      <c r="JC94" s="242"/>
      <c r="JD94" s="243"/>
      <c r="JE94" s="243"/>
      <c r="JF94" s="243"/>
      <c r="JG94" s="243"/>
      <c r="JH94" s="243"/>
      <c r="JI94" s="243"/>
      <c r="JJ94" s="243"/>
      <c r="JK94" s="242"/>
      <c r="JL94" s="242"/>
      <c r="JM94" s="242"/>
      <c r="JN94" s="242"/>
      <c r="JO94" s="242"/>
      <c r="JP94" s="242"/>
      <c r="JQ94" s="242"/>
      <c r="JR94" s="243"/>
      <c r="JS94" s="243"/>
      <c r="JT94" s="243"/>
      <c r="JU94" s="243"/>
      <c r="JV94" s="243"/>
      <c r="JW94" s="243"/>
      <c r="JX94" s="243"/>
      <c r="JY94" s="242"/>
      <c r="JZ94" s="242"/>
      <c r="KA94" s="242"/>
      <c r="KB94" s="242"/>
      <c r="KC94" s="242"/>
      <c r="KD94" s="242"/>
      <c r="KE94" s="242"/>
      <c r="KF94" s="243"/>
      <c r="KG94" s="243"/>
      <c r="KH94" s="243"/>
      <c r="KI94" s="243"/>
      <c r="KJ94" s="243"/>
      <c r="KK94" s="243"/>
      <c r="KL94" s="243"/>
      <c r="KM94" s="242"/>
      <c r="KN94" s="242"/>
      <c r="KO94" s="242"/>
      <c r="KP94" s="242"/>
      <c r="KQ94" s="242"/>
      <c r="KR94" s="242"/>
      <c r="KS94" s="242"/>
      <c r="KT94" s="243"/>
      <c r="KU94" s="243"/>
      <c r="KV94" s="243"/>
      <c r="KW94" s="243"/>
      <c r="KX94" s="243"/>
      <c r="KY94" s="243"/>
      <c r="KZ94" s="243"/>
      <c r="LA94" s="242"/>
      <c r="LB94" s="242"/>
      <c r="LC94" s="242"/>
      <c r="LD94" s="242"/>
      <c r="LE94" s="242"/>
      <c r="LF94" s="242"/>
      <c r="LG94" s="242"/>
      <c r="LH94" s="243"/>
      <c r="LI94" s="243"/>
      <c r="LJ94" s="243"/>
      <c r="LK94" s="243"/>
      <c r="LL94" s="243"/>
      <c r="LM94" s="243"/>
      <c r="LN94" s="243">
        <v>12</v>
      </c>
      <c r="LO94" s="242">
        <v>24</v>
      </c>
      <c r="LP94" s="242">
        <v>24</v>
      </c>
      <c r="LQ94" s="242">
        <v>24</v>
      </c>
      <c r="LR94" s="242">
        <v>12</v>
      </c>
      <c r="LS94" s="242"/>
      <c r="LT94" s="242"/>
      <c r="LU94" s="242"/>
      <c r="LV94" s="243"/>
      <c r="LW94" s="243"/>
      <c r="LX94" s="243"/>
      <c r="LY94" s="243"/>
      <c r="LZ94" s="243"/>
      <c r="MA94" s="243"/>
      <c r="MB94" s="243"/>
      <c r="MC94" s="242"/>
      <c r="MD94" s="242"/>
      <c r="ME94" s="242"/>
      <c r="MF94" s="242"/>
      <c r="MG94" s="242"/>
      <c r="MH94" s="242"/>
      <c r="MI94" s="242"/>
      <c r="MJ94" s="243"/>
      <c r="MK94" s="243"/>
      <c r="ML94" s="243"/>
      <c r="MM94" s="243"/>
      <c r="MN94" s="243"/>
      <c r="MO94" s="243"/>
      <c r="MP94" s="243"/>
      <c r="MQ94" s="242"/>
      <c r="MR94" s="242"/>
      <c r="MS94" s="242"/>
      <c r="MT94" s="242"/>
      <c r="MU94" s="242"/>
      <c r="MV94" s="242"/>
      <c r="MW94" s="242"/>
      <c r="MX94" s="243"/>
      <c r="MY94" s="243"/>
      <c r="MZ94" s="243"/>
      <c r="NA94" s="243"/>
      <c r="NB94" s="243"/>
      <c r="NC94" s="243"/>
      <c r="ND94" s="243"/>
      <c r="NE94" s="242"/>
      <c r="NF94" s="242"/>
      <c r="NG94" s="242"/>
      <c r="NH94" s="333" t="s">
        <v>1258</v>
      </c>
    </row>
    <row r="95" spans="1:372">
      <c r="A95" s="251" t="s">
        <v>978</v>
      </c>
      <c r="B95" s="251" t="s">
        <v>75</v>
      </c>
      <c r="C95" s="251" t="s">
        <v>674</v>
      </c>
      <c r="D95" s="251" t="s">
        <v>982</v>
      </c>
      <c r="E95" s="241">
        <v>37.814111006660092</v>
      </c>
      <c r="F95" s="241">
        <v>480</v>
      </c>
      <c r="G95" s="242"/>
      <c r="H95" s="242"/>
      <c r="I95" s="242"/>
      <c r="J95" s="242"/>
      <c r="K95" s="242"/>
      <c r="L95" s="243"/>
      <c r="M95" s="243"/>
      <c r="N95" s="243"/>
      <c r="O95" s="243"/>
      <c r="P95" s="243"/>
      <c r="Q95" s="243"/>
      <c r="R95" s="243"/>
      <c r="S95" s="242"/>
      <c r="T95" s="242"/>
      <c r="U95" s="242"/>
      <c r="V95" s="242"/>
      <c r="W95" s="242"/>
      <c r="X95" s="242"/>
      <c r="Y95" s="242"/>
      <c r="Z95" s="243"/>
      <c r="AA95" s="243"/>
      <c r="AB95" s="243"/>
      <c r="AC95" s="243"/>
      <c r="AD95" s="243"/>
      <c r="AE95" s="243"/>
      <c r="AF95" s="243"/>
      <c r="AG95" s="242"/>
      <c r="AH95" s="242"/>
      <c r="AI95" s="242"/>
      <c r="AJ95" s="242"/>
      <c r="AK95" s="242"/>
      <c r="AL95" s="242"/>
      <c r="AM95" s="242"/>
      <c r="AN95" s="243"/>
      <c r="AO95" s="243"/>
      <c r="AP95" s="243"/>
      <c r="AQ95" s="243"/>
      <c r="AR95" s="243"/>
      <c r="AS95" s="243"/>
      <c r="AT95" s="243"/>
      <c r="AU95" s="242"/>
      <c r="AV95" s="242"/>
      <c r="AW95" s="242"/>
      <c r="AX95" s="242"/>
      <c r="AY95" s="242"/>
      <c r="AZ95" s="242"/>
      <c r="BA95" s="242"/>
      <c r="BB95" s="243"/>
      <c r="BC95" s="243"/>
      <c r="BD95" s="243"/>
      <c r="BE95" s="243"/>
      <c r="BF95" s="243"/>
      <c r="BG95" s="243"/>
      <c r="BH95" s="243"/>
      <c r="BI95" s="242"/>
      <c r="BJ95" s="242"/>
      <c r="BK95" s="242"/>
      <c r="BL95" s="242"/>
      <c r="BM95" s="242"/>
      <c r="BN95" s="242"/>
      <c r="BO95" s="242"/>
      <c r="BP95" s="243"/>
      <c r="BQ95" s="243"/>
      <c r="BR95" s="243"/>
      <c r="BS95" s="243"/>
      <c r="BT95" s="243"/>
      <c r="BU95" s="243"/>
      <c r="BV95" s="243"/>
      <c r="BW95" s="242"/>
      <c r="BX95" s="242"/>
      <c r="BY95" s="242"/>
      <c r="BZ95" s="242"/>
      <c r="CA95" s="242"/>
      <c r="CB95" s="242"/>
      <c r="CC95" s="242"/>
      <c r="CD95" s="243"/>
      <c r="CE95" s="243"/>
      <c r="CF95" s="243"/>
      <c r="CG95" s="243"/>
      <c r="CH95" s="243"/>
      <c r="CI95" s="243"/>
      <c r="CJ95" s="243"/>
      <c r="CK95" s="242"/>
      <c r="CL95" s="242"/>
      <c r="CM95" s="242"/>
      <c r="CN95" s="242"/>
      <c r="CO95" s="242"/>
      <c r="CP95" s="242"/>
      <c r="CQ95" s="242"/>
      <c r="CR95" s="243"/>
      <c r="CS95" s="243"/>
      <c r="CT95" s="243"/>
      <c r="CU95" s="243"/>
      <c r="CV95" s="243"/>
      <c r="CW95" s="243">
        <v>12</v>
      </c>
      <c r="CX95" s="243">
        <v>24</v>
      </c>
      <c r="CY95" s="242">
        <v>24</v>
      </c>
      <c r="CZ95" s="242">
        <v>24</v>
      </c>
      <c r="DA95" s="242">
        <v>24</v>
      </c>
      <c r="DB95" s="242">
        <v>24</v>
      </c>
      <c r="DC95" s="242">
        <v>24</v>
      </c>
      <c r="DD95" s="242">
        <v>12</v>
      </c>
      <c r="DE95" s="242"/>
      <c r="DF95" s="243"/>
      <c r="DG95" s="243"/>
      <c r="DH95" s="243"/>
      <c r="DI95" s="243"/>
      <c r="DJ95" s="243"/>
      <c r="DK95" s="243"/>
      <c r="DL95" s="243"/>
      <c r="DM95" s="242"/>
      <c r="DN95" s="242"/>
      <c r="DO95" s="242"/>
      <c r="DP95" s="242"/>
      <c r="DQ95" s="242"/>
      <c r="DR95" s="242"/>
      <c r="DS95" s="242"/>
      <c r="DT95" s="243"/>
      <c r="DU95" s="243"/>
      <c r="DV95" s="243"/>
      <c r="DW95" s="243"/>
      <c r="DX95" s="243"/>
      <c r="DY95" s="243"/>
      <c r="DZ95" s="243"/>
      <c r="EA95" s="242"/>
      <c r="EB95" s="242"/>
      <c r="EC95" s="242"/>
      <c r="ED95" s="242"/>
      <c r="EE95" s="242"/>
      <c r="EF95" s="242"/>
      <c r="EG95" s="242"/>
      <c r="EH95" s="243"/>
      <c r="EI95" s="243"/>
      <c r="EJ95" s="243"/>
      <c r="EK95" s="243"/>
      <c r="EL95" s="243"/>
      <c r="EM95" s="243"/>
      <c r="EN95" s="243"/>
      <c r="EO95" s="242"/>
      <c r="EP95" s="242"/>
      <c r="EQ95" s="242"/>
      <c r="ER95" s="242"/>
      <c r="ES95" s="242"/>
      <c r="ET95" s="242"/>
      <c r="EU95" s="242"/>
      <c r="EV95" s="243"/>
      <c r="EW95" s="243"/>
      <c r="EX95" s="243"/>
      <c r="EY95" s="243"/>
      <c r="EZ95" s="243"/>
      <c r="FA95" s="243"/>
      <c r="FB95" s="243">
        <v>12</v>
      </c>
      <c r="FC95" s="242">
        <v>24</v>
      </c>
      <c r="FD95" s="242">
        <v>24</v>
      </c>
      <c r="FE95" s="242">
        <v>24</v>
      </c>
      <c r="FF95" s="242">
        <v>24</v>
      </c>
      <c r="FG95" s="242">
        <v>12</v>
      </c>
      <c r="FH95" s="242"/>
      <c r="FI95" s="242"/>
      <c r="FJ95" s="243"/>
      <c r="FK95" s="243"/>
      <c r="FL95" s="243"/>
      <c r="FM95" s="243"/>
      <c r="FN95" s="243"/>
      <c r="FO95" s="243"/>
      <c r="FP95" s="243"/>
      <c r="FQ95" s="242"/>
      <c r="FR95" s="242"/>
      <c r="FS95" s="242"/>
      <c r="FT95" s="242"/>
      <c r="FU95" s="242"/>
      <c r="FV95" s="242"/>
      <c r="FW95" s="242"/>
      <c r="FX95" s="243"/>
      <c r="FY95" s="243"/>
      <c r="FZ95" s="243"/>
      <c r="GA95" s="243"/>
      <c r="GB95" s="243"/>
      <c r="GC95" s="243"/>
      <c r="GD95" s="243"/>
      <c r="GE95" s="242"/>
      <c r="GF95" s="242"/>
      <c r="GG95" s="242"/>
      <c r="GH95" s="242"/>
      <c r="GI95" s="242"/>
      <c r="GJ95" s="242"/>
      <c r="GK95" s="242"/>
      <c r="GL95" s="243"/>
      <c r="GM95" s="243"/>
      <c r="GN95" s="243"/>
      <c r="GO95" s="243"/>
      <c r="GP95" s="243"/>
      <c r="GQ95" s="243"/>
      <c r="GR95" s="243"/>
      <c r="GS95" s="242"/>
      <c r="GT95" s="242"/>
      <c r="GU95" s="242"/>
      <c r="GV95" s="242"/>
      <c r="GW95" s="242"/>
      <c r="GX95" s="242"/>
      <c r="GY95" s="242"/>
      <c r="GZ95" s="243">
        <v>24</v>
      </c>
      <c r="HA95" s="243">
        <v>24</v>
      </c>
      <c r="HB95" s="243">
        <v>24</v>
      </c>
      <c r="HC95" s="243">
        <v>24</v>
      </c>
      <c r="HD95" s="243"/>
      <c r="HE95" s="243"/>
      <c r="HF95" s="243"/>
      <c r="HG95" s="242"/>
      <c r="HH95" s="242"/>
      <c r="HI95" s="242"/>
      <c r="HJ95" s="242"/>
      <c r="HK95" s="242"/>
      <c r="HL95" s="242"/>
      <c r="HM95" s="242"/>
      <c r="HN95" s="243"/>
      <c r="HO95" s="243"/>
      <c r="HP95" s="243"/>
      <c r="HQ95" s="243"/>
      <c r="HR95" s="243"/>
      <c r="HS95" s="243"/>
      <c r="HT95" s="243"/>
      <c r="HU95" s="242"/>
      <c r="HV95" s="242"/>
      <c r="HW95" s="242"/>
      <c r="HX95" s="242"/>
      <c r="HY95" s="242"/>
      <c r="HZ95" s="242"/>
      <c r="IA95" s="242"/>
      <c r="IB95" s="243"/>
      <c r="IC95" s="243"/>
      <c r="ID95" s="243"/>
      <c r="IE95" s="243"/>
      <c r="IF95" s="243"/>
      <c r="IG95" s="243"/>
      <c r="IH95" s="243"/>
      <c r="II95" s="242"/>
      <c r="IJ95" s="242"/>
      <c r="IK95" s="242"/>
      <c r="IL95" s="242"/>
      <c r="IM95" s="242"/>
      <c r="IN95" s="242"/>
      <c r="IO95" s="242"/>
      <c r="IP95" s="243"/>
      <c r="IQ95" s="243"/>
      <c r="IR95" s="243"/>
      <c r="IS95" s="243"/>
      <c r="IT95" s="243"/>
      <c r="IU95" s="243"/>
      <c r="IV95" s="243"/>
      <c r="IW95" s="242"/>
      <c r="IX95" s="242"/>
      <c r="IY95" s="242"/>
      <c r="IZ95" s="242"/>
      <c r="JA95" s="242"/>
      <c r="JB95" s="242"/>
      <c r="JC95" s="242"/>
      <c r="JD95" s="243"/>
      <c r="JE95" s="243"/>
      <c r="JF95" s="243"/>
      <c r="JG95" s="243"/>
      <c r="JH95" s="243"/>
      <c r="JI95" s="243"/>
      <c r="JJ95" s="243"/>
      <c r="JK95" s="242"/>
      <c r="JL95" s="242"/>
      <c r="JM95" s="242"/>
      <c r="JN95" s="242"/>
      <c r="JO95" s="242"/>
      <c r="JP95" s="242"/>
      <c r="JQ95" s="242"/>
      <c r="JR95" s="243"/>
      <c r="JS95" s="243"/>
      <c r="JT95" s="243"/>
      <c r="JU95" s="243"/>
      <c r="JV95" s="243"/>
      <c r="JW95" s="243"/>
      <c r="JX95" s="243"/>
      <c r="JY95" s="242"/>
      <c r="JZ95" s="242"/>
      <c r="KA95" s="242"/>
      <c r="KB95" s="242"/>
      <c r="KC95" s="242"/>
      <c r="KD95" s="242"/>
      <c r="KE95" s="242"/>
      <c r="KF95" s="243"/>
      <c r="KG95" s="243"/>
      <c r="KH95" s="243"/>
      <c r="KI95" s="243"/>
      <c r="KJ95" s="243"/>
      <c r="KK95" s="243"/>
      <c r="KL95" s="243"/>
      <c r="KM95" s="242"/>
      <c r="KN95" s="242"/>
      <c r="KO95" s="242"/>
      <c r="KP95" s="242"/>
      <c r="KQ95" s="242"/>
      <c r="KR95" s="242"/>
      <c r="KS95" s="242"/>
      <c r="KT95" s="243"/>
      <c r="KU95" s="243"/>
      <c r="KV95" s="243"/>
      <c r="KW95" s="243"/>
      <c r="KX95" s="243"/>
      <c r="KY95" s="243"/>
      <c r="KZ95" s="243"/>
      <c r="LA95" s="242"/>
      <c r="LB95" s="242"/>
      <c r="LC95" s="242"/>
      <c r="LD95" s="242"/>
      <c r="LE95" s="242"/>
      <c r="LF95" s="242"/>
      <c r="LG95" s="242"/>
      <c r="LH95" s="243"/>
      <c r="LI95" s="243"/>
      <c r="LJ95" s="243"/>
      <c r="LK95" s="243"/>
      <c r="LL95" s="243"/>
      <c r="LM95" s="243"/>
      <c r="LN95" s="243"/>
      <c r="LO95" s="242"/>
      <c r="LP95" s="242"/>
      <c r="LQ95" s="242"/>
      <c r="LR95" s="242"/>
      <c r="LS95" s="242"/>
      <c r="LT95" s="242"/>
      <c r="LU95" s="242"/>
      <c r="LV95" s="243"/>
      <c r="LW95" s="243"/>
      <c r="LX95" s="243"/>
      <c r="LY95" s="243"/>
      <c r="LZ95" s="243"/>
      <c r="MA95" s="243"/>
      <c r="MB95" s="243"/>
      <c r="MC95" s="242"/>
      <c r="MD95" s="242"/>
      <c r="ME95" s="242"/>
      <c r="MF95" s="242"/>
      <c r="MG95" s="242"/>
      <c r="MH95" s="242"/>
      <c r="MI95" s="242">
        <v>12</v>
      </c>
      <c r="MJ95" s="243">
        <v>24</v>
      </c>
      <c r="MK95" s="243">
        <v>24</v>
      </c>
      <c r="ML95" s="243">
        <v>24</v>
      </c>
      <c r="MM95" s="243">
        <v>12</v>
      </c>
      <c r="MN95" s="243"/>
      <c r="MO95" s="243"/>
      <c r="MP95" s="243"/>
      <c r="MQ95" s="242"/>
      <c r="MR95" s="242"/>
      <c r="MS95" s="242"/>
      <c r="MT95" s="242"/>
      <c r="MU95" s="242"/>
      <c r="MV95" s="242"/>
      <c r="MW95" s="242"/>
      <c r="MX95" s="243"/>
      <c r="MY95" s="243"/>
      <c r="MZ95" s="243"/>
      <c r="NA95" s="243"/>
      <c r="NB95" s="243"/>
      <c r="NC95" s="243"/>
      <c r="ND95" s="243"/>
      <c r="NE95" s="242"/>
      <c r="NF95" s="242"/>
      <c r="NG95" s="242"/>
      <c r="NH95" s="333" t="s">
        <v>1259</v>
      </c>
    </row>
    <row r="96" spans="1:372">
      <c r="A96" s="251" t="s">
        <v>978</v>
      </c>
      <c r="B96" s="251" t="s">
        <v>76</v>
      </c>
      <c r="C96" s="251" t="s">
        <v>674</v>
      </c>
      <c r="D96" s="251" t="s">
        <v>982</v>
      </c>
      <c r="E96" s="241">
        <v>39.317588758326757</v>
      </c>
      <c r="F96" s="241">
        <v>384</v>
      </c>
      <c r="G96" s="242"/>
      <c r="H96" s="242"/>
      <c r="I96" s="242"/>
      <c r="J96" s="242"/>
      <c r="K96" s="242"/>
      <c r="L96" s="243"/>
      <c r="M96" s="243"/>
      <c r="N96" s="243"/>
      <c r="O96" s="243"/>
      <c r="P96" s="243"/>
      <c r="Q96" s="243"/>
      <c r="R96" s="243"/>
      <c r="S96" s="242"/>
      <c r="T96" s="242"/>
      <c r="U96" s="242"/>
      <c r="V96" s="242"/>
      <c r="W96" s="242"/>
      <c r="X96" s="242"/>
      <c r="Y96" s="242"/>
      <c r="Z96" s="243"/>
      <c r="AA96" s="243"/>
      <c r="AB96" s="243"/>
      <c r="AC96" s="243"/>
      <c r="AD96" s="243"/>
      <c r="AE96" s="243"/>
      <c r="AF96" s="243"/>
      <c r="AG96" s="242"/>
      <c r="AH96" s="242"/>
      <c r="AI96" s="242"/>
      <c r="AJ96" s="242"/>
      <c r="AK96" s="242"/>
      <c r="AL96" s="242"/>
      <c r="AM96" s="242"/>
      <c r="AN96" s="243"/>
      <c r="AO96" s="243"/>
      <c r="AP96" s="243"/>
      <c r="AQ96" s="243"/>
      <c r="AR96" s="243"/>
      <c r="AS96" s="243"/>
      <c r="AT96" s="243"/>
      <c r="AU96" s="242"/>
      <c r="AV96" s="242"/>
      <c r="AW96" s="242"/>
      <c r="AX96" s="242"/>
      <c r="AY96" s="242"/>
      <c r="AZ96" s="242"/>
      <c r="BA96" s="242"/>
      <c r="BB96" s="243"/>
      <c r="BC96" s="243"/>
      <c r="BD96" s="243"/>
      <c r="BE96" s="243"/>
      <c r="BF96" s="243"/>
      <c r="BG96" s="243"/>
      <c r="BH96" s="243"/>
      <c r="BI96" s="242"/>
      <c r="BJ96" s="242"/>
      <c r="BK96" s="242"/>
      <c r="BL96" s="242"/>
      <c r="BM96" s="242"/>
      <c r="BN96" s="242"/>
      <c r="BO96" s="242"/>
      <c r="BP96" s="243"/>
      <c r="BQ96" s="243"/>
      <c r="BR96" s="243"/>
      <c r="BS96" s="243"/>
      <c r="BT96" s="243"/>
      <c r="BU96" s="243"/>
      <c r="BV96" s="243"/>
      <c r="BW96" s="242"/>
      <c r="BX96" s="242"/>
      <c r="BY96" s="242"/>
      <c r="BZ96" s="242"/>
      <c r="CA96" s="242"/>
      <c r="CB96" s="242"/>
      <c r="CC96" s="242"/>
      <c r="CD96" s="243"/>
      <c r="CE96" s="243"/>
      <c r="CF96" s="243"/>
      <c r="CG96" s="243"/>
      <c r="CH96" s="243"/>
      <c r="CI96" s="243"/>
      <c r="CJ96" s="243"/>
      <c r="CK96" s="242"/>
      <c r="CL96" s="242"/>
      <c r="CM96" s="242"/>
      <c r="CN96" s="242"/>
      <c r="CO96" s="242"/>
      <c r="CP96" s="242"/>
      <c r="CQ96" s="242"/>
      <c r="CR96" s="243"/>
      <c r="CS96" s="243"/>
      <c r="CT96" s="243"/>
      <c r="CU96" s="243"/>
      <c r="CV96" s="243"/>
      <c r="CW96" s="243">
        <v>12</v>
      </c>
      <c r="CX96" s="243">
        <v>24</v>
      </c>
      <c r="CY96" s="242">
        <v>24</v>
      </c>
      <c r="CZ96" s="242">
        <v>24</v>
      </c>
      <c r="DA96" s="242">
        <v>24</v>
      </c>
      <c r="DB96" s="242">
        <v>24</v>
      </c>
      <c r="DC96" s="242">
        <v>24</v>
      </c>
      <c r="DD96" s="242">
        <v>12</v>
      </c>
      <c r="DE96" s="242"/>
      <c r="DF96" s="243"/>
      <c r="DG96" s="243"/>
      <c r="DH96" s="243"/>
      <c r="DI96" s="243"/>
      <c r="DJ96" s="243"/>
      <c r="DK96" s="243"/>
      <c r="DL96" s="243"/>
      <c r="DM96" s="242"/>
      <c r="DN96" s="242"/>
      <c r="DO96" s="242"/>
      <c r="DP96" s="242"/>
      <c r="DQ96" s="242"/>
      <c r="DR96" s="242"/>
      <c r="DS96" s="242"/>
      <c r="DT96" s="243"/>
      <c r="DU96" s="243"/>
      <c r="DV96" s="243"/>
      <c r="DW96" s="243"/>
      <c r="DX96" s="243"/>
      <c r="DY96" s="243"/>
      <c r="DZ96" s="243"/>
      <c r="EA96" s="242"/>
      <c r="EB96" s="242"/>
      <c r="EC96" s="242"/>
      <c r="ED96" s="242"/>
      <c r="EE96" s="242"/>
      <c r="EF96" s="242"/>
      <c r="EG96" s="242"/>
      <c r="EH96" s="243"/>
      <c r="EI96" s="243"/>
      <c r="EJ96" s="243"/>
      <c r="EK96" s="243"/>
      <c r="EL96" s="243"/>
      <c r="EM96" s="243"/>
      <c r="EN96" s="243"/>
      <c r="EO96" s="242"/>
      <c r="EP96" s="242"/>
      <c r="EQ96" s="242"/>
      <c r="ER96" s="242"/>
      <c r="ES96" s="242"/>
      <c r="ET96" s="242"/>
      <c r="EU96" s="242"/>
      <c r="EV96" s="243"/>
      <c r="EW96" s="243"/>
      <c r="EX96" s="243"/>
      <c r="EY96" s="243"/>
      <c r="EZ96" s="243"/>
      <c r="FA96" s="243"/>
      <c r="FB96" s="243">
        <v>12</v>
      </c>
      <c r="FC96" s="242">
        <v>24</v>
      </c>
      <c r="FD96" s="242">
        <v>24</v>
      </c>
      <c r="FE96" s="242">
        <v>24</v>
      </c>
      <c r="FF96" s="242">
        <v>24</v>
      </c>
      <c r="FG96" s="242">
        <v>12</v>
      </c>
      <c r="FH96" s="242"/>
      <c r="FI96" s="242"/>
      <c r="FJ96" s="243"/>
      <c r="FK96" s="243"/>
      <c r="FL96" s="243"/>
      <c r="FM96" s="243"/>
      <c r="FN96" s="243"/>
      <c r="FO96" s="243"/>
      <c r="FP96" s="243"/>
      <c r="FQ96" s="242"/>
      <c r="FR96" s="242"/>
      <c r="FS96" s="242"/>
      <c r="FT96" s="242"/>
      <c r="FU96" s="242"/>
      <c r="FV96" s="242"/>
      <c r="FW96" s="242"/>
      <c r="FX96" s="243"/>
      <c r="FY96" s="243"/>
      <c r="FZ96" s="243"/>
      <c r="GA96" s="243"/>
      <c r="GB96" s="243"/>
      <c r="GC96" s="243"/>
      <c r="GD96" s="243"/>
      <c r="GE96" s="242"/>
      <c r="GF96" s="242"/>
      <c r="GG96" s="242"/>
      <c r="GH96" s="242"/>
      <c r="GI96" s="242"/>
      <c r="GJ96" s="242"/>
      <c r="GK96" s="242"/>
      <c r="GL96" s="243"/>
      <c r="GM96" s="243"/>
      <c r="GN96" s="243"/>
      <c r="GO96" s="243"/>
      <c r="GP96" s="243"/>
      <c r="GQ96" s="243"/>
      <c r="GR96" s="243"/>
      <c r="GS96" s="242"/>
      <c r="GT96" s="242"/>
      <c r="GU96" s="242"/>
      <c r="GV96" s="242"/>
      <c r="GW96" s="242"/>
      <c r="GX96" s="242"/>
      <c r="GY96" s="242"/>
      <c r="GZ96" s="243">
        <v>24</v>
      </c>
      <c r="HA96" s="243">
        <v>24</v>
      </c>
      <c r="HB96" s="243">
        <v>24</v>
      </c>
      <c r="HC96" s="243">
        <v>24</v>
      </c>
      <c r="HD96" s="243"/>
      <c r="HE96" s="243"/>
      <c r="HF96" s="243"/>
      <c r="HG96" s="242"/>
      <c r="HH96" s="242"/>
      <c r="HI96" s="242"/>
      <c r="HJ96" s="242"/>
      <c r="HK96" s="242"/>
      <c r="HL96" s="242"/>
      <c r="HM96" s="242"/>
      <c r="HN96" s="243"/>
      <c r="HO96" s="243"/>
      <c r="HP96" s="243"/>
      <c r="HQ96" s="243"/>
      <c r="HR96" s="243"/>
      <c r="HS96" s="243"/>
      <c r="HT96" s="243"/>
      <c r="HU96" s="242"/>
      <c r="HV96" s="242"/>
      <c r="HW96" s="242"/>
      <c r="HX96" s="242"/>
      <c r="HY96" s="242"/>
      <c r="HZ96" s="242"/>
      <c r="IA96" s="242"/>
      <c r="IB96" s="243"/>
      <c r="IC96" s="243"/>
      <c r="ID96" s="243"/>
      <c r="IE96" s="243"/>
      <c r="IF96" s="243"/>
      <c r="IG96" s="243"/>
      <c r="IH96" s="243"/>
      <c r="II96" s="242"/>
      <c r="IJ96" s="242"/>
      <c r="IK96" s="242"/>
      <c r="IL96" s="242"/>
      <c r="IM96" s="242"/>
      <c r="IN96" s="242"/>
      <c r="IO96" s="242"/>
      <c r="IP96" s="243"/>
      <c r="IQ96" s="243"/>
      <c r="IR96" s="243"/>
      <c r="IS96" s="243"/>
      <c r="IT96" s="243"/>
      <c r="IU96" s="243"/>
      <c r="IV96" s="243"/>
      <c r="IW96" s="242"/>
      <c r="IX96" s="242"/>
      <c r="IY96" s="242"/>
      <c r="IZ96" s="242"/>
      <c r="JA96" s="242"/>
      <c r="JB96" s="242"/>
      <c r="JC96" s="242"/>
      <c r="JD96" s="243"/>
      <c r="JE96" s="243"/>
      <c r="JF96" s="243"/>
      <c r="JG96" s="243"/>
      <c r="JH96" s="243"/>
      <c r="JI96" s="243"/>
      <c r="JJ96" s="243"/>
      <c r="JK96" s="242"/>
      <c r="JL96" s="242"/>
      <c r="JM96" s="242"/>
      <c r="JN96" s="242"/>
      <c r="JO96" s="242"/>
      <c r="JP96" s="242"/>
      <c r="JQ96" s="242"/>
      <c r="JR96" s="243"/>
      <c r="JS96" s="243"/>
      <c r="JT96" s="243"/>
      <c r="JU96" s="243"/>
      <c r="JV96" s="243"/>
      <c r="JW96" s="243"/>
      <c r="JX96" s="243"/>
      <c r="JY96" s="242"/>
      <c r="JZ96" s="242"/>
      <c r="KA96" s="242"/>
      <c r="KB96" s="242"/>
      <c r="KC96" s="242"/>
      <c r="KD96" s="242"/>
      <c r="KE96" s="242"/>
      <c r="KF96" s="243"/>
      <c r="KG96" s="243"/>
      <c r="KH96" s="243"/>
      <c r="KI96" s="243"/>
      <c r="KJ96" s="243"/>
      <c r="KK96" s="243"/>
      <c r="KL96" s="243"/>
      <c r="KM96" s="242"/>
      <c r="KN96" s="242"/>
      <c r="KO96" s="242"/>
      <c r="KP96" s="242"/>
      <c r="KQ96" s="242"/>
      <c r="KR96" s="242"/>
      <c r="KS96" s="242"/>
      <c r="KT96" s="243"/>
      <c r="KU96" s="243"/>
      <c r="KV96" s="243"/>
      <c r="KW96" s="243"/>
      <c r="KX96" s="243"/>
      <c r="KY96" s="243"/>
      <c r="KZ96" s="243"/>
      <c r="LA96" s="242"/>
      <c r="LB96" s="242"/>
      <c r="LC96" s="242"/>
      <c r="LD96" s="242"/>
      <c r="LE96" s="242"/>
      <c r="LF96" s="242"/>
      <c r="LG96" s="242"/>
      <c r="LH96" s="243"/>
      <c r="LI96" s="243"/>
      <c r="LJ96" s="243"/>
      <c r="LK96" s="243"/>
      <c r="LL96" s="243"/>
      <c r="LM96" s="243"/>
      <c r="LN96" s="243"/>
      <c r="LO96" s="242"/>
      <c r="LP96" s="242"/>
      <c r="LQ96" s="242"/>
      <c r="LR96" s="242"/>
      <c r="LS96" s="242"/>
      <c r="LT96" s="242"/>
      <c r="LU96" s="242"/>
      <c r="LV96" s="243"/>
      <c r="LW96" s="243"/>
      <c r="LX96" s="243"/>
      <c r="LY96" s="243"/>
      <c r="LZ96" s="243"/>
      <c r="MA96" s="243"/>
      <c r="MB96" s="243"/>
      <c r="MC96" s="242"/>
      <c r="MD96" s="242"/>
      <c r="ME96" s="242"/>
      <c r="MF96" s="242"/>
      <c r="MG96" s="242"/>
      <c r="MH96" s="242"/>
      <c r="MI96" s="242"/>
      <c r="MJ96" s="243"/>
      <c r="MK96" s="243"/>
      <c r="ML96" s="243"/>
      <c r="MM96" s="243"/>
      <c r="MN96" s="243"/>
      <c r="MO96" s="243"/>
      <c r="MP96" s="243"/>
      <c r="MQ96" s="242"/>
      <c r="MR96" s="242"/>
      <c r="MS96" s="242"/>
      <c r="MT96" s="242"/>
      <c r="MU96" s="242"/>
      <c r="MV96" s="242"/>
      <c r="MW96" s="242"/>
      <c r="MX96" s="243"/>
      <c r="MY96" s="243"/>
      <c r="MZ96" s="243"/>
      <c r="NA96" s="243"/>
      <c r="NB96" s="243"/>
      <c r="NC96" s="243"/>
      <c r="ND96" s="243"/>
      <c r="NE96" s="242"/>
      <c r="NF96" s="242"/>
      <c r="NG96" s="242"/>
      <c r="NH96" s="333" t="s">
        <v>1259</v>
      </c>
    </row>
    <row r="97" spans="1:372">
      <c r="A97" s="251" t="s">
        <v>978</v>
      </c>
      <c r="B97" s="251" t="s">
        <v>77</v>
      </c>
      <c r="C97" s="251" t="s">
        <v>674</v>
      </c>
      <c r="D97" s="251" t="s">
        <v>982</v>
      </c>
      <c r="E97" s="241">
        <v>21.259405503330701</v>
      </c>
      <c r="F97" s="241">
        <v>468</v>
      </c>
      <c r="G97" s="242"/>
      <c r="H97" s="242"/>
      <c r="I97" s="242"/>
      <c r="J97" s="242"/>
      <c r="K97" s="242"/>
      <c r="L97" s="243"/>
      <c r="M97" s="243"/>
      <c r="N97" s="243"/>
      <c r="O97" s="243"/>
      <c r="P97" s="243"/>
      <c r="Q97" s="243"/>
      <c r="R97" s="243"/>
      <c r="S97" s="242"/>
      <c r="T97" s="242"/>
      <c r="U97" s="242"/>
      <c r="V97" s="242"/>
      <c r="W97" s="242"/>
      <c r="X97" s="242"/>
      <c r="Y97" s="242"/>
      <c r="Z97" s="243"/>
      <c r="AA97" s="243"/>
      <c r="AB97" s="243"/>
      <c r="AC97" s="243"/>
      <c r="AD97" s="243"/>
      <c r="AE97" s="243"/>
      <c r="AF97" s="243"/>
      <c r="AG97" s="242"/>
      <c r="AH97" s="242"/>
      <c r="AI97" s="242"/>
      <c r="AJ97" s="242"/>
      <c r="AK97" s="242"/>
      <c r="AL97" s="242"/>
      <c r="AM97" s="242"/>
      <c r="AN97" s="243"/>
      <c r="AO97" s="243"/>
      <c r="AP97" s="243"/>
      <c r="AQ97" s="243"/>
      <c r="AR97" s="243"/>
      <c r="AS97" s="243"/>
      <c r="AT97" s="243"/>
      <c r="AU97" s="242"/>
      <c r="AV97" s="242"/>
      <c r="AW97" s="242"/>
      <c r="AX97" s="242"/>
      <c r="AY97" s="242"/>
      <c r="AZ97" s="242"/>
      <c r="BA97" s="242"/>
      <c r="BB97" s="243"/>
      <c r="BC97" s="243"/>
      <c r="BD97" s="243"/>
      <c r="BE97" s="243"/>
      <c r="BF97" s="243"/>
      <c r="BG97" s="243"/>
      <c r="BH97" s="243"/>
      <c r="BI97" s="242"/>
      <c r="BJ97" s="242"/>
      <c r="BK97" s="242"/>
      <c r="BL97" s="242"/>
      <c r="BM97" s="242"/>
      <c r="BN97" s="242"/>
      <c r="BO97" s="242"/>
      <c r="BP97" s="243"/>
      <c r="BQ97" s="243"/>
      <c r="BR97" s="243"/>
      <c r="BS97" s="243"/>
      <c r="BT97" s="243"/>
      <c r="BU97" s="243"/>
      <c r="BV97" s="243"/>
      <c r="BW97" s="242">
        <v>12</v>
      </c>
      <c r="BX97" s="242">
        <v>24</v>
      </c>
      <c r="BY97" s="242">
        <v>24</v>
      </c>
      <c r="BZ97" s="242">
        <v>24</v>
      </c>
      <c r="CA97" s="242"/>
      <c r="CB97" s="242"/>
      <c r="CC97" s="242"/>
      <c r="CD97" s="243"/>
      <c r="CE97" s="243"/>
      <c r="CF97" s="243"/>
      <c r="CG97" s="243"/>
      <c r="CH97" s="243"/>
      <c r="CI97" s="243"/>
      <c r="CJ97" s="243"/>
      <c r="CK97" s="242"/>
      <c r="CL97" s="242"/>
      <c r="CM97" s="242"/>
      <c r="CN97" s="242"/>
      <c r="CO97" s="242"/>
      <c r="CP97" s="242"/>
      <c r="CQ97" s="242"/>
      <c r="CR97" s="243"/>
      <c r="CS97" s="243"/>
      <c r="CT97" s="243"/>
      <c r="CU97" s="243"/>
      <c r="CV97" s="243"/>
      <c r="CW97" s="243">
        <v>12</v>
      </c>
      <c r="CX97" s="243">
        <v>24</v>
      </c>
      <c r="CY97" s="242">
        <v>24</v>
      </c>
      <c r="CZ97" s="242">
        <v>24</v>
      </c>
      <c r="DA97" s="242">
        <v>24</v>
      </c>
      <c r="DB97" s="242">
        <v>24</v>
      </c>
      <c r="DC97" s="242">
        <v>24</v>
      </c>
      <c r="DD97" s="242">
        <v>12</v>
      </c>
      <c r="DE97" s="242"/>
      <c r="DF97" s="243"/>
      <c r="DG97" s="243"/>
      <c r="DH97" s="243"/>
      <c r="DI97" s="243"/>
      <c r="DJ97" s="243"/>
      <c r="DK97" s="243"/>
      <c r="DL97" s="243"/>
      <c r="DM97" s="242"/>
      <c r="DN97" s="242"/>
      <c r="DO97" s="242"/>
      <c r="DP97" s="242"/>
      <c r="DQ97" s="242"/>
      <c r="DR97" s="242"/>
      <c r="DS97" s="242"/>
      <c r="DT97" s="243"/>
      <c r="DU97" s="243"/>
      <c r="DV97" s="243"/>
      <c r="DW97" s="243"/>
      <c r="DX97" s="243"/>
      <c r="DY97" s="243"/>
      <c r="DZ97" s="243"/>
      <c r="EA97" s="242"/>
      <c r="EB97" s="242"/>
      <c r="EC97" s="242"/>
      <c r="ED97" s="242"/>
      <c r="EE97" s="242"/>
      <c r="EF97" s="242"/>
      <c r="EG97" s="242"/>
      <c r="EH97" s="243"/>
      <c r="EI97" s="243"/>
      <c r="EJ97" s="243"/>
      <c r="EK97" s="243"/>
      <c r="EL97" s="243"/>
      <c r="EM97" s="243"/>
      <c r="EN97" s="243"/>
      <c r="EO97" s="242"/>
      <c r="EP97" s="242"/>
      <c r="EQ97" s="242"/>
      <c r="ER97" s="242"/>
      <c r="ES97" s="242"/>
      <c r="ET97" s="242"/>
      <c r="EU97" s="242"/>
      <c r="EV97" s="243"/>
      <c r="EW97" s="243"/>
      <c r="EX97" s="243"/>
      <c r="EY97" s="243"/>
      <c r="EZ97" s="243"/>
      <c r="FA97" s="243"/>
      <c r="FB97" s="243">
        <v>12</v>
      </c>
      <c r="FC97" s="242">
        <v>24</v>
      </c>
      <c r="FD97" s="242">
        <v>24</v>
      </c>
      <c r="FE97" s="242">
        <v>24</v>
      </c>
      <c r="FF97" s="242">
        <v>24</v>
      </c>
      <c r="FG97" s="242">
        <v>12</v>
      </c>
      <c r="FH97" s="242"/>
      <c r="FI97" s="242"/>
      <c r="FJ97" s="243"/>
      <c r="FK97" s="243"/>
      <c r="FL97" s="243"/>
      <c r="FM97" s="243"/>
      <c r="FN97" s="243"/>
      <c r="FO97" s="243"/>
      <c r="FP97" s="243"/>
      <c r="FQ97" s="242"/>
      <c r="FR97" s="242"/>
      <c r="FS97" s="242"/>
      <c r="FT97" s="242"/>
      <c r="FU97" s="242"/>
      <c r="FV97" s="242"/>
      <c r="FW97" s="242"/>
      <c r="FX97" s="243"/>
      <c r="FY97" s="243"/>
      <c r="FZ97" s="243"/>
      <c r="GA97" s="243"/>
      <c r="GB97" s="243"/>
      <c r="GC97" s="243"/>
      <c r="GD97" s="243"/>
      <c r="GE97" s="242"/>
      <c r="GF97" s="242"/>
      <c r="GG97" s="242"/>
      <c r="GH97" s="242"/>
      <c r="GI97" s="242"/>
      <c r="GJ97" s="242"/>
      <c r="GK97" s="242"/>
      <c r="GL97" s="243"/>
      <c r="GM97" s="243"/>
      <c r="GN97" s="243"/>
      <c r="GO97" s="243"/>
      <c r="GP97" s="243"/>
      <c r="GQ97" s="243"/>
      <c r="GR97" s="243"/>
      <c r="GS97" s="242"/>
      <c r="GT97" s="242"/>
      <c r="GU97" s="242"/>
      <c r="GV97" s="242"/>
      <c r="GW97" s="242"/>
      <c r="GX97" s="242"/>
      <c r="GY97" s="242"/>
      <c r="GZ97" s="243">
        <v>24</v>
      </c>
      <c r="HA97" s="243">
        <v>24</v>
      </c>
      <c r="HB97" s="243">
        <v>24</v>
      </c>
      <c r="HC97" s="243">
        <v>24</v>
      </c>
      <c r="HD97" s="243"/>
      <c r="HE97" s="243"/>
      <c r="HF97" s="243"/>
      <c r="HG97" s="242"/>
      <c r="HH97" s="242"/>
      <c r="HI97" s="242"/>
      <c r="HJ97" s="242"/>
      <c r="HK97" s="242"/>
      <c r="HL97" s="242"/>
      <c r="HM97" s="242"/>
      <c r="HN97" s="243"/>
      <c r="HO97" s="243"/>
      <c r="HP97" s="243"/>
      <c r="HQ97" s="243"/>
      <c r="HR97" s="243"/>
      <c r="HS97" s="243"/>
      <c r="HT97" s="243"/>
      <c r="HU97" s="242"/>
      <c r="HV97" s="242"/>
      <c r="HW97" s="242"/>
      <c r="HX97" s="242"/>
      <c r="HY97" s="242"/>
      <c r="HZ97" s="242"/>
      <c r="IA97" s="242"/>
      <c r="IB97" s="243"/>
      <c r="IC97" s="243"/>
      <c r="ID97" s="243"/>
      <c r="IE97" s="243"/>
      <c r="IF97" s="243"/>
      <c r="IG97" s="243"/>
      <c r="IH97" s="243"/>
      <c r="II97" s="242"/>
      <c r="IJ97" s="242"/>
      <c r="IK97" s="242"/>
      <c r="IL97" s="242"/>
      <c r="IM97" s="242"/>
      <c r="IN97" s="242"/>
      <c r="IO97" s="242"/>
      <c r="IP97" s="243"/>
      <c r="IQ97" s="243"/>
      <c r="IR97" s="243"/>
      <c r="IS97" s="243"/>
      <c r="IT97" s="243"/>
      <c r="IU97" s="243"/>
      <c r="IV97" s="243"/>
      <c r="IW97" s="242"/>
      <c r="IX97" s="242"/>
      <c r="IY97" s="242"/>
      <c r="IZ97" s="242"/>
      <c r="JA97" s="242"/>
      <c r="JB97" s="242"/>
      <c r="JC97" s="242"/>
      <c r="JD97" s="243"/>
      <c r="JE97" s="243"/>
      <c r="JF97" s="243"/>
      <c r="JG97" s="243"/>
      <c r="JH97" s="243"/>
      <c r="JI97" s="243"/>
      <c r="JJ97" s="243"/>
      <c r="JK97" s="242"/>
      <c r="JL97" s="242"/>
      <c r="JM97" s="242"/>
      <c r="JN97" s="242"/>
      <c r="JO97" s="242"/>
      <c r="JP97" s="242"/>
      <c r="JQ97" s="242"/>
      <c r="JR97" s="243"/>
      <c r="JS97" s="243"/>
      <c r="JT97" s="243"/>
      <c r="JU97" s="243"/>
      <c r="JV97" s="243"/>
      <c r="JW97" s="243"/>
      <c r="JX97" s="243"/>
      <c r="JY97" s="242"/>
      <c r="JZ97" s="242"/>
      <c r="KA97" s="242"/>
      <c r="KB97" s="242"/>
      <c r="KC97" s="242"/>
      <c r="KD97" s="242"/>
      <c r="KE97" s="242"/>
      <c r="KF97" s="243"/>
      <c r="KG97" s="243"/>
      <c r="KH97" s="243"/>
      <c r="KI97" s="243"/>
      <c r="KJ97" s="243"/>
      <c r="KK97" s="243"/>
      <c r="KL97" s="243"/>
      <c r="KM97" s="242"/>
      <c r="KN97" s="242"/>
      <c r="KO97" s="242"/>
      <c r="KP97" s="242"/>
      <c r="KQ97" s="242"/>
      <c r="KR97" s="242"/>
      <c r="KS97" s="242"/>
      <c r="KT97" s="243"/>
      <c r="KU97" s="243"/>
      <c r="KV97" s="243"/>
      <c r="KW97" s="243"/>
      <c r="KX97" s="243"/>
      <c r="KY97" s="243"/>
      <c r="KZ97" s="243"/>
      <c r="LA97" s="242"/>
      <c r="LB97" s="242"/>
      <c r="LC97" s="242"/>
      <c r="LD97" s="242"/>
      <c r="LE97" s="242"/>
      <c r="LF97" s="242"/>
      <c r="LG97" s="242"/>
      <c r="LH97" s="243"/>
      <c r="LI97" s="243"/>
      <c r="LJ97" s="243"/>
      <c r="LK97" s="243"/>
      <c r="LL97" s="243"/>
      <c r="LM97" s="243"/>
      <c r="LN97" s="243"/>
      <c r="LO97" s="242"/>
      <c r="LP97" s="242"/>
      <c r="LQ97" s="242"/>
      <c r="LR97" s="242"/>
      <c r="LS97" s="242"/>
      <c r="LT97" s="242"/>
      <c r="LU97" s="242"/>
      <c r="LV97" s="243"/>
      <c r="LW97" s="243"/>
      <c r="LX97" s="243"/>
      <c r="LY97" s="243"/>
      <c r="LZ97" s="243"/>
      <c r="MA97" s="243"/>
      <c r="MB97" s="243"/>
      <c r="MC97" s="242"/>
      <c r="MD97" s="242"/>
      <c r="ME97" s="242"/>
      <c r="MF97" s="242"/>
      <c r="MG97" s="242"/>
      <c r="MH97" s="242"/>
      <c r="MI97" s="242"/>
      <c r="MJ97" s="243"/>
      <c r="MK97" s="243"/>
      <c r="ML97" s="243"/>
      <c r="MM97" s="243"/>
      <c r="MN97" s="243"/>
      <c r="MO97" s="243"/>
      <c r="MP97" s="243"/>
      <c r="MQ97" s="242"/>
      <c r="MR97" s="242"/>
      <c r="MS97" s="242"/>
      <c r="MT97" s="242"/>
      <c r="MU97" s="242"/>
      <c r="MV97" s="242"/>
      <c r="MW97" s="242"/>
      <c r="MX97" s="243"/>
      <c r="MY97" s="243"/>
      <c r="MZ97" s="243"/>
      <c r="NA97" s="243"/>
      <c r="NB97" s="243"/>
      <c r="NC97" s="243"/>
      <c r="ND97" s="243"/>
      <c r="NE97" s="242"/>
      <c r="NF97" s="242"/>
      <c r="NG97" s="242"/>
      <c r="NH97" s="333" t="s">
        <v>1259</v>
      </c>
    </row>
    <row r="98" spans="1:372">
      <c r="A98" s="251" t="s">
        <v>978</v>
      </c>
      <c r="B98" s="251" t="s">
        <v>78</v>
      </c>
      <c r="C98" s="251" t="s">
        <v>674</v>
      </c>
      <c r="D98" s="251" t="s">
        <v>982</v>
      </c>
      <c r="E98" s="241">
        <v>48.231661006660048</v>
      </c>
      <c r="F98" s="241">
        <v>600</v>
      </c>
      <c r="G98" s="242"/>
      <c r="H98" s="242"/>
      <c r="I98" s="242"/>
      <c r="J98" s="242"/>
      <c r="K98" s="242"/>
      <c r="L98" s="243"/>
      <c r="M98" s="243"/>
      <c r="N98" s="243"/>
      <c r="O98" s="243"/>
      <c r="P98" s="243"/>
      <c r="Q98" s="243"/>
      <c r="R98" s="243"/>
      <c r="S98" s="242"/>
      <c r="T98" s="242"/>
      <c r="U98" s="242"/>
      <c r="V98" s="242"/>
      <c r="W98" s="242"/>
      <c r="X98" s="242"/>
      <c r="Y98" s="242"/>
      <c r="Z98" s="243"/>
      <c r="AA98" s="243"/>
      <c r="AB98" s="243"/>
      <c r="AC98" s="243"/>
      <c r="AD98" s="243"/>
      <c r="AE98" s="243"/>
      <c r="AF98" s="243"/>
      <c r="AG98" s="242"/>
      <c r="AH98" s="242"/>
      <c r="AI98" s="242"/>
      <c r="AJ98" s="242"/>
      <c r="AK98" s="242"/>
      <c r="AL98" s="242"/>
      <c r="AM98" s="242"/>
      <c r="AN98" s="243"/>
      <c r="AO98" s="243"/>
      <c r="AP98" s="243"/>
      <c r="AQ98" s="243"/>
      <c r="AR98" s="243"/>
      <c r="AS98" s="243"/>
      <c r="AT98" s="243"/>
      <c r="AU98" s="242"/>
      <c r="AV98" s="242"/>
      <c r="AW98" s="242"/>
      <c r="AX98" s="242"/>
      <c r="AY98" s="242"/>
      <c r="AZ98" s="242"/>
      <c r="BA98" s="242"/>
      <c r="BB98" s="243"/>
      <c r="BC98" s="243"/>
      <c r="BD98" s="243"/>
      <c r="BE98" s="243"/>
      <c r="BF98" s="243"/>
      <c r="BG98" s="243"/>
      <c r="BH98" s="243"/>
      <c r="BI98" s="242"/>
      <c r="BJ98" s="242"/>
      <c r="BK98" s="242"/>
      <c r="BL98" s="242"/>
      <c r="BM98" s="242"/>
      <c r="BN98" s="242"/>
      <c r="BO98" s="242"/>
      <c r="BP98" s="243"/>
      <c r="BQ98" s="243"/>
      <c r="BR98" s="243"/>
      <c r="BS98" s="243"/>
      <c r="BT98" s="243"/>
      <c r="BU98" s="243"/>
      <c r="BV98" s="243"/>
      <c r="BW98" s="242"/>
      <c r="BX98" s="242"/>
      <c r="BY98" s="242"/>
      <c r="BZ98" s="242"/>
      <c r="CA98" s="242"/>
      <c r="CB98" s="242"/>
      <c r="CC98" s="242"/>
      <c r="CD98" s="243"/>
      <c r="CE98" s="243"/>
      <c r="CF98" s="243"/>
      <c r="CG98" s="243"/>
      <c r="CH98" s="243"/>
      <c r="CI98" s="243"/>
      <c r="CJ98" s="243"/>
      <c r="CK98" s="242"/>
      <c r="CL98" s="242"/>
      <c r="CM98" s="242"/>
      <c r="CN98" s="242"/>
      <c r="CO98" s="242"/>
      <c r="CP98" s="242"/>
      <c r="CQ98" s="242"/>
      <c r="CR98" s="243"/>
      <c r="CS98" s="243"/>
      <c r="CT98" s="243"/>
      <c r="CU98" s="243"/>
      <c r="CV98" s="243"/>
      <c r="CW98" s="243">
        <v>12</v>
      </c>
      <c r="CX98" s="243">
        <v>24</v>
      </c>
      <c r="CY98" s="242">
        <v>24</v>
      </c>
      <c r="CZ98" s="242">
        <v>24</v>
      </c>
      <c r="DA98" s="242">
        <v>24</v>
      </c>
      <c r="DB98" s="242">
        <v>24</v>
      </c>
      <c r="DC98" s="242">
        <v>24</v>
      </c>
      <c r="DD98" s="242">
        <v>12</v>
      </c>
      <c r="DE98" s="242"/>
      <c r="DF98" s="243"/>
      <c r="DG98" s="243"/>
      <c r="DH98" s="243"/>
      <c r="DI98" s="243"/>
      <c r="DJ98" s="243"/>
      <c r="DK98" s="243"/>
      <c r="DL98" s="243"/>
      <c r="DM98" s="242"/>
      <c r="DN98" s="242"/>
      <c r="DO98" s="242"/>
      <c r="DP98" s="242"/>
      <c r="DQ98" s="242"/>
      <c r="DR98" s="242"/>
      <c r="DS98" s="242"/>
      <c r="DT98" s="243"/>
      <c r="DU98" s="243"/>
      <c r="DV98" s="243"/>
      <c r="DW98" s="243"/>
      <c r="DX98" s="243"/>
      <c r="DY98" s="243"/>
      <c r="DZ98" s="243"/>
      <c r="EA98" s="242"/>
      <c r="EB98" s="242"/>
      <c r="EC98" s="242"/>
      <c r="ED98" s="242"/>
      <c r="EE98" s="242"/>
      <c r="EF98" s="242"/>
      <c r="EG98" s="242">
        <v>12</v>
      </c>
      <c r="EH98" s="243">
        <v>24</v>
      </c>
      <c r="EI98" s="243">
        <v>24</v>
      </c>
      <c r="EJ98" s="243">
        <v>24</v>
      </c>
      <c r="EK98" s="243">
        <v>24</v>
      </c>
      <c r="EL98" s="243">
        <v>24</v>
      </c>
      <c r="EM98" s="243"/>
      <c r="EN98" s="243"/>
      <c r="EO98" s="242"/>
      <c r="EP98" s="242"/>
      <c r="EQ98" s="242"/>
      <c r="ER98" s="242"/>
      <c r="ES98" s="242"/>
      <c r="ET98" s="242"/>
      <c r="EU98" s="242"/>
      <c r="EV98" s="243"/>
      <c r="EW98" s="243"/>
      <c r="EX98" s="243"/>
      <c r="EY98" s="243"/>
      <c r="EZ98" s="243"/>
      <c r="FA98" s="243"/>
      <c r="FB98" s="243">
        <v>12</v>
      </c>
      <c r="FC98" s="242">
        <v>24</v>
      </c>
      <c r="FD98" s="242">
        <v>24</v>
      </c>
      <c r="FE98" s="242">
        <v>24</v>
      </c>
      <c r="FF98" s="242">
        <v>24</v>
      </c>
      <c r="FG98" s="242">
        <v>12</v>
      </c>
      <c r="FH98" s="242"/>
      <c r="FI98" s="242"/>
      <c r="FJ98" s="243"/>
      <c r="FK98" s="243"/>
      <c r="FL98" s="243"/>
      <c r="FM98" s="243"/>
      <c r="FN98" s="243"/>
      <c r="FO98" s="243"/>
      <c r="FP98" s="243"/>
      <c r="FQ98" s="242"/>
      <c r="FR98" s="242"/>
      <c r="FS98" s="242"/>
      <c r="FT98" s="242"/>
      <c r="FU98" s="242"/>
      <c r="FV98" s="242"/>
      <c r="FW98" s="242"/>
      <c r="FX98" s="243"/>
      <c r="FY98" s="243"/>
      <c r="FZ98" s="243"/>
      <c r="GA98" s="243"/>
      <c r="GB98" s="243"/>
      <c r="GC98" s="243"/>
      <c r="GD98" s="243"/>
      <c r="GE98" s="242"/>
      <c r="GF98" s="242"/>
      <c r="GG98" s="242"/>
      <c r="GH98" s="242"/>
      <c r="GI98" s="242"/>
      <c r="GJ98" s="242"/>
      <c r="GK98" s="242"/>
      <c r="GL98" s="243"/>
      <c r="GM98" s="243"/>
      <c r="GN98" s="243"/>
      <c r="GO98" s="243"/>
      <c r="GP98" s="243"/>
      <c r="GQ98" s="243"/>
      <c r="GR98" s="243"/>
      <c r="GS98" s="242"/>
      <c r="GT98" s="242"/>
      <c r="GU98" s="242"/>
      <c r="GV98" s="242"/>
      <c r="GW98" s="242"/>
      <c r="GX98" s="242"/>
      <c r="GY98" s="242"/>
      <c r="GZ98" s="243">
        <v>24</v>
      </c>
      <c r="HA98" s="243">
        <v>24</v>
      </c>
      <c r="HB98" s="243">
        <v>24</v>
      </c>
      <c r="HC98" s="243">
        <v>24</v>
      </c>
      <c r="HD98" s="243"/>
      <c r="HE98" s="243"/>
      <c r="HF98" s="243"/>
      <c r="HG98" s="242"/>
      <c r="HH98" s="242"/>
      <c r="HI98" s="242"/>
      <c r="HJ98" s="242"/>
      <c r="HK98" s="242"/>
      <c r="HL98" s="242"/>
      <c r="HM98" s="242"/>
      <c r="HN98" s="243"/>
      <c r="HO98" s="243"/>
      <c r="HP98" s="243"/>
      <c r="HQ98" s="243"/>
      <c r="HR98" s="243"/>
      <c r="HS98" s="243"/>
      <c r="HT98" s="243"/>
      <c r="HU98" s="242"/>
      <c r="HV98" s="242"/>
      <c r="HW98" s="242"/>
      <c r="HX98" s="242"/>
      <c r="HY98" s="242"/>
      <c r="HZ98" s="242"/>
      <c r="IA98" s="242"/>
      <c r="IB98" s="243"/>
      <c r="IC98" s="243"/>
      <c r="ID98" s="243"/>
      <c r="IE98" s="243"/>
      <c r="IF98" s="243"/>
      <c r="IG98" s="243"/>
      <c r="IH98" s="243"/>
      <c r="II98" s="242"/>
      <c r="IJ98" s="242"/>
      <c r="IK98" s="242"/>
      <c r="IL98" s="242"/>
      <c r="IM98" s="242"/>
      <c r="IN98" s="242"/>
      <c r="IO98" s="242"/>
      <c r="IP98" s="243"/>
      <c r="IQ98" s="243"/>
      <c r="IR98" s="243"/>
      <c r="IS98" s="243"/>
      <c r="IT98" s="243"/>
      <c r="IU98" s="243"/>
      <c r="IV98" s="243">
        <v>12</v>
      </c>
      <c r="IW98" s="242">
        <v>24</v>
      </c>
      <c r="IX98" s="242">
        <v>24</v>
      </c>
      <c r="IY98" s="242">
        <v>24</v>
      </c>
      <c r="IZ98" s="242"/>
      <c r="JA98" s="242"/>
      <c r="JB98" s="242"/>
      <c r="JC98" s="242"/>
      <c r="JD98" s="243"/>
      <c r="JE98" s="243"/>
      <c r="JF98" s="243"/>
      <c r="JG98" s="243"/>
      <c r="JH98" s="243"/>
      <c r="JI98" s="243"/>
      <c r="JJ98" s="243"/>
      <c r="JK98" s="242"/>
      <c r="JL98" s="242"/>
      <c r="JM98" s="242"/>
      <c r="JN98" s="242"/>
      <c r="JO98" s="242"/>
      <c r="JP98" s="242"/>
      <c r="JQ98" s="242"/>
      <c r="JR98" s="243"/>
      <c r="JS98" s="243"/>
      <c r="JT98" s="243"/>
      <c r="JU98" s="243"/>
      <c r="JV98" s="243"/>
      <c r="JW98" s="243"/>
      <c r="JX98" s="243"/>
      <c r="JY98" s="242"/>
      <c r="JZ98" s="242"/>
      <c r="KA98" s="242"/>
      <c r="KB98" s="242"/>
      <c r="KC98" s="242"/>
      <c r="KD98" s="242"/>
      <c r="KE98" s="242"/>
      <c r="KF98" s="243"/>
      <c r="KG98" s="243"/>
      <c r="KH98" s="243"/>
      <c r="KI98" s="243"/>
      <c r="KJ98" s="243"/>
      <c r="KK98" s="243"/>
      <c r="KL98" s="243"/>
      <c r="KM98" s="242"/>
      <c r="KN98" s="242"/>
      <c r="KO98" s="242"/>
      <c r="KP98" s="242"/>
      <c r="KQ98" s="242"/>
      <c r="KR98" s="242"/>
      <c r="KS98" s="242"/>
      <c r="KT98" s="243"/>
      <c r="KU98" s="243"/>
      <c r="KV98" s="243"/>
      <c r="KW98" s="243"/>
      <c r="KX98" s="243"/>
      <c r="KY98" s="243"/>
      <c r="KZ98" s="243"/>
      <c r="LA98" s="242"/>
      <c r="LB98" s="242"/>
      <c r="LC98" s="242"/>
      <c r="LD98" s="242"/>
      <c r="LE98" s="242"/>
      <c r="LF98" s="242"/>
      <c r="LG98" s="242"/>
      <c r="LH98" s="243"/>
      <c r="LI98" s="243"/>
      <c r="LJ98" s="243"/>
      <c r="LK98" s="243"/>
      <c r="LL98" s="243"/>
      <c r="LM98" s="243"/>
      <c r="LN98" s="243"/>
      <c r="LO98" s="242"/>
      <c r="LP98" s="242"/>
      <c r="LQ98" s="242"/>
      <c r="LR98" s="242"/>
      <c r="LS98" s="242"/>
      <c r="LT98" s="242"/>
      <c r="LU98" s="242"/>
      <c r="LV98" s="243"/>
      <c r="LW98" s="243"/>
      <c r="LX98" s="243"/>
      <c r="LY98" s="243"/>
      <c r="LZ98" s="243"/>
      <c r="MA98" s="243"/>
      <c r="MB98" s="243"/>
      <c r="MC98" s="242"/>
      <c r="MD98" s="242"/>
      <c r="ME98" s="242"/>
      <c r="MF98" s="242"/>
      <c r="MG98" s="242"/>
      <c r="MH98" s="242"/>
      <c r="MI98" s="242"/>
      <c r="MJ98" s="243"/>
      <c r="MK98" s="243"/>
      <c r="ML98" s="243"/>
      <c r="MM98" s="243"/>
      <c r="MN98" s="243"/>
      <c r="MO98" s="243"/>
      <c r="MP98" s="243"/>
      <c r="MQ98" s="242"/>
      <c r="MR98" s="242"/>
      <c r="MS98" s="242"/>
      <c r="MT98" s="242"/>
      <c r="MU98" s="242"/>
      <c r="MV98" s="242"/>
      <c r="MW98" s="242"/>
      <c r="MX98" s="243"/>
      <c r="MY98" s="243"/>
      <c r="MZ98" s="243"/>
      <c r="NA98" s="243"/>
      <c r="NB98" s="243"/>
      <c r="NC98" s="243"/>
      <c r="ND98" s="243"/>
      <c r="NE98" s="242"/>
      <c r="NF98" s="242"/>
      <c r="NG98" s="242"/>
      <c r="NH98" s="333" t="s">
        <v>1258</v>
      </c>
    </row>
    <row r="99" spans="1:372">
      <c r="A99" s="251" t="s">
        <v>979</v>
      </c>
      <c r="B99" s="251" t="s">
        <v>254</v>
      </c>
      <c r="C99" s="251" t="s">
        <v>675</v>
      </c>
      <c r="D99" s="251" t="s">
        <v>982</v>
      </c>
      <c r="E99" s="241">
        <v>0.57493331699999906</v>
      </c>
      <c r="F99" s="241">
        <v>0</v>
      </c>
      <c r="G99" s="242"/>
      <c r="H99" s="242"/>
      <c r="I99" s="242"/>
      <c r="J99" s="242"/>
      <c r="K99" s="242"/>
      <c r="L99" s="243"/>
      <c r="M99" s="243"/>
      <c r="N99" s="243"/>
      <c r="O99" s="243"/>
      <c r="P99" s="243"/>
      <c r="Q99" s="243"/>
      <c r="R99" s="243"/>
      <c r="S99" s="242"/>
      <c r="T99" s="242"/>
      <c r="U99" s="242"/>
      <c r="V99" s="242"/>
      <c r="W99" s="242"/>
      <c r="X99" s="242"/>
      <c r="Y99" s="242"/>
      <c r="Z99" s="243"/>
      <c r="AA99" s="243"/>
      <c r="AB99" s="243"/>
      <c r="AC99" s="243"/>
      <c r="AD99" s="243"/>
      <c r="AE99" s="243"/>
      <c r="AF99" s="243"/>
      <c r="AG99" s="242"/>
      <c r="AH99" s="242"/>
      <c r="AI99" s="242"/>
      <c r="AJ99" s="242"/>
      <c r="AK99" s="242"/>
      <c r="AL99" s="242"/>
      <c r="AM99" s="242"/>
      <c r="AN99" s="243"/>
      <c r="AO99" s="243"/>
      <c r="AP99" s="243"/>
      <c r="AQ99" s="243"/>
      <c r="AR99" s="243"/>
      <c r="AS99" s="243"/>
      <c r="AT99" s="243"/>
      <c r="AU99" s="242"/>
      <c r="AV99" s="242"/>
      <c r="AW99" s="242"/>
      <c r="AX99" s="242"/>
      <c r="AY99" s="242"/>
      <c r="AZ99" s="242"/>
      <c r="BA99" s="242"/>
      <c r="BB99" s="243"/>
      <c r="BC99" s="243"/>
      <c r="BD99" s="243"/>
      <c r="BE99" s="243"/>
      <c r="BF99" s="243"/>
      <c r="BG99" s="243"/>
      <c r="BH99" s="243"/>
      <c r="BI99" s="242"/>
      <c r="BJ99" s="242"/>
      <c r="BK99" s="242"/>
      <c r="BL99" s="242"/>
      <c r="BM99" s="242"/>
      <c r="BN99" s="242"/>
      <c r="BO99" s="242"/>
      <c r="BP99" s="243"/>
      <c r="BQ99" s="243"/>
      <c r="BR99" s="243"/>
      <c r="BS99" s="243"/>
      <c r="BT99" s="243"/>
      <c r="BU99" s="243"/>
      <c r="BV99" s="243"/>
      <c r="BW99" s="242"/>
      <c r="BX99" s="242"/>
      <c r="BY99" s="242"/>
      <c r="BZ99" s="242"/>
      <c r="CA99" s="242"/>
      <c r="CB99" s="242"/>
      <c r="CC99" s="242"/>
      <c r="CD99" s="243"/>
      <c r="CE99" s="243"/>
      <c r="CF99" s="243"/>
      <c r="CG99" s="243"/>
      <c r="CH99" s="243"/>
      <c r="CI99" s="243"/>
      <c r="CJ99" s="243"/>
      <c r="CK99" s="242"/>
      <c r="CL99" s="242"/>
      <c r="CM99" s="242"/>
      <c r="CN99" s="242"/>
      <c r="CO99" s="242"/>
      <c r="CP99" s="242"/>
      <c r="CQ99" s="242"/>
      <c r="CR99" s="243"/>
      <c r="CS99" s="243"/>
      <c r="CT99" s="243"/>
      <c r="CU99" s="243"/>
      <c r="CV99" s="243"/>
      <c r="CW99" s="243"/>
      <c r="CX99" s="243"/>
      <c r="CY99" s="242"/>
      <c r="CZ99" s="242"/>
      <c r="DA99" s="242"/>
      <c r="DB99" s="242"/>
      <c r="DC99" s="242"/>
      <c r="DD99" s="242"/>
      <c r="DE99" s="242"/>
      <c r="DF99" s="243"/>
      <c r="DG99" s="243"/>
      <c r="DH99" s="243"/>
      <c r="DI99" s="243"/>
      <c r="DJ99" s="243"/>
      <c r="DK99" s="243"/>
      <c r="DL99" s="243"/>
      <c r="DM99" s="242"/>
      <c r="DN99" s="242"/>
      <c r="DO99" s="242"/>
      <c r="DP99" s="242"/>
      <c r="DQ99" s="242"/>
      <c r="DR99" s="242"/>
      <c r="DS99" s="242"/>
      <c r="DT99" s="243"/>
      <c r="DU99" s="243"/>
      <c r="DV99" s="243"/>
      <c r="DW99" s="243"/>
      <c r="DX99" s="243"/>
      <c r="DY99" s="243"/>
      <c r="DZ99" s="243"/>
      <c r="EA99" s="242"/>
      <c r="EB99" s="242"/>
      <c r="EC99" s="242"/>
      <c r="ED99" s="242"/>
      <c r="EE99" s="242"/>
      <c r="EF99" s="242"/>
      <c r="EG99" s="242"/>
      <c r="EH99" s="243"/>
      <c r="EI99" s="243"/>
      <c r="EJ99" s="243"/>
      <c r="EK99" s="243"/>
      <c r="EL99" s="243"/>
      <c r="EM99" s="243"/>
      <c r="EN99" s="243"/>
      <c r="EO99" s="242"/>
      <c r="EP99" s="242"/>
      <c r="EQ99" s="242"/>
      <c r="ER99" s="242"/>
      <c r="ES99" s="242"/>
      <c r="ET99" s="242"/>
      <c r="EU99" s="242"/>
      <c r="EV99" s="243"/>
      <c r="EW99" s="243"/>
      <c r="EX99" s="243"/>
      <c r="EY99" s="243"/>
      <c r="EZ99" s="243"/>
      <c r="FA99" s="243"/>
      <c r="FB99" s="243"/>
      <c r="FC99" s="242"/>
      <c r="FD99" s="242"/>
      <c r="FE99" s="242"/>
      <c r="FF99" s="242"/>
      <c r="FG99" s="242"/>
      <c r="FH99" s="242"/>
      <c r="FI99" s="242"/>
      <c r="FJ99" s="243"/>
      <c r="FK99" s="243"/>
      <c r="FL99" s="243"/>
      <c r="FM99" s="243"/>
      <c r="FN99" s="243"/>
      <c r="FO99" s="243"/>
      <c r="FP99" s="243"/>
      <c r="FQ99" s="242"/>
      <c r="FR99" s="242"/>
      <c r="FS99" s="242"/>
      <c r="FT99" s="242"/>
      <c r="FU99" s="242"/>
      <c r="FV99" s="242"/>
      <c r="FW99" s="242"/>
      <c r="FX99" s="243"/>
      <c r="FY99" s="243"/>
      <c r="FZ99" s="243"/>
      <c r="GA99" s="243"/>
      <c r="GB99" s="243"/>
      <c r="GC99" s="243"/>
      <c r="GD99" s="243"/>
      <c r="GE99" s="242"/>
      <c r="GF99" s="242"/>
      <c r="GG99" s="242"/>
      <c r="GH99" s="242"/>
      <c r="GI99" s="242"/>
      <c r="GJ99" s="242"/>
      <c r="GK99" s="242"/>
      <c r="GL99" s="243"/>
      <c r="GM99" s="243"/>
      <c r="GN99" s="243"/>
      <c r="GO99" s="243"/>
      <c r="GP99" s="243"/>
      <c r="GQ99" s="243"/>
      <c r="GR99" s="243"/>
      <c r="GS99" s="242"/>
      <c r="GT99" s="242"/>
      <c r="GU99" s="242"/>
      <c r="GV99" s="242"/>
      <c r="GW99" s="242"/>
      <c r="GX99" s="242"/>
      <c r="GY99" s="242"/>
      <c r="GZ99" s="243"/>
      <c r="HA99" s="243"/>
      <c r="HB99" s="243"/>
      <c r="HC99" s="243"/>
      <c r="HD99" s="243"/>
      <c r="HE99" s="243"/>
      <c r="HF99" s="243"/>
      <c r="HG99" s="242"/>
      <c r="HH99" s="242"/>
      <c r="HI99" s="242"/>
      <c r="HJ99" s="242"/>
      <c r="HK99" s="242"/>
      <c r="HL99" s="242"/>
      <c r="HM99" s="242"/>
      <c r="HN99" s="243"/>
      <c r="HO99" s="243"/>
      <c r="HP99" s="243"/>
      <c r="HQ99" s="243"/>
      <c r="HR99" s="243"/>
      <c r="HS99" s="243"/>
      <c r="HT99" s="243"/>
      <c r="HU99" s="242"/>
      <c r="HV99" s="242"/>
      <c r="HW99" s="242"/>
      <c r="HX99" s="242"/>
      <c r="HY99" s="242"/>
      <c r="HZ99" s="242"/>
      <c r="IA99" s="242"/>
      <c r="IB99" s="243"/>
      <c r="IC99" s="243"/>
      <c r="ID99" s="243"/>
      <c r="IE99" s="243"/>
      <c r="IF99" s="243"/>
      <c r="IG99" s="243"/>
      <c r="IH99" s="243"/>
      <c r="II99" s="242"/>
      <c r="IJ99" s="242"/>
      <c r="IK99" s="242"/>
      <c r="IL99" s="242"/>
      <c r="IM99" s="242"/>
      <c r="IN99" s="242"/>
      <c r="IO99" s="242"/>
      <c r="IP99" s="243"/>
      <c r="IQ99" s="243"/>
      <c r="IR99" s="243"/>
      <c r="IS99" s="243"/>
      <c r="IT99" s="243"/>
      <c r="IU99" s="243"/>
      <c r="IV99" s="243"/>
      <c r="IW99" s="242"/>
      <c r="IX99" s="242"/>
      <c r="IY99" s="242"/>
      <c r="IZ99" s="242"/>
      <c r="JA99" s="242"/>
      <c r="JB99" s="242"/>
      <c r="JC99" s="242"/>
      <c r="JD99" s="243"/>
      <c r="JE99" s="243"/>
      <c r="JF99" s="243"/>
      <c r="JG99" s="243"/>
      <c r="JH99" s="243"/>
      <c r="JI99" s="243"/>
      <c r="JJ99" s="243"/>
      <c r="JK99" s="242"/>
      <c r="JL99" s="242"/>
      <c r="JM99" s="242"/>
      <c r="JN99" s="242"/>
      <c r="JO99" s="242"/>
      <c r="JP99" s="242"/>
      <c r="JQ99" s="242"/>
      <c r="JR99" s="243"/>
      <c r="JS99" s="243"/>
      <c r="JT99" s="243"/>
      <c r="JU99" s="243"/>
      <c r="JV99" s="243"/>
      <c r="JW99" s="243"/>
      <c r="JX99" s="243"/>
      <c r="JY99" s="242"/>
      <c r="JZ99" s="242"/>
      <c r="KA99" s="242"/>
      <c r="KB99" s="242"/>
      <c r="KC99" s="242"/>
      <c r="KD99" s="242"/>
      <c r="KE99" s="242"/>
      <c r="KF99" s="243"/>
      <c r="KG99" s="243"/>
      <c r="KH99" s="243"/>
      <c r="KI99" s="243"/>
      <c r="KJ99" s="243"/>
      <c r="KK99" s="243"/>
      <c r="KL99" s="243"/>
      <c r="KM99" s="242"/>
      <c r="KN99" s="242"/>
      <c r="KO99" s="242"/>
      <c r="KP99" s="242"/>
      <c r="KQ99" s="242"/>
      <c r="KR99" s="242"/>
      <c r="KS99" s="242"/>
      <c r="KT99" s="243"/>
      <c r="KU99" s="243"/>
      <c r="KV99" s="243"/>
      <c r="KW99" s="243"/>
      <c r="KX99" s="243"/>
      <c r="KY99" s="243"/>
      <c r="KZ99" s="243"/>
      <c r="LA99" s="242"/>
      <c r="LB99" s="242"/>
      <c r="LC99" s="242"/>
      <c r="LD99" s="242"/>
      <c r="LE99" s="242"/>
      <c r="LF99" s="242"/>
      <c r="LG99" s="242"/>
      <c r="LH99" s="243"/>
      <c r="LI99" s="243"/>
      <c r="LJ99" s="243"/>
      <c r="LK99" s="243"/>
      <c r="LL99" s="243"/>
      <c r="LM99" s="243"/>
      <c r="LN99" s="243"/>
      <c r="LO99" s="242"/>
      <c r="LP99" s="242"/>
      <c r="LQ99" s="242"/>
      <c r="LR99" s="242"/>
      <c r="LS99" s="242"/>
      <c r="LT99" s="242"/>
      <c r="LU99" s="242"/>
      <c r="LV99" s="243"/>
      <c r="LW99" s="243"/>
      <c r="LX99" s="243"/>
      <c r="LY99" s="243"/>
      <c r="LZ99" s="243"/>
      <c r="MA99" s="243"/>
      <c r="MB99" s="243"/>
      <c r="MC99" s="242"/>
      <c r="MD99" s="242"/>
      <c r="ME99" s="242"/>
      <c r="MF99" s="242"/>
      <c r="MG99" s="242"/>
      <c r="MH99" s="242"/>
      <c r="MI99" s="242"/>
      <c r="MJ99" s="243"/>
      <c r="MK99" s="243"/>
      <c r="ML99" s="243"/>
      <c r="MM99" s="243"/>
      <c r="MN99" s="243"/>
      <c r="MO99" s="243"/>
      <c r="MP99" s="243"/>
      <c r="MQ99" s="242"/>
      <c r="MR99" s="242"/>
      <c r="MS99" s="242"/>
      <c r="MT99" s="242"/>
      <c r="MU99" s="242"/>
      <c r="MV99" s="242"/>
      <c r="MW99" s="242"/>
      <c r="MX99" s="243"/>
      <c r="MY99" s="243"/>
      <c r="MZ99" s="243"/>
      <c r="NA99" s="243"/>
      <c r="NB99" s="243"/>
      <c r="NC99" s="243"/>
      <c r="ND99" s="243"/>
      <c r="NE99" s="242"/>
      <c r="NF99" s="242"/>
      <c r="NG99" s="242"/>
      <c r="NH99" s="333"/>
    </row>
    <row r="100" spans="1:372">
      <c r="A100" s="251" t="s">
        <v>980</v>
      </c>
      <c r="B100" s="251" t="s">
        <v>80</v>
      </c>
      <c r="C100" s="251" t="s">
        <v>675</v>
      </c>
      <c r="D100" s="251" t="s">
        <v>982</v>
      </c>
      <c r="E100" s="241">
        <v>0</v>
      </c>
      <c r="F100" s="241">
        <v>120</v>
      </c>
      <c r="G100" s="242"/>
      <c r="H100" s="242"/>
      <c r="I100" s="242"/>
      <c r="J100" s="242"/>
      <c r="K100" s="242"/>
      <c r="L100" s="243"/>
      <c r="M100" s="243"/>
      <c r="N100" s="243"/>
      <c r="O100" s="243"/>
      <c r="P100" s="243"/>
      <c r="Q100" s="243"/>
      <c r="R100" s="243"/>
      <c r="S100" s="242"/>
      <c r="T100" s="242"/>
      <c r="U100" s="242"/>
      <c r="V100" s="242"/>
      <c r="W100" s="242"/>
      <c r="X100" s="242"/>
      <c r="Y100" s="242"/>
      <c r="Z100" s="243"/>
      <c r="AA100" s="243"/>
      <c r="AB100" s="243"/>
      <c r="AC100" s="243"/>
      <c r="AD100" s="243"/>
      <c r="AE100" s="243"/>
      <c r="AF100" s="243"/>
      <c r="AG100" s="242"/>
      <c r="AH100" s="242"/>
      <c r="AI100" s="242"/>
      <c r="AJ100" s="242"/>
      <c r="AK100" s="242"/>
      <c r="AL100" s="242"/>
      <c r="AM100" s="242"/>
      <c r="AN100" s="243"/>
      <c r="AO100" s="243"/>
      <c r="AP100" s="243"/>
      <c r="AQ100" s="243"/>
      <c r="AR100" s="243"/>
      <c r="AS100" s="243"/>
      <c r="AT100" s="243"/>
      <c r="AU100" s="242"/>
      <c r="AV100" s="242"/>
      <c r="AW100" s="242"/>
      <c r="AX100" s="242"/>
      <c r="AY100" s="242"/>
      <c r="AZ100" s="242"/>
      <c r="BA100" s="242"/>
      <c r="BB100" s="243"/>
      <c r="BC100" s="243"/>
      <c r="BD100" s="243"/>
      <c r="BE100" s="243"/>
      <c r="BF100" s="243"/>
      <c r="BG100" s="243"/>
      <c r="BH100" s="243"/>
      <c r="BI100" s="242"/>
      <c r="BJ100" s="242"/>
      <c r="BK100" s="242"/>
      <c r="BL100" s="242"/>
      <c r="BM100" s="242"/>
      <c r="BN100" s="242"/>
      <c r="BO100" s="242"/>
      <c r="BP100" s="243"/>
      <c r="BQ100" s="243"/>
      <c r="BR100" s="243"/>
      <c r="BS100" s="243"/>
      <c r="BT100" s="243"/>
      <c r="BU100" s="243"/>
      <c r="BV100" s="243"/>
      <c r="BW100" s="242"/>
      <c r="BX100" s="242"/>
      <c r="BY100" s="242"/>
      <c r="BZ100" s="242"/>
      <c r="CA100" s="242"/>
      <c r="CB100" s="242"/>
      <c r="CC100" s="242"/>
      <c r="CD100" s="243"/>
      <c r="CE100" s="243"/>
      <c r="CF100" s="243"/>
      <c r="CG100" s="243"/>
      <c r="CH100" s="243"/>
      <c r="CI100" s="243"/>
      <c r="CJ100" s="243"/>
      <c r="CK100" s="242"/>
      <c r="CL100" s="242"/>
      <c r="CM100" s="242"/>
      <c r="CN100" s="242"/>
      <c r="CO100" s="242"/>
      <c r="CP100" s="242"/>
      <c r="CQ100" s="242"/>
      <c r="CR100" s="243"/>
      <c r="CS100" s="243"/>
      <c r="CT100" s="243"/>
      <c r="CU100" s="243"/>
      <c r="CV100" s="243"/>
      <c r="CW100" s="243"/>
      <c r="CX100" s="243"/>
      <c r="CY100" s="242"/>
      <c r="CZ100" s="242"/>
      <c r="DA100" s="242"/>
      <c r="DB100" s="242"/>
      <c r="DC100" s="242"/>
      <c r="DD100" s="242"/>
      <c r="DE100" s="242"/>
      <c r="DF100" s="243"/>
      <c r="DG100" s="243"/>
      <c r="DH100" s="243"/>
      <c r="DI100" s="243"/>
      <c r="DJ100" s="243"/>
      <c r="DK100" s="243"/>
      <c r="DL100" s="243"/>
      <c r="DM100" s="242"/>
      <c r="DN100" s="242"/>
      <c r="DO100" s="242"/>
      <c r="DP100" s="242"/>
      <c r="DQ100" s="242"/>
      <c r="DR100" s="242"/>
      <c r="DS100" s="242"/>
      <c r="DT100" s="243"/>
      <c r="DU100" s="243"/>
      <c r="DV100" s="243"/>
      <c r="DW100" s="243"/>
      <c r="DX100" s="243"/>
      <c r="DY100" s="243"/>
      <c r="DZ100" s="243"/>
      <c r="EA100" s="242"/>
      <c r="EB100" s="242"/>
      <c r="EC100" s="242"/>
      <c r="ED100" s="242"/>
      <c r="EE100" s="242"/>
      <c r="EF100" s="242"/>
      <c r="EG100" s="242"/>
      <c r="EH100" s="243"/>
      <c r="EI100" s="243"/>
      <c r="EJ100" s="243"/>
      <c r="EK100" s="243"/>
      <c r="EL100" s="243"/>
      <c r="EM100" s="243"/>
      <c r="EN100" s="243"/>
      <c r="EO100" s="242"/>
      <c r="EP100" s="242"/>
      <c r="EQ100" s="242"/>
      <c r="ER100" s="242"/>
      <c r="ES100" s="242"/>
      <c r="ET100" s="242"/>
      <c r="EU100" s="242"/>
      <c r="EV100" s="243"/>
      <c r="EW100" s="243"/>
      <c r="EX100" s="243"/>
      <c r="EY100" s="243"/>
      <c r="EZ100" s="243"/>
      <c r="FA100" s="243"/>
      <c r="FB100" s="243"/>
      <c r="FC100" s="242"/>
      <c r="FD100" s="242"/>
      <c r="FE100" s="242"/>
      <c r="FF100" s="242"/>
      <c r="FG100" s="242"/>
      <c r="FH100" s="242"/>
      <c r="FI100" s="242"/>
      <c r="FJ100" s="243"/>
      <c r="FK100" s="243"/>
      <c r="FL100" s="243"/>
      <c r="FM100" s="243"/>
      <c r="FN100" s="243"/>
      <c r="FO100" s="243"/>
      <c r="FP100" s="243"/>
      <c r="FQ100" s="242"/>
      <c r="FR100" s="242"/>
      <c r="FS100" s="242"/>
      <c r="FT100" s="242"/>
      <c r="FU100" s="242"/>
      <c r="FV100" s="242"/>
      <c r="FW100" s="242"/>
      <c r="FX100" s="243"/>
      <c r="FY100" s="243"/>
      <c r="FZ100" s="243"/>
      <c r="GA100" s="243"/>
      <c r="GB100" s="243"/>
      <c r="GC100" s="243"/>
      <c r="GD100" s="243"/>
      <c r="GE100" s="242"/>
      <c r="GF100" s="242"/>
      <c r="GG100" s="242"/>
      <c r="GH100" s="242"/>
      <c r="GI100" s="242"/>
      <c r="GJ100" s="242"/>
      <c r="GK100" s="242"/>
      <c r="GL100" s="243"/>
      <c r="GM100" s="243"/>
      <c r="GN100" s="243"/>
      <c r="GO100" s="243"/>
      <c r="GP100" s="243"/>
      <c r="GQ100" s="243"/>
      <c r="GR100" s="243"/>
      <c r="GS100" s="242"/>
      <c r="GT100" s="242"/>
      <c r="GU100" s="242"/>
      <c r="GV100" s="242"/>
      <c r="GW100" s="242"/>
      <c r="GX100" s="242"/>
      <c r="GY100" s="242"/>
      <c r="GZ100" s="243"/>
      <c r="HA100" s="243"/>
      <c r="HB100" s="243"/>
      <c r="HC100" s="243"/>
      <c r="HD100" s="243"/>
      <c r="HE100" s="243"/>
      <c r="HF100" s="243"/>
      <c r="HG100" s="242"/>
      <c r="HH100" s="242"/>
      <c r="HI100" s="242"/>
      <c r="HJ100" s="242"/>
      <c r="HK100" s="242"/>
      <c r="HL100" s="242"/>
      <c r="HM100" s="242"/>
      <c r="HN100" s="243"/>
      <c r="HO100" s="243"/>
      <c r="HP100" s="243"/>
      <c r="HQ100" s="243"/>
      <c r="HR100" s="243"/>
      <c r="HS100" s="243"/>
      <c r="HT100" s="243"/>
      <c r="HU100" s="242"/>
      <c r="HV100" s="242"/>
      <c r="HW100" s="242"/>
      <c r="HX100" s="242"/>
      <c r="HY100" s="242"/>
      <c r="HZ100" s="242"/>
      <c r="IA100" s="242"/>
      <c r="IB100" s="243"/>
      <c r="IC100" s="243"/>
      <c r="ID100" s="243"/>
      <c r="IE100" s="243"/>
      <c r="IF100" s="243"/>
      <c r="IG100" s="243"/>
      <c r="IH100" s="243"/>
      <c r="II100" s="242"/>
      <c r="IJ100" s="242"/>
      <c r="IK100" s="242"/>
      <c r="IL100" s="242"/>
      <c r="IM100" s="242"/>
      <c r="IN100" s="242"/>
      <c r="IO100" s="242"/>
      <c r="IP100" s="243"/>
      <c r="IQ100" s="243"/>
      <c r="IR100" s="243"/>
      <c r="IS100" s="243"/>
      <c r="IT100" s="243"/>
      <c r="IU100" s="243"/>
      <c r="IV100" s="243"/>
      <c r="IW100" s="242"/>
      <c r="IX100" s="242"/>
      <c r="IY100" s="242"/>
      <c r="IZ100" s="242"/>
      <c r="JA100" s="242"/>
      <c r="JB100" s="242"/>
      <c r="JC100" s="242"/>
      <c r="JD100" s="243"/>
      <c r="JE100" s="243"/>
      <c r="JF100" s="243"/>
      <c r="JG100" s="243"/>
      <c r="JH100" s="243"/>
      <c r="JI100" s="243"/>
      <c r="JJ100" s="243"/>
      <c r="JK100" s="242"/>
      <c r="JL100" s="242"/>
      <c r="JM100" s="242"/>
      <c r="JN100" s="242"/>
      <c r="JO100" s="242"/>
      <c r="JP100" s="242"/>
      <c r="JQ100" s="242"/>
      <c r="JR100" s="243"/>
      <c r="JS100" s="243"/>
      <c r="JT100" s="243"/>
      <c r="JU100" s="243"/>
      <c r="JV100" s="243"/>
      <c r="JW100" s="243"/>
      <c r="JX100" s="243"/>
      <c r="JY100" s="242"/>
      <c r="JZ100" s="242"/>
      <c r="KA100" s="242"/>
      <c r="KB100" s="242"/>
      <c r="KC100" s="242"/>
      <c r="KD100" s="242"/>
      <c r="KE100" s="242"/>
      <c r="KF100" s="243"/>
      <c r="KG100" s="243"/>
      <c r="KH100" s="243"/>
      <c r="KI100" s="243"/>
      <c r="KJ100" s="243"/>
      <c r="KK100" s="243"/>
      <c r="KL100" s="243"/>
      <c r="KM100" s="242">
        <v>24</v>
      </c>
      <c r="KN100" s="242">
        <v>24</v>
      </c>
      <c r="KO100" s="242">
        <v>24</v>
      </c>
      <c r="KP100" s="242">
        <v>24</v>
      </c>
      <c r="KQ100" s="242">
        <v>24</v>
      </c>
      <c r="KR100" s="242"/>
      <c r="KS100" s="242"/>
      <c r="KT100" s="243"/>
      <c r="KU100" s="243"/>
      <c r="KV100" s="243"/>
      <c r="KW100" s="243"/>
      <c r="KX100" s="243"/>
      <c r="KY100" s="243"/>
      <c r="KZ100" s="243"/>
      <c r="LA100" s="242"/>
      <c r="LB100" s="242"/>
      <c r="LC100" s="242"/>
      <c r="LD100" s="242"/>
      <c r="LE100" s="242"/>
      <c r="LF100" s="242"/>
      <c r="LG100" s="242"/>
      <c r="LH100" s="243"/>
      <c r="LI100" s="243"/>
      <c r="LJ100" s="243"/>
      <c r="LK100" s="243"/>
      <c r="LL100" s="243"/>
      <c r="LM100" s="243"/>
      <c r="LN100" s="243"/>
      <c r="LO100" s="242"/>
      <c r="LP100" s="242"/>
      <c r="LQ100" s="242"/>
      <c r="LR100" s="242"/>
      <c r="LS100" s="242"/>
      <c r="LT100" s="242"/>
      <c r="LU100" s="242"/>
      <c r="LV100" s="243"/>
      <c r="LW100" s="243"/>
      <c r="LX100" s="243"/>
      <c r="LY100" s="243"/>
      <c r="LZ100" s="243"/>
      <c r="MA100" s="243"/>
      <c r="MB100" s="243"/>
      <c r="MC100" s="242"/>
      <c r="MD100" s="242"/>
      <c r="ME100" s="242"/>
      <c r="MF100" s="242"/>
      <c r="MG100" s="242"/>
      <c r="MH100" s="242"/>
      <c r="MI100" s="242"/>
      <c r="MJ100" s="243"/>
      <c r="MK100" s="243"/>
      <c r="ML100" s="243"/>
      <c r="MM100" s="243"/>
      <c r="MN100" s="243"/>
      <c r="MO100" s="243"/>
      <c r="MP100" s="243"/>
      <c r="MQ100" s="242"/>
      <c r="MR100" s="242"/>
      <c r="MS100" s="242"/>
      <c r="MT100" s="242"/>
      <c r="MU100" s="242"/>
      <c r="MV100" s="242"/>
      <c r="MW100" s="242"/>
      <c r="MX100" s="243"/>
      <c r="MY100" s="243"/>
      <c r="MZ100" s="243"/>
      <c r="NA100" s="243"/>
      <c r="NB100" s="243"/>
      <c r="NC100" s="243"/>
      <c r="ND100" s="243"/>
      <c r="NE100" s="242"/>
      <c r="NF100" s="242"/>
      <c r="NG100" s="242"/>
      <c r="NH100" s="333"/>
    </row>
    <row r="101" spans="1:372">
      <c r="A101" s="251" t="s">
        <v>980</v>
      </c>
      <c r="B101" s="251" t="s">
        <v>981</v>
      </c>
      <c r="C101" s="251" t="s">
        <v>675</v>
      </c>
      <c r="D101" s="251" t="e">
        <v>#N/A</v>
      </c>
      <c r="E101" s="241">
        <v>0</v>
      </c>
      <c r="F101" s="241">
        <v>0</v>
      </c>
      <c r="G101" s="242"/>
      <c r="H101" s="242"/>
      <c r="I101" s="242"/>
      <c r="J101" s="242"/>
      <c r="K101" s="242"/>
      <c r="L101" s="243"/>
      <c r="M101" s="243"/>
      <c r="N101" s="243"/>
      <c r="O101" s="243"/>
      <c r="P101" s="243"/>
      <c r="Q101" s="243"/>
      <c r="R101" s="243"/>
      <c r="S101" s="242"/>
      <c r="T101" s="242"/>
      <c r="U101" s="242"/>
      <c r="V101" s="242"/>
      <c r="W101" s="242"/>
      <c r="X101" s="242"/>
      <c r="Y101" s="242"/>
      <c r="Z101" s="243"/>
      <c r="AA101" s="243"/>
      <c r="AB101" s="243"/>
      <c r="AC101" s="243"/>
      <c r="AD101" s="243"/>
      <c r="AE101" s="243"/>
      <c r="AF101" s="243"/>
      <c r="AG101" s="242"/>
      <c r="AH101" s="242"/>
      <c r="AI101" s="242"/>
      <c r="AJ101" s="242"/>
      <c r="AK101" s="242"/>
      <c r="AL101" s="242"/>
      <c r="AM101" s="242"/>
      <c r="AN101" s="243"/>
      <c r="AO101" s="243"/>
      <c r="AP101" s="243"/>
      <c r="AQ101" s="243"/>
      <c r="AR101" s="243"/>
      <c r="AS101" s="243"/>
      <c r="AT101" s="243"/>
      <c r="AU101" s="242"/>
      <c r="AV101" s="242"/>
      <c r="AW101" s="242"/>
      <c r="AX101" s="242"/>
      <c r="AY101" s="242"/>
      <c r="AZ101" s="242"/>
      <c r="BA101" s="242"/>
      <c r="BB101" s="243"/>
      <c r="BC101" s="243"/>
      <c r="BD101" s="243"/>
      <c r="BE101" s="243"/>
      <c r="BF101" s="243"/>
      <c r="BG101" s="243"/>
      <c r="BH101" s="243"/>
      <c r="BI101" s="242"/>
      <c r="BJ101" s="242"/>
      <c r="BK101" s="242"/>
      <c r="BL101" s="242"/>
      <c r="BM101" s="242"/>
      <c r="BN101" s="242"/>
      <c r="BO101" s="242"/>
      <c r="BP101" s="243"/>
      <c r="BQ101" s="243"/>
      <c r="BR101" s="243"/>
      <c r="BS101" s="243"/>
      <c r="BT101" s="243"/>
      <c r="BU101" s="243"/>
      <c r="BV101" s="243"/>
      <c r="BW101" s="242"/>
      <c r="BX101" s="242"/>
      <c r="BY101" s="242"/>
      <c r="BZ101" s="242"/>
      <c r="CA101" s="242"/>
      <c r="CB101" s="242"/>
      <c r="CC101" s="242"/>
      <c r="CD101" s="243"/>
      <c r="CE101" s="243"/>
      <c r="CF101" s="243"/>
      <c r="CG101" s="243"/>
      <c r="CH101" s="243"/>
      <c r="CI101" s="243"/>
      <c r="CJ101" s="243"/>
      <c r="CK101" s="242"/>
      <c r="CL101" s="242"/>
      <c r="CM101" s="242"/>
      <c r="CN101" s="242"/>
      <c r="CO101" s="242"/>
      <c r="CP101" s="242"/>
      <c r="CQ101" s="242"/>
      <c r="CR101" s="243"/>
      <c r="CS101" s="243"/>
      <c r="CT101" s="243"/>
      <c r="CU101" s="243"/>
      <c r="CV101" s="243"/>
      <c r="CW101" s="243"/>
      <c r="CX101" s="243"/>
      <c r="CY101" s="242"/>
      <c r="CZ101" s="242"/>
      <c r="DA101" s="242"/>
      <c r="DB101" s="242"/>
      <c r="DC101" s="242"/>
      <c r="DD101" s="242"/>
      <c r="DE101" s="242"/>
      <c r="DF101" s="243"/>
      <c r="DG101" s="243"/>
      <c r="DH101" s="243"/>
      <c r="DI101" s="243"/>
      <c r="DJ101" s="243"/>
      <c r="DK101" s="243"/>
      <c r="DL101" s="243"/>
      <c r="DM101" s="242"/>
      <c r="DN101" s="242"/>
      <c r="DO101" s="242"/>
      <c r="DP101" s="242"/>
      <c r="DQ101" s="242"/>
      <c r="DR101" s="242"/>
      <c r="DS101" s="242"/>
      <c r="DT101" s="243"/>
      <c r="DU101" s="243"/>
      <c r="DV101" s="243"/>
      <c r="DW101" s="243"/>
      <c r="DX101" s="243"/>
      <c r="DY101" s="243"/>
      <c r="DZ101" s="243"/>
      <c r="EA101" s="242"/>
      <c r="EB101" s="242"/>
      <c r="EC101" s="242"/>
      <c r="ED101" s="242"/>
      <c r="EE101" s="242"/>
      <c r="EF101" s="242"/>
      <c r="EG101" s="242"/>
      <c r="EH101" s="243"/>
      <c r="EI101" s="243"/>
      <c r="EJ101" s="243"/>
      <c r="EK101" s="243"/>
      <c r="EL101" s="243"/>
      <c r="EM101" s="243"/>
      <c r="EN101" s="243"/>
      <c r="EO101" s="242"/>
      <c r="EP101" s="242"/>
      <c r="EQ101" s="242"/>
      <c r="ER101" s="242"/>
      <c r="ES101" s="242"/>
      <c r="ET101" s="242"/>
      <c r="EU101" s="242"/>
      <c r="EV101" s="243"/>
      <c r="EW101" s="243"/>
      <c r="EX101" s="243"/>
      <c r="EY101" s="243"/>
      <c r="EZ101" s="243"/>
      <c r="FA101" s="243"/>
      <c r="FB101" s="243"/>
      <c r="FC101" s="242"/>
      <c r="FD101" s="242"/>
      <c r="FE101" s="242"/>
      <c r="FF101" s="242"/>
      <c r="FG101" s="242"/>
      <c r="FH101" s="242"/>
      <c r="FI101" s="242"/>
      <c r="FJ101" s="243"/>
      <c r="FK101" s="243"/>
      <c r="FL101" s="243"/>
      <c r="FM101" s="243"/>
      <c r="FN101" s="243"/>
      <c r="FO101" s="243"/>
      <c r="FP101" s="243"/>
      <c r="FQ101" s="242"/>
      <c r="FR101" s="242"/>
      <c r="FS101" s="242"/>
      <c r="FT101" s="242"/>
      <c r="FU101" s="242"/>
      <c r="FV101" s="242"/>
      <c r="FW101" s="242"/>
      <c r="FX101" s="243"/>
      <c r="FY101" s="243"/>
      <c r="FZ101" s="243"/>
      <c r="GA101" s="243"/>
      <c r="GB101" s="243"/>
      <c r="GC101" s="243"/>
      <c r="GD101" s="243"/>
      <c r="GE101" s="242"/>
      <c r="GF101" s="242"/>
      <c r="GG101" s="242"/>
      <c r="GH101" s="242"/>
      <c r="GI101" s="242"/>
      <c r="GJ101" s="242"/>
      <c r="GK101" s="242"/>
      <c r="GL101" s="243"/>
      <c r="GM101" s="243"/>
      <c r="GN101" s="243"/>
      <c r="GO101" s="243"/>
      <c r="GP101" s="243"/>
      <c r="GQ101" s="243"/>
      <c r="GR101" s="243"/>
      <c r="GS101" s="242"/>
      <c r="GT101" s="242"/>
      <c r="GU101" s="242"/>
      <c r="GV101" s="242"/>
      <c r="GW101" s="242"/>
      <c r="GX101" s="242"/>
      <c r="GY101" s="242"/>
      <c r="GZ101" s="243"/>
      <c r="HA101" s="243"/>
      <c r="HB101" s="243"/>
      <c r="HC101" s="243"/>
      <c r="HD101" s="243"/>
      <c r="HE101" s="243"/>
      <c r="HF101" s="243"/>
      <c r="HG101" s="242"/>
      <c r="HH101" s="242"/>
      <c r="HI101" s="242"/>
      <c r="HJ101" s="242"/>
      <c r="HK101" s="242"/>
      <c r="HL101" s="242"/>
      <c r="HM101" s="242"/>
      <c r="HN101" s="243"/>
      <c r="HO101" s="243"/>
      <c r="HP101" s="243"/>
      <c r="HQ101" s="243"/>
      <c r="HR101" s="243"/>
      <c r="HS101" s="243"/>
      <c r="HT101" s="243"/>
      <c r="HU101" s="242"/>
      <c r="HV101" s="242"/>
      <c r="HW101" s="242"/>
      <c r="HX101" s="242"/>
      <c r="HY101" s="242"/>
      <c r="HZ101" s="242"/>
      <c r="IA101" s="242"/>
      <c r="IB101" s="243"/>
      <c r="IC101" s="243"/>
      <c r="ID101" s="243"/>
      <c r="IE101" s="243"/>
      <c r="IF101" s="243"/>
      <c r="IG101" s="243"/>
      <c r="IH101" s="243"/>
      <c r="II101" s="242"/>
      <c r="IJ101" s="242"/>
      <c r="IK101" s="242"/>
      <c r="IL101" s="242"/>
      <c r="IM101" s="242"/>
      <c r="IN101" s="242"/>
      <c r="IO101" s="242"/>
      <c r="IP101" s="243"/>
      <c r="IQ101" s="243"/>
      <c r="IR101" s="243"/>
      <c r="IS101" s="243"/>
      <c r="IT101" s="243"/>
      <c r="IU101" s="243"/>
      <c r="IV101" s="243"/>
      <c r="IW101" s="242"/>
      <c r="IX101" s="242"/>
      <c r="IY101" s="242"/>
      <c r="IZ101" s="242"/>
      <c r="JA101" s="242"/>
      <c r="JB101" s="242"/>
      <c r="JC101" s="242"/>
      <c r="JD101" s="243"/>
      <c r="JE101" s="243"/>
      <c r="JF101" s="243"/>
      <c r="JG101" s="243"/>
      <c r="JH101" s="243"/>
      <c r="JI101" s="243"/>
      <c r="JJ101" s="243"/>
      <c r="JK101" s="242"/>
      <c r="JL101" s="242"/>
      <c r="JM101" s="242"/>
      <c r="JN101" s="242"/>
      <c r="JO101" s="242"/>
      <c r="JP101" s="242"/>
      <c r="JQ101" s="242"/>
      <c r="JR101" s="243"/>
      <c r="JS101" s="243"/>
      <c r="JT101" s="243"/>
      <c r="JU101" s="243"/>
      <c r="JV101" s="243"/>
      <c r="JW101" s="243"/>
      <c r="JX101" s="243"/>
      <c r="JY101" s="242"/>
      <c r="JZ101" s="242"/>
      <c r="KA101" s="242"/>
      <c r="KB101" s="242"/>
      <c r="KC101" s="242"/>
      <c r="KD101" s="242"/>
      <c r="KE101" s="242"/>
      <c r="KF101" s="243"/>
      <c r="KG101" s="243"/>
      <c r="KH101" s="243"/>
      <c r="KI101" s="243"/>
      <c r="KJ101" s="243"/>
      <c r="KK101" s="243"/>
      <c r="KL101" s="243"/>
      <c r="KM101" s="242"/>
      <c r="KN101" s="242"/>
      <c r="KO101" s="242"/>
      <c r="KP101" s="242"/>
      <c r="KQ101" s="242"/>
      <c r="KR101" s="242"/>
      <c r="KS101" s="242"/>
      <c r="KT101" s="243"/>
      <c r="KU101" s="243"/>
      <c r="KV101" s="243"/>
      <c r="KW101" s="243"/>
      <c r="KX101" s="243"/>
      <c r="KY101" s="243"/>
      <c r="KZ101" s="243"/>
      <c r="LA101" s="242"/>
      <c r="LB101" s="242"/>
      <c r="LC101" s="242"/>
      <c r="LD101" s="242"/>
      <c r="LE101" s="242"/>
      <c r="LF101" s="242"/>
      <c r="LG101" s="242"/>
      <c r="LH101" s="243"/>
      <c r="LI101" s="243"/>
      <c r="LJ101" s="243"/>
      <c r="LK101" s="243"/>
      <c r="LL101" s="243"/>
      <c r="LM101" s="243"/>
      <c r="LN101" s="243"/>
      <c r="LO101" s="242"/>
      <c r="LP101" s="242"/>
      <c r="LQ101" s="242"/>
      <c r="LR101" s="242"/>
      <c r="LS101" s="242"/>
      <c r="LT101" s="242"/>
      <c r="LU101" s="242"/>
      <c r="LV101" s="243"/>
      <c r="LW101" s="243"/>
      <c r="LX101" s="243"/>
      <c r="LY101" s="243"/>
      <c r="LZ101" s="243"/>
      <c r="MA101" s="243"/>
      <c r="MB101" s="243"/>
      <c r="MC101" s="242"/>
      <c r="MD101" s="242"/>
      <c r="ME101" s="242"/>
      <c r="MF101" s="242"/>
      <c r="MG101" s="242"/>
      <c r="MH101" s="242"/>
      <c r="MI101" s="242"/>
      <c r="MJ101" s="243"/>
      <c r="MK101" s="243"/>
      <c r="ML101" s="243"/>
      <c r="MM101" s="243"/>
      <c r="MN101" s="243"/>
      <c r="MO101" s="243"/>
      <c r="MP101" s="243"/>
      <c r="MQ101" s="242"/>
      <c r="MR101" s="242"/>
      <c r="MS101" s="242"/>
      <c r="MT101" s="242"/>
      <c r="MU101" s="242"/>
      <c r="MV101" s="242"/>
      <c r="MW101" s="242"/>
      <c r="MX101" s="243"/>
      <c r="MY101" s="243"/>
      <c r="MZ101" s="243"/>
      <c r="NA101" s="243"/>
      <c r="NB101" s="243"/>
      <c r="NC101" s="243"/>
      <c r="ND101" s="243"/>
      <c r="NE101" s="242"/>
      <c r="NF101" s="242"/>
      <c r="NG101" s="242"/>
      <c r="NH101" s="333"/>
    </row>
    <row r="102" spans="1:372">
      <c r="A102" s="251" t="s">
        <v>983</v>
      </c>
      <c r="B102" s="251" t="s">
        <v>82</v>
      </c>
      <c r="C102" s="251" t="s">
        <v>675</v>
      </c>
      <c r="D102" s="251" t="s">
        <v>982</v>
      </c>
      <c r="E102" s="241">
        <v>20.40502775081292</v>
      </c>
      <c r="F102" s="241">
        <v>72</v>
      </c>
      <c r="G102" s="242"/>
      <c r="H102" s="242"/>
      <c r="I102" s="242"/>
      <c r="J102" s="242"/>
      <c r="K102" s="242"/>
      <c r="L102" s="243"/>
      <c r="M102" s="243"/>
      <c r="N102" s="243"/>
      <c r="O102" s="243"/>
      <c r="P102" s="243"/>
      <c r="Q102" s="243"/>
      <c r="R102" s="243"/>
      <c r="S102" s="242"/>
      <c r="T102" s="242"/>
      <c r="U102" s="242"/>
      <c r="V102" s="242"/>
      <c r="W102" s="242"/>
      <c r="X102" s="242"/>
      <c r="Y102" s="242"/>
      <c r="Z102" s="243"/>
      <c r="AA102" s="243"/>
      <c r="AB102" s="243"/>
      <c r="AC102" s="243"/>
      <c r="AD102" s="243"/>
      <c r="AE102" s="243"/>
      <c r="AF102" s="243"/>
      <c r="AG102" s="242"/>
      <c r="AH102" s="242">
        <v>24</v>
      </c>
      <c r="AI102" s="242">
        <v>24</v>
      </c>
      <c r="AJ102" s="242">
        <v>24</v>
      </c>
      <c r="AK102" s="242"/>
      <c r="AL102" s="242"/>
      <c r="AM102" s="242"/>
      <c r="AN102" s="243"/>
      <c r="AO102" s="243"/>
      <c r="AP102" s="243"/>
      <c r="AQ102" s="243"/>
      <c r="AR102" s="243"/>
      <c r="AS102" s="243"/>
      <c r="AT102" s="243"/>
      <c r="AU102" s="242"/>
      <c r="AV102" s="242"/>
      <c r="AW102" s="242"/>
      <c r="AX102" s="242"/>
      <c r="AY102" s="242"/>
      <c r="AZ102" s="242"/>
      <c r="BA102" s="242"/>
      <c r="BB102" s="243"/>
      <c r="BC102" s="243"/>
      <c r="BD102" s="243"/>
      <c r="BE102" s="243"/>
      <c r="BF102" s="243"/>
      <c r="BG102" s="243"/>
      <c r="BH102" s="243"/>
      <c r="BI102" s="242"/>
      <c r="BJ102" s="242"/>
      <c r="BK102" s="242"/>
      <c r="BL102" s="242"/>
      <c r="BM102" s="242"/>
      <c r="BN102" s="242"/>
      <c r="BO102" s="242"/>
      <c r="BP102" s="243"/>
      <c r="BQ102" s="243"/>
      <c r="BR102" s="243"/>
      <c r="BS102" s="243"/>
      <c r="BT102" s="243"/>
      <c r="BU102" s="243"/>
      <c r="BV102" s="243"/>
      <c r="BW102" s="242"/>
      <c r="BX102" s="242"/>
      <c r="BY102" s="242"/>
      <c r="BZ102" s="242"/>
      <c r="CA102" s="242"/>
      <c r="CB102" s="242"/>
      <c r="CC102" s="242"/>
      <c r="CD102" s="243"/>
      <c r="CE102" s="243"/>
      <c r="CF102" s="243"/>
      <c r="CG102" s="243"/>
      <c r="CH102" s="243"/>
      <c r="CI102" s="243"/>
      <c r="CJ102" s="243"/>
      <c r="CK102" s="242"/>
      <c r="CL102" s="242"/>
      <c r="CM102" s="242"/>
      <c r="CN102" s="242"/>
      <c r="CO102" s="242"/>
      <c r="CP102" s="242"/>
      <c r="CQ102" s="242"/>
      <c r="CR102" s="243"/>
      <c r="CS102" s="243"/>
      <c r="CT102" s="243"/>
      <c r="CU102" s="243"/>
      <c r="CV102" s="243"/>
      <c r="CW102" s="243"/>
      <c r="CX102" s="243"/>
      <c r="CY102" s="242"/>
      <c r="CZ102" s="242"/>
      <c r="DA102" s="242"/>
      <c r="DB102" s="242"/>
      <c r="DC102" s="242"/>
      <c r="DD102" s="242"/>
      <c r="DE102" s="242"/>
      <c r="DF102" s="243"/>
      <c r="DG102" s="243"/>
      <c r="DH102" s="243"/>
      <c r="DI102" s="243"/>
      <c r="DJ102" s="243"/>
      <c r="DK102" s="243"/>
      <c r="DL102" s="243"/>
      <c r="DM102" s="242"/>
      <c r="DN102" s="242"/>
      <c r="DO102" s="242"/>
      <c r="DP102" s="242"/>
      <c r="DQ102" s="242"/>
      <c r="DR102" s="242"/>
      <c r="DS102" s="242"/>
      <c r="DT102" s="243"/>
      <c r="DU102" s="243"/>
      <c r="DV102" s="243"/>
      <c r="DW102" s="243"/>
      <c r="DX102" s="243"/>
      <c r="DY102" s="243"/>
      <c r="DZ102" s="243"/>
      <c r="EA102" s="242"/>
      <c r="EB102" s="242"/>
      <c r="EC102" s="242"/>
      <c r="ED102" s="242"/>
      <c r="EE102" s="242"/>
      <c r="EF102" s="242"/>
      <c r="EG102" s="242"/>
      <c r="EH102" s="243"/>
      <c r="EI102" s="243"/>
      <c r="EJ102" s="243"/>
      <c r="EK102" s="243"/>
      <c r="EL102" s="243"/>
      <c r="EM102" s="243"/>
      <c r="EN102" s="243"/>
      <c r="EO102" s="242"/>
      <c r="EP102" s="242"/>
      <c r="EQ102" s="242"/>
      <c r="ER102" s="242"/>
      <c r="ES102" s="242"/>
      <c r="ET102" s="242"/>
      <c r="EU102" s="242"/>
      <c r="EV102" s="243"/>
      <c r="EW102" s="243"/>
      <c r="EX102" s="243"/>
      <c r="EY102" s="243"/>
      <c r="EZ102" s="243"/>
      <c r="FA102" s="243"/>
      <c r="FB102" s="243"/>
      <c r="FC102" s="242"/>
      <c r="FD102" s="242"/>
      <c r="FE102" s="242"/>
      <c r="FF102" s="242"/>
      <c r="FG102" s="242"/>
      <c r="FH102" s="242"/>
      <c r="FI102" s="242"/>
      <c r="FJ102" s="243"/>
      <c r="FK102" s="243"/>
      <c r="FL102" s="243"/>
      <c r="FM102" s="243"/>
      <c r="FN102" s="243"/>
      <c r="FO102" s="243"/>
      <c r="FP102" s="243"/>
      <c r="FQ102" s="242"/>
      <c r="FR102" s="242"/>
      <c r="FS102" s="242"/>
      <c r="FT102" s="242"/>
      <c r="FU102" s="242"/>
      <c r="FV102" s="242"/>
      <c r="FW102" s="242"/>
      <c r="FX102" s="243"/>
      <c r="FY102" s="243"/>
      <c r="FZ102" s="243"/>
      <c r="GA102" s="243"/>
      <c r="GB102" s="243"/>
      <c r="GC102" s="243"/>
      <c r="GD102" s="243"/>
      <c r="GE102" s="242"/>
      <c r="GF102" s="242"/>
      <c r="GG102" s="242"/>
      <c r="GH102" s="242"/>
      <c r="GI102" s="242"/>
      <c r="GJ102" s="242"/>
      <c r="GK102" s="242"/>
      <c r="GL102" s="243"/>
      <c r="GM102" s="243"/>
      <c r="GN102" s="243"/>
      <c r="GO102" s="243"/>
      <c r="GP102" s="243"/>
      <c r="GQ102" s="243"/>
      <c r="GR102" s="243"/>
      <c r="GS102" s="242"/>
      <c r="GT102" s="242"/>
      <c r="GU102" s="242"/>
      <c r="GV102" s="242"/>
      <c r="GW102" s="242"/>
      <c r="GX102" s="242"/>
      <c r="GY102" s="242"/>
      <c r="GZ102" s="243"/>
      <c r="HA102" s="243"/>
      <c r="HB102" s="243"/>
      <c r="HC102" s="243"/>
      <c r="HD102" s="243"/>
      <c r="HE102" s="243"/>
      <c r="HF102" s="243"/>
      <c r="HG102" s="242"/>
      <c r="HH102" s="242"/>
      <c r="HI102" s="242"/>
      <c r="HJ102" s="242"/>
      <c r="HK102" s="242"/>
      <c r="HL102" s="242"/>
      <c r="HM102" s="242"/>
      <c r="HN102" s="243"/>
      <c r="HO102" s="243"/>
      <c r="HP102" s="243"/>
      <c r="HQ102" s="243"/>
      <c r="HR102" s="243"/>
      <c r="HS102" s="243"/>
      <c r="HT102" s="243"/>
      <c r="HU102" s="242"/>
      <c r="HV102" s="242"/>
      <c r="HW102" s="242"/>
      <c r="HX102" s="242"/>
      <c r="HY102" s="242"/>
      <c r="HZ102" s="242"/>
      <c r="IA102" s="242"/>
      <c r="IB102" s="243"/>
      <c r="IC102" s="243"/>
      <c r="ID102" s="243"/>
      <c r="IE102" s="243"/>
      <c r="IF102" s="243"/>
      <c r="IG102" s="243"/>
      <c r="IH102" s="243"/>
      <c r="II102" s="242"/>
      <c r="IJ102" s="242"/>
      <c r="IK102" s="242"/>
      <c r="IL102" s="242"/>
      <c r="IM102" s="242"/>
      <c r="IN102" s="242"/>
      <c r="IO102" s="242"/>
      <c r="IP102" s="243"/>
      <c r="IQ102" s="243"/>
      <c r="IR102" s="243"/>
      <c r="IS102" s="243"/>
      <c r="IT102" s="243"/>
      <c r="IU102" s="243"/>
      <c r="IV102" s="243"/>
      <c r="IW102" s="242"/>
      <c r="IX102" s="242"/>
      <c r="IY102" s="242"/>
      <c r="IZ102" s="242"/>
      <c r="JA102" s="242"/>
      <c r="JB102" s="242"/>
      <c r="JC102" s="242"/>
      <c r="JD102" s="243"/>
      <c r="JE102" s="243"/>
      <c r="JF102" s="243"/>
      <c r="JG102" s="243"/>
      <c r="JH102" s="243"/>
      <c r="JI102" s="243"/>
      <c r="JJ102" s="243"/>
      <c r="JK102" s="242"/>
      <c r="JL102" s="242"/>
      <c r="JM102" s="242"/>
      <c r="JN102" s="242"/>
      <c r="JO102" s="242"/>
      <c r="JP102" s="242"/>
      <c r="JQ102" s="242"/>
      <c r="JR102" s="243"/>
      <c r="JS102" s="243"/>
      <c r="JT102" s="243"/>
      <c r="JU102" s="243"/>
      <c r="JV102" s="243"/>
      <c r="JW102" s="243"/>
      <c r="JX102" s="243"/>
      <c r="JY102" s="242"/>
      <c r="JZ102" s="242"/>
      <c r="KA102" s="242"/>
      <c r="KB102" s="242"/>
      <c r="KC102" s="242"/>
      <c r="KD102" s="242"/>
      <c r="KE102" s="242"/>
      <c r="KF102" s="243"/>
      <c r="KG102" s="243"/>
      <c r="KH102" s="243"/>
      <c r="KI102" s="243"/>
      <c r="KJ102" s="243"/>
      <c r="KK102" s="243"/>
      <c r="KL102" s="243"/>
      <c r="KM102" s="242"/>
      <c r="KN102" s="242"/>
      <c r="KO102" s="242"/>
      <c r="KP102" s="242"/>
      <c r="KQ102" s="242"/>
      <c r="KR102" s="242"/>
      <c r="KS102" s="242"/>
      <c r="KT102" s="243"/>
      <c r="KU102" s="243"/>
      <c r="KV102" s="243"/>
      <c r="KW102" s="243"/>
      <c r="KX102" s="243"/>
      <c r="KY102" s="243"/>
      <c r="KZ102" s="243"/>
      <c r="LA102" s="242"/>
      <c r="LB102" s="242"/>
      <c r="LC102" s="242"/>
      <c r="LD102" s="242"/>
      <c r="LE102" s="242"/>
      <c r="LF102" s="242"/>
      <c r="LG102" s="242"/>
      <c r="LH102" s="243"/>
      <c r="LI102" s="243"/>
      <c r="LJ102" s="243"/>
      <c r="LK102" s="243"/>
      <c r="LL102" s="243"/>
      <c r="LM102" s="243"/>
      <c r="LN102" s="243"/>
      <c r="LO102" s="242"/>
      <c r="LP102" s="242"/>
      <c r="LQ102" s="242"/>
      <c r="LR102" s="242"/>
      <c r="LS102" s="242"/>
      <c r="LT102" s="242"/>
      <c r="LU102" s="242"/>
      <c r="LV102" s="243"/>
      <c r="LW102" s="243"/>
      <c r="LX102" s="243"/>
      <c r="LY102" s="243"/>
      <c r="LZ102" s="243"/>
      <c r="MA102" s="243"/>
      <c r="MB102" s="243"/>
      <c r="MC102" s="242"/>
      <c r="MD102" s="242"/>
      <c r="ME102" s="242"/>
      <c r="MF102" s="242"/>
      <c r="MG102" s="242"/>
      <c r="MH102" s="242"/>
      <c r="MI102" s="242"/>
      <c r="MJ102" s="243"/>
      <c r="MK102" s="243"/>
      <c r="ML102" s="243"/>
      <c r="MM102" s="243"/>
      <c r="MN102" s="243"/>
      <c r="MO102" s="243"/>
      <c r="MP102" s="243"/>
      <c r="MQ102" s="242"/>
      <c r="MR102" s="242"/>
      <c r="MS102" s="242"/>
      <c r="MT102" s="242"/>
      <c r="MU102" s="242"/>
      <c r="MV102" s="242"/>
      <c r="MW102" s="242"/>
      <c r="MX102" s="243"/>
      <c r="MY102" s="243"/>
      <c r="MZ102" s="243"/>
      <c r="NA102" s="243"/>
      <c r="NB102" s="243"/>
      <c r="NC102" s="243"/>
      <c r="ND102" s="243"/>
      <c r="NE102" s="242"/>
      <c r="NF102" s="242"/>
      <c r="NG102" s="242"/>
      <c r="NH102" s="333"/>
    </row>
    <row r="103" spans="1:372">
      <c r="A103" s="251" t="s">
        <v>984</v>
      </c>
      <c r="B103" s="251" t="s">
        <v>369</v>
      </c>
      <c r="C103" s="251" t="s">
        <v>674</v>
      </c>
      <c r="D103" s="251" t="s">
        <v>982</v>
      </c>
      <c r="E103" s="241">
        <v>0</v>
      </c>
      <c r="F103" s="241">
        <v>0</v>
      </c>
      <c r="G103" s="242"/>
      <c r="H103" s="242"/>
      <c r="I103" s="242"/>
      <c r="J103" s="242"/>
      <c r="K103" s="242"/>
      <c r="L103" s="243"/>
      <c r="M103" s="243"/>
      <c r="N103" s="243"/>
      <c r="O103" s="243"/>
      <c r="P103" s="243"/>
      <c r="Q103" s="243"/>
      <c r="R103" s="243"/>
      <c r="S103" s="242"/>
      <c r="T103" s="242"/>
      <c r="U103" s="242"/>
      <c r="V103" s="242"/>
      <c r="W103" s="242"/>
      <c r="X103" s="242"/>
      <c r="Y103" s="242"/>
      <c r="Z103" s="243"/>
      <c r="AA103" s="243"/>
      <c r="AB103" s="243"/>
      <c r="AC103" s="243"/>
      <c r="AD103" s="243"/>
      <c r="AE103" s="243"/>
      <c r="AF103" s="243"/>
      <c r="AG103" s="242"/>
      <c r="AH103" s="242"/>
      <c r="AI103" s="242"/>
      <c r="AJ103" s="242"/>
      <c r="AK103" s="242"/>
      <c r="AL103" s="242"/>
      <c r="AM103" s="242"/>
      <c r="AN103" s="243"/>
      <c r="AO103" s="243"/>
      <c r="AP103" s="243"/>
      <c r="AQ103" s="243"/>
      <c r="AR103" s="243"/>
      <c r="AS103" s="243"/>
      <c r="AT103" s="243"/>
      <c r="AU103" s="242"/>
      <c r="AV103" s="242"/>
      <c r="AW103" s="242"/>
      <c r="AX103" s="242"/>
      <c r="AY103" s="242"/>
      <c r="AZ103" s="242"/>
      <c r="BA103" s="242"/>
      <c r="BB103" s="243"/>
      <c r="BC103" s="243"/>
      <c r="BD103" s="243"/>
      <c r="BE103" s="243"/>
      <c r="BF103" s="243"/>
      <c r="BG103" s="243"/>
      <c r="BH103" s="243"/>
      <c r="BI103" s="242"/>
      <c r="BJ103" s="242"/>
      <c r="BK103" s="242"/>
      <c r="BL103" s="242"/>
      <c r="BM103" s="242"/>
      <c r="BN103" s="242"/>
      <c r="BO103" s="242"/>
      <c r="BP103" s="243"/>
      <c r="BQ103" s="243"/>
      <c r="BR103" s="243"/>
      <c r="BS103" s="243"/>
      <c r="BT103" s="243"/>
      <c r="BU103" s="243"/>
      <c r="BV103" s="243"/>
      <c r="BW103" s="242"/>
      <c r="BX103" s="242"/>
      <c r="BY103" s="242"/>
      <c r="BZ103" s="242"/>
      <c r="CA103" s="242"/>
      <c r="CB103" s="242"/>
      <c r="CC103" s="242"/>
      <c r="CD103" s="243"/>
      <c r="CE103" s="243"/>
      <c r="CF103" s="243"/>
      <c r="CG103" s="243"/>
      <c r="CH103" s="243"/>
      <c r="CI103" s="243"/>
      <c r="CJ103" s="243"/>
      <c r="CK103" s="242"/>
      <c r="CL103" s="242"/>
      <c r="CM103" s="242"/>
      <c r="CN103" s="242"/>
      <c r="CO103" s="242"/>
      <c r="CP103" s="242"/>
      <c r="CQ103" s="242"/>
      <c r="CR103" s="243"/>
      <c r="CS103" s="243"/>
      <c r="CT103" s="243"/>
      <c r="CU103" s="243"/>
      <c r="CV103" s="243"/>
      <c r="CW103" s="243"/>
      <c r="CX103" s="243"/>
      <c r="CY103" s="242"/>
      <c r="CZ103" s="242"/>
      <c r="DA103" s="242"/>
      <c r="DB103" s="242"/>
      <c r="DC103" s="242"/>
      <c r="DD103" s="242"/>
      <c r="DE103" s="242"/>
      <c r="DF103" s="243"/>
      <c r="DG103" s="243"/>
      <c r="DH103" s="243"/>
      <c r="DI103" s="243"/>
      <c r="DJ103" s="243"/>
      <c r="DK103" s="243"/>
      <c r="DL103" s="243"/>
      <c r="DM103" s="242"/>
      <c r="DN103" s="242"/>
      <c r="DO103" s="242"/>
      <c r="DP103" s="242"/>
      <c r="DQ103" s="242"/>
      <c r="DR103" s="242"/>
      <c r="DS103" s="242"/>
      <c r="DT103" s="243"/>
      <c r="DU103" s="243"/>
      <c r="DV103" s="243"/>
      <c r="DW103" s="243"/>
      <c r="DX103" s="243"/>
      <c r="DY103" s="243"/>
      <c r="DZ103" s="243"/>
      <c r="EA103" s="242"/>
      <c r="EB103" s="242"/>
      <c r="EC103" s="242"/>
      <c r="ED103" s="242"/>
      <c r="EE103" s="242"/>
      <c r="EF103" s="242"/>
      <c r="EG103" s="242"/>
      <c r="EH103" s="243"/>
      <c r="EI103" s="243"/>
      <c r="EJ103" s="243"/>
      <c r="EK103" s="243"/>
      <c r="EL103" s="243"/>
      <c r="EM103" s="243"/>
      <c r="EN103" s="243"/>
      <c r="EO103" s="242"/>
      <c r="EP103" s="242"/>
      <c r="EQ103" s="242"/>
      <c r="ER103" s="242"/>
      <c r="ES103" s="242"/>
      <c r="ET103" s="242"/>
      <c r="EU103" s="242"/>
      <c r="EV103" s="243"/>
      <c r="EW103" s="243"/>
      <c r="EX103" s="243"/>
      <c r="EY103" s="243"/>
      <c r="EZ103" s="243"/>
      <c r="FA103" s="243"/>
      <c r="FB103" s="243"/>
      <c r="FC103" s="242"/>
      <c r="FD103" s="242"/>
      <c r="FE103" s="242"/>
      <c r="FF103" s="242"/>
      <c r="FG103" s="242"/>
      <c r="FH103" s="242"/>
      <c r="FI103" s="242"/>
      <c r="FJ103" s="243"/>
      <c r="FK103" s="243"/>
      <c r="FL103" s="243"/>
      <c r="FM103" s="243"/>
      <c r="FN103" s="243"/>
      <c r="FO103" s="243"/>
      <c r="FP103" s="243"/>
      <c r="FQ103" s="242"/>
      <c r="FR103" s="242"/>
      <c r="FS103" s="242"/>
      <c r="FT103" s="242"/>
      <c r="FU103" s="242"/>
      <c r="FV103" s="242"/>
      <c r="FW103" s="242"/>
      <c r="FX103" s="243"/>
      <c r="FY103" s="243"/>
      <c r="FZ103" s="243"/>
      <c r="GA103" s="243"/>
      <c r="GB103" s="243"/>
      <c r="GC103" s="243"/>
      <c r="GD103" s="243"/>
      <c r="GE103" s="242"/>
      <c r="GF103" s="242"/>
      <c r="GG103" s="242"/>
      <c r="GH103" s="242"/>
      <c r="GI103" s="242"/>
      <c r="GJ103" s="242"/>
      <c r="GK103" s="242"/>
      <c r="GL103" s="243"/>
      <c r="GM103" s="243"/>
      <c r="GN103" s="243"/>
      <c r="GO103" s="243"/>
      <c r="GP103" s="243"/>
      <c r="GQ103" s="243"/>
      <c r="GR103" s="243"/>
      <c r="GS103" s="242"/>
      <c r="GT103" s="242"/>
      <c r="GU103" s="242"/>
      <c r="GV103" s="242"/>
      <c r="GW103" s="242"/>
      <c r="GX103" s="242"/>
      <c r="GY103" s="242"/>
      <c r="GZ103" s="243"/>
      <c r="HA103" s="243"/>
      <c r="HB103" s="243"/>
      <c r="HC103" s="243"/>
      <c r="HD103" s="243"/>
      <c r="HE103" s="243"/>
      <c r="HF103" s="243"/>
      <c r="HG103" s="242"/>
      <c r="HH103" s="242"/>
      <c r="HI103" s="242"/>
      <c r="HJ103" s="242"/>
      <c r="HK103" s="242"/>
      <c r="HL103" s="242"/>
      <c r="HM103" s="242"/>
      <c r="HN103" s="243"/>
      <c r="HO103" s="243"/>
      <c r="HP103" s="243"/>
      <c r="HQ103" s="243"/>
      <c r="HR103" s="243"/>
      <c r="HS103" s="243"/>
      <c r="HT103" s="243"/>
      <c r="HU103" s="242"/>
      <c r="HV103" s="242"/>
      <c r="HW103" s="242"/>
      <c r="HX103" s="242"/>
      <c r="HY103" s="242"/>
      <c r="HZ103" s="242"/>
      <c r="IA103" s="242"/>
      <c r="IB103" s="243"/>
      <c r="IC103" s="243"/>
      <c r="ID103" s="243"/>
      <c r="IE103" s="243"/>
      <c r="IF103" s="243"/>
      <c r="IG103" s="243"/>
      <c r="IH103" s="243"/>
      <c r="II103" s="242"/>
      <c r="IJ103" s="242"/>
      <c r="IK103" s="242"/>
      <c r="IL103" s="242"/>
      <c r="IM103" s="242"/>
      <c r="IN103" s="242"/>
      <c r="IO103" s="242"/>
      <c r="IP103" s="243"/>
      <c r="IQ103" s="243"/>
      <c r="IR103" s="243"/>
      <c r="IS103" s="243"/>
      <c r="IT103" s="243"/>
      <c r="IU103" s="243"/>
      <c r="IV103" s="243"/>
      <c r="IW103" s="242"/>
      <c r="IX103" s="242"/>
      <c r="IY103" s="242"/>
      <c r="IZ103" s="242"/>
      <c r="JA103" s="242"/>
      <c r="JB103" s="242"/>
      <c r="JC103" s="242"/>
      <c r="JD103" s="243"/>
      <c r="JE103" s="243"/>
      <c r="JF103" s="243"/>
      <c r="JG103" s="243"/>
      <c r="JH103" s="243"/>
      <c r="JI103" s="243"/>
      <c r="JJ103" s="243"/>
      <c r="JK103" s="242"/>
      <c r="JL103" s="242"/>
      <c r="JM103" s="242"/>
      <c r="JN103" s="242"/>
      <c r="JO103" s="242"/>
      <c r="JP103" s="242"/>
      <c r="JQ103" s="242"/>
      <c r="JR103" s="243"/>
      <c r="JS103" s="243"/>
      <c r="JT103" s="243"/>
      <c r="JU103" s="243"/>
      <c r="JV103" s="243"/>
      <c r="JW103" s="243"/>
      <c r="JX103" s="243"/>
      <c r="JY103" s="242"/>
      <c r="JZ103" s="242"/>
      <c r="KA103" s="242"/>
      <c r="KB103" s="242"/>
      <c r="KC103" s="242"/>
      <c r="KD103" s="242"/>
      <c r="KE103" s="242"/>
      <c r="KF103" s="243"/>
      <c r="KG103" s="243"/>
      <c r="KH103" s="243"/>
      <c r="KI103" s="243"/>
      <c r="KJ103" s="243"/>
      <c r="KK103" s="243"/>
      <c r="KL103" s="243"/>
      <c r="KM103" s="242"/>
      <c r="KN103" s="242"/>
      <c r="KO103" s="242"/>
      <c r="KP103" s="242"/>
      <c r="KQ103" s="242"/>
      <c r="KR103" s="242"/>
      <c r="KS103" s="242"/>
      <c r="KT103" s="243"/>
      <c r="KU103" s="243"/>
      <c r="KV103" s="243"/>
      <c r="KW103" s="243"/>
      <c r="KX103" s="243"/>
      <c r="KY103" s="243"/>
      <c r="KZ103" s="243"/>
      <c r="LA103" s="242"/>
      <c r="LB103" s="242"/>
      <c r="LC103" s="242"/>
      <c r="LD103" s="242"/>
      <c r="LE103" s="242"/>
      <c r="LF103" s="242"/>
      <c r="LG103" s="242"/>
      <c r="LH103" s="243"/>
      <c r="LI103" s="243"/>
      <c r="LJ103" s="243"/>
      <c r="LK103" s="243"/>
      <c r="LL103" s="243"/>
      <c r="LM103" s="243"/>
      <c r="LN103" s="243"/>
      <c r="LO103" s="242"/>
      <c r="LP103" s="242"/>
      <c r="LQ103" s="242"/>
      <c r="LR103" s="242"/>
      <c r="LS103" s="242"/>
      <c r="LT103" s="242"/>
      <c r="LU103" s="242"/>
      <c r="LV103" s="243"/>
      <c r="LW103" s="243"/>
      <c r="LX103" s="243"/>
      <c r="LY103" s="243"/>
      <c r="LZ103" s="243"/>
      <c r="MA103" s="243"/>
      <c r="MB103" s="243"/>
      <c r="MC103" s="242"/>
      <c r="MD103" s="242"/>
      <c r="ME103" s="242"/>
      <c r="MF103" s="242"/>
      <c r="MG103" s="242"/>
      <c r="MH103" s="242"/>
      <c r="MI103" s="242"/>
      <c r="MJ103" s="243"/>
      <c r="MK103" s="243"/>
      <c r="ML103" s="243"/>
      <c r="MM103" s="243"/>
      <c r="MN103" s="243"/>
      <c r="MO103" s="243"/>
      <c r="MP103" s="243"/>
      <c r="MQ103" s="242"/>
      <c r="MR103" s="242"/>
      <c r="MS103" s="242"/>
      <c r="MT103" s="242"/>
      <c r="MU103" s="242"/>
      <c r="MV103" s="242"/>
      <c r="MW103" s="242"/>
      <c r="MX103" s="243"/>
      <c r="MY103" s="243"/>
      <c r="MZ103" s="243"/>
      <c r="NA103" s="243"/>
      <c r="NB103" s="243"/>
      <c r="NC103" s="243"/>
      <c r="ND103" s="243"/>
      <c r="NE103" s="242"/>
      <c r="NF103" s="242"/>
      <c r="NG103" s="242"/>
      <c r="NH103" s="333"/>
    </row>
    <row r="104" spans="1:372">
      <c r="A104" s="251" t="s">
        <v>984</v>
      </c>
      <c r="B104" s="251" t="s">
        <v>101</v>
      </c>
      <c r="C104" s="251" t="s">
        <v>675</v>
      </c>
      <c r="D104" s="251" t="s">
        <v>997</v>
      </c>
      <c r="E104" s="241">
        <v>1.6799861003333301</v>
      </c>
      <c r="F104" s="241">
        <v>0</v>
      </c>
      <c r="G104" s="242"/>
      <c r="H104" s="242"/>
      <c r="I104" s="242"/>
      <c r="J104" s="242"/>
      <c r="K104" s="242"/>
      <c r="L104" s="243"/>
      <c r="M104" s="243"/>
      <c r="N104" s="243"/>
      <c r="O104" s="243"/>
      <c r="P104" s="243"/>
      <c r="Q104" s="243"/>
      <c r="R104" s="243"/>
      <c r="S104" s="242"/>
      <c r="T104" s="242"/>
      <c r="U104" s="242"/>
      <c r="V104" s="242"/>
      <c r="W104" s="242"/>
      <c r="X104" s="242"/>
      <c r="Y104" s="242"/>
      <c r="Z104" s="243"/>
      <c r="AA104" s="243"/>
      <c r="AB104" s="243"/>
      <c r="AC104" s="243"/>
      <c r="AD104" s="243"/>
      <c r="AE104" s="243"/>
      <c r="AF104" s="243"/>
      <c r="AG104" s="242"/>
      <c r="AH104" s="242"/>
      <c r="AI104" s="242"/>
      <c r="AJ104" s="242"/>
      <c r="AK104" s="242"/>
      <c r="AL104" s="242"/>
      <c r="AM104" s="242"/>
      <c r="AN104" s="243"/>
      <c r="AO104" s="243"/>
      <c r="AP104" s="243"/>
      <c r="AQ104" s="243"/>
      <c r="AR104" s="243"/>
      <c r="AS104" s="243"/>
      <c r="AT104" s="243"/>
      <c r="AU104" s="242"/>
      <c r="AV104" s="242"/>
      <c r="AW104" s="242"/>
      <c r="AX104" s="242"/>
      <c r="AY104" s="242"/>
      <c r="AZ104" s="242"/>
      <c r="BA104" s="242"/>
      <c r="BB104" s="243"/>
      <c r="BC104" s="243"/>
      <c r="BD104" s="243"/>
      <c r="BE104" s="243"/>
      <c r="BF104" s="243"/>
      <c r="BG104" s="243"/>
      <c r="BH104" s="243"/>
      <c r="BI104" s="242"/>
      <c r="BJ104" s="242"/>
      <c r="BK104" s="242"/>
      <c r="BL104" s="242"/>
      <c r="BM104" s="242"/>
      <c r="BN104" s="242"/>
      <c r="BO104" s="242"/>
      <c r="BP104" s="243"/>
      <c r="BQ104" s="243"/>
      <c r="BR104" s="243"/>
      <c r="BS104" s="243"/>
      <c r="BT104" s="243"/>
      <c r="BU104" s="243"/>
      <c r="BV104" s="243"/>
      <c r="BW104" s="242"/>
      <c r="BX104" s="242"/>
      <c r="BY104" s="242"/>
      <c r="BZ104" s="242"/>
      <c r="CA104" s="242"/>
      <c r="CB104" s="242"/>
      <c r="CC104" s="242"/>
      <c r="CD104" s="243"/>
      <c r="CE104" s="243"/>
      <c r="CF104" s="243"/>
      <c r="CG104" s="243"/>
      <c r="CH104" s="243"/>
      <c r="CI104" s="243"/>
      <c r="CJ104" s="243"/>
      <c r="CK104" s="242"/>
      <c r="CL104" s="242"/>
      <c r="CM104" s="242"/>
      <c r="CN104" s="242"/>
      <c r="CO104" s="242"/>
      <c r="CP104" s="242"/>
      <c r="CQ104" s="242"/>
      <c r="CR104" s="243"/>
      <c r="CS104" s="243"/>
      <c r="CT104" s="243"/>
      <c r="CU104" s="243"/>
      <c r="CV104" s="243"/>
      <c r="CW104" s="243"/>
      <c r="CX104" s="243"/>
      <c r="CY104" s="242"/>
      <c r="CZ104" s="242"/>
      <c r="DA104" s="242"/>
      <c r="DB104" s="242"/>
      <c r="DC104" s="242"/>
      <c r="DD104" s="242"/>
      <c r="DE104" s="242"/>
      <c r="DF104" s="243"/>
      <c r="DG104" s="243"/>
      <c r="DH104" s="243"/>
      <c r="DI104" s="243"/>
      <c r="DJ104" s="243"/>
      <c r="DK104" s="243"/>
      <c r="DL104" s="243"/>
      <c r="DM104" s="242"/>
      <c r="DN104" s="242"/>
      <c r="DO104" s="242"/>
      <c r="DP104" s="242"/>
      <c r="DQ104" s="242"/>
      <c r="DR104" s="242"/>
      <c r="DS104" s="242"/>
      <c r="DT104" s="243"/>
      <c r="DU104" s="243"/>
      <c r="DV104" s="243"/>
      <c r="DW104" s="243"/>
      <c r="DX104" s="243"/>
      <c r="DY104" s="243"/>
      <c r="DZ104" s="243"/>
      <c r="EA104" s="242"/>
      <c r="EB104" s="242"/>
      <c r="EC104" s="242"/>
      <c r="ED104" s="242"/>
      <c r="EE104" s="242"/>
      <c r="EF104" s="242"/>
      <c r="EG104" s="242"/>
      <c r="EH104" s="243"/>
      <c r="EI104" s="243"/>
      <c r="EJ104" s="243"/>
      <c r="EK104" s="243"/>
      <c r="EL104" s="243"/>
      <c r="EM104" s="243"/>
      <c r="EN104" s="243"/>
      <c r="EO104" s="242"/>
      <c r="EP104" s="242"/>
      <c r="EQ104" s="242"/>
      <c r="ER104" s="242"/>
      <c r="ES104" s="242"/>
      <c r="ET104" s="242"/>
      <c r="EU104" s="242"/>
      <c r="EV104" s="243"/>
      <c r="EW104" s="243"/>
      <c r="EX104" s="243"/>
      <c r="EY104" s="243"/>
      <c r="EZ104" s="243"/>
      <c r="FA104" s="243"/>
      <c r="FB104" s="243"/>
      <c r="FC104" s="242"/>
      <c r="FD104" s="242"/>
      <c r="FE104" s="242"/>
      <c r="FF104" s="242"/>
      <c r="FG104" s="242"/>
      <c r="FH104" s="242"/>
      <c r="FI104" s="242"/>
      <c r="FJ104" s="243"/>
      <c r="FK104" s="243"/>
      <c r="FL104" s="243"/>
      <c r="FM104" s="243"/>
      <c r="FN104" s="243"/>
      <c r="FO104" s="243"/>
      <c r="FP104" s="243"/>
      <c r="FQ104" s="242"/>
      <c r="FR104" s="242"/>
      <c r="FS104" s="242"/>
      <c r="FT104" s="242"/>
      <c r="FU104" s="242"/>
      <c r="FV104" s="242"/>
      <c r="FW104" s="242"/>
      <c r="FX104" s="243"/>
      <c r="FY104" s="243"/>
      <c r="FZ104" s="243"/>
      <c r="GA104" s="243"/>
      <c r="GB104" s="243"/>
      <c r="GC104" s="243"/>
      <c r="GD104" s="243"/>
      <c r="GE104" s="242"/>
      <c r="GF104" s="242"/>
      <c r="GG104" s="242"/>
      <c r="GH104" s="242"/>
      <c r="GI104" s="242"/>
      <c r="GJ104" s="242"/>
      <c r="GK104" s="242"/>
      <c r="GL104" s="243"/>
      <c r="GM104" s="243"/>
      <c r="GN104" s="243"/>
      <c r="GO104" s="243"/>
      <c r="GP104" s="243"/>
      <c r="GQ104" s="243"/>
      <c r="GR104" s="243"/>
      <c r="GS104" s="242"/>
      <c r="GT104" s="242"/>
      <c r="GU104" s="242"/>
      <c r="GV104" s="242"/>
      <c r="GW104" s="242"/>
      <c r="GX104" s="242"/>
      <c r="GY104" s="242"/>
      <c r="GZ104" s="243"/>
      <c r="HA104" s="243"/>
      <c r="HB104" s="243"/>
      <c r="HC104" s="243"/>
      <c r="HD104" s="243"/>
      <c r="HE104" s="243"/>
      <c r="HF104" s="243"/>
      <c r="HG104" s="242"/>
      <c r="HH104" s="242"/>
      <c r="HI104" s="242"/>
      <c r="HJ104" s="242"/>
      <c r="HK104" s="242"/>
      <c r="HL104" s="242"/>
      <c r="HM104" s="242"/>
      <c r="HN104" s="243"/>
      <c r="HO104" s="243"/>
      <c r="HP104" s="243"/>
      <c r="HQ104" s="243"/>
      <c r="HR104" s="243"/>
      <c r="HS104" s="243"/>
      <c r="HT104" s="243"/>
      <c r="HU104" s="242"/>
      <c r="HV104" s="242"/>
      <c r="HW104" s="242"/>
      <c r="HX104" s="242"/>
      <c r="HY104" s="242"/>
      <c r="HZ104" s="242"/>
      <c r="IA104" s="242"/>
      <c r="IB104" s="243"/>
      <c r="IC104" s="243"/>
      <c r="ID104" s="243"/>
      <c r="IE104" s="243"/>
      <c r="IF104" s="243"/>
      <c r="IG104" s="243"/>
      <c r="IH104" s="243"/>
      <c r="II104" s="242"/>
      <c r="IJ104" s="242"/>
      <c r="IK104" s="242"/>
      <c r="IL104" s="242"/>
      <c r="IM104" s="242"/>
      <c r="IN104" s="242"/>
      <c r="IO104" s="242"/>
      <c r="IP104" s="243"/>
      <c r="IQ104" s="243"/>
      <c r="IR104" s="243"/>
      <c r="IS104" s="243"/>
      <c r="IT104" s="243"/>
      <c r="IU104" s="243"/>
      <c r="IV104" s="243"/>
      <c r="IW104" s="242"/>
      <c r="IX104" s="242"/>
      <c r="IY104" s="242"/>
      <c r="IZ104" s="242"/>
      <c r="JA104" s="242"/>
      <c r="JB104" s="242"/>
      <c r="JC104" s="242"/>
      <c r="JD104" s="243"/>
      <c r="JE104" s="243"/>
      <c r="JF104" s="243"/>
      <c r="JG104" s="243"/>
      <c r="JH104" s="243"/>
      <c r="JI104" s="243"/>
      <c r="JJ104" s="243"/>
      <c r="JK104" s="242"/>
      <c r="JL104" s="242"/>
      <c r="JM104" s="242"/>
      <c r="JN104" s="242"/>
      <c r="JO104" s="242"/>
      <c r="JP104" s="242"/>
      <c r="JQ104" s="242"/>
      <c r="JR104" s="243"/>
      <c r="JS104" s="243"/>
      <c r="JT104" s="243"/>
      <c r="JU104" s="243"/>
      <c r="JV104" s="243"/>
      <c r="JW104" s="243"/>
      <c r="JX104" s="243"/>
      <c r="JY104" s="242"/>
      <c r="JZ104" s="242"/>
      <c r="KA104" s="242"/>
      <c r="KB104" s="242"/>
      <c r="KC104" s="242"/>
      <c r="KD104" s="242"/>
      <c r="KE104" s="242"/>
      <c r="KF104" s="243"/>
      <c r="KG104" s="243"/>
      <c r="KH104" s="243"/>
      <c r="KI104" s="243"/>
      <c r="KJ104" s="243"/>
      <c r="KK104" s="243"/>
      <c r="KL104" s="243"/>
      <c r="KM104" s="242"/>
      <c r="KN104" s="242"/>
      <c r="KO104" s="242"/>
      <c r="KP104" s="242"/>
      <c r="KQ104" s="242"/>
      <c r="KR104" s="242"/>
      <c r="KS104" s="242"/>
      <c r="KT104" s="243"/>
      <c r="KU104" s="243"/>
      <c r="KV104" s="243"/>
      <c r="KW104" s="243"/>
      <c r="KX104" s="243"/>
      <c r="KY104" s="243"/>
      <c r="KZ104" s="243"/>
      <c r="LA104" s="242"/>
      <c r="LB104" s="242"/>
      <c r="LC104" s="242"/>
      <c r="LD104" s="242"/>
      <c r="LE104" s="242"/>
      <c r="LF104" s="242"/>
      <c r="LG104" s="242"/>
      <c r="LH104" s="243"/>
      <c r="LI104" s="243"/>
      <c r="LJ104" s="243"/>
      <c r="LK104" s="243"/>
      <c r="LL104" s="243"/>
      <c r="LM104" s="243"/>
      <c r="LN104" s="243"/>
      <c r="LO104" s="242"/>
      <c r="LP104" s="242"/>
      <c r="LQ104" s="242"/>
      <c r="LR104" s="242"/>
      <c r="LS104" s="242"/>
      <c r="LT104" s="242"/>
      <c r="LU104" s="242"/>
      <c r="LV104" s="243"/>
      <c r="LW104" s="243"/>
      <c r="LX104" s="243"/>
      <c r="LY104" s="243"/>
      <c r="LZ104" s="243"/>
      <c r="MA104" s="243"/>
      <c r="MB104" s="243"/>
      <c r="MC104" s="242"/>
      <c r="MD104" s="242"/>
      <c r="ME104" s="242"/>
      <c r="MF104" s="242"/>
      <c r="MG104" s="242"/>
      <c r="MH104" s="242"/>
      <c r="MI104" s="242"/>
      <c r="MJ104" s="243"/>
      <c r="MK104" s="243"/>
      <c r="ML104" s="243"/>
      <c r="MM104" s="243"/>
      <c r="MN104" s="243"/>
      <c r="MO104" s="243"/>
      <c r="MP104" s="243"/>
      <c r="MQ104" s="242"/>
      <c r="MR104" s="242"/>
      <c r="MS104" s="242"/>
      <c r="MT104" s="242"/>
      <c r="MU104" s="242"/>
      <c r="MV104" s="242"/>
      <c r="MW104" s="242"/>
      <c r="MX104" s="243"/>
      <c r="MY104" s="243"/>
      <c r="MZ104" s="243"/>
      <c r="NA104" s="243"/>
      <c r="NB104" s="243"/>
      <c r="NC104" s="243"/>
      <c r="ND104" s="243"/>
      <c r="NE104" s="242"/>
      <c r="NF104" s="242"/>
      <c r="NG104" s="242"/>
      <c r="NH104" s="333"/>
    </row>
    <row r="105" spans="1:372">
      <c r="A105" s="251" t="s">
        <v>984</v>
      </c>
      <c r="B105" s="251" t="s">
        <v>102</v>
      </c>
      <c r="C105" s="251" t="s">
        <v>674</v>
      </c>
      <c r="D105" s="251" t="s">
        <v>982</v>
      </c>
      <c r="E105" s="241">
        <v>1.8961888836666696</v>
      </c>
      <c r="F105" s="241">
        <v>0</v>
      </c>
      <c r="G105" s="242"/>
      <c r="H105" s="242"/>
      <c r="I105" s="242"/>
      <c r="J105" s="242"/>
      <c r="K105" s="242"/>
      <c r="L105" s="243"/>
      <c r="M105" s="243"/>
      <c r="N105" s="243"/>
      <c r="O105" s="243"/>
      <c r="P105" s="243"/>
      <c r="Q105" s="243"/>
      <c r="R105" s="243"/>
      <c r="S105" s="242"/>
      <c r="T105" s="242"/>
      <c r="U105" s="242"/>
      <c r="V105" s="242"/>
      <c r="W105" s="242"/>
      <c r="X105" s="242"/>
      <c r="Y105" s="242"/>
      <c r="Z105" s="243"/>
      <c r="AA105" s="243"/>
      <c r="AB105" s="243"/>
      <c r="AC105" s="243"/>
      <c r="AD105" s="243"/>
      <c r="AE105" s="243"/>
      <c r="AF105" s="243"/>
      <c r="AG105" s="242"/>
      <c r="AH105" s="242"/>
      <c r="AI105" s="242"/>
      <c r="AJ105" s="242"/>
      <c r="AK105" s="242"/>
      <c r="AL105" s="242"/>
      <c r="AM105" s="242"/>
      <c r="AN105" s="243"/>
      <c r="AO105" s="243"/>
      <c r="AP105" s="243"/>
      <c r="AQ105" s="243"/>
      <c r="AR105" s="243"/>
      <c r="AS105" s="243"/>
      <c r="AT105" s="243"/>
      <c r="AU105" s="242"/>
      <c r="AV105" s="242"/>
      <c r="AW105" s="242"/>
      <c r="AX105" s="242"/>
      <c r="AY105" s="242"/>
      <c r="AZ105" s="242"/>
      <c r="BA105" s="242"/>
      <c r="BB105" s="243"/>
      <c r="BC105" s="243"/>
      <c r="BD105" s="243"/>
      <c r="BE105" s="243"/>
      <c r="BF105" s="243"/>
      <c r="BG105" s="243"/>
      <c r="BH105" s="243"/>
      <c r="BI105" s="242"/>
      <c r="BJ105" s="242"/>
      <c r="BK105" s="242"/>
      <c r="BL105" s="242"/>
      <c r="BM105" s="242"/>
      <c r="BN105" s="242"/>
      <c r="BO105" s="242"/>
      <c r="BP105" s="243"/>
      <c r="BQ105" s="243"/>
      <c r="BR105" s="243"/>
      <c r="BS105" s="243"/>
      <c r="BT105" s="243"/>
      <c r="BU105" s="243"/>
      <c r="BV105" s="243"/>
      <c r="BW105" s="242"/>
      <c r="BX105" s="242"/>
      <c r="BY105" s="242"/>
      <c r="BZ105" s="242"/>
      <c r="CA105" s="242"/>
      <c r="CB105" s="242"/>
      <c r="CC105" s="242"/>
      <c r="CD105" s="243"/>
      <c r="CE105" s="243"/>
      <c r="CF105" s="243"/>
      <c r="CG105" s="243"/>
      <c r="CH105" s="243"/>
      <c r="CI105" s="243"/>
      <c r="CJ105" s="243"/>
      <c r="CK105" s="242"/>
      <c r="CL105" s="242"/>
      <c r="CM105" s="242"/>
      <c r="CN105" s="242"/>
      <c r="CO105" s="242"/>
      <c r="CP105" s="242"/>
      <c r="CQ105" s="242"/>
      <c r="CR105" s="243"/>
      <c r="CS105" s="243"/>
      <c r="CT105" s="243"/>
      <c r="CU105" s="243"/>
      <c r="CV105" s="243"/>
      <c r="CW105" s="243"/>
      <c r="CX105" s="243"/>
      <c r="CY105" s="242"/>
      <c r="CZ105" s="242"/>
      <c r="DA105" s="242"/>
      <c r="DB105" s="242"/>
      <c r="DC105" s="242"/>
      <c r="DD105" s="242"/>
      <c r="DE105" s="242"/>
      <c r="DF105" s="243"/>
      <c r="DG105" s="243"/>
      <c r="DH105" s="243"/>
      <c r="DI105" s="243"/>
      <c r="DJ105" s="243"/>
      <c r="DK105" s="243"/>
      <c r="DL105" s="243"/>
      <c r="DM105" s="242"/>
      <c r="DN105" s="242"/>
      <c r="DO105" s="242"/>
      <c r="DP105" s="242"/>
      <c r="DQ105" s="242"/>
      <c r="DR105" s="242"/>
      <c r="DS105" s="242"/>
      <c r="DT105" s="243"/>
      <c r="DU105" s="243"/>
      <c r="DV105" s="243"/>
      <c r="DW105" s="243"/>
      <c r="DX105" s="243"/>
      <c r="DY105" s="243"/>
      <c r="DZ105" s="243"/>
      <c r="EA105" s="242"/>
      <c r="EB105" s="242"/>
      <c r="EC105" s="242"/>
      <c r="ED105" s="242"/>
      <c r="EE105" s="242"/>
      <c r="EF105" s="242"/>
      <c r="EG105" s="242"/>
      <c r="EH105" s="243"/>
      <c r="EI105" s="243"/>
      <c r="EJ105" s="243"/>
      <c r="EK105" s="243"/>
      <c r="EL105" s="243"/>
      <c r="EM105" s="243"/>
      <c r="EN105" s="243"/>
      <c r="EO105" s="242"/>
      <c r="EP105" s="242"/>
      <c r="EQ105" s="242"/>
      <c r="ER105" s="242"/>
      <c r="ES105" s="242"/>
      <c r="ET105" s="242"/>
      <c r="EU105" s="242"/>
      <c r="EV105" s="243"/>
      <c r="EW105" s="243"/>
      <c r="EX105" s="243"/>
      <c r="EY105" s="243"/>
      <c r="EZ105" s="243"/>
      <c r="FA105" s="243"/>
      <c r="FB105" s="243"/>
      <c r="FC105" s="242"/>
      <c r="FD105" s="242"/>
      <c r="FE105" s="242"/>
      <c r="FF105" s="242"/>
      <c r="FG105" s="242"/>
      <c r="FH105" s="242"/>
      <c r="FI105" s="242"/>
      <c r="FJ105" s="243"/>
      <c r="FK105" s="243"/>
      <c r="FL105" s="243"/>
      <c r="FM105" s="243"/>
      <c r="FN105" s="243"/>
      <c r="FO105" s="243"/>
      <c r="FP105" s="243"/>
      <c r="FQ105" s="242"/>
      <c r="FR105" s="242"/>
      <c r="FS105" s="242"/>
      <c r="FT105" s="242"/>
      <c r="FU105" s="242"/>
      <c r="FV105" s="242"/>
      <c r="FW105" s="242"/>
      <c r="FX105" s="243"/>
      <c r="FY105" s="243"/>
      <c r="FZ105" s="243"/>
      <c r="GA105" s="243"/>
      <c r="GB105" s="243"/>
      <c r="GC105" s="243"/>
      <c r="GD105" s="243"/>
      <c r="GE105" s="242"/>
      <c r="GF105" s="242"/>
      <c r="GG105" s="242"/>
      <c r="GH105" s="242"/>
      <c r="GI105" s="242"/>
      <c r="GJ105" s="242"/>
      <c r="GK105" s="242"/>
      <c r="GL105" s="243"/>
      <c r="GM105" s="243"/>
      <c r="GN105" s="243"/>
      <c r="GO105" s="243"/>
      <c r="GP105" s="243"/>
      <c r="GQ105" s="243"/>
      <c r="GR105" s="243"/>
      <c r="GS105" s="242"/>
      <c r="GT105" s="242"/>
      <c r="GU105" s="242"/>
      <c r="GV105" s="242"/>
      <c r="GW105" s="242"/>
      <c r="GX105" s="242"/>
      <c r="GY105" s="242"/>
      <c r="GZ105" s="243"/>
      <c r="HA105" s="243"/>
      <c r="HB105" s="243"/>
      <c r="HC105" s="243"/>
      <c r="HD105" s="243"/>
      <c r="HE105" s="243"/>
      <c r="HF105" s="243"/>
      <c r="HG105" s="242"/>
      <c r="HH105" s="242"/>
      <c r="HI105" s="242"/>
      <c r="HJ105" s="242"/>
      <c r="HK105" s="242"/>
      <c r="HL105" s="242"/>
      <c r="HM105" s="242"/>
      <c r="HN105" s="243"/>
      <c r="HO105" s="243"/>
      <c r="HP105" s="243"/>
      <c r="HQ105" s="243"/>
      <c r="HR105" s="243"/>
      <c r="HS105" s="243"/>
      <c r="HT105" s="243"/>
      <c r="HU105" s="242"/>
      <c r="HV105" s="242"/>
      <c r="HW105" s="242"/>
      <c r="HX105" s="242"/>
      <c r="HY105" s="242"/>
      <c r="HZ105" s="242"/>
      <c r="IA105" s="242"/>
      <c r="IB105" s="243"/>
      <c r="IC105" s="243"/>
      <c r="ID105" s="243"/>
      <c r="IE105" s="243"/>
      <c r="IF105" s="243"/>
      <c r="IG105" s="243"/>
      <c r="IH105" s="243"/>
      <c r="II105" s="242"/>
      <c r="IJ105" s="242"/>
      <c r="IK105" s="242"/>
      <c r="IL105" s="242"/>
      <c r="IM105" s="242"/>
      <c r="IN105" s="242"/>
      <c r="IO105" s="242"/>
      <c r="IP105" s="243"/>
      <c r="IQ105" s="243"/>
      <c r="IR105" s="243"/>
      <c r="IS105" s="243"/>
      <c r="IT105" s="243"/>
      <c r="IU105" s="243"/>
      <c r="IV105" s="243"/>
      <c r="IW105" s="242"/>
      <c r="IX105" s="242"/>
      <c r="IY105" s="242"/>
      <c r="IZ105" s="242"/>
      <c r="JA105" s="242"/>
      <c r="JB105" s="242"/>
      <c r="JC105" s="242"/>
      <c r="JD105" s="243"/>
      <c r="JE105" s="243"/>
      <c r="JF105" s="243"/>
      <c r="JG105" s="243"/>
      <c r="JH105" s="243"/>
      <c r="JI105" s="243"/>
      <c r="JJ105" s="243"/>
      <c r="JK105" s="242"/>
      <c r="JL105" s="242"/>
      <c r="JM105" s="242"/>
      <c r="JN105" s="242"/>
      <c r="JO105" s="242"/>
      <c r="JP105" s="242"/>
      <c r="JQ105" s="242"/>
      <c r="JR105" s="243"/>
      <c r="JS105" s="243"/>
      <c r="JT105" s="243"/>
      <c r="JU105" s="243"/>
      <c r="JV105" s="243"/>
      <c r="JW105" s="243"/>
      <c r="JX105" s="243"/>
      <c r="JY105" s="242"/>
      <c r="JZ105" s="242"/>
      <c r="KA105" s="242"/>
      <c r="KB105" s="242"/>
      <c r="KC105" s="242"/>
      <c r="KD105" s="242"/>
      <c r="KE105" s="242"/>
      <c r="KF105" s="243"/>
      <c r="KG105" s="243"/>
      <c r="KH105" s="243"/>
      <c r="KI105" s="243"/>
      <c r="KJ105" s="243"/>
      <c r="KK105" s="243"/>
      <c r="KL105" s="243"/>
      <c r="KM105" s="242"/>
      <c r="KN105" s="242"/>
      <c r="KO105" s="242"/>
      <c r="KP105" s="242"/>
      <c r="KQ105" s="242"/>
      <c r="KR105" s="242"/>
      <c r="KS105" s="242"/>
      <c r="KT105" s="243"/>
      <c r="KU105" s="243"/>
      <c r="KV105" s="243"/>
      <c r="KW105" s="243"/>
      <c r="KX105" s="243"/>
      <c r="KY105" s="243"/>
      <c r="KZ105" s="243"/>
      <c r="LA105" s="242"/>
      <c r="LB105" s="242"/>
      <c r="LC105" s="242"/>
      <c r="LD105" s="242"/>
      <c r="LE105" s="242"/>
      <c r="LF105" s="242"/>
      <c r="LG105" s="242"/>
      <c r="LH105" s="243"/>
      <c r="LI105" s="243"/>
      <c r="LJ105" s="243"/>
      <c r="LK105" s="243"/>
      <c r="LL105" s="243"/>
      <c r="LM105" s="243"/>
      <c r="LN105" s="243"/>
      <c r="LO105" s="242"/>
      <c r="LP105" s="242"/>
      <c r="LQ105" s="242"/>
      <c r="LR105" s="242"/>
      <c r="LS105" s="242"/>
      <c r="LT105" s="242"/>
      <c r="LU105" s="242"/>
      <c r="LV105" s="243"/>
      <c r="LW105" s="243"/>
      <c r="LX105" s="243"/>
      <c r="LY105" s="243"/>
      <c r="LZ105" s="243"/>
      <c r="MA105" s="243"/>
      <c r="MB105" s="243"/>
      <c r="MC105" s="242"/>
      <c r="MD105" s="242"/>
      <c r="ME105" s="242"/>
      <c r="MF105" s="242"/>
      <c r="MG105" s="242"/>
      <c r="MH105" s="242"/>
      <c r="MI105" s="242"/>
      <c r="MJ105" s="243"/>
      <c r="MK105" s="243"/>
      <c r="ML105" s="243"/>
      <c r="MM105" s="243"/>
      <c r="MN105" s="243"/>
      <c r="MO105" s="243"/>
      <c r="MP105" s="243"/>
      <c r="MQ105" s="242"/>
      <c r="MR105" s="242"/>
      <c r="MS105" s="242"/>
      <c r="MT105" s="242"/>
      <c r="MU105" s="242"/>
      <c r="MV105" s="242"/>
      <c r="MW105" s="242"/>
      <c r="MX105" s="243"/>
      <c r="MY105" s="243"/>
      <c r="MZ105" s="243"/>
      <c r="NA105" s="243"/>
      <c r="NB105" s="243"/>
      <c r="NC105" s="243"/>
      <c r="ND105" s="243"/>
      <c r="NE105" s="242"/>
      <c r="NF105" s="242"/>
      <c r="NG105" s="242"/>
      <c r="NH105" s="333"/>
    </row>
    <row r="106" spans="1:372">
      <c r="A106" s="251" t="s">
        <v>984</v>
      </c>
      <c r="B106" s="251" t="s">
        <v>103</v>
      </c>
      <c r="C106" s="251" t="s">
        <v>674</v>
      </c>
      <c r="D106" s="251" t="s">
        <v>982</v>
      </c>
      <c r="E106" s="241">
        <v>0</v>
      </c>
      <c r="F106" s="241">
        <v>0</v>
      </c>
      <c r="G106" s="242"/>
      <c r="H106" s="242"/>
      <c r="I106" s="242"/>
      <c r="J106" s="242"/>
      <c r="K106" s="242"/>
      <c r="L106" s="243"/>
      <c r="M106" s="243"/>
      <c r="N106" s="243"/>
      <c r="O106" s="243"/>
      <c r="P106" s="243"/>
      <c r="Q106" s="243"/>
      <c r="R106" s="243"/>
      <c r="S106" s="242"/>
      <c r="T106" s="242"/>
      <c r="U106" s="242"/>
      <c r="V106" s="242"/>
      <c r="W106" s="242"/>
      <c r="X106" s="242"/>
      <c r="Y106" s="242"/>
      <c r="Z106" s="243"/>
      <c r="AA106" s="243"/>
      <c r="AB106" s="243"/>
      <c r="AC106" s="243"/>
      <c r="AD106" s="243"/>
      <c r="AE106" s="243"/>
      <c r="AF106" s="243"/>
      <c r="AG106" s="242"/>
      <c r="AH106" s="242"/>
      <c r="AI106" s="242"/>
      <c r="AJ106" s="242"/>
      <c r="AK106" s="242"/>
      <c r="AL106" s="242"/>
      <c r="AM106" s="242"/>
      <c r="AN106" s="243"/>
      <c r="AO106" s="243"/>
      <c r="AP106" s="243"/>
      <c r="AQ106" s="243"/>
      <c r="AR106" s="243"/>
      <c r="AS106" s="243"/>
      <c r="AT106" s="243"/>
      <c r="AU106" s="242"/>
      <c r="AV106" s="242"/>
      <c r="AW106" s="242"/>
      <c r="AX106" s="242"/>
      <c r="AY106" s="242"/>
      <c r="AZ106" s="242"/>
      <c r="BA106" s="242"/>
      <c r="BB106" s="243"/>
      <c r="BC106" s="243"/>
      <c r="BD106" s="243"/>
      <c r="BE106" s="243"/>
      <c r="BF106" s="243"/>
      <c r="BG106" s="243"/>
      <c r="BH106" s="243"/>
      <c r="BI106" s="242"/>
      <c r="BJ106" s="242"/>
      <c r="BK106" s="242"/>
      <c r="BL106" s="242"/>
      <c r="BM106" s="242"/>
      <c r="BN106" s="242"/>
      <c r="BO106" s="242"/>
      <c r="BP106" s="243"/>
      <c r="BQ106" s="243"/>
      <c r="BR106" s="243"/>
      <c r="BS106" s="243"/>
      <c r="BT106" s="243"/>
      <c r="BU106" s="243"/>
      <c r="BV106" s="243"/>
      <c r="BW106" s="242"/>
      <c r="BX106" s="242"/>
      <c r="BY106" s="242"/>
      <c r="BZ106" s="242"/>
      <c r="CA106" s="242"/>
      <c r="CB106" s="242"/>
      <c r="CC106" s="242"/>
      <c r="CD106" s="243"/>
      <c r="CE106" s="243"/>
      <c r="CF106" s="243"/>
      <c r="CG106" s="243"/>
      <c r="CH106" s="243"/>
      <c r="CI106" s="243"/>
      <c r="CJ106" s="243"/>
      <c r="CK106" s="242"/>
      <c r="CL106" s="242"/>
      <c r="CM106" s="242"/>
      <c r="CN106" s="242"/>
      <c r="CO106" s="242"/>
      <c r="CP106" s="242"/>
      <c r="CQ106" s="242"/>
      <c r="CR106" s="243"/>
      <c r="CS106" s="243"/>
      <c r="CT106" s="243"/>
      <c r="CU106" s="243"/>
      <c r="CV106" s="243"/>
      <c r="CW106" s="243"/>
      <c r="CX106" s="243"/>
      <c r="CY106" s="242"/>
      <c r="CZ106" s="242"/>
      <c r="DA106" s="242"/>
      <c r="DB106" s="242"/>
      <c r="DC106" s="242"/>
      <c r="DD106" s="242"/>
      <c r="DE106" s="242"/>
      <c r="DF106" s="243"/>
      <c r="DG106" s="243"/>
      <c r="DH106" s="243"/>
      <c r="DI106" s="243"/>
      <c r="DJ106" s="243"/>
      <c r="DK106" s="243"/>
      <c r="DL106" s="243"/>
      <c r="DM106" s="242"/>
      <c r="DN106" s="242"/>
      <c r="DO106" s="242"/>
      <c r="DP106" s="242"/>
      <c r="DQ106" s="242"/>
      <c r="DR106" s="242"/>
      <c r="DS106" s="242"/>
      <c r="DT106" s="243"/>
      <c r="DU106" s="243"/>
      <c r="DV106" s="243"/>
      <c r="DW106" s="243"/>
      <c r="DX106" s="243"/>
      <c r="DY106" s="243"/>
      <c r="DZ106" s="243"/>
      <c r="EA106" s="242"/>
      <c r="EB106" s="242"/>
      <c r="EC106" s="242"/>
      <c r="ED106" s="242"/>
      <c r="EE106" s="242"/>
      <c r="EF106" s="242"/>
      <c r="EG106" s="242"/>
      <c r="EH106" s="243"/>
      <c r="EI106" s="243"/>
      <c r="EJ106" s="243"/>
      <c r="EK106" s="243"/>
      <c r="EL106" s="243"/>
      <c r="EM106" s="243"/>
      <c r="EN106" s="243"/>
      <c r="EO106" s="242"/>
      <c r="EP106" s="242"/>
      <c r="EQ106" s="242"/>
      <c r="ER106" s="242"/>
      <c r="ES106" s="242"/>
      <c r="ET106" s="242"/>
      <c r="EU106" s="242"/>
      <c r="EV106" s="243"/>
      <c r="EW106" s="243"/>
      <c r="EX106" s="243"/>
      <c r="EY106" s="243"/>
      <c r="EZ106" s="243"/>
      <c r="FA106" s="243"/>
      <c r="FB106" s="243"/>
      <c r="FC106" s="242"/>
      <c r="FD106" s="242"/>
      <c r="FE106" s="242"/>
      <c r="FF106" s="242"/>
      <c r="FG106" s="242"/>
      <c r="FH106" s="242"/>
      <c r="FI106" s="242"/>
      <c r="FJ106" s="243"/>
      <c r="FK106" s="243"/>
      <c r="FL106" s="243"/>
      <c r="FM106" s="243"/>
      <c r="FN106" s="243"/>
      <c r="FO106" s="243"/>
      <c r="FP106" s="243"/>
      <c r="FQ106" s="242"/>
      <c r="FR106" s="242"/>
      <c r="FS106" s="242"/>
      <c r="FT106" s="242"/>
      <c r="FU106" s="242"/>
      <c r="FV106" s="242"/>
      <c r="FW106" s="242"/>
      <c r="FX106" s="243"/>
      <c r="FY106" s="243"/>
      <c r="FZ106" s="243"/>
      <c r="GA106" s="243"/>
      <c r="GB106" s="243"/>
      <c r="GC106" s="243"/>
      <c r="GD106" s="243"/>
      <c r="GE106" s="242"/>
      <c r="GF106" s="242"/>
      <c r="GG106" s="242"/>
      <c r="GH106" s="242"/>
      <c r="GI106" s="242"/>
      <c r="GJ106" s="242"/>
      <c r="GK106" s="242"/>
      <c r="GL106" s="243"/>
      <c r="GM106" s="243"/>
      <c r="GN106" s="243"/>
      <c r="GO106" s="243"/>
      <c r="GP106" s="243"/>
      <c r="GQ106" s="243"/>
      <c r="GR106" s="243"/>
      <c r="GS106" s="242"/>
      <c r="GT106" s="242"/>
      <c r="GU106" s="242"/>
      <c r="GV106" s="242"/>
      <c r="GW106" s="242"/>
      <c r="GX106" s="242"/>
      <c r="GY106" s="242"/>
      <c r="GZ106" s="243"/>
      <c r="HA106" s="243"/>
      <c r="HB106" s="243"/>
      <c r="HC106" s="243"/>
      <c r="HD106" s="243"/>
      <c r="HE106" s="243"/>
      <c r="HF106" s="243"/>
      <c r="HG106" s="242"/>
      <c r="HH106" s="242"/>
      <c r="HI106" s="242"/>
      <c r="HJ106" s="242"/>
      <c r="HK106" s="242"/>
      <c r="HL106" s="242"/>
      <c r="HM106" s="242"/>
      <c r="HN106" s="243"/>
      <c r="HO106" s="243"/>
      <c r="HP106" s="243"/>
      <c r="HQ106" s="243"/>
      <c r="HR106" s="243"/>
      <c r="HS106" s="243"/>
      <c r="HT106" s="243"/>
      <c r="HU106" s="242"/>
      <c r="HV106" s="242"/>
      <c r="HW106" s="242"/>
      <c r="HX106" s="242"/>
      <c r="HY106" s="242"/>
      <c r="HZ106" s="242"/>
      <c r="IA106" s="242"/>
      <c r="IB106" s="243"/>
      <c r="IC106" s="243"/>
      <c r="ID106" s="243"/>
      <c r="IE106" s="243"/>
      <c r="IF106" s="243"/>
      <c r="IG106" s="243"/>
      <c r="IH106" s="243"/>
      <c r="II106" s="242"/>
      <c r="IJ106" s="242"/>
      <c r="IK106" s="242"/>
      <c r="IL106" s="242"/>
      <c r="IM106" s="242"/>
      <c r="IN106" s="242"/>
      <c r="IO106" s="242"/>
      <c r="IP106" s="243"/>
      <c r="IQ106" s="243"/>
      <c r="IR106" s="243"/>
      <c r="IS106" s="243"/>
      <c r="IT106" s="243"/>
      <c r="IU106" s="243"/>
      <c r="IV106" s="243"/>
      <c r="IW106" s="242"/>
      <c r="IX106" s="242"/>
      <c r="IY106" s="242"/>
      <c r="IZ106" s="242"/>
      <c r="JA106" s="242"/>
      <c r="JB106" s="242"/>
      <c r="JC106" s="242"/>
      <c r="JD106" s="243"/>
      <c r="JE106" s="243"/>
      <c r="JF106" s="243"/>
      <c r="JG106" s="243"/>
      <c r="JH106" s="243"/>
      <c r="JI106" s="243"/>
      <c r="JJ106" s="243"/>
      <c r="JK106" s="242"/>
      <c r="JL106" s="242"/>
      <c r="JM106" s="242"/>
      <c r="JN106" s="242"/>
      <c r="JO106" s="242"/>
      <c r="JP106" s="242"/>
      <c r="JQ106" s="242"/>
      <c r="JR106" s="243"/>
      <c r="JS106" s="243"/>
      <c r="JT106" s="243"/>
      <c r="JU106" s="243"/>
      <c r="JV106" s="243"/>
      <c r="JW106" s="243"/>
      <c r="JX106" s="243"/>
      <c r="JY106" s="242"/>
      <c r="JZ106" s="242"/>
      <c r="KA106" s="242"/>
      <c r="KB106" s="242"/>
      <c r="KC106" s="242"/>
      <c r="KD106" s="242"/>
      <c r="KE106" s="242"/>
      <c r="KF106" s="243"/>
      <c r="KG106" s="243"/>
      <c r="KH106" s="243"/>
      <c r="KI106" s="243"/>
      <c r="KJ106" s="243"/>
      <c r="KK106" s="243"/>
      <c r="KL106" s="243"/>
      <c r="KM106" s="242"/>
      <c r="KN106" s="242"/>
      <c r="KO106" s="242"/>
      <c r="KP106" s="242"/>
      <c r="KQ106" s="242"/>
      <c r="KR106" s="242"/>
      <c r="KS106" s="242"/>
      <c r="KT106" s="243"/>
      <c r="KU106" s="243"/>
      <c r="KV106" s="243"/>
      <c r="KW106" s="243"/>
      <c r="KX106" s="243"/>
      <c r="KY106" s="243"/>
      <c r="KZ106" s="243"/>
      <c r="LA106" s="242"/>
      <c r="LB106" s="242"/>
      <c r="LC106" s="242"/>
      <c r="LD106" s="242"/>
      <c r="LE106" s="242"/>
      <c r="LF106" s="242"/>
      <c r="LG106" s="242"/>
      <c r="LH106" s="243"/>
      <c r="LI106" s="243"/>
      <c r="LJ106" s="243"/>
      <c r="LK106" s="243"/>
      <c r="LL106" s="243"/>
      <c r="LM106" s="243"/>
      <c r="LN106" s="243"/>
      <c r="LO106" s="242"/>
      <c r="LP106" s="242"/>
      <c r="LQ106" s="242"/>
      <c r="LR106" s="242"/>
      <c r="LS106" s="242"/>
      <c r="LT106" s="242"/>
      <c r="LU106" s="242"/>
      <c r="LV106" s="243"/>
      <c r="LW106" s="243"/>
      <c r="LX106" s="243"/>
      <c r="LY106" s="243"/>
      <c r="LZ106" s="243"/>
      <c r="MA106" s="243"/>
      <c r="MB106" s="243"/>
      <c r="MC106" s="242"/>
      <c r="MD106" s="242"/>
      <c r="ME106" s="242"/>
      <c r="MF106" s="242"/>
      <c r="MG106" s="242"/>
      <c r="MH106" s="242"/>
      <c r="MI106" s="242"/>
      <c r="MJ106" s="243"/>
      <c r="MK106" s="243"/>
      <c r="ML106" s="243"/>
      <c r="MM106" s="243"/>
      <c r="MN106" s="243"/>
      <c r="MO106" s="243"/>
      <c r="MP106" s="243"/>
      <c r="MQ106" s="242"/>
      <c r="MR106" s="242"/>
      <c r="MS106" s="242"/>
      <c r="MT106" s="242"/>
      <c r="MU106" s="242"/>
      <c r="MV106" s="242"/>
      <c r="MW106" s="242"/>
      <c r="MX106" s="243"/>
      <c r="MY106" s="243"/>
      <c r="MZ106" s="243"/>
      <c r="NA106" s="243"/>
      <c r="NB106" s="243"/>
      <c r="NC106" s="243"/>
      <c r="ND106" s="243"/>
      <c r="NE106" s="242"/>
      <c r="NF106" s="242"/>
      <c r="NG106" s="242"/>
      <c r="NH106" s="333"/>
    </row>
    <row r="107" spans="1:372">
      <c r="A107" s="251" t="s">
        <v>984</v>
      </c>
      <c r="B107" s="251" t="s">
        <v>104</v>
      </c>
      <c r="C107" s="251" t="s">
        <v>674</v>
      </c>
      <c r="D107" s="251" t="s">
        <v>982</v>
      </c>
      <c r="E107" s="241">
        <v>0</v>
      </c>
      <c r="F107" s="241">
        <v>0</v>
      </c>
      <c r="G107" s="242"/>
      <c r="H107" s="242"/>
      <c r="I107" s="242"/>
      <c r="J107" s="242"/>
      <c r="K107" s="242"/>
      <c r="L107" s="243"/>
      <c r="M107" s="243"/>
      <c r="N107" s="243"/>
      <c r="O107" s="243"/>
      <c r="P107" s="243"/>
      <c r="Q107" s="243"/>
      <c r="R107" s="243"/>
      <c r="S107" s="242"/>
      <c r="T107" s="242"/>
      <c r="U107" s="242"/>
      <c r="V107" s="242"/>
      <c r="W107" s="242"/>
      <c r="X107" s="242"/>
      <c r="Y107" s="242"/>
      <c r="Z107" s="243"/>
      <c r="AA107" s="243"/>
      <c r="AB107" s="243"/>
      <c r="AC107" s="243"/>
      <c r="AD107" s="243"/>
      <c r="AE107" s="243"/>
      <c r="AF107" s="243"/>
      <c r="AG107" s="242"/>
      <c r="AH107" s="242"/>
      <c r="AI107" s="242"/>
      <c r="AJ107" s="242"/>
      <c r="AK107" s="242"/>
      <c r="AL107" s="242"/>
      <c r="AM107" s="242"/>
      <c r="AN107" s="243"/>
      <c r="AO107" s="243"/>
      <c r="AP107" s="243"/>
      <c r="AQ107" s="243"/>
      <c r="AR107" s="243"/>
      <c r="AS107" s="243"/>
      <c r="AT107" s="243"/>
      <c r="AU107" s="242"/>
      <c r="AV107" s="242"/>
      <c r="AW107" s="242"/>
      <c r="AX107" s="242"/>
      <c r="AY107" s="242"/>
      <c r="AZ107" s="242"/>
      <c r="BA107" s="242"/>
      <c r="BB107" s="243"/>
      <c r="BC107" s="243"/>
      <c r="BD107" s="243"/>
      <c r="BE107" s="243"/>
      <c r="BF107" s="243"/>
      <c r="BG107" s="243"/>
      <c r="BH107" s="243"/>
      <c r="BI107" s="242"/>
      <c r="BJ107" s="242"/>
      <c r="BK107" s="242"/>
      <c r="BL107" s="242"/>
      <c r="BM107" s="242"/>
      <c r="BN107" s="242"/>
      <c r="BO107" s="242"/>
      <c r="BP107" s="243"/>
      <c r="BQ107" s="243"/>
      <c r="BR107" s="243"/>
      <c r="BS107" s="243"/>
      <c r="BT107" s="243"/>
      <c r="BU107" s="243"/>
      <c r="BV107" s="243"/>
      <c r="BW107" s="242"/>
      <c r="BX107" s="242"/>
      <c r="BY107" s="242"/>
      <c r="BZ107" s="242"/>
      <c r="CA107" s="242"/>
      <c r="CB107" s="242"/>
      <c r="CC107" s="242"/>
      <c r="CD107" s="243"/>
      <c r="CE107" s="243"/>
      <c r="CF107" s="243"/>
      <c r="CG107" s="243"/>
      <c r="CH107" s="243"/>
      <c r="CI107" s="243"/>
      <c r="CJ107" s="243"/>
      <c r="CK107" s="242"/>
      <c r="CL107" s="242"/>
      <c r="CM107" s="242"/>
      <c r="CN107" s="242"/>
      <c r="CO107" s="242"/>
      <c r="CP107" s="242"/>
      <c r="CQ107" s="242"/>
      <c r="CR107" s="243"/>
      <c r="CS107" s="243"/>
      <c r="CT107" s="243"/>
      <c r="CU107" s="243"/>
      <c r="CV107" s="243"/>
      <c r="CW107" s="243"/>
      <c r="CX107" s="243"/>
      <c r="CY107" s="242"/>
      <c r="CZ107" s="242"/>
      <c r="DA107" s="242"/>
      <c r="DB107" s="242"/>
      <c r="DC107" s="242"/>
      <c r="DD107" s="242"/>
      <c r="DE107" s="242"/>
      <c r="DF107" s="243"/>
      <c r="DG107" s="243"/>
      <c r="DH107" s="243"/>
      <c r="DI107" s="243"/>
      <c r="DJ107" s="243"/>
      <c r="DK107" s="243"/>
      <c r="DL107" s="243"/>
      <c r="DM107" s="242"/>
      <c r="DN107" s="242"/>
      <c r="DO107" s="242"/>
      <c r="DP107" s="242"/>
      <c r="DQ107" s="242"/>
      <c r="DR107" s="242"/>
      <c r="DS107" s="242"/>
      <c r="DT107" s="243"/>
      <c r="DU107" s="243"/>
      <c r="DV107" s="243"/>
      <c r="DW107" s="243"/>
      <c r="DX107" s="243"/>
      <c r="DY107" s="243"/>
      <c r="DZ107" s="243"/>
      <c r="EA107" s="242"/>
      <c r="EB107" s="242"/>
      <c r="EC107" s="242"/>
      <c r="ED107" s="242"/>
      <c r="EE107" s="242"/>
      <c r="EF107" s="242"/>
      <c r="EG107" s="242"/>
      <c r="EH107" s="243"/>
      <c r="EI107" s="243"/>
      <c r="EJ107" s="243"/>
      <c r="EK107" s="243"/>
      <c r="EL107" s="243"/>
      <c r="EM107" s="243"/>
      <c r="EN107" s="243"/>
      <c r="EO107" s="242"/>
      <c r="EP107" s="242"/>
      <c r="EQ107" s="242"/>
      <c r="ER107" s="242"/>
      <c r="ES107" s="242"/>
      <c r="ET107" s="242"/>
      <c r="EU107" s="242"/>
      <c r="EV107" s="243"/>
      <c r="EW107" s="243"/>
      <c r="EX107" s="243"/>
      <c r="EY107" s="243"/>
      <c r="EZ107" s="243"/>
      <c r="FA107" s="243"/>
      <c r="FB107" s="243"/>
      <c r="FC107" s="242"/>
      <c r="FD107" s="242"/>
      <c r="FE107" s="242"/>
      <c r="FF107" s="242"/>
      <c r="FG107" s="242"/>
      <c r="FH107" s="242"/>
      <c r="FI107" s="242"/>
      <c r="FJ107" s="243"/>
      <c r="FK107" s="243"/>
      <c r="FL107" s="243"/>
      <c r="FM107" s="243"/>
      <c r="FN107" s="243"/>
      <c r="FO107" s="243"/>
      <c r="FP107" s="243"/>
      <c r="FQ107" s="242"/>
      <c r="FR107" s="242"/>
      <c r="FS107" s="242"/>
      <c r="FT107" s="242"/>
      <c r="FU107" s="242"/>
      <c r="FV107" s="242"/>
      <c r="FW107" s="242"/>
      <c r="FX107" s="243"/>
      <c r="FY107" s="243"/>
      <c r="FZ107" s="243"/>
      <c r="GA107" s="243"/>
      <c r="GB107" s="243"/>
      <c r="GC107" s="243"/>
      <c r="GD107" s="243"/>
      <c r="GE107" s="242"/>
      <c r="GF107" s="242"/>
      <c r="GG107" s="242"/>
      <c r="GH107" s="242"/>
      <c r="GI107" s="242"/>
      <c r="GJ107" s="242"/>
      <c r="GK107" s="242"/>
      <c r="GL107" s="243"/>
      <c r="GM107" s="243"/>
      <c r="GN107" s="243"/>
      <c r="GO107" s="243"/>
      <c r="GP107" s="243"/>
      <c r="GQ107" s="243"/>
      <c r="GR107" s="243"/>
      <c r="GS107" s="242"/>
      <c r="GT107" s="242"/>
      <c r="GU107" s="242"/>
      <c r="GV107" s="242"/>
      <c r="GW107" s="242"/>
      <c r="GX107" s="242"/>
      <c r="GY107" s="242"/>
      <c r="GZ107" s="243"/>
      <c r="HA107" s="243"/>
      <c r="HB107" s="243"/>
      <c r="HC107" s="243"/>
      <c r="HD107" s="243"/>
      <c r="HE107" s="243"/>
      <c r="HF107" s="243"/>
      <c r="HG107" s="242"/>
      <c r="HH107" s="242"/>
      <c r="HI107" s="242"/>
      <c r="HJ107" s="242"/>
      <c r="HK107" s="242"/>
      <c r="HL107" s="242"/>
      <c r="HM107" s="242"/>
      <c r="HN107" s="243"/>
      <c r="HO107" s="243"/>
      <c r="HP107" s="243"/>
      <c r="HQ107" s="243"/>
      <c r="HR107" s="243"/>
      <c r="HS107" s="243"/>
      <c r="HT107" s="243"/>
      <c r="HU107" s="242"/>
      <c r="HV107" s="242"/>
      <c r="HW107" s="242"/>
      <c r="HX107" s="242"/>
      <c r="HY107" s="242"/>
      <c r="HZ107" s="242"/>
      <c r="IA107" s="242"/>
      <c r="IB107" s="243"/>
      <c r="IC107" s="243"/>
      <c r="ID107" s="243"/>
      <c r="IE107" s="243"/>
      <c r="IF107" s="243"/>
      <c r="IG107" s="243"/>
      <c r="IH107" s="243"/>
      <c r="II107" s="242"/>
      <c r="IJ107" s="242"/>
      <c r="IK107" s="242"/>
      <c r="IL107" s="242"/>
      <c r="IM107" s="242"/>
      <c r="IN107" s="242"/>
      <c r="IO107" s="242"/>
      <c r="IP107" s="243"/>
      <c r="IQ107" s="243"/>
      <c r="IR107" s="243"/>
      <c r="IS107" s="243"/>
      <c r="IT107" s="243"/>
      <c r="IU107" s="243"/>
      <c r="IV107" s="243"/>
      <c r="IW107" s="242"/>
      <c r="IX107" s="242"/>
      <c r="IY107" s="242"/>
      <c r="IZ107" s="242"/>
      <c r="JA107" s="242"/>
      <c r="JB107" s="242"/>
      <c r="JC107" s="242"/>
      <c r="JD107" s="243"/>
      <c r="JE107" s="243"/>
      <c r="JF107" s="243"/>
      <c r="JG107" s="243"/>
      <c r="JH107" s="243"/>
      <c r="JI107" s="243"/>
      <c r="JJ107" s="243"/>
      <c r="JK107" s="242"/>
      <c r="JL107" s="242"/>
      <c r="JM107" s="242"/>
      <c r="JN107" s="242"/>
      <c r="JO107" s="242"/>
      <c r="JP107" s="242"/>
      <c r="JQ107" s="242"/>
      <c r="JR107" s="243"/>
      <c r="JS107" s="243"/>
      <c r="JT107" s="243"/>
      <c r="JU107" s="243"/>
      <c r="JV107" s="243"/>
      <c r="JW107" s="243"/>
      <c r="JX107" s="243"/>
      <c r="JY107" s="242"/>
      <c r="JZ107" s="242"/>
      <c r="KA107" s="242"/>
      <c r="KB107" s="242"/>
      <c r="KC107" s="242"/>
      <c r="KD107" s="242"/>
      <c r="KE107" s="242"/>
      <c r="KF107" s="243"/>
      <c r="KG107" s="243"/>
      <c r="KH107" s="243"/>
      <c r="KI107" s="243"/>
      <c r="KJ107" s="243"/>
      <c r="KK107" s="243"/>
      <c r="KL107" s="243"/>
      <c r="KM107" s="242"/>
      <c r="KN107" s="242"/>
      <c r="KO107" s="242"/>
      <c r="KP107" s="242"/>
      <c r="KQ107" s="242"/>
      <c r="KR107" s="242"/>
      <c r="KS107" s="242"/>
      <c r="KT107" s="243"/>
      <c r="KU107" s="243"/>
      <c r="KV107" s="243"/>
      <c r="KW107" s="243"/>
      <c r="KX107" s="243"/>
      <c r="KY107" s="243"/>
      <c r="KZ107" s="243"/>
      <c r="LA107" s="242"/>
      <c r="LB107" s="242"/>
      <c r="LC107" s="242"/>
      <c r="LD107" s="242"/>
      <c r="LE107" s="242"/>
      <c r="LF107" s="242"/>
      <c r="LG107" s="242"/>
      <c r="LH107" s="243"/>
      <c r="LI107" s="243"/>
      <c r="LJ107" s="243"/>
      <c r="LK107" s="243"/>
      <c r="LL107" s="243"/>
      <c r="LM107" s="243"/>
      <c r="LN107" s="243"/>
      <c r="LO107" s="242"/>
      <c r="LP107" s="242"/>
      <c r="LQ107" s="242"/>
      <c r="LR107" s="242"/>
      <c r="LS107" s="242"/>
      <c r="LT107" s="242"/>
      <c r="LU107" s="242"/>
      <c r="LV107" s="243"/>
      <c r="LW107" s="243"/>
      <c r="LX107" s="243"/>
      <c r="LY107" s="243"/>
      <c r="LZ107" s="243"/>
      <c r="MA107" s="243"/>
      <c r="MB107" s="243"/>
      <c r="MC107" s="242"/>
      <c r="MD107" s="242"/>
      <c r="ME107" s="242"/>
      <c r="MF107" s="242"/>
      <c r="MG107" s="242"/>
      <c r="MH107" s="242"/>
      <c r="MI107" s="242"/>
      <c r="MJ107" s="243"/>
      <c r="MK107" s="243"/>
      <c r="ML107" s="243"/>
      <c r="MM107" s="243"/>
      <c r="MN107" s="243"/>
      <c r="MO107" s="243"/>
      <c r="MP107" s="243"/>
      <c r="MQ107" s="242"/>
      <c r="MR107" s="242"/>
      <c r="MS107" s="242"/>
      <c r="MT107" s="242"/>
      <c r="MU107" s="242"/>
      <c r="MV107" s="242"/>
      <c r="MW107" s="242"/>
      <c r="MX107" s="243"/>
      <c r="MY107" s="243"/>
      <c r="MZ107" s="243"/>
      <c r="NA107" s="243"/>
      <c r="NB107" s="243"/>
      <c r="NC107" s="243"/>
      <c r="ND107" s="243"/>
      <c r="NE107" s="242"/>
      <c r="NF107" s="242"/>
      <c r="NG107" s="242"/>
      <c r="NH107" s="333"/>
    </row>
    <row r="108" spans="1:372">
      <c r="A108" s="251" t="s">
        <v>984</v>
      </c>
      <c r="B108" s="251" t="s">
        <v>105</v>
      </c>
      <c r="C108" s="251" t="s">
        <v>674</v>
      </c>
      <c r="D108" s="251" t="s">
        <v>982</v>
      </c>
      <c r="E108" s="241">
        <v>6.2718888836666693</v>
      </c>
      <c r="F108" s="241">
        <v>0</v>
      </c>
      <c r="G108" s="242"/>
      <c r="H108" s="242"/>
      <c r="I108" s="242"/>
      <c r="J108" s="242"/>
      <c r="K108" s="242"/>
      <c r="L108" s="243"/>
      <c r="M108" s="243"/>
      <c r="N108" s="243"/>
      <c r="O108" s="243"/>
      <c r="P108" s="243"/>
      <c r="Q108" s="243"/>
      <c r="R108" s="243"/>
      <c r="S108" s="242"/>
      <c r="T108" s="242"/>
      <c r="U108" s="242"/>
      <c r="V108" s="242"/>
      <c r="W108" s="242"/>
      <c r="X108" s="242"/>
      <c r="Y108" s="242"/>
      <c r="Z108" s="243"/>
      <c r="AA108" s="243"/>
      <c r="AB108" s="243"/>
      <c r="AC108" s="243"/>
      <c r="AD108" s="243"/>
      <c r="AE108" s="243"/>
      <c r="AF108" s="243"/>
      <c r="AG108" s="242"/>
      <c r="AH108" s="242"/>
      <c r="AI108" s="242"/>
      <c r="AJ108" s="242"/>
      <c r="AK108" s="242"/>
      <c r="AL108" s="242"/>
      <c r="AM108" s="242"/>
      <c r="AN108" s="243"/>
      <c r="AO108" s="243"/>
      <c r="AP108" s="243"/>
      <c r="AQ108" s="243"/>
      <c r="AR108" s="243"/>
      <c r="AS108" s="243"/>
      <c r="AT108" s="243"/>
      <c r="AU108" s="242"/>
      <c r="AV108" s="242"/>
      <c r="AW108" s="242"/>
      <c r="AX108" s="242"/>
      <c r="AY108" s="242"/>
      <c r="AZ108" s="242"/>
      <c r="BA108" s="242"/>
      <c r="BB108" s="243"/>
      <c r="BC108" s="243"/>
      <c r="BD108" s="243"/>
      <c r="BE108" s="243"/>
      <c r="BF108" s="243"/>
      <c r="BG108" s="243"/>
      <c r="BH108" s="243"/>
      <c r="BI108" s="242"/>
      <c r="BJ108" s="242"/>
      <c r="BK108" s="242"/>
      <c r="BL108" s="242"/>
      <c r="BM108" s="242"/>
      <c r="BN108" s="242"/>
      <c r="BO108" s="242"/>
      <c r="BP108" s="243"/>
      <c r="BQ108" s="243"/>
      <c r="BR108" s="243"/>
      <c r="BS108" s="243"/>
      <c r="BT108" s="243"/>
      <c r="BU108" s="243"/>
      <c r="BV108" s="243"/>
      <c r="BW108" s="242"/>
      <c r="BX108" s="242"/>
      <c r="BY108" s="242"/>
      <c r="BZ108" s="242"/>
      <c r="CA108" s="242"/>
      <c r="CB108" s="242"/>
      <c r="CC108" s="242"/>
      <c r="CD108" s="243"/>
      <c r="CE108" s="243"/>
      <c r="CF108" s="243"/>
      <c r="CG108" s="243"/>
      <c r="CH108" s="243"/>
      <c r="CI108" s="243"/>
      <c r="CJ108" s="243"/>
      <c r="CK108" s="242"/>
      <c r="CL108" s="242"/>
      <c r="CM108" s="242"/>
      <c r="CN108" s="242"/>
      <c r="CO108" s="242"/>
      <c r="CP108" s="242"/>
      <c r="CQ108" s="242"/>
      <c r="CR108" s="243"/>
      <c r="CS108" s="243"/>
      <c r="CT108" s="243"/>
      <c r="CU108" s="243"/>
      <c r="CV108" s="243"/>
      <c r="CW108" s="243"/>
      <c r="CX108" s="243"/>
      <c r="CY108" s="242"/>
      <c r="CZ108" s="242"/>
      <c r="DA108" s="242"/>
      <c r="DB108" s="242"/>
      <c r="DC108" s="242"/>
      <c r="DD108" s="242"/>
      <c r="DE108" s="242"/>
      <c r="DF108" s="243"/>
      <c r="DG108" s="243"/>
      <c r="DH108" s="243"/>
      <c r="DI108" s="243"/>
      <c r="DJ108" s="243"/>
      <c r="DK108" s="243"/>
      <c r="DL108" s="243"/>
      <c r="DM108" s="242"/>
      <c r="DN108" s="242"/>
      <c r="DO108" s="242"/>
      <c r="DP108" s="242"/>
      <c r="DQ108" s="242"/>
      <c r="DR108" s="242"/>
      <c r="DS108" s="242"/>
      <c r="DT108" s="243"/>
      <c r="DU108" s="243"/>
      <c r="DV108" s="243"/>
      <c r="DW108" s="243"/>
      <c r="DX108" s="243"/>
      <c r="DY108" s="243"/>
      <c r="DZ108" s="243"/>
      <c r="EA108" s="242"/>
      <c r="EB108" s="242"/>
      <c r="EC108" s="242"/>
      <c r="ED108" s="242"/>
      <c r="EE108" s="242"/>
      <c r="EF108" s="242"/>
      <c r="EG108" s="242"/>
      <c r="EH108" s="243"/>
      <c r="EI108" s="243"/>
      <c r="EJ108" s="243"/>
      <c r="EK108" s="243"/>
      <c r="EL108" s="243"/>
      <c r="EM108" s="243"/>
      <c r="EN108" s="243"/>
      <c r="EO108" s="242"/>
      <c r="EP108" s="242"/>
      <c r="EQ108" s="242"/>
      <c r="ER108" s="242"/>
      <c r="ES108" s="242"/>
      <c r="ET108" s="242"/>
      <c r="EU108" s="242"/>
      <c r="EV108" s="243"/>
      <c r="EW108" s="243"/>
      <c r="EX108" s="243"/>
      <c r="EY108" s="243"/>
      <c r="EZ108" s="243"/>
      <c r="FA108" s="243"/>
      <c r="FB108" s="243"/>
      <c r="FC108" s="242"/>
      <c r="FD108" s="242"/>
      <c r="FE108" s="242"/>
      <c r="FF108" s="242"/>
      <c r="FG108" s="242"/>
      <c r="FH108" s="242"/>
      <c r="FI108" s="242"/>
      <c r="FJ108" s="243"/>
      <c r="FK108" s="243"/>
      <c r="FL108" s="243"/>
      <c r="FM108" s="243"/>
      <c r="FN108" s="243"/>
      <c r="FO108" s="243"/>
      <c r="FP108" s="243"/>
      <c r="FQ108" s="242"/>
      <c r="FR108" s="242"/>
      <c r="FS108" s="242"/>
      <c r="FT108" s="242"/>
      <c r="FU108" s="242"/>
      <c r="FV108" s="242"/>
      <c r="FW108" s="242"/>
      <c r="FX108" s="243"/>
      <c r="FY108" s="243"/>
      <c r="FZ108" s="243"/>
      <c r="GA108" s="243"/>
      <c r="GB108" s="243"/>
      <c r="GC108" s="243"/>
      <c r="GD108" s="243"/>
      <c r="GE108" s="242"/>
      <c r="GF108" s="242"/>
      <c r="GG108" s="242"/>
      <c r="GH108" s="242"/>
      <c r="GI108" s="242"/>
      <c r="GJ108" s="242"/>
      <c r="GK108" s="242"/>
      <c r="GL108" s="243"/>
      <c r="GM108" s="243"/>
      <c r="GN108" s="243"/>
      <c r="GO108" s="243"/>
      <c r="GP108" s="243"/>
      <c r="GQ108" s="243"/>
      <c r="GR108" s="243"/>
      <c r="GS108" s="242"/>
      <c r="GT108" s="242"/>
      <c r="GU108" s="242"/>
      <c r="GV108" s="242"/>
      <c r="GW108" s="242"/>
      <c r="GX108" s="242"/>
      <c r="GY108" s="242"/>
      <c r="GZ108" s="243"/>
      <c r="HA108" s="243"/>
      <c r="HB108" s="243"/>
      <c r="HC108" s="243"/>
      <c r="HD108" s="243"/>
      <c r="HE108" s="243"/>
      <c r="HF108" s="243"/>
      <c r="HG108" s="242"/>
      <c r="HH108" s="242"/>
      <c r="HI108" s="242"/>
      <c r="HJ108" s="242"/>
      <c r="HK108" s="242"/>
      <c r="HL108" s="242"/>
      <c r="HM108" s="242"/>
      <c r="HN108" s="243"/>
      <c r="HO108" s="243"/>
      <c r="HP108" s="243"/>
      <c r="HQ108" s="243"/>
      <c r="HR108" s="243"/>
      <c r="HS108" s="243"/>
      <c r="HT108" s="243"/>
      <c r="HU108" s="242"/>
      <c r="HV108" s="242"/>
      <c r="HW108" s="242"/>
      <c r="HX108" s="242"/>
      <c r="HY108" s="242"/>
      <c r="HZ108" s="242"/>
      <c r="IA108" s="242"/>
      <c r="IB108" s="243"/>
      <c r="IC108" s="243"/>
      <c r="ID108" s="243"/>
      <c r="IE108" s="243"/>
      <c r="IF108" s="243"/>
      <c r="IG108" s="243"/>
      <c r="IH108" s="243"/>
      <c r="II108" s="242"/>
      <c r="IJ108" s="242"/>
      <c r="IK108" s="242"/>
      <c r="IL108" s="242"/>
      <c r="IM108" s="242"/>
      <c r="IN108" s="242"/>
      <c r="IO108" s="242"/>
      <c r="IP108" s="243"/>
      <c r="IQ108" s="243"/>
      <c r="IR108" s="243"/>
      <c r="IS108" s="243"/>
      <c r="IT108" s="243"/>
      <c r="IU108" s="243"/>
      <c r="IV108" s="243"/>
      <c r="IW108" s="242"/>
      <c r="IX108" s="242"/>
      <c r="IY108" s="242"/>
      <c r="IZ108" s="242"/>
      <c r="JA108" s="242"/>
      <c r="JB108" s="242"/>
      <c r="JC108" s="242"/>
      <c r="JD108" s="243"/>
      <c r="JE108" s="243"/>
      <c r="JF108" s="243"/>
      <c r="JG108" s="243"/>
      <c r="JH108" s="243"/>
      <c r="JI108" s="243"/>
      <c r="JJ108" s="243"/>
      <c r="JK108" s="242"/>
      <c r="JL108" s="242"/>
      <c r="JM108" s="242"/>
      <c r="JN108" s="242"/>
      <c r="JO108" s="242"/>
      <c r="JP108" s="242"/>
      <c r="JQ108" s="242"/>
      <c r="JR108" s="243"/>
      <c r="JS108" s="243"/>
      <c r="JT108" s="243"/>
      <c r="JU108" s="243"/>
      <c r="JV108" s="243"/>
      <c r="JW108" s="243"/>
      <c r="JX108" s="243"/>
      <c r="JY108" s="242"/>
      <c r="JZ108" s="242"/>
      <c r="KA108" s="242"/>
      <c r="KB108" s="242"/>
      <c r="KC108" s="242"/>
      <c r="KD108" s="242"/>
      <c r="KE108" s="242"/>
      <c r="KF108" s="243"/>
      <c r="KG108" s="243"/>
      <c r="KH108" s="243"/>
      <c r="KI108" s="243"/>
      <c r="KJ108" s="243"/>
      <c r="KK108" s="243"/>
      <c r="KL108" s="243"/>
      <c r="KM108" s="242"/>
      <c r="KN108" s="242"/>
      <c r="KO108" s="242"/>
      <c r="KP108" s="242"/>
      <c r="KQ108" s="242"/>
      <c r="KR108" s="242"/>
      <c r="KS108" s="242"/>
      <c r="KT108" s="243"/>
      <c r="KU108" s="243"/>
      <c r="KV108" s="243"/>
      <c r="KW108" s="243"/>
      <c r="KX108" s="243"/>
      <c r="KY108" s="243"/>
      <c r="KZ108" s="243"/>
      <c r="LA108" s="242"/>
      <c r="LB108" s="242"/>
      <c r="LC108" s="242"/>
      <c r="LD108" s="242"/>
      <c r="LE108" s="242"/>
      <c r="LF108" s="242"/>
      <c r="LG108" s="242"/>
      <c r="LH108" s="243"/>
      <c r="LI108" s="243"/>
      <c r="LJ108" s="243"/>
      <c r="LK108" s="243"/>
      <c r="LL108" s="243"/>
      <c r="LM108" s="243"/>
      <c r="LN108" s="243"/>
      <c r="LO108" s="242"/>
      <c r="LP108" s="242"/>
      <c r="LQ108" s="242"/>
      <c r="LR108" s="242"/>
      <c r="LS108" s="242"/>
      <c r="LT108" s="242"/>
      <c r="LU108" s="242"/>
      <c r="LV108" s="243"/>
      <c r="LW108" s="243"/>
      <c r="LX108" s="243"/>
      <c r="LY108" s="243"/>
      <c r="LZ108" s="243"/>
      <c r="MA108" s="243"/>
      <c r="MB108" s="243"/>
      <c r="MC108" s="242"/>
      <c r="MD108" s="242"/>
      <c r="ME108" s="242"/>
      <c r="MF108" s="242"/>
      <c r="MG108" s="242"/>
      <c r="MH108" s="242"/>
      <c r="MI108" s="242"/>
      <c r="MJ108" s="243"/>
      <c r="MK108" s="243"/>
      <c r="ML108" s="243"/>
      <c r="MM108" s="243"/>
      <c r="MN108" s="243"/>
      <c r="MO108" s="243"/>
      <c r="MP108" s="243"/>
      <c r="MQ108" s="242"/>
      <c r="MR108" s="242"/>
      <c r="MS108" s="242"/>
      <c r="MT108" s="242"/>
      <c r="MU108" s="242"/>
      <c r="MV108" s="242"/>
      <c r="MW108" s="242"/>
      <c r="MX108" s="243"/>
      <c r="MY108" s="243"/>
      <c r="MZ108" s="243"/>
      <c r="NA108" s="243"/>
      <c r="NB108" s="243"/>
      <c r="NC108" s="243"/>
      <c r="ND108" s="243"/>
      <c r="NE108" s="242"/>
      <c r="NF108" s="242"/>
      <c r="NG108" s="242"/>
      <c r="NH108" s="333"/>
    </row>
    <row r="109" spans="1:372">
      <c r="A109" s="251" t="s">
        <v>984</v>
      </c>
      <c r="B109" s="251" t="s">
        <v>106</v>
      </c>
      <c r="C109" s="251" t="s">
        <v>675</v>
      </c>
      <c r="D109" s="251" t="s">
        <v>997</v>
      </c>
      <c r="E109" s="241">
        <v>0.50133333333333296</v>
      </c>
      <c r="F109" s="241">
        <v>0</v>
      </c>
      <c r="G109" s="242"/>
      <c r="H109" s="242"/>
      <c r="I109" s="242"/>
      <c r="J109" s="242"/>
      <c r="K109" s="242"/>
      <c r="L109" s="243"/>
      <c r="M109" s="243"/>
      <c r="N109" s="243"/>
      <c r="O109" s="243"/>
      <c r="P109" s="243"/>
      <c r="Q109" s="243"/>
      <c r="R109" s="243"/>
      <c r="S109" s="242"/>
      <c r="T109" s="242"/>
      <c r="U109" s="242"/>
      <c r="V109" s="242"/>
      <c r="W109" s="242"/>
      <c r="X109" s="242"/>
      <c r="Y109" s="242"/>
      <c r="Z109" s="243"/>
      <c r="AA109" s="243"/>
      <c r="AB109" s="243"/>
      <c r="AC109" s="243"/>
      <c r="AD109" s="243"/>
      <c r="AE109" s="243"/>
      <c r="AF109" s="243"/>
      <c r="AG109" s="242"/>
      <c r="AH109" s="242"/>
      <c r="AI109" s="242"/>
      <c r="AJ109" s="242"/>
      <c r="AK109" s="242"/>
      <c r="AL109" s="242"/>
      <c r="AM109" s="242"/>
      <c r="AN109" s="243"/>
      <c r="AO109" s="243"/>
      <c r="AP109" s="243"/>
      <c r="AQ109" s="243"/>
      <c r="AR109" s="243"/>
      <c r="AS109" s="243"/>
      <c r="AT109" s="243"/>
      <c r="AU109" s="242"/>
      <c r="AV109" s="242"/>
      <c r="AW109" s="242"/>
      <c r="AX109" s="242"/>
      <c r="AY109" s="242"/>
      <c r="AZ109" s="242"/>
      <c r="BA109" s="242"/>
      <c r="BB109" s="243"/>
      <c r="BC109" s="243"/>
      <c r="BD109" s="243"/>
      <c r="BE109" s="243"/>
      <c r="BF109" s="243"/>
      <c r="BG109" s="243"/>
      <c r="BH109" s="243"/>
      <c r="BI109" s="242"/>
      <c r="BJ109" s="242"/>
      <c r="BK109" s="242"/>
      <c r="BL109" s="242"/>
      <c r="BM109" s="242"/>
      <c r="BN109" s="242"/>
      <c r="BO109" s="242"/>
      <c r="BP109" s="243"/>
      <c r="BQ109" s="243"/>
      <c r="BR109" s="243"/>
      <c r="BS109" s="243"/>
      <c r="BT109" s="243"/>
      <c r="BU109" s="243"/>
      <c r="BV109" s="243"/>
      <c r="BW109" s="242"/>
      <c r="BX109" s="242"/>
      <c r="BY109" s="242"/>
      <c r="BZ109" s="242"/>
      <c r="CA109" s="242"/>
      <c r="CB109" s="242"/>
      <c r="CC109" s="242"/>
      <c r="CD109" s="243"/>
      <c r="CE109" s="243"/>
      <c r="CF109" s="243"/>
      <c r="CG109" s="243"/>
      <c r="CH109" s="243"/>
      <c r="CI109" s="243"/>
      <c r="CJ109" s="243"/>
      <c r="CK109" s="242"/>
      <c r="CL109" s="242"/>
      <c r="CM109" s="242"/>
      <c r="CN109" s="242"/>
      <c r="CO109" s="242"/>
      <c r="CP109" s="242"/>
      <c r="CQ109" s="242"/>
      <c r="CR109" s="243"/>
      <c r="CS109" s="243"/>
      <c r="CT109" s="243"/>
      <c r="CU109" s="243"/>
      <c r="CV109" s="243"/>
      <c r="CW109" s="243"/>
      <c r="CX109" s="243"/>
      <c r="CY109" s="242"/>
      <c r="CZ109" s="242"/>
      <c r="DA109" s="242"/>
      <c r="DB109" s="242"/>
      <c r="DC109" s="242"/>
      <c r="DD109" s="242"/>
      <c r="DE109" s="242"/>
      <c r="DF109" s="243"/>
      <c r="DG109" s="243"/>
      <c r="DH109" s="243"/>
      <c r="DI109" s="243"/>
      <c r="DJ109" s="243"/>
      <c r="DK109" s="243"/>
      <c r="DL109" s="243"/>
      <c r="DM109" s="242"/>
      <c r="DN109" s="242"/>
      <c r="DO109" s="242"/>
      <c r="DP109" s="242"/>
      <c r="DQ109" s="242"/>
      <c r="DR109" s="242"/>
      <c r="DS109" s="242"/>
      <c r="DT109" s="243"/>
      <c r="DU109" s="243"/>
      <c r="DV109" s="243"/>
      <c r="DW109" s="243"/>
      <c r="DX109" s="243"/>
      <c r="DY109" s="243"/>
      <c r="DZ109" s="243"/>
      <c r="EA109" s="242"/>
      <c r="EB109" s="242"/>
      <c r="EC109" s="242"/>
      <c r="ED109" s="242"/>
      <c r="EE109" s="242"/>
      <c r="EF109" s="242"/>
      <c r="EG109" s="242"/>
      <c r="EH109" s="243"/>
      <c r="EI109" s="243"/>
      <c r="EJ109" s="243"/>
      <c r="EK109" s="243"/>
      <c r="EL109" s="243"/>
      <c r="EM109" s="243"/>
      <c r="EN109" s="243"/>
      <c r="EO109" s="242"/>
      <c r="EP109" s="242"/>
      <c r="EQ109" s="242"/>
      <c r="ER109" s="242"/>
      <c r="ES109" s="242"/>
      <c r="ET109" s="242"/>
      <c r="EU109" s="242"/>
      <c r="EV109" s="243"/>
      <c r="EW109" s="243"/>
      <c r="EX109" s="243"/>
      <c r="EY109" s="243"/>
      <c r="EZ109" s="243"/>
      <c r="FA109" s="243"/>
      <c r="FB109" s="243"/>
      <c r="FC109" s="242"/>
      <c r="FD109" s="242"/>
      <c r="FE109" s="242"/>
      <c r="FF109" s="242"/>
      <c r="FG109" s="242"/>
      <c r="FH109" s="242"/>
      <c r="FI109" s="242"/>
      <c r="FJ109" s="243"/>
      <c r="FK109" s="243"/>
      <c r="FL109" s="243"/>
      <c r="FM109" s="243"/>
      <c r="FN109" s="243"/>
      <c r="FO109" s="243"/>
      <c r="FP109" s="243"/>
      <c r="FQ109" s="242"/>
      <c r="FR109" s="242"/>
      <c r="FS109" s="242"/>
      <c r="FT109" s="242"/>
      <c r="FU109" s="242"/>
      <c r="FV109" s="242"/>
      <c r="FW109" s="242"/>
      <c r="FX109" s="243"/>
      <c r="FY109" s="243"/>
      <c r="FZ109" s="243"/>
      <c r="GA109" s="243"/>
      <c r="GB109" s="243"/>
      <c r="GC109" s="243"/>
      <c r="GD109" s="243"/>
      <c r="GE109" s="242"/>
      <c r="GF109" s="242"/>
      <c r="GG109" s="242"/>
      <c r="GH109" s="242"/>
      <c r="GI109" s="242"/>
      <c r="GJ109" s="242"/>
      <c r="GK109" s="242"/>
      <c r="GL109" s="243"/>
      <c r="GM109" s="243"/>
      <c r="GN109" s="243"/>
      <c r="GO109" s="243"/>
      <c r="GP109" s="243"/>
      <c r="GQ109" s="243"/>
      <c r="GR109" s="243"/>
      <c r="GS109" s="242"/>
      <c r="GT109" s="242"/>
      <c r="GU109" s="242"/>
      <c r="GV109" s="242"/>
      <c r="GW109" s="242"/>
      <c r="GX109" s="242"/>
      <c r="GY109" s="242"/>
      <c r="GZ109" s="243"/>
      <c r="HA109" s="243"/>
      <c r="HB109" s="243"/>
      <c r="HC109" s="243"/>
      <c r="HD109" s="243"/>
      <c r="HE109" s="243"/>
      <c r="HF109" s="243"/>
      <c r="HG109" s="242"/>
      <c r="HH109" s="242"/>
      <c r="HI109" s="242"/>
      <c r="HJ109" s="242"/>
      <c r="HK109" s="242"/>
      <c r="HL109" s="242"/>
      <c r="HM109" s="242"/>
      <c r="HN109" s="243"/>
      <c r="HO109" s="243"/>
      <c r="HP109" s="243"/>
      <c r="HQ109" s="243"/>
      <c r="HR109" s="243"/>
      <c r="HS109" s="243"/>
      <c r="HT109" s="243"/>
      <c r="HU109" s="242"/>
      <c r="HV109" s="242"/>
      <c r="HW109" s="242"/>
      <c r="HX109" s="242"/>
      <c r="HY109" s="242"/>
      <c r="HZ109" s="242"/>
      <c r="IA109" s="242"/>
      <c r="IB109" s="243"/>
      <c r="IC109" s="243"/>
      <c r="ID109" s="243"/>
      <c r="IE109" s="243"/>
      <c r="IF109" s="243"/>
      <c r="IG109" s="243"/>
      <c r="IH109" s="243"/>
      <c r="II109" s="242"/>
      <c r="IJ109" s="242"/>
      <c r="IK109" s="242"/>
      <c r="IL109" s="242"/>
      <c r="IM109" s="242"/>
      <c r="IN109" s="242"/>
      <c r="IO109" s="242"/>
      <c r="IP109" s="243"/>
      <c r="IQ109" s="243"/>
      <c r="IR109" s="243"/>
      <c r="IS109" s="243"/>
      <c r="IT109" s="243"/>
      <c r="IU109" s="243"/>
      <c r="IV109" s="243"/>
      <c r="IW109" s="242"/>
      <c r="IX109" s="242"/>
      <c r="IY109" s="242"/>
      <c r="IZ109" s="242"/>
      <c r="JA109" s="242"/>
      <c r="JB109" s="242"/>
      <c r="JC109" s="242"/>
      <c r="JD109" s="243"/>
      <c r="JE109" s="243"/>
      <c r="JF109" s="243"/>
      <c r="JG109" s="243"/>
      <c r="JH109" s="243"/>
      <c r="JI109" s="243"/>
      <c r="JJ109" s="243"/>
      <c r="JK109" s="242"/>
      <c r="JL109" s="242"/>
      <c r="JM109" s="242"/>
      <c r="JN109" s="242"/>
      <c r="JO109" s="242"/>
      <c r="JP109" s="242"/>
      <c r="JQ109" s="242"/>
      <c r="JR109" s="243"/>
      <c r="JS109" s="243"/>
      <c r="JT109" s="243"/>
      <c r="JU109" s="243"/>
      <c r="JV109" s="243"/>
      <c r="JW109" s="243"/>
      <c r="JX109" s="243"/>
      <c r="JY109" s="242"/>
      <c r="JZ109" s="242"/>
      <c r="KA109" s="242"/>
      <c r="KB109" s="242"/>
      <c r="KC109" s="242"/>
      <c r="KD109" s="242"/>
      <c r="KE109" s="242"/>
      <c r="KF109" s="243"/>
      <c r="KG109" s="243"/>
      <c r="KH109" s="243"/>
      <c r="KI109" s="243"/>
      <c r="KJ109" s="243"/>
      <c r="KK109" s="243"/>
      <c r="KL109" s="243"/>
      <c r="KM109" s="242"/>
      <c r="KN109" s="242"/>
      <c r="KO109" s="242"/>
      <c r="KP109" s="242"/>
      <c r="KQ109" s="242"/>
      <c r="KR109" s="242"/>
      <c r="KS109" s="242"/>
      <c r="KT109" s="243"/>
      <c r="KU109" s="243"/>
      <c r="KV109" s="243"/>
      <c r="KW109" s="243"/>
      <c r="KX109" s="243"/>
      <c r="KY109" s="243"/>
      <c r="KZ109" s="243"/>
      <c r="LA109" s="242"/>
      <c r="LB109" s="242"/>
      <c r="LC109" s="242"/>
      <c r="LD109" s="242"/>
      <c r="LE109" s="242"/>
      <c r="LF109" s="242"/>
      <c r="LG109" s="242"/>
      <c r="LH109" s="243"/>
      <c r="LI109" s="243"/>
      <c r="LJ109" s="243"/>
      <c r="LK109" s="243"/>
      <c r="LL109" s="243"/>
      <c r="LM109" s="243"/>
      <c r="LN109" s="243"/>
      <c r="LO109" s="242"/>
      <c r="LP109" s="242"/>
      <c r="LQ109" s="242"/>
      <c r="LR109" s="242"/>
      <c r="LS109" s="242"/>
      <c r="LT109" s="242"/>
      <c r="LU109" s="242"/>
      <c r="LV109" s="243"/>
      <c r="LW109" s="243"/>
      <c r="LX109" s="243"/>
      <c r="LY109" s="243"/>
      <c r="LZ109" s="243"/>
      <c r="MA109" s="243"/>
      <c r="MB109" s="243"/>
      <c r="MC109" s="242"/>
      <c r="MD109" s="242"/>
      <c r="ME109" s="242"/>
      <c r="MF109" s="242"/>
      <c r="MG109" s="242"/>
      <c r="MH109" s="242"/>
      <c r="MI109" s="242"/>
      <c r="MJ109" s="243"/>
      <c r="MK109" s="243"/>
      <c r="ML109" s="243"/>
      <c r="MM109" s="243"/>
      <c r="MN109" s="243"/>
      <c r="MO109" s="243"/>
      <c r="MP109" s="243"/>
      <c r="MQ109" s="242"/>
      <c r="MR109" s="242"/>
      <c r="MS109" s="242"/>
      <c r="MT109" s="242"/>
      <c r="MU109" s="242"/>
      <c r="MV109" s="242"/>
      <c r="MW109" s="242"/>
      <c r="MX109" s="243"/>
      <c r="MY109" s="243"/>
      <c r="MZ109" s="243"/>
      <c r="NA109" s="243"/>
      <c r="NB109" s="243"/>
      <c r="NC109" s="243"/>
      <c r="ND109" s="243"/>
      <c r="NE109" s="242"/>
      <c r="NF109" s="242"/>
      <c r="NG109" s="242"/>
      <c r="NH109" s="333"/>
    </row>
    <row r="110" spans="1:372">
      <c r="A110" s="251" t="s">
        <v>984</v>
      </c>
      <c r="B110" s="251" t="s">
        <v>107</v>
      </c>
      <c r="C110" s="251" t="s">
        <v>675</v>
      </c>
      <c r="D110" s="251" t="s">
        <v>997</v>
      </c>
      <c r="E110" s="241">
        <v>31.940938836666675</v>
      </c>
      <c r="F110" s="241">
        <v>32</v>
      </c>
      <c r="G110" s="242"/>
      <c r="H110" s="242"/>
      <c r="I110" s="242"/>
      <c r="J110" s="242"/>
      <c r="K110" s="242"/>
      <c r="L110" s="243"/>
      <c r="M110" s="243"/>
      <c r="N110" s="243"/>
      <c r="O110" s="243"/>
      <c r="P110" s="243"/>
      <c r="Q110" s="243"/>
      <c r="R110" s="243"/>
      <c r="S110" s="242"/>
      <c r="T110" s="242"/>
      <c r="U110" s="242"/>
      <c r="V110" s="242"/>
      <c r="W110" s="242"/>
      <c r="X110" s="242"/>
      <c r="Y110" s="242"/>
      <c r="Z110" s="243"/>
      <c r="AA110" s="243"/>
      <c r="AB110" s="243"/>
      <c r="AC110" s="243"/>
      <c r="AD110" s="243"/>
      <c r="AE110" s="243"/>
      <c r="AF110" s="243"/>
      <c r="AG110" s="242"/>
      <c r="AH110" s="242"/>
      <c r="AI110" s="242"/>
      <c r="AJ110" s="242"/>
      <c r="AK110" s="242"/>
      <c r="AL110" s="242"/>
      <c r="AM110" s="242"/>
      <c r="AN110" s="243"/>
      <c r="AO110" s="243">
        <v>8</v>
      </c>
      <c r="AP110" s="243"/>
      <c r="AQ110" s="243"/>
      <c r="AR110" s="243"/>
      <c r="AS110" s="243"/>
      <c r="AT110" s="243"/>
      <c r="AU110" s="242"/>
      <c r="AV110" s="242"/>
      <c r="AW110" s="242"/>
      <c r="AX110" s="242"/>
      <c r="AY110" s="242"/>
      <c r="AZ110" s="242"/>
      <c r="BA110" s="242"/>
      <c r="BB110" s="243"/>
      <c r="BC110" s="243"/>
      <c r="BD110" s="243"/>
      <c r="BE110" s="243"/>
      <c r="BF110" s="243"/>
      <c r="BG110" s="243"/>
      <c r="BH110" s="243"/>
      <c r="BI110" s="242"/>
      <c r="BJ110" s="242"/>
      <c r="BK110" s="242"/>
      <c r="BL110" s="242"/>
      <c r="BM110" s="242"/>
      <c r="BN110" s="242"/>
      <c r="BO110" s="242"/>
      <c r="BP110" s="243"/>
      <c r="BQ110" s="243"/>
      <c r="BR110" s="243"/>
      <c r="BS110" s="243"/>
      <c r="BT110" s="243"/>
      <c r="BU110" s="243"/>
      <c r="BV110" s="243"/>
      <c r="BW110" s="242"/>
      <c r="BX110" s="242"/>
      <c r="BY110" s="242"/>
      <c r="BZ110" s="242"/>
      <c r="CA110" s="242"/>
      <c r="CB110" s="242"/>
      <c r="CC110" s="242"/>
      <c r="CD110" s="243"/>
      <c r="CE110" s="243"/>
      <c r="CF110" s="243"/>
      <c r="CG110" s="243"/>
      <c r="CH110" s="243"/>
      <c r="CI110" s="243"/>
      <c r="CJ110" s="243"/>
      <c r="CK110" s="242"/>
      <c r="CL110" s="242"/>
      <c r="CM110" s="242"/>
      <c r="CN110" s="242"/>
      <c r="CO110" s="242"/>
      <c r="CP110" s="242"/>
      <c r="CQ110" s="242"/>
      <c r="CR110" s="243"/>
      <c r="CS110" s="243"/>
      <c r="CT110" s="243"/>
      <c r="CU110" s="243">
        <v>12</v>
      </c>
      <c r="CV110" s="243"/>
      <c r="CW110" s="243"/>
      <c r="CX110" s="243"/>
      <c r="CY110" s="242"/>
      <c r="CZ110" s="242"/>
      <c r="DA110" s="242"/>
      <c r="DB110" s="242"/>
      <c r="DC110" s="242"/>
      <c r="DD110" s="242"/>
      <c r="DE110" s="242"/>
      <c r="DF110" s="243"/>
      <c r="DG110" s="243"/>
      <c r="DH110" s="243"/>
      <c r="DI110" s="243"/>
      <c r="DJ110" s="243"/>
      <c r="DK110" s="243"/>
      <c r="DL110" s="243"/>
      <c r="DM110" s="242"/>
      <c r="DN110" s="242"/>
      <c r="DO110" s="242"/>
      <c r="DP110" s="242"/>
      <c r="DQ110" s="242"/>
      <c r="DR110" s="242"/>
      <c r="DS110" s="242"/>
      <c r="DT110" s="243"/>
      <c r="DU110" s="243"/>
      <c r="DV110" s="243"/>
      <c r="DW110" s="243"/>
      <c r="DX110" s="243"/>
      <c r="DY110" s="243"/>
      <c r="DZ110" s="243"/>
      <c r="EA110" s="242"/>
      <c r="EB110" s="242"/>
      <c r="EC110" s="242"/>
      <c r="ED110" s="242"/>
      <c r="EE110" s="242"/>
      <c r="EF110" s="242"/>
      <c r="EG110" s="242"/>
      <c r="EH110" s="243"/>
      <c r="EI110" s="243"/>
      <c r="EJ110" s="243"/>
      <c r="EK110" s="243"/>
      <c r="EL110" s="243">
        <v>12</v>
      </c>
      <c r="EM110" s="243"/>
      <c r="EN110" s="243"/>
      <c r="EO110" s="242"/>
      <c r="EP110" s="242"/>
      <c r="EQ110" s="242"/>
      <c r="ER110" s="242"/>
      <c r="ES110" s="242"/>
      <c r="ET110" s="242"/>
      <c r="EU110" s="242"/>
      <c r="EV110" s="243"/>
      <c r="EW110" s="243"/>
      <c r="EX110" s="243"/>
      <c r="EY110" s="243"/>
      <c r="EZ110" s="243"/>
      <c r="FA110" s="243"/>
      <c r="FB110" s="243"/>
      <c r="FC110" s="242"/>
      <c r="FD110" s="242"/>
      <c r="FE110" s="242"/>
      <c r="FF110" s="242"/>
      <c r="FG110" s="242"/>
      <c r="FH110" s="242"/>
      <c r="FI110" s="242"/>
      <c r="FJ110" s="243"/>
      <c r="FK110" s="243"/>
      <c r="FL110" s="243"/>
      <c r="FM110" s="243"/>
      <c r="FN110" s="243"/>
      <c r="FO110" s="243"/>
      <c r="FP110" s="243"/>
      <c r="FQ110" s="242"/>
      <c r="FR110" s="242"/>
      <c r="FS110" s="242"/>
      <c r="FT110" s="242"/>
      <c r="FU110" s="242"/>
      <c r="FV110" s="242"/>
      <c r="FW110" s="242"/>
      <c r="FX110" s="243"/>
      <c r="FY110" s="243"/>
      <c r="FZ110" s="243"/>
      <c r="GA110" s="243"/>
      <c r="GB110" s="243"/>
      <c r="GC110" s="243"/>
      <c r="GD110" s="243"/>
      <c r="GE110" s="242"/>
      <c r="GF110" s="242"/>
      <c r="GG110" s="242"/>
      <c r="GH110" s="242"/>
      <c r="GI110" s="242"/>
      <c r="GJ110" s="242"/>
      <c r="GK110" s="242"/>
      <c r="GL110" s="243"/>
      <c r="GM110" s="243"/>
      <c r="GN110" s="243"/>
      <c r="GO110" s="243"/>
      <c r="GP110" s="243"/>
      <c r="GQ110" s="243"/>
      <c r="GR110" s="243"/>
      <c r="GS110" s="242"/>
      <c r="GT110" s="242"/>
      <c r="GU110" s="242"/>
      <c r="GV110" s="242"/>
      <c r="GW110" s="242"/>
      <c r="GX110" s="242"/>
      <c r="GY110" s="242"/>
      <c r="GZ110" s="243"/>
      <c r="HA110" s="243"/>
      <c r="HB110" s="243"/>
      <c r="HC110" s="243"/>
      <c r="HD110" s="243"/>
      <c r="HE110" s="243"/>
      <c r="HF110" s="243"/>
      <c r="HG110" s="242"/>
      <c r="HH110" s="242"/>
      <c r="HI110" s="242"/>
      <c r="HJ110" s="242"/>
      <c r="HK110" s="242"/>
      <c r="HL110" s="242"/>
      <c r="HM110" s="242"/>
      <c r="HN110" s="243"/>
      <c r="HO110" s="243"/>
      <c r="HP110" s="243"/>
      <c r="HQ110" s="243"/>
      <c r="HR110" s="243"/>
      <c r="HS110" s="243"/>
      <c r="HT110" s="243"/>
      <c r="HU110" s="242"/>
      <c r="HV110" s="242"/>
      <c r="HW110" s="242"/>
      <c r="HX110" s="242"/>
      <c r="HY110" s="242"/>
      <c r="HZ110" s="242"/>
      <c r="IA110" s="242"/>
      <c r="IB110" s="243"/>
      <c r="IC110" s="243"/>
      <c r="ID110" s="243"/>
      <c r="IE110" s="243"/>
      <c r="IF110" s="243"/>
      <c r="IG110" s="243"/>
      <c r="IH110" s="243"/>
      <c r="II110" s="242"/>
      <c r="IJ110" s="242"/>
      <c r="IK110" s="242"/>
      <c r="IL110" s="242"/>
      <c r="IM110" s="242"/>
      <c r="IN110" s="242"/>
      <c r="IO110" s="242"/>
      <c r="IP110" s="243"/>
      <c r="IQ110" s="243"/>
      <c r="IR110" s="243"/>
      <c r="IS110" s="243"/>
      <c r="IT110" s="243"/>
      <c r="IU110" s="243"/>
      <c r="IV110" s="243"/>
      <c r="IW110" s="242"/>
      <c r="IX110" s="242"/>
      <c r="IY110" s="242"/>
      <c r="IZ110" s="242"/>
      <c r="JA110" s="242"/>
      <c r="JB110" s="242"/>
      <c r="JC110" s="242"/>
      <c r="JD110" s="243"/>
      <c r="JE110" s="243"/>
      <c r="JF110" s="243"/>
      <c r="JG110" s="243"/>
      <c r="JH110" s="243"/>
      <c r="JI110" s="243"/>
      <c r="JJ110" s="243"/>
      <c r="JK110" s="242"/>
      <c r="JL110" s="242"/>
      <c r="JM110" s="242"/>
      <c r="JN110" s="242"/>
      <c r="JO110" s="242"/>
      <c r="JP110" s="242"/>
      <c r="JQ110" s="242"/>
      <c r="JR110" s="243"/>
      <c r="JS110" s="243"/>
      <c r="JT110" s="243"/>
      <c r="JU110" s="243"/>
      <c r="JV110" s="243"/>
      <c r="JW110" s="243"/>
      <c r="JX110" s="243"/>
      <c r="JY110" s="242"/>
      <c r="JZ110" s="242"/>
      <c r="KA110" s="242"/>
      <c r="KB110" s="242"/>
      <c r="KC110" s="242"/>
      <c r="KD110" s="242"/>
      <c r="KE110" s="242"/>
      <c r="KF110" s="243"/>
      <c r="KG110" s="243"/>
      <c r="KH110" s="243"/>
      <c r="KI110" s="243"/>
      <c r="KJ110" s="243"/>
      <c r="KK110" s="243"/>
      <c r="KL110" s="243"/>
      <c r="KM110" s="242"/>
      <c r="KN110" s="242"/>
      <c r="KO110" s="242"/>
      <c r="KP110" s="242"/>
      <c r="KQ110" s="242"/>
      <c r="KR110" s="242"/>
      <c r="KS110" s="242"/>
      <c r="KT110" s="243"/>
      <c r="KU110" s="243"/>
      <c r="KV110" s="243"/>
      <c r="KW110" s="243"/>
      <c r="KX110" s="243"/>
      <c r="KY110" s="243"/>
      <c r="KZ110" s="243"/>
      <c r="LA110" s="242"/>
      <c r="LB110" s="242"/>
      <c r="LC110" s="242"/>
      <c r="LD110" s="242"/>
      <c r="LE110" s="242"/>
      <c r="LF110" s="242"/>
      <c r="LG110" s="242"/>
      <c r="LH110" s="243"/>
      <c r="LI110" s="243"/>
      <c r="LJ110" s="243"/>
      <c r="LK110" s="243"/>
      <c r="LL110" s="243"/>
      <c r="LM110" s="243"/>
      <c r="LN110" s="243"/>
      <c r="LO110" s="242"/>
      <c r="LP110" s="242"/>
      <c r="LQ110" s="242"/>
      <c r="LR110" s="242"/>
      <c r="LS110" s="242"/>
      <c r="LT110" s="242"/>
      <c r="LU110" s="242"/>
      <c r="LV110" s="243"/>
      <c r="LW110" s="243"/>
      <c r="LX110" s="243"/>
      <c r="LY110" s="243"/>
      <c r="LZ110" s="243"/>
      <c r="MA110" s="243"/>
      <c r="MB110" s="243"/>
      <c r="MC110" s="242"/>
      <c r="MD110" s="242"/>
      <c r="ME110" s="242"/>
      <c r="MF110" s="242"/>
      <c r="MG110" s="242"/>
      <c r="MH110" s="242"/>
      <c r="MI110" s="242"/>
      <c r="MJ110" s="243"/>
      <c r="MK110" s="243"/>
      <c r="ML110" s="243"/>
      <c r="MM110" s="243"/>
      <c r="MN110" s="243"/>
      <c r="MO110" s="243"/>
      <c r="MP110" s="243"/>
      <c r="MQ110" s="242"/>
      <c r="MR110" s="242"/>
      <c r="MS110" s="242"/>
      <c r="MT110" s="242"/>
      <c r="MU110" s="242"/>
      <c r="MV110" s="242"/>
      <c r="MW110" s="242"/>
      <c r="MX110" s="243"/>
      <c r="MY110" s="243"/>
      <c r="MZ110" s="243"/>
      <c r="NA110" s="243"/>
      <c r="NB110" s="243"/>
      <c r="NC110" s="243"/>
      <c r="ND110" s="243"/>
      <c r="NE110" s="242"/>
      <c r="NF110" s="242"/>
      <c r="NG110" s="242"/>
      <c r="NH110" s="333"/>
    </row>
    <row r="111" spans="1:372">
      <c r="A111" s="251" t="s">
        <v>984</v>
      </c>
      <c r="B111" s="251" t="s">
        <v>370</v>
      </c>
      <c r="C111" s="251" t="s">
        <v>674</v>
      </c>
      <c r="D111" s="251" t="s">
        <v>982</v>
      </c>
      <c r="E111" s="241">
        <v>0</v>
      </c>
      <c r="F111" s="241">
        <v>0</v>
      </c>
      <c r="G111" s="242"/>
      <c r="H111" s="242"/>
      <c r="I111" s="242"/>
      <c r="J111" s="242"/>
      <c r="K111" s="242"/>
      <c r="L111" s="243"/>
      <c r="M111" s="243"/>
      <c r="N111" s="243"/>
      <c r="O111" s="243"/>
      <c r="P111" s="243"/>
      <c r="Q111" s="243"/>
      <c r="R111" s="243"/>
      <c r="S111" s="242"/>
      <c r="T111" s="242"/>
      <c r="U111" s="242"/>
      <c r="V111" s="242"/>
      <c r="W111" s="242"/>
      <c r="X111" s="242"/>
      <c r="Y111" s="242"/>
      <c r="Z111" s="243"/>
      <c r="AA111" s="243"/>
      <c r="AB111" s="243"/>
      <c r="AC111" s="243"/>
      <c r="AD111" s="243"/>
      <c r="AE111" s="243"/>
      <c r="AF111" s="243"/>
      <c r="AG111" s="242"/>
      <c r="AH111" s="242"/>
      <c r="AI111" s="242"/>
      <c r="AJ111" s="242"/>
      <c r="AK111" s="242"/>
      <c r="AL111" s="242"/>
      <c r="AM111" s="242"/>
      <c r="AN111" s="243"/>
      <c r="AO111" s="243"/>
      <c r="AP111" s="243"/>
      <c r="AQ111" s="243"/>
      <c r="AR111" s="243"/>
      <c r="AS111" s="243"/>
      <c r="AT111" s="243"/>
      <c r="AU111" s="242"/>
      <c r="AV111" s="242"/>
      <c r="AW111" s="242"/>
      <c r="AX111" s="242"/>
      <c r="AY111" s="242"/>
      <c r="AZ111" s="242"/>
      <c r="BA111" s="242"/>
      <c r="BB111" s="243"/>
      <c r="BC111" s="243"/>
      <c r="BD111" s="243"/>
      <c r="BE111" s="243"/>
      <c r="BF111" s="243"/>
      <c r="BG111" s="243"/>
      <c r="BH111" s="243"/>
      <c r="BI111" s="242"/>
      <c r="BJ111" s="242"/>
      <c r="BK111" s="242"/>
      <c r="BL111" s="242"/>
      <c r="BM111" s="242"/>
      <c r="BN111" s="242"/>
      <c r="BO111" s="242"/>
      <c r="BP111" s="243"/>
      <c r="BQ111" s="243"/>
      <c r="BR111" s="243"/>
      <c r="BS111" s="243"/>
      <c r="BT111" s="243"/>
      <c r="BU111" s="243"/>
      <c r="BV111" s="243"/>
      <c r="BW111" s="242"/>
      <c r="BX111" s="242"/>
      <c r="BY111" s="242"/>
      <c r="BZ111" s="242"/>
      <c r="CA111" s="242"/>
      <c r="CB111" s="242"/>
      <c r="CC111" s="242"/>
      <c r="CD111" s="243"/>
      <c r="CE111" s="243"/>
      <c r="CF111" s="243"/>
      <c r="CG111" s="243"/>
      <c r="CH111" s="243"/>
      <c r="CI111" s="243"/>
      <c r="CJ111" s="243"/>
      <c r="CK111" s="242"/>
      <c r="CL111" s="242"/>
      <c r="CM111" s="242"/>
      <c r="CN111" s="242"/>
      <c r="CO111" s="242"/>
      <c r="CP111" s="242"/>
      <c r="CQ111" s="242"/>
      <c r="CR111" s="243"/>
      <c r="CS111" s="243"/>
      <c r="CT111" s="243"/>
      <c r="CU111" s="243"/>
      <c r="CV111" s="243"/>
      <c r="CW111" s="243"/>
      <c r="CX111" s="243"/>
      <c r="CY111" s="242"/>
      <c r="CZ111" s="242"/>
      <c r="DA111" s="242"/>
      <c r="DB111" s="242"/>
      <c r="DC111" s="242"/>
      <c r="DD111" s="242"/>
      <c r="DE111" s="242"/>
      <c r="DF111" s="243"/>
      <c r="DG111" s="243"/>
      <c r="DH111" s="243"/>
      <c r="DI111" s="243"/>
      <c r="DJ111" s="243"/>
      <c r="DK111" s="243"/>
      <c r="DL111" s="243"/>
      <c r="DM111" s="242"/>
      <c r="DN111" s="242"/>
      <c r="DO111" s="242"/>
      <c r="DP111" s="242"/>
      <c r="DQ111" s="242"/>
      <c r="DR111" s="242"/>
      <c r="DS111" s="242"/>
      <c r="DT111" s="243"/>
      <c r="DU111" s="243"/>
      <c r="DV111" s="243"/>
      <c r="DW111" s="243"/>
      <c r="DX111" s="243"/>
      <c r="DY111" s="243"/>
      <c r="DZ111" s="243"/>
      <c r="EA111" s="242"/>
      <c r="EB111" s="242"/>
      <c r="EC111" s="242"/>
      <c r="ED111" s="242"/>
      <c r="EE111" s="242"/>
      <c r="EF111" s="242"/>
      <c r="EG111" s="242"/>
      <c r="EH111" s="243"/>
      <c r="EI111" s="243"/>
      <c r="EJ111" s="243"/>
      <c r="EK111" s="243"/>
      <c r="EL111" s="243"/>
      <c r="EM111" s="243"/>
      <c r="EN111" s="243"/>
      <c r="EO111" s="242"/>
      <c r="EP111" s="242"/>
      <c r="EQ111" s="242"/>
      <c r="ER111" s="242"/>
      <c r="ES111" s="242"/>
      <c r="ET111" s="242"/>
      <c r="EU111" s="242"/>
      <c r="EV111" s="243"/>
      <c r="EW111" s="243"/>
      <c r="EX111" s="243"/>
      <c r="EY111" s="243"/>
      <c r="EZ111" s="243"/>
      <c r="FA111" s="243"/>
      <c r="FB111" s="243"/>
      <c r="FC111" s="242"/>
      <c r="FD111" s="242"/>
      <c r="FE111" s="242"/>
      <c r="FF111" s="242"/>
      <c r="FG111" s="242"/>
      <c r="FH111" s="242"/>
      <c r="FI111" s="242"/>
      <c r="FJ111" s="243"/>
      <c r="FK111" s="243"/>
      <c r="FL111" s="243"/>
      <c r="FM111" s="243"/>
      <c r="FN111" s="243"/>
      <c r="FO111" s="243"/>
      <c r="FP111" s="243"/>
      <c r="FQ111" s="242"/>
      <c r="FR111" s="242"/>
      <c r="FS111" s="242"/>
      <c r="FT111" s="242"/>
      <c r="FU111" s="242"/>
      <c r="FV111" s="242"/>
      <c r="FW111" s="242"/>
      <c r="FX111" s="243"/>
      <c r="FY111" s="243"/>
      <c r="FZ111" s="243"/>
      <c r="GA111" s="243"/>
      <c r="GB111" s="243"/>
      <c r="GC111" s="243"/>
      <c r="GD111" s="243"/>
      <c r="GE111" s="242"/>
      <c r="GF111" s="242"/>
      <c r="GG111" s="242"/>
      <c r="GH111" s="242"/>
      <c r="GI111" s="242"/>
      <c r="GJ111" s="242"/>
      <c r="GK111" s="242"/>
      <c r="GL111" s="243"/>
      <c r="GM111" s="243"/>
      <c r="GN111" s="243"/>
      <c r="GO111" s="243"/>
      <c r="GP111" s="243"/>
      <c r="GQ111" s="243"/>
      <c r="GR111" s="243"/>
      <c r="GS111" s="242"/>
      <c r="GT111" s="242"/>
      <c r="GU111" s="242"/>
      <c r="GV111" s="242"/>
      <c r="GW111" s="242"/>
      <c r="GX111" s="242"/>
      <c r="GY111" s="242"/>
      <c r="GZ111" s="243"/>
      <c r="HA111" s="243"/>
      <c r="HB111" s="243"/>
      <c r="HC111" s="243"/>
      <c r="HD111" s="243"/>
      <c r="HE111" s="243"/>
      <c r="HF111" s="243"/>
      <c r="HG111" s="242"/>
      <c r="HH111" s="242"/>
      <c r="HI111" s="242"/>
      <c r="HJ111" s="242"/>
      <c r="HK111" s="242"/>
      <c r="HL111" s="242"/>
      <c r="HM111" s="242"/>
      <c r="HN111" s="243"/>
      <c r="HO111" s="243"/>
      <c r="HP111" s="243"/>
      <c r="HQ111" s="243"/>
      <c r="HR111" s="243"/>
      <c r="HS111" s="243"/>
      <c r="HT111" s="243"/>
      <c r="HU111" s="242"/>
      <c r="HV111" s="242"/>
      <c r="HW111" s="242"/>
      <c r="HX111" s="242"/>
      <c r="HY111" s="242"/>
      <c r="HZ111" s="242"/>
      <c r="IA111" s="242"/>
      <c r="IB111" s="243"/>
      <c r="IC111" s="243"/>
      <c r="ID111" s="243"/>
      <c r="IE111" s="243"/>
      <c r="IF111" s="243"/>
      <c r="IG111" s="243"/>
      <c r="IH111" s="243"/>
      <c r="II111" s="242"/>
      <c r="IJ111" s="242"/>
      <c r="IK111" s="242"/>
      <c r="IL111" s="242"/>
      <c r="IM111" s="242"/>
      <c r="IN111" s="242"/>
      <c r="IO111" s="242"/>
      <c r="IP111" s="243"/>
      <c r="IQ111" s="243"/>
      <c r="IR111" s="243"/>
      <c r="IS111" s="243"/>
      <c r="IT111" s="243"/>
      <c r="IU111" s="243"/>
      <c r="IV111" s="243"/>
      <c r="IW111" s="242"/>
      <c r="IX111" s="242"/>
      <c r="IY111" s="242"/>
      <c r="IZ111" s="242"/>
      <c r="JA111" s="242"/>
      <c r="JB111" s="242"/>
      <c r="JC111" s="242"/>
      <c r="JD111" s="243"/>
      <c r="JE111" s="243"/>
      <c r="JF111" s="243"/>
      <c r="JG111" s="243"/>
      <c r="JH111" s="243"/>
      <c r="JI111" s="243"/>
      <c r="JJ111" s="243"/>
      <c r="JK111" s="242"/>
      <c r="JL111" s="242"/>
      <c r="JM111" s="242"/>
      <c r="JN111" s="242"/>
      <c r="JO111" s="242"/>
      <c r="JP111" s="242"/>
      <c r="JQ111" s="242"/>
      <c r="JR111" s="243"/>
      <c r="JS111" s="243"/>
      <c r="JT111" s="243"/>
      <c r="JU111" s="243"/>
      <c r="JV111" s="243"/>
      <c r="JW111" s="243"/>
      <c r="JX111" s="243"/>
      <c r="JY111" s="242"/>
      <c r="JZ111" s="242"/>
      <c r="KA111" s="242"/>
      <c r="KB111" s="242"/>
      <c r="KC111" s="242"/>
      <c r="KD111" s="242"/>
      <c r="KE111" s="242"/>
      <c r="KF111" s="243"/>
      <c r="KG111" s="243"/>
      <c r="KH111" s="243"/>
      <c r="KI111" s="243"/>
      <c r="KJ111" s="243"/>
      <c r="KK111" s="243"/>
      <c r="KL111" s="243"/>
      <c r="KM111" s="242"/>
      <c r="KN111" s="242"/>
      <c r="KO111" s="242"/>
      <c r="KP111" s="242"/>
      <c r="KQ111" s="242"/>
      <c r="KR111" s="242"/>
      <c r="KS111" s="242"/>
      <c r="KT111" s="243"/>
      <c r="KU111" s="243"/>
      <c r="KV111" s="243"/>
      <c r="KW111" s="243"/>
      <c r="KX111" s="243"/>
      <c r="KY111" s="243"/>
      <c r="KZ111" s="243"/>
      <c r="LA111" s="242"/>
      <c r="LB111" s="242"/>
      <c r="LC111" s="242"/>
      <c r="LD111" s="242"/>
      <c r="LE111" s="242"/>
      <c r="LF111" s="242"/>
      <c r="LG111" s="242"/>
      <c r="LH111" s="243"/>
      <c r="LI111" s="243"/>
      <c r="LJ111" s="243"/>
      <c r="LK111" s="243"/>
      <c r="LL111" s="243"/>
      <c r="LM111" s="243"/>
      <c r="LN111" s="243"/>
      <c r="LO111" s="242"/>
      <c r="LP111" s="242"/>
      <c r="LQ111" s="242"/>
      <c r="LR111" s="242"/>
      <c r="LS111" s="242"/>
      <c r="LT111" s="242"/>
      <c r="LU111" s="242"/>
      <c r="LV111" s="243"/>
      <c r="LW111" s="243"/>
      <c r="LX111" s="243"/>
      <c r="LY111" s="243"/>
      <c r="LZ111" s="243"/>
      <c r="MA111" s="243"/>
      <c r="MB111" s="243"/>
      <c r="MC111" s="242"/>
      <c r="MD111" s="242"/>
      <c r="ME111" s="242"/>
      <c r="MF111" s="242"/>
      <c r="MG111" s="242"/>
      <c r="MH111" s="242"/>
      <c r="MI111" s="242"/>
      <c r="MJ111" s="243"/>
      <c r="MK111" s="243"/>
      <c r="ML111" s="243"/>
      <c r="MM111" s="243"/>
      <c r="MN111" s="243"/>
      <c r="MO111" s="243"/>
      <c r="MP111" s="243"/>
      <c r="MQ111" s="242"/>
      <c r="MR111" s="242"/>
      <c r="MS111" s="242"/>
      <c r="MT111" s="242"/>
      <c r="MU111" s="242"/>
      <c r="MV111" s="242"/>
      <c r="MW111" s="242"/>
      <c r="MX111" s="243"/>
      <c r="MY111" s="243"/>
      <c r="MZ111" s="243"/>
      <c r="NA111" s="243"/>
      <c r="NB111" s="243"/>
      <c r="NC111" s="243"/>
      <c r="ND111" s="243"/>
      <c r="NE111" s="242"/>
      <c r="NF111" s="242"/>
      <c r="NG111" s="242"/>
      <c r="NH111" s="333"/>
    </row>
    <row r="112" spans="1:372">
      <c r="A112" s="251" t="s">
        <v>985</v>
      </c>
      <c r="B112" s="251" t="s">
        <v>326</v>
      </c>
      <c r="C112" s="251" t="s">
        <v>674</v>
      </c>
      <c r="D112" s="251" t="s">
        <v>982</v>
      </c>
      <c r="E112" s="241">
        <v>0</v>
      </c>
      <c r="F112" s="241">
        <v>16</v>
      </c>
      <c r="G112" s="242"/>
      <c r="H112" s="242"/>
      <c r="I112" s="242"/>
      <c r="J112" s="242"/>
      <c r="K112" s="242"/>
      <c r="L112" s="243"/>
      <c r="M112" s="243"/>
      <c r="N112" s="243"/>
      <c r="O112" s="243"/>
      <c r="P112" s="243"/>
      <c r="Q112" s="243"/>
      <c r="R112" s="243"/>
      <c r="S112" s="242"/>
      <c r="T112" s="242"/>
      <c r="U112" s="242"/>
      <c r="V112" s="242"/>
      <c r="W112" s="242"/>
      <c r="X112" s="242"/>
      <c r="Y112" s="242"/>
      <c r="Z112" s="243"/>
      <c r="AA112" s="243"/>
      <c r="AB112" s="243"/>
      <c r="AC112" s="243"/>
      <c r="AD112" s="243"/>
      <c r="AE112" s="243"/>
      <c r="AF112" s="243"/>
      <c r="AG112" s="242"/>
      <c r="AH112" s="242"/>
      <c r="AI112" s="242"/>
      <c r="AJ112" s="242"/>
      <c r="AK112" s="242"/>
      <c r="AL112" s="242"/>
      <c r="AM112" s="242"/>
      <c r="AN112" s="243"/>
      <c r="AO112" s="243"/>
      <c r="AP112" s="243"/>
      <c r="AQ112" s="243"/>
      <c r="AR112" s="243"/>
      <c r="AS112" s="243"/>
      <c r="AT112" s="243"/>
      <c r="AU112" s="242"/>
      <c r="AV112" s="242"/>
      <c r="AW112" s="242"/>
      <c r="AX112" s="242"/>
      <c r="AY112" s="242"/>
      <c r="AZ112" s="242"/>
      <c r="BA112" s="242"/>
      <c r="BB112" s="243"/>
      <c r="BC112" s="243"/>
      <c r="BD112" s="243"/>
      <c r="BE112" s="243"/>
      <c r="BF112" s="243"/>
      <c r="BG112" s="243"/>
      <c r="BH112" s="243"/>
      <c r="BI112" s="242"/>
      <c r="BJ112" s="242">
        <v>8</v>
      </c>
      <c r="BK112" s="242"/>
      <c r="BL112" s="242"/>
      <c r="BM112" s="242"/>
      <c r="BN112" s="242"/>
      <c r="BO112" s="242"/>
      <c r="BP112" s="243"/>
      <c r="BQ112" s="243"/>
      <c r="BR112" s="243"/>
      <c r="BS112" s="243"/>
      <c r="BT112" s="243"/>
      <c r="BU112" s="243"/>
      <c r="BV112" s="243"/>
      <c r="BW112" s="242"/>
      <c r="BX112" s="242"/>
      <c r="BY112" s="242"/>
      <c r="BZ112" s="242"/>
      <c r="CA112" s="242"/>
      <c r="CB112" s="242"/>
      <c r="CC112" s="242"/>
      <c r="CD112" s="243"/>
      <c r="CE112" s="243"/>
      <c r="CF112" s="243"/>
      <c r="CG112" s="243"/>
      <c r="CH112" s="243"/>
      <c r="CI112" s="243"/>
      <c r="CJ112" s="243"/>
      <c r="CK112" s="242"/>
      <c r="CL112" s="242"/>
      <c r="CM112" s="242"/>
      <c r="CN112" s="242"/>
      <c r="CO112" s="242"/>
      <c r="CP112" s="242"/>
      <c r="CQ112" s="242"/>
      <c r="CR112" s="243"/>
      <c r="CS112" s="243"/>
      <c r="CT112" s="243"/>
      <c r="CU112" s="243"/>
      <c r="CV112" s="243"/>
      <c r="CW112" s="243"/>
      <c r="CX112" s="243"/>
      <c r="CY112" s="242"/>
      <c r="CZ112" s="242"/>
      <c r="DA112" s="242"/>
      <c r="DB112" s="242"/>
      <c r="DC112" s="242"/>
      <c r="DD112" s="242"/>
      <c r="DE112" s="242"/>
      <c r="DF112" s="243"/>
      <c r="DG112" s="243"/>
      <c r="DH112" s="243"/>
      <c r="DI112" s="243"/>
      <c r="DJ112" s="243"/>
      <c r="DK112" s="243"/>
      <c r="DL112" s="243"/>
      <c r="DM112" s="242"/>
      <c r="DN112" s="242"/>
      <c r="DO112" s="242"/>
      <c r="DP112" s="242"/>
      <c r="DQ112" s="242"/>
      <c r="DR112" s="242"/>
      <c r="DS112" s="242"/>
      <c r="DT112" s="243"/>
      <c r="DU112" s="243"/>
      <c r="DV112" s="243"/>
      <c r="DW112" s="243"/>
      <c r="DX112" s="243"/>
      <c r="DY112" s="243"/>
      <c r="DZ112" s="243"/>
      <c r="EA112" s="242"/>
      <c r="EB112" s="242"/>
      <c r="EC112" s="242"/>
      <c r="ED112" s="242"/>
      <c r="EE112" s="242"/>
      <c r="EF112" s="242"/>
      <c r="EG112" s="242"/>
      <c r="EH112" s="243"/>
      <c r="EI112" s="243"/>
      <c r="EJ112" s="243"/>
      <c r="EK112" s="243"/>
      <c r="EL112" s="243"/>
      <c r="EM112" s="243"/>
      <c r="EN112" s="243"/>
      <c r="EO112" s="242"/>
      <c r="EP112" s="242"/>
      <c r="EQ112" s="242"/>
      <c r="ER112" s="242"/>
      <c r="ES112" s="242"/>
      <c r="ET112" s="242"/>
      <c r="EU112" s="242"/>
      <c r="EV112" s="243"/>
      <c r="EW112" s="243"/>
      <c r="EX112" s="243"/>
      <c r="EY112" s="243"/>
      <c r="EZ112" s="243"/>
      <c r="FA112" s="243"/>
      <c r="FB112" s="243"/>
      <c r="FC112" s="242"/>
      <c r="FD112" s="242"/>
      <c r="FE112" s="242"/>
      <c r="FF112" s="242"/>
      <c r="FG112" s="242"/>
      <c r="FH112" s="242"/>
      <c r="FI112" s="242"/>
      <c r="FJ112" s="243"/>
      <c r="FK112" s="243"/>
      <c r="FL112" s="243"/>
      <c r="FM112" s="243"/>
      <c r="FN112" s="243"/>
      <c r="FO112" s="243"/>
      <c r="FP112" s="243"/>
      <c r="FQ112" s="242"/>
      <c r="FR112" s="242"/>
      <c r="FS112" s="242"/>
      <c r="FT112" s="242"/>
      <c r="FU112" s="242"/>
      <c r="FV112" s="242"/>
      <c r="FW112" s="242"/>
      <c r="FX112" s="243"/>
      <c r="FY112" s="243"/>
      <c r="FZ112" s="243"/>
      <c r="GA112" s="243"/>
      <c r="GB112" s="243"/>
      <c r="GC112" s="243"/>
      <c r="GD112" s="243"/>
      <c r="GE112" s="242"/>
      <c r="GF112" s="242"/>
      <c r="GG112" s="242"/>
      <c r="GH112" s="242"/>
      <c r="GI112" s="242"/>
      <c r="GJ112" s="242"/>
      <c r="GK112" s="242"/>
      <c r="GL112" s="243"/>
      <c r="GM112" s="243"/>
      <c r="GN112" s="243"/>
      <c r="GO112" s="243"/>
      <c r="GP112" s="243"/>
      <c r="GQ112" s="243"/>
      <c r="GR112" s="243"/>
      <c r="GS112" s="242"/>
      <c r="GT112" s="242"/>
      <c r="GU112" s="242"/>
      <c r="GV112" s="242"/>
      <c r="GW112" s="242"/>
      <c r="GX112" s="242"/>
      <c r="GY112" s="242"/>
      <c r="GZ112" s="243"/>
      <c r="HA112" s="243"/>
      <c r="HB112" s="243"/>
      <c r="HC112" s="243"/>
      <c r="HD112" s="243"/>
      <c r="HE112" s="243"/>
      <c r="HF112" s="243"/>
      <c r="HG112" s="242"/>
      <c r="HH112" s="242"/>
      <c r="HI112" s="242"/>
      <c r="HJ112" s="242"/>
      <c r="HK112" s="242"/>
      <c r="HL112" s="242"/>
      <c r="HM112" s="242"/>
      <c r="HN112" s="243"/>
      <c r="HO112" s="243"/>
      <c r="HP112" s="243"/>
      <c r="HQ112" s="243"/>
      <c r="HR112" s="243"/>
      <c r="HS112" s="243"/>
      <c r="HT112" s="243"/>
      <c r="HU112" s="242"/>
      <c r="HV112" s="242"/>
      <c r="HW112" s="242"/>
      <c r="HX112" s="242"/>
      <c r="HY112" s="242"/>
      <c r="HZ112" s="242"/>
      <c r="IA112" s="242"/>
      <c r="IB112" s="243"/>
      <c r="IC112" s="243"/>
      <c r="ID112" s="243"/>
      <c r="IE112" s="243"/>
      <c r="IF112" s="243"/>
      <c r="IG112" s="243"/>
      <c r="IH112" s="243"/>
      <c r="II112" s="242"/>
      <c r="IJ112" s="242"/>
      <c r="IK112" s="242"/>
      <c r="IL112" s="242"/>
      <c r="IM112" s="242"/>
      <c r="IN112" s="242"/>
      <c r="IO112" s="242"/>
      <c r="IP112" s="243"/>
      <c r="IQ112" s="243"/>
      <c r="IR112" s="243"/>
      <c r="IS112" s="243"/>
      <c r="IT112" s="243"/>
      <c r="IU112" s="243"/>
      <c r="IV112" s="243"/>
      <c r="IW112" s="242"/>
      <c r="IX112" s="242"/>
      <c r="IY112" s="242"/>
      <c r="IZ112" s="242"/>
      <c r="JA112" s="242"/>
      <c r="JB112" s="242"/>
      <c r="JC112" s="242"/>
      <c r="JD112" s="243"/>
      <c r="JE112" s="243"/>
      <c r="JF112" s="243"/>
      <c r="JG112" s="243"/>
      <c r="JH112" s="243"/>
      <c r="JI112" s="243"/>
      <c r="JJ112" s="243"/>
      <c r="JK112" s="242"/>
      <c r="JL112" s="242"/>
      <c r="JM112" s="242"/>
      <c r="JN112" s="242"/>
      <c r="JO112" s="242"/>
      <c r="JP112" s="242"/>
      <c r="JQ112" s="242"/>
      <c r="JR112" s="243"/>
      <c r="JS112" s="243"/>
      <c r="JT112" s="243"/>
      <c r="JU112" s="243"/>
      <c r="JV112" s="243"/>
      <c r="JW112" s="243"/>
      <c r="JX112" s="243"/>
      <c r="JY112" s="242"/>
      <c r="JZ112" s="242"/>
      <c r="KA112" s="242"/>
      <c r="KB112" s="242"/>
      <c r="KC112" s="242"/>
      <c r="KD112" s="242"/>
      <c r="KE112" s="242"/>
      <c r="KF112" s="243"/>
      <c r="KG112" s="243">
        <v>8</v>
      </c>
      <c r="KH112" s="243"/>
      <c r="KI112" s="243"/>
      <c r="KJ112" s="243"/>
      <c r="KK112" s="243"/>
      <c r="KL112" s="243"/>
      <c r="KM112" s="242"/>
      <c r="KN112" s="242"/>
      <c r="KO112" s="242"/>
      <c r="KP112" s="242"/>
      <c r="KQ112" s="242"/>
      <c r="KR112" s="242"/>
      <c r="KS112" s="242"/>
      <c r="KT112" s="243"/>
      <c r="KU112" s="243"/>
      <c r="KV112" s="243"/>
      <c r="KW112" s="243"/>
      <c r="KX112" s="243"/>
      <c r="KY112" s="243"/>
      <c r="KZ112" s="243"/>
      <c r="LA112" s="242"/>
      <c r="LB112" s="242"/>
      <c r="LC112" s="242"/>
      <c r="LD112" s="242"/>
      <c r="LE112" s="242"/>
      <c r="LF112" s="242"/>
      <c r="LG112" s="242"/>
      <c r="LH112" s="243"/>
      <c r="LI112" s="243"/>
      <c r="LJ112" s="243"/>
      <c r="LK112" s="243"/>
      <c r="LL112" s="243"/>
      <c r="LM112" s="243"/>
      <c r="LN112" s="243"/>
      <c r="LO112" s="242"/>
      <c r="LP112" s="242"/>
      <c r="LQ112" s="242"/>
      <c r="LR112" s="242"/>
      <c r="LS112" s="242"/>
      <c r="LT112" s="242"/>
      <c r="LU112" s="242"/>
      <c r="LV112" s="243"/>
      <c r="LW112" s="243"/>
      <c r="LX112" s="243"/>
      <c r="LY112" s="243"/>
      <c r="LZ112" s="243"/>
      <c r="MA112" s="243"/>
      <c r="MB112" s="243"/>
      <c r="MC112" s="242"/>
      <c r="MD112" s="242"/>
      <c r="ME112" s="242"/>
      <c r="MF112" s="242"/>
      <c r="MG112" s="242"/>
      <c r="MH112" s="242"/>
      <c r="MI112" s="242"/>
      <c r="MJ112" s="243"/>
      <c r="MK112" s="243"/>
      <c r="ML112" s="243"/>
      <c r="MM112" s="243"/>
      <c r="MN112" s="243"/>
      <c r="MO112" s="243"/>
      <c r="MP112" s="243"/>
      <c r="MQ112" s="242"/>
      <c r="MR112" s="242"/>
      <c r="MS112" s="242"/>
      <c r="MT112" s="242"/>
      <c r="MU112" s="242"/>
      <c r="MV112" s="242"/>
      <c r="MW112" s="242"/>
      <c r="MX112" s="243"/>
      <c r="MY112" s="243"/>
      <c r="MZ112" s="243"/>
      <c r="NA112" s="243"/>
      <c r="NB112" s="243"/>
      <c r="NC112" s="243"/>
      <c r="ND112" s="243"/>
      <c r="NE112" s="242"/>
      <c r="NF112" s="242"/>
      <c r="NG112" s="242"/>
      <c r="NH112" s="333"/>
    </row>
    <row r="113" spans="1:372">
      <c r="A113" s="251" t="s">
        <v>985</v>
      </c>
      <c r="B113" s="251" t="s">
        <v>83</v>
      </c>
      <c r="C113" s="251" t="s">
        <v>674</v>
      </c>
      <c r="D113" s="251" t="s">
        <v>982</v>
      </c>
      <c r="E113" s="241">
        <v>173.38561108478868</v>
      </c>
      <c r="F113" s="241">
        <v>252</v>
      </c>
      <c r="G113" s="242"/>
      <c r="H113" s="242"/>
      <c r="I113" s="242"/>
      <c r="J113" s="242"/>
      <c r="K113" s="242"/>
      <c r="L113" s="243"/>
      <c r="M113" s="243"/>
      <c r="N113" s="243"/>
      <c r="O113" s="243"/>
      <c r="P113" s="243"/>
      <c r="Q113" s="243"/>
      <c r="R113" s="243"/>
      <c r="S113" s="242"/>
      <c r="T113" s="242"/>
      <c r="U113" s="242"/>
      <c r="V113" s="242"/>
      <c r="W113" s="242"/>
      <c r="X113" s="242"/>
      <c r="Y113" s="242"/>
      <c r="Z113" s="243"/>
      <c r="AA113" s="243"/>
      <c r="AB113" s="243"/>
      <c r="AC113" s="243"/>
      <c r="AD113" s="243"/>
      <c r="AE113" s="243"/>
      <c r="AF113" s="243"/>
      <c r="AG113" s="242"/>
      <c r="AH113" s="242"/>
      <c r="AI113" s="242"/>
      <c r="AJ113" s="242"/>
      <c r="AK113" s="242"/>
      <c r="AL113" s="242"/>
      <c r="AM113" s="242"/>
      <c r="AN113" s="243"/>
      <c r="AO113" s="243"/>
      <c r="AP113" s="243"/>
      <c r="AQ113" s="243"/>
      <c r="AR113" s="243"/>
      <c r="AS113" s="243"/>
      <c r="AT113" s="243"/>
      <c r="AU113" s="242"/>
      <c r="AV113" s="242"/>
      <c r="AW113" s="242"/>
      <c r="AX113" s="242"/>
      <c r="AY113" s="242"/>
      <c r="AZ113" s="242"/>
      <c r="BA113" s="242"/>
      <c r="BB113" s="243"/>
      <c r="BC113" s="243"/>
      <c r="BD113" s="243"/>
      <c r="BE113" s="243"/>
      <c r="BF113" s="243"/>
      <c r="BG113" s="243"/>
      <c r="BH113" s="243">
        <v>24</v>
      </c>
      <c r="BI113" s="242">
        <v>24</v>
      </c>
      <c r="BJ113" s="242">
        <v>24</v>
      </c>
      <c r="BK113" s="242">
        <v>24</v>
      </c>
      <c r="BL113" s="242">
        <v>24</v>
      </c>
      <c r="BM113" s="242"/>
      <c r="BN113" s="242"/>
      <c r="BO113" s="242"/>
      <c r="BP113" s="243"/>
      <c r="BQ113" s="243"/>
      <c r="BR113" s="243"/>
      <c r="BS113" s="243"/>
      <c r="BT113" s="243"/>
      <c r="BU113" s="243"/>
      <c r="BV113" s="243"/>
      <c r="BW113" s="242"/>
      <c r="BX113" s="242"/>
      <c r="BY113" s="242"/>
      <c r="BZ113" s="242"/>
      <c r="CA113" s="242"/>
      <c r="CB113" s="242"/>
      <c r="CC113" s="242"/>
      <c r="CD113" s="243"/>
      <c r="CE113" s="243"/>
      <c r="CF113" s="243"/>
      <c r="CG113" s="243"/>
      <c r="CH113" s="243"/>
      <c r="CI113" s="243"/>
      <c r="CJ113" s="243"/>
      <c r="CK113" s="242"/>
      <c r="CL113" s="242"/>
      <c r="CM113" s="242"/>
      <c r="CN113" s="242"/>
      <c r="CO113" s="242"/>
      <c r="CP113" s="242"/>
      <c r="CQ113" s="242"/>
      <c r="CR113" s="243"/>
      <c r="CS113" s="243"/>
      <c r="CT113" s="243"/>
      <c r="CU113" s="243"/>
      <c r="CV113" s="243"/>
      <c r="CW113" s="243"/>
      <c r="CX113" s="243"/>
      <c r="CY113" s="242"/>
      <c r="CZ113" s="242"/>
      <c r="DA113" s="242"/>
      <c r="DB113" s="242"/>
      <c r="DC113" s="242"/>
      <c r="DD113" s="242"/>
      <c r="DE113" s="242"/>
      <c r="DF113" s="243"/>
      <c r="DG113" s="243"/>
      <c r="DH113" s="243"/>
      <c r="DI113" s="243"/>
      <c r="DJ113" s="243"/>
      <c r="DK113" s="243"/>
      <c r="DL113" s="243"/>
      <c r="DM113" s="242"/>
      <c r="DN113" s="242"/>
      <c r="DO113" s="242"/>
      <c r="DP113" s="242"/>
      <c r="DQ113" s="242"/>
      <c r="DR113" s="242"/>
      <c r="DS113" s="242"/>
      <c r="DT113" s="243"/>
      <c r="DU113" s="243"/>
      <c r="DV113" s="243"/>
      <c r="DW113" s="243"/>
      <c r="DX113" s="243"/>
      <c r="DY113" s="243"/>
      <c r="DZ113" s="243"/>
      <c r="EA113" s="242"/>
      <c r="EB113" s="242"/>
      <c r="EC113" s="242"/>
      <c r="ED113" s="242"/>
      <c r="EE113" s="242"/>
      <c r="EF113" s="242"/>
      <c r="EG113" s="242"/>
      <c r="EH113" s="243"/>
      <c r="EI113" s="243"/>
      <c r="EJ113" s="243"/>
      <c r="EK113" s="243"/>
      <c r="EL113" s="243"/>
      <c r="EM113" s="243"/>
      <c r="EN113" s="243"/>
      <c r="EO113" s="242"/>
      <c r="EP113" s="242"/>
      <c r="EQ113" s="242"/>
      <c r="ER113" s="242"/>
      <c r="ES113" s="242"/>
      <c r="ET113" s="242"/>
      <c r="EU113" s="242"/>
      <c r="EV113" s="243"/>
      <c r="EW113" s="243"/>
      <c r="EX113" s="243"/>
      <c r="EY113" s="243"/>
      <c r="EZ113" s="243"/>
      <c r="FA113" s="243"/>
      <c r="FB113" s="243"/>
      <c r="FC113" s="242"/>
      <c r="FD113" s="242"/>
      <c r="FE113" s="242"/>
      <c r="FF113" s="242"/>
      <c r="FG113" s="242"/>
      <c r="FH113" s="242"/>
      <c r="FI113" s="242"/>
      <c r="FJ113" s="243"/>
      <c r="FK113" s="243"/>
      <c r="FL113" s="243"/>
      <c r="FM113" s="243"/>
      <c r="FN113" s="243"/>
      <c r="FO113" s="243"/>
      <c r="FP113" s="243"/>
      <c r="FQ113" s="242"/>
      <c r="FR113" s="242"/>
      <c r="FS113" s="242"/>
      <c r="FT113" s="242"/>
      <c r="FU113" s="242"/>
      <c r="FV113" s="242"/>
      <c r="FW113" s="242"/>
      <c r="FX113" s="243"/>
      <c r="FY113" s="243"/>
      <c r="FZ113" s="243"/>
      <c r="GA113" s="243"/>
      <c r="GB113" s="243"/>
      <c r="GC113" s="243"/>
      <c r="GD113" s="243"/>
      <c r="GE113" s="242"/>
      <c r="GF113" s="242"/>
      <c r="GG113" s="242"/>
      <c r="GH113" s="242"/>
      <c r="GI113" s="242"/>
      <c r="GJ113" s="242"/>
      <c r="GK113" s="242"/>
      <c r="GL113" s="243"/>
      <c r="GM113" s="243"/>
      <c r="GN113" s="243"/>
      <c r="GO113" s="243"/>
      <c r="GP113" s="243"/>
      <c r="GQ113" s="243"/>
      <c r="GR113" s="243"/>
      <c r="GS113" s="242"/>
      <c r="GT113" s="242"/>
      <c r="GU113" s="242"/>
      <c r="GV113" s="242"/>
      <c r="GW113" s="242"/>
      <c r="GX113" s="242"/>
      <c r="GY113" s="242"/>
      <c r="GZ113" s="243"/>
      <c r="HA113" s="243"/>
      <c r="HB113" s="243"/>
      <c r="HC113" s="243"/>
      <c r="HD113" s="243"/>
      <c r="HE113" s="243"/>
      <c r="HF113" s="243"/>
      <c r="HG113" s="242"/>
      <c r="HH113" s="242"/>
      <c r="HI113" s="242"/>
      <c r="HJ113" s="242"/>
      <c r="HK113" s="242"/>
      <c r="HL113" s="242"/>
      <c r="HM113" s="242"/>
      <c r="HN113" s="243"/>
      <c r="HO113" s="243"/>
      <c r="HP113" s="243"/>
      <c r="HQ113" s="243"/>
      <c r="HR113" s="243"/>
      <c r="HS113" s="243"/>
      <c r="HT113" s="243"/>
      <c r="HU113" s="242"/>
      <c r="HV113" s="242"/>
      <c r="HW113" s="242"/>
      <c r="HX113" s="242"/>
      <c r="HY113" s="242"/>
      <c r="HZ113" s="242"/>
      <c r="IA113" s="242"/>
      <c r="IB113" s="243"/>
      <c r="IC113" s="243"/>
      <c r="ID113" s="243"/>
      <c r="IE113" s="243"/>
      <c r="IF113" s="243"/>
      <c r="IG113" s="243"/>
      <c r="IH113" s="243"/>
      <c r="II113" s="242"/>
      <c r="IJ113" s="242"/>
      <c r="IK113" s="242"/>
      <c r="IL113" s="242"/>
      <c r="IM113" s="242"/>
      <c r="IN113" s="242"/>
      <c r="IO113" s="242"/>
      <c r="IP113" s="243"/>
      <c r="IQ113" s="243"/>
      <c r="IR113" s="243"/>
      <c r="IS113" s="243"/>
      <c r="IT113" s="243"/>
      <c r="IU113" s="243"/>
      <c r="IV113" s="243"/>
      <c r="IW113" s="242"/>
      <c r="IX113" s="242"/>
      <c r="IY113" s="242"/>
      <c r="IZ113" s="242"/>
      <c r="JA113" s="242"/>
      <c r="JB113" s="242"/>
      <c r="JC113" s="242"/>
      <c r="JD113" s="243"/>
      <c r="JE113" s="243"/>
      <c r="JF113" s="243"/>
      <c r="JG113" s="243"/>
      <c r="JH113" s="243"/>
      <c r="JI113" s="243"/>
      <c r="JJ113" s="243"/>
      <c r="JK113" s="242"/>
      <c r="JL113" s="242"/>
      <c r="JM113" s="242"/>
      <c r="JN113" s="242"/>
      <c r="JO113" s="242"/>
      <c r="JP113" s="242"/>
      <c r="JQ113" s="242"/>
      <c r="JR113" s="243"/>
      <c r="JS113" s="243"/>
      <c r="JT113" s="243"/>
      <c r="JU113" s="243"/>
      <c r="JV113" s="243"/>
      <c r="JW113" s="243"/>
      <c r="JX113" s="243"/>
      <c r="JY113" s="242"/>
      <c r="JZ113" s="242"/>
      <c r="KA113" s="242"/>
      <c r="KB113" s="242"/>
      <c r="KC113" s="242"/>
      <c r="KD113" s="242">
        <v>12</v>
      </c>
      <c r="KE113" s="242">
        <v>24</v>
      </c>
      <c r="KF113" s="243">
        <v>24</v>
      </c>
      <c r="KG113" s="243">
        <v>24</v>
      </c>
      <c r="KH113" s="243">
        <v>24</v>
      </c>
      <c r="KI113" s="243">
        <v>24</v>
      </c>
      <c r="KJ113" s="243"/>
      <c r="KK113" s="243"/>
      <c r="KL113" s="243"/>
      <c r="KM113" s="242"/>
      <c r="KN113" s="242"/>
      <c r="KO113" s="242"/>
      <c r="KP113" s="242"/>
      <c r="KQ113" s="242"/>
      <c r="KR113" s="242"/>
      <c r="KS113" s="242"/>
      <c r="KT113" s="243"/>
      <c r="KU113" s="243"/>
      <c r="KV113" s="243"/>
      <c r="KW113" s="243"/>
      <c r="KX113" s="243"/>
      <c r="KY113" s="243"/>
      <c r="KZ113" s="243"/>
      <c r="LA113" s="242"/>
      <c r="LB113" s="242"/>
      <c r="LC113" s="242"/>
      <c r="LD113" s="242"/>
      <c r="LE113" s="242"/>
      <c r="LF113" s="242"/>
      <c r="LG113" s="242"/>
      <c r="LH113" s="243"/>
      <c r="LI113" s="243"/>
      <c r="LJ113" s="243"/>
      <c r="LK113" s="243"/>
      <c r="LL113" s="243"/>
      <c r="LM113" s="243"/>
      <c r="LN113" s="243"/>
      <c r="LO113" s="242"/>
      <c r="LP113" s="242"/>
      <c r="LQ113" s="242"/>
      <c r="LR113" s="242"/>
      <c r="LS113" s="242"/>
      <c r="LT113" s="242"/>
      <c r="LU113" s="242"/>
      <c r="LV113" s="243"/>
      <c r="LW113" s="243"/>
      <c r="LX113" s="243"/>
      <c r="LY113" s="243"/>
      <c r="LZ113" s="243"/>
      <c r="MA113" s="243"/>
      <c r="MB113" s="243"/>
      <c r="MC113" s="242"/>
      <c r="MD113" s="242"/>
      <c r="ME113" s="242"/>
      <c r="MF113" s="242"/>
      <c r="MG113" s="242"/>
      <c r="MH113" s="242"/>
      <c r="MI113" s="242"/>
      <c r="MJ113" s="243"/>
      <c r="MK113" s="243"/>
      <c r="ML113" s="243"/>
      <c r="MM113" s="243"/>
      <c r="MN113" s="243"/>
      <c r="MO113" s="243"/>
      <c r="MP113" s="243"/>
      <c r="MQ113" s="242"/>
      <c r="MR113" s="242"/>
      <c r="MS113" s="242"/>
      <c r="MT113" s="242"/>
      <c r="MU113" s="242"/>
      <c r="MV113" s="242"/>
      <c r="MW113" s="242"/>
      <c r="MX113" s="243"/>
      <c r="MY113" s="243"/>
      <c r="MZ113" s="243"/>
      <c r="NA113" s="243"/>
      <c r="NB113" s="243"/>
      <c r="NC113" s="243"/>
      <c r="ND113" s="243"/>
      <c r="NE113" s="242"/>
      <c r="NF113" s="242"/>
      <c r="NG113" s="242"/>
      <c r="NH113" s="333"/>
    </row>
    <row r="114" spans="1:372">
      <c r="A114" s="251" t="s">
        <v>985</v>
      </c>
      <c r="B114" s="251" t="s">
        <v>84</v>
      </c>
      <c r="C114" s="251" t="s">
        <v>674</v>
      </c>
      <c r="D114" s="251" t="s">
        <v>982</v>
      </c>
      <c r="E114" s="241">
        <v>185.75052776704052</v>
      </c>
      <c r="F114" s="241">
        <v>252</v>
      </c>
      <c r="G114" s="242"/>
      <c r="H114" s="242"/>
      <c r="I114" s="242"/>
      <c r="J114" s="242"/>
      <c r="K114" s="242"/>
      <c r="L114" s="243"/>
      <c r="M114" s="243"/>
      <c r="N114" s="243"/>
      <c r="O114" s="243"/>
      <c r="P114" s="243"/>
      <c r="Q114" s="243"/>
      <c r="R114" s="243"/>
      <c r="S114" s="242"/>
      <c r="T114" s="242"/>
      <c r="U114" s="242"/>
      <c r="V114" s="242"/>
      <c r="W114" s="242"/>
      <c r="X114" s="242"/>
      <c r="Y114" s="242"/>
      <c r="Z114" s="243"/>
      <c r="AA114" s="243"/>
      <c r="AB114" s="243"/>
      <c r="AC114" s="243"/>
      <c r="AD114" s="243"/>
      <c r="AE114" s="243"/>
      <c r="AF114" s="243"/>
      <c r="AG114" s="242"/>
      <c r="AH114" s="242"/>
      <c r="AI114" s="242"/>
      <c r="AJ114" s="242"/>
      <c r="AK114" s="242"/>
      <c r="AL114" s="242"/>
      <c r="AM114" s="242"/>
      <c r="AN114" s="243"/>
      <c r="AO114" s="243"/>
      <c r="AP114" s="243"/>
      <c r="AQ114" s="243"/>
      <c r="AR114" s="243"/>
      <c r="AS114" s="243"/>
      <c r="AT114" s="243"/>
      <c r="AU114" s="242"/>
      <c r="AV114" s="242"/>
      <c r="AW114" s="242"/>
      <c r="AX114" s="242"/>
      <c r="AY114" s="242"/>
      <c r="AZ114" s="242"/>
      <c r="BA114" s="242"/>
      <c r="BB114" s="243"/>
      <c r="BC114" s="243"/>
      <c r="BD114" s="243"/>
      <c r="BE114" s="243"/>
      <c r="BF114" s="243"/>
      <c r="BG114" s="243"/>
      <c r="BH114" s="243">
        <v>24</v>
      </c>
      <c r="BI114" s="242">
        <v>24</v>
      </c>
      <c r="BJ114" s="242">
        <v>24</v>
      </c>
      <c r="BK114" s="242">
        <v>24</v>
      </c>
      <c r="BL114" s="242">
        <v>24</v>
      </c>
      <c r="BM114" s="242"/>
      <c r="BN114" s="242"/>
      <c r="BO114" s="242"/>
      <c r="BP114" s="243"/>
      <c r="BQ114" s="243"/>
      <c r="BR114" s="243"/>
      <c r="BS114" s="243"/>
      <c r="BT114" s="243"/>
      <c r="BU114" s="243"/>
      <c r="BV114" s="243"/>
      <c r="BW114" s="242"/>
      <c r="BX114" s="242"/>
      <c r="BY114" s="242"/>
      <c r="BZ114" s="242"/>
      <c r="CA114" s="242"/>
      <c r="CB114" s="242"/>
      <c r="CC114" s="242"/>
      <c r="CD114" s="243"/>
      <c r="CE114" s="243"/>
      <c r="CF114" s="243"/>
      <c r="CG114" s="243"/>
      <c r="CH114" s="243"/>
      <c r="CI114" s="243"/>
      <c r="CJ114" s="243"/>
      <c r="CK114" s="242"/>
      <c r="CL114" s="242"/>
      <c r="CM114" s="242"/>
      <c r="CN114" s="242"/>
      <c r="CO114" s="242"/>
      <c r="CP114" s="242"/>
      <c r="CQ114" s="242"/>
      <c r="CR114" s="243"/>
      <c r="CS114" s="243"/>
      <c r="CT114" s="243"/>
      <c r="CU114" s="243"/>
      <c r="CV114" s="243"/>
      <c r="CW114" s="243"/>
      <c r="CX114" s="243"/>
      <c r="CY114" s="242"/>
      <c r="CZ114" s="242"/>
      <c r="DA114" s="242"/>
      <c r="DB114" s="242"/>
      <c r="DC114" s="242"/>
      <c r="DD114" s="242"/>
      <c r="DE114" s="242"/>
      <c r="DF114" s="243"/>
      <c r="DG114" s="243"/>
      <c r="DH114" s="243"/>
      <c r="DI114" s="243"/>
      <c r="DJ114" s="243"/>
      <c r="DK114" s="243"/>
      <c r="DL114" s="243"/>
      <c r="DM114" s="242"/>
      <c r="DN114" s="242"/>
      <c r="DO114" s="242"/>
      <c r="DP114" s="242"/>
      <c r="DQ114" s="242"/>
      <c r="DR114" s="242"/>
      <c r="DS114" s="242"/>
      <c r="DT114" s="243"/>
      <c r="DU114" s="243"/>
      <c r="DV114" s="243"/>
      <c r="DW114" s="243"/>
      <c r="DX114" s="243"/>
      <c r="DY114" s="243"/>
      <c r="DZ114" s="243"/>
      <c r="EA114" s="242"/>
      <c r="EB114" s="242"/>
      <c r="EC114" s="242"/>
      <c r="ED114" s="242"/>
      <c r="EE114" s="242"/>
      <c r="EF114" s="242"/>
      <c r="EG114" s="242"/>
      <c r="EH114" s="243"/>
      <c r="EI114" s="243"/>
      <c r="EJ114" s="243"/>
      <c r="EK114" s="243"/>
      <c r="EL114" s="243"/>
      <c r="EM114" s="243"/>
      <c r="EN114" s="243"/>
      <c r="EO114" s="242"/>
      <c r="EP114" s="242"/>
      <c r="EQ114" s="242"/>
      <c r="ER114" s="242"/>
      <c r="ES114" s="242"/>
      <c r="ET114" s="242"/>
      <c r="EU114" s="242"/>
      <c r="EV114" s="243"/>
      <c r="EW114" s="243"/>
      <c r="EX114" s="243"/>
      <c r="EY114" s="243"/>
      <c r="EZ114" s="243"/>
      <c r="FA114" s="243"/>
      <c r="FB114" s="243"/>
      <c r="FC114" s="242"/>
      <c r="FD114" s="242"/>
      <c r="FE114" s="242"/>
      <c r="FF114" s="242"/>
      <c r="FG114" s="242"/>
      <c r="FH114" s="242"/>
      <c r="FI114" s="242"/>
      <c r="FJ114" s="243"/>
      <c r="FK114" s="243"/>
      <c r="FL114" s="243"/>
      <c r="FM114" s="243"/>
      <c r="FN114" s="243"/>
      <c r="FO114" s="243"/>
      <c r="FP114" s="243"/>
      <c r="FQ114" s="242"/>
      <c r="FR114" s="242"/>
      <c r="FS114" s="242"/>
      <c r="FT114" s="242"/>
      <c r="FU114" s="242"/>
      <c r="FV114" s="242"/>
      <c r="FW114" s="242"/>
      <c r="FX114" s="243"/>
      <c r="FY114" s="243"/>
      <c r="FZ114" s="243"/>
      <c r="GA114" s="243"/>
      <c r="GB114" s="243"/>
      <c r="GC114" s="243"/>
      <c r="GD114" s="243"/>
      <c r="GE114" s="242"/>
      <c r="GF114" s="242"/>
      <c r="GG114" s="242"/>
      <c r="GH114" s="242"/>
      <c r="GI114" s="242"/>
      <c r="GJ114" s="242"/>
      <c r="GK114" s="242"/>
      <c r="GL114" s="243"/>
      <c r="GM114" s="243"/>
      <c r="GN114" s="243"/>
      <c r="GO114" s="243"/>
      <c r="GP114" s="243"/>
      <c r="GQ114" s="243"/>
      <c r="GR114" s="243"/>
      <c r="GS114" s="242"/>
      <c r="GT114" s="242"/>
      <c r="GU114" s="242"/>
      <c r="GV114" s="242"/>
      <c r="GW114" s="242"/>
      <c r="GX114" s="242"/>
      <c r="GY114" s="242"/>
      <c r="GZ114" s="243"/>
      <c r="HA114" s="243"/>
      <c r="HB114" s="243"/>
      <c r="HC114" s="243"/>
      <c r="HD114" s="243"/>
      <c r="HE114" s="243"/>
      <c r="HF114" s="243"/>
      <c r="HG114" s="242"/>
      <c r="HH114" s="242"/>
      <c r="HI114" s="242"/>
      <c r="HJ114" s="242"/>
      <c r="HK114" s="242"/>
      <c r="HL114" s="242"/>
      <c r="HM114" s="242"/>
      <c r="HN114" s="243"/>
      <c r="HO114" s="243"/>
      <c r="HP114" s="243"/>
      <c r="HQ114" s="243"/>
      <c r="HR114" s="243"/>
      <c r="HS114" s="243"/>
      <c r="HT114" s="243"/>
      <c r="HU114" s="242"/>
      <c r="HV114" s="242"/>
      <c r="HW114" s="242"/>
      <c r="HX114" s="242"/>
      <c r="HY114" s="242"/>
      <c r="HZ114" s="242"/>
      <c r="IA114" s="242"/>
      <c r="IB114" s="243"/>
      <c r="IC114" s="243"/>
      <c r="ID114" s="243"/>
      <c r="IE114" s="243"/>
      <c r="IF114" s="243"/>
      <c r="IG114" s="243"/>
      <c r="IH114" s="243"/>
      <c r="II114" s="242"/>
      <c r="IJ114" s="242"/>
      <c r="IK114" s="242"/>
      <c r="IL114" s="242"/>
      <c r="IM114" s="242"/>
      <c r="IN114" s="242"/>
      <c r="IO114" s="242"/>
      <c r="IP114" s="243"/>
      <c r="IQ114" s="243"/>
      <c r="IR114" s="243"/>
      <c r="IS114" s="243"/>
      <c r="IT114" s="243"/>
      <c r="IU114" s="243"/>
      <c r="IV114" s="243"/>
      <c r="IW114" s="242"/>
      <c r="IX114" s="242"/>
      <c r="IY114" s="242"/>
      <c r="IZ114" s="242"/>
      <c r="JA114" s="242"/>
      <c r="JB114" s="242"/>
      <c r="JC114" s="242"/>
      <c r="JD114" s="243"/>
      <c r="JE114" s="243"/>
      <c r="JF114" s="243"/>
      <c r="JG114" s="243"/>
      <c r="JH114" s="243"/>
      <c r="JI114" s="243"/>
      <c r="JJ114" s="243"/>
      <c r="JK114" s="242"/>
      <c r="JL114" s="242"/>
      <c r="JM114" s="242"/>
      <c r="JN114" s="242"/>
      <c r="JO114" s="242"/>
      <c r="JP114" s="242"/>
      <c r="JQ114" s="242"/>
      <c r="JR114" s="243"/>
      <c r="JS114" s="243"/>
      <c r="JT114" s="243"/>
      <c r="JU114" s="243"/>
      <c r="JV114" s="243"/>
      <c r="JW114" s="243"/>
      <c r="JX114" s="243"/>
      <c r="JY114" s="242"/>
      <c r="JZ114" s="242"/>
      <c r="KA114" s="242"/>
      <c r="KB114" s="242"/>
      <c r="KC114" s="242"/>
      <c r="KD114" s="242">
        <v>12</v>
      </c>
      <c r="KE114" s="242">
        <v>24</v>
      </c>
      <c r="KF114" s="243">
        <v>24</v>
      </c>
      <c r="KG114" s="243">
        <v>24</v>
      </c>
      <c r="KH114" s="243">
        <v>24</v>
      </c>
      <c r="KI114" s="243">
        <v>24</v>
      </c>
      <c r="KJ114" s="243"/>
      <c r="KK114" s="243"/>
      <c r="KL114" s="243"/>
      <c r="KM114" s="242"/>
      <c r="KN114" s="242"/>
      <c r="KO114" s="242"/>
      <c r="KP114" s="242"/>
      <c r="KQ114" s="242"/>
      <c r="KR114" s="242"/>
      <c r="KS114" s="242"/>
      <c r="KT114" s="243"/>
      <c r="KU114" s="243"/>
      <c r="KV114" s="243"/>
      <c r="KW114" s="243"/>
      <c r="KX114" s="243"/>
      <c r="KY114" s="243"/>
      <c r="KZ114" s="243"/>
      <c r="LA114" s="242"/>
      <c r="LB114" s="242"/>
      <c r="LC114" s="242"/>
      <c r="LD114" s="242"/>
      <c r="LE114" s="242"/>
      <c r="LF114" s="242"/>
      <c r="LG114" s="242"/>
      <c r="LH114" s="243"/>
      <c r="LI114" s="243"/>
      <c r="LJ114" s="243"/>
      <c r="LK114" s="243"/>
      <c r="LL114" s="243"/>
      <c r="LM114" s="243"/>
      <c r="LN114" s="243"/>
      <c r="LO114" s="242"/>
      <c r="LP114" s="242"/>
      <c r="LQ114" s="242"/>
      <c r="LR114" s="242"/>
      <c r="LS114" s="242"/>
      <c r="LT114" s="242"/>
      <c r="LU114" s="242"/>
      <c r="LV114" s="243"/>
      <c r="LW114" s="243"/>
      <c r="LX114" s="243"/>
      <c r="LY114" s="243"/>
      <c r="LZ114" s="243"/>
      <c r="MA114" s="243"/>
      <c r="MB114" s="243"/>
      <c r="MC114" s="242"/>
      <c r="MD114" s="242"/>
      <c r="ME114" s="242"/>
      <c r="MF114" s="242"/>
      <c r="MG114" s="242"/>
      <c r="MH114" s="242"/>
      <c r="MI114" s="242"/>
      <c r="MJ114" s="243"/>
      <c r="MK114" s="243"/>
      <c r="ML114" s="243"/>
      <c r="MM114" s="243"/>
      <c r="MN114" s="243"/>
      <c r="MO114" s="243"/>
      <c r="MP114" s="243"/>
      <c r="MQ114" s="242"/>
      <c r="MR114" s="242"/>
      <c r="MS114" s="242"/>
      <c r="MT114" s="242"/>
      <c r="MU114" s="242"/>
      <c r="MV114" s="242"/>
      <c r="MW114" s="242"/>
      <c r="MX114" s="243"/>
      <c r="MY114" s="243"/>
      <c r="MZ114" s="243"/>
      <c r="NA114" s="243"/>
      <c r="NB114" s="243"/>
      <c r="NC114" s="243"/>
      <c r="ND114" s="243"/>
      <c r="NE114" s="242"/>
      <c r="NF114" s="242"/>
      <c r="NG114" s="242"/>
      <c r="NH114" s="333"/>
    </row>
    <row r="115" spans="1:372">
      <c r="A115" s="251" t="s">
        <v>985</v>
      </c>
      <c r="B115" s="251" t="s">
        <v>85</v>
      </c>
      <c r="C115" s="251" t="s">
        <v>674</v>
      </c>
      <c r="D115" s="251" t="s">
        <v>982</v>
      </c>
      <c r="E115" s="241">
        <v>209.28133886767819</v>
      </c>
      <c r="F115" s="241">
        <v>300</v>
      </c>
      <c r="G115" s="242"/>
      <c r="H115" s="242"/>
      <c r="I115" s="242"/>
      <c r="J115" s="242"/>
      <c r="K115" s="242"/>
      <c r="L115" s="243"/>
      <c r="M115" s="243"/>
      <c r="N115" s="243"/>
      <c r="O115" s="243"/>
      <c r="P115" s="243"/>
      <c r="Q115" s="243"/>
      <c r="R115" s="243"/>
      <c r="S115" s="242"/>
      <c r="T115" s="242"/>
      <c r="U115" s="242"/>
      <c r="V115" s="242"/>
      <c r="W115" s="242"/>
      <c r="X115" s="242"/>
      <c r="Y115" s="242"/>
      <c r="Z115" s="243"/>
      <c r="AA115" s="243"/>
      <c r="AB115" s="243"/>
      <c r="AC115" s="243"/>
      <c r="AD115" s="243"/>
      <c r="AE115" s="243"/>
      <c r="AF115" s="243"/>
      <c r="AG115" s="242"/>
      <c r="AH115" s="242"/>
      <c r="AI115" s="242"/>
      <c r="AJ115" s="242"/>
      <c r="AK115" s="242"/>
      <c r="AL115" s="242"/>
      <c r="AM115" s="242"/>
      <c r="AN115" s="243"/>
      <c r="AO115" s="243"/>
      <c r="AP115" s="243"/>
      <c r="AQ115" s="243"/>
      <c r="AR115" s="243"/>
      <c r="AS115" s="243"/>
      <c r="AT115" s="243"/>
      <c r="AU115" s="242"/>
      <c r="AV115" s="242"/>
      <c r="AW115" s="242"/>
      <c r="AX115" s="242"/>
      <c r="AY115" s="242"/>
      <c r="AZ115" s="242"/>
      <c r="BA115" s="242"/>
      <c r="BB115" s="243"/>
      <c r="BC115" s="243"/>
      <c r="BD115" s="243"/>
      <c r="BE115" s="243"/>
      <c r="BF115" s="243"/>
      <c r="BG115" s="243"/>
      <c r="BH115" s="243">
        <v>24</v>
      </c>
      <c r="BI115" s="242">
        <v>24</v>
      </c>
      <c r="BJ115" s="242">
        <v>24</v>
      </c>
      <c r="BK115" s="242">
        <v>24</v>
      </c>
      <c r="BL115" s="242">
        <v>24</v>
      </c>
      <c r="BM115" s="242"/>
      <c r="BN115" s="242"/>
      <c r="BO115" s="242"/>
      <c r="BP115" s="243"/>
      <c r="BQ115" s="243"/>
      <c r="BR115" s="243"/>
      <c r="BS115" s="243"/>
      <c r="BT115" s="243"/>
      <c r="BU115" s="243"/>
      <c r="BV115" s="243"/>
      <c r="BW115" s="242"/>
      <c r="BX115" s="242"/>
      <c r="BY115" s="242"/>
      <c r="BZ115" s="242"/>
      <c r="CA115" s="242"/>
      <c r="CB115" s="242"/>
      <c r="CC115" s="242"/>
      <c r="CD115" s="243"/>
      <c r="CE115" s="243"/>
      <c r="CF115" s="243"/>
      <c r="CG115" s="243"/>
      <c r="CH115" s="243"/>
      <c r="CI115" s="243"/>
      <c r="CJ115" s="243"/>
      <c r="CK115" s="242"/>
      <c r="CL115" s="242"/>
      <c r="CM115" s="242"/>
      <c r="CN115" s="242"/>
      <c r="CO115" s="242"/>
      <c r="CP115" s="242"/>
      <c r="CQ115" s="242"/>
      <c r="CR115" s="243"/>
      <c r="CS115" s="243"/>
      <c r="CT115" s="243"/>
      <c r="CU115" s="243"/>
      <c r="CV115" s="243"/>
      <c r="CW115" s="243"/>
      <c r="CX115" s="243"/>
      <c r="CY115" s="242"/>
      <c r="CZ115" s="242"/>
      <c r="DA115" s="242"/>
      <c r="DB115" s="242"/>
      <c r="DC115" s="242"/>
      <c r="DD115" s="242"/>
      <c r="DE115" s="242"/>
      <c r="DF115" s="243"/>
      <c r="DG115" s="243"/>
      <c r="DH115" s="243"/>
      <c r="DI115" s="243"/>
      <c r="DJ115" s="243"/>
      <c r="DK115" s="243"/>
      <c r="DL115" s="243"/>
      <c r="DM115" s="242"/>
      <c r="DN115" s="242"/>
      <c r="DO115" s="242"/>
      <c r="DP115" s="242"/>
      <c r="DQ115" s="242"/>
      <c r="DR115" s="242"/>
      <c r="DS115" s="242"/>
      <c r="DT115" s="243"/>
      <c r="DU115" s="243"/>
      <c r="DV115" s="243"/>
      <c r="DW115" s="243"/>
      <c r="DX115" s="243"/>
      <c r="DY115" s="243"/>
      <c r="DZ115" s="243"/>
      <c r="EA115" s="242"/>
      <c r="EB115" s="242"/>
      <c r="EC115" s="242"/>
      <c r="ED115" s="242"/>
      <c r="EE115" s="242"/>
      <c r="EF115" s="242"/>
      <c r="EG115" s="242"/>
      <c r="EH115" s="243"/>
      <c r="EI115" s="243"/>
      <c r="EJ115" s="243"/>
      <c r="EK115" s="243"/>
      <c r="EL115" s="243"/>
      <c r="EM115" s="243"/>
      <c r="EN115" s="243"/>
      <c r="EO115" s="242"/>
      <c r="EP115" s="242"/>
      <c r="EQ115" s="242"/>
      <c r="ER115" s="242"/>
      <c r="ES115" s="242"/>
      <c r="ET115" s="242"/>
      <c r="EU115" s="242"/>
      <c r="EV115" s="243"/>
      <c r="EW115" s="243"/>
      <c r="EX115" s="243"/>
      <c r="EY115" s="243"/>
      <c r="EZ115" s="243"/>
      <c r="FA115" s="243"/>
      <c r="FB115" s="243"/>
      <c r="FC115" s="242"/>
      <c r="FD115" s="242"/>
      <c r="FE115" s="242"/>
      <c r="FF115" s="242"/>
      <c r="FG115" s="242"/>
      <c r="FH115" s="242"/>
      <c r="FI115" s="242"/>
      <c r="FJ115" s="243"/>
      <c r="FK115" s="243"/>
      <c r="FL115" s="243"/>
      <c r="FM115" s="243"/>
      <c r="FN115" s="243"/>
      <c r="FO115" s="243"/>
      <c r="FP115" s="243"/>
      <c r="FQ115" s="242"/>
      <c r="FR115" s="242"/>
      <c r="FS115" s="242"/>
      <c r="FT115" s="242"/>
      <c r="FU115" s="242"/>
      <c r="FV115" s="242"/>
      <c r="FW115" s="242"/>
      <c r="FX115" s="243"/>
      <c r="FY115" s="243"/>
      <c r="FZ115" s="243"/>
      <c r="GA115" s="243"/>
      <c r="GB115" s="243"/>
      <c r="GC115" s="243"/>
      <c r="GD115" s="243"/>
      <c r="GE115" s="242"/>
      <c r="GF115" s="242"/>
      <c r="GG115" s="242"/>
      <c r="GH115" s="242"/>
      <c r="GI115" s="242"/>
      <c r="GJ115" s="242"/>
      <c r="GK115" s="242"/>
      <c r="GL115" s="243"/>
      <c r="GM115" s="243"/>
      <c r="GN115" s="243"/>
      <c r="GO115" s="243"/>
      <c r="GP115" s="243"/>
      <c r="GQ115" s="243"/>
      <c r="GR115" s="243"/>
      <c r="GS115" s="242"/>
      <c r="GT115" s="242"/>
      <c r="GU115" s="242"/>
      <c r="GV115" s="242"/>
      <c r="GW115" s="242"/>
      <c r="GX115" s="242"/>
      <c r="GY115" s="242"/>
      <c r="GZ115" s="243"/>
      <c r="HA115" s="243"/>
      <c r="HB115" s="243"/>
      <c r="HC115" s="243"/>
      <c r="HD115" s="243"/>
      <c r="HE115" s="243"/>
      <c r="HF115" s="243"/>
      <c r="HG115" s="242"/>
      <c r="HH115" s="242"/>
      <c r="HI115" s="242"/>
      <c r="HJ115" s="242"/>
      <c r="HK115" s="242"/>
      <c r="HL115" s="242"/>
      <c r="HM115" s="242"/>
      <c r="HN115" s="243"/>
      <c r="HO115" s="243"/>
      <c r="HP115" s="243"/>
      <c r="HQ115" s="243"/>
      <c r="HR115" s="243"/>
      <c r="HS115" s="243"/>
      <c r="HT115" s="243"/>
      <c r="HU115" s="242"/>
      <c r="HV115" s="242"/>
      <c r="HW115" s="242"/>
      <c r="HX115" s="242"/>
      <c r="HY115" s="242"/>
      <c r="HZ115" s="242"/>
      <c r="IA115" s="242"/>
      <c r="IB115" s="243"/>
      <c r="IC115" s="243"/>
      <c r="ID115" s="243"/>
      <c r="IE115" s="243"/>
      <c r="IF115" s="243"/>
      <c r="IG115" s="243"/>
      <c r="IH115" s="243"/>
      <c r="II115" s="242"/>
      <c r="IJ115" s="242"/>
      <c r="IK115" s="242"/>
      <c r="IL115" s="242"/>
      <c r="IM115" s="242"/>
      <c r="IN115" s="242"/>
      <c r="IO115" s="242"/>
      <c r="IP115" s="243"/>
      <c r="IQ115" s="243"/>
      <c r="IR115" s="243"/>
      <c r="IS115" s="243"/>
      <c r="IT115" s="243"/>
      <c r="IU115" s="243"/>
      <c r="IV115" s="243"/>
      <c r="IW115" s="242"/>
      <c r="IX115" s="242"/>
      <c r="IY115" s="242"/>
      <c r="IZ115" s="242"/>
      <c r="JA115" s="242"/>
      <c r="JB115" s="242"/>
      <c r="JC115" s="242"/>
      <c r="JD115" s="243"/>
      <c r="JE115" s="243"/>
      <c r="JF115" s="243"/>
      <c r="JG115" s="243"/>
      <c r="JH115" s="243"/>
      <c r="JI115" s="243"/>
      <c r="JJ115" s="243"/>
      <c r="JK115" s="242"/>
      <c r="JL115" s="242"/>
      <c r="JM115" s="242"/>
      <c r="JN115" s="242"/>
      <c r="JO115" s="242"/>
      <c r="JP115" s="242"/>
      <c r="JQ115" s="242"/>
      <c r="JR115" s="243"/>
      <c r="JS115" s="243"/>
      <c r="JT115" s="243"/>
      <c r="JU115" s="243"/>
      <c r="JV115" s="243"/>
      <c r="JW115" s="243"/>
      <c r="JX115" s="243"/>
      <c r="JY115" s="242"/>
      <c r="JZ115" s="242"/>
      <c r="KA115" s="242"/>
      <c r="KB115" s="242">
        <v>12</v>
      </c>
      <c r="KC115" s="242">
        <v>24</v>
      </c>
      <c r="KD115" s="242">
        <v>24</v>
      </c>
      <c r="KE115" s="242">
        <v>24</v>
      </c>
      <c r="KF115" s="243">
        <v>24</v>
      </c>
      <c r="KG115" s="243">
        <v>24</v>
      </c>
      <c r="KH115" s="243">
        <v>24</v>
      </c>
      <c r="KI115" s="243">
        <v>24</v>
      </c>
      <c r="KJ115" s="243"/>
      <c r="KK115" s="243"/>
      <c r="KL115" s="243"/>
      <c r="KM115" s="242"/>
      <c r="KN115" s="242"/>
      <c r="KO115" s="242"/>
      <c r="KP115" s="242"/>
      <c r="KQ115" s="242"/>
      <c r="KR115" s="242"/>
      <c r="KS115" s="242"/>
      <c r="KT115" s="243"/>
      <c r="KU115" s="243"/>
      <c r="KV115" s="243"/>
      <c r="KW115" s="243"/>
      <c r="KX115" s="243"/>
      <c r="KY115" s="243"/>
      <c r="KZ115" s="243"/>
      <c r="LA115" s="242"/>
      <c r="LB115" s="242"/>
      <c r="LC115" s="242"/>
      <c r="LD115" s="242"/>
      <c r="LE115" s="242"/>
      <c r="LF115" s="242"/>
      <c r="LG115" s="242"/>
      <c r="LH115" s="243"/>
      <c r="LI115" s="243"/>
      <c r="LJ115" s="243"/>
      <c r="LK115" s="243"/>
      <c r="LL115" s="243"/>
      <c r="LM115" s="243"/>
      <c r="LN115" s="243"/>
      <c r="LO115" s="242"/>
      <c r="LP115" s="242"/>
      <c r="LQ115" s="242"/>
      <c r="LR115" s="242"/>
      <c r="LS115" s="242"/>
      <c r="LT115" s="242"/>
      <c r="LU115" s="242"/>
      <c r="LV115" s="243"/>
      <c r="LW115" s="243"/>
      <c r="LX115" s="243"/>
      <c r="LY115" s="243"/>
      <c r="LZ115" s="243"/>
      <c r="MA115" s="243"/>
      <c r="MB115" s="243"/>
      <c r="MC115" s="242"/>
      <c r="MD115" s="242"/>
      <c r="ME115" s="242"/>
      <c r="MF115" s="242"/>
      <c r="MG115" s="242"/>
      <c r="MH115" s="242"/>
      <c r="MI115" s="242"/>
      <c r="MJ115" s="243"/>
      <c r="MK115" s="243"/>
      <c r="ML115" s="243"/>
      <c r="MM115" s="243"/>
      <c r="MN115" s="243"/>
      <c r="MO115" s="243"/>
      <c r="MP115" s="243"/>
      <c r="MQ115" s="242"/>
      <c r="MR115" s="242"/>
      <c r="MS115" s="242"/>
      <c r="MT115" s="242"/>
      <c r="MU115" s="242"/>
      <c r="MV115" s="242"/>
      <c r="MW115" s="242"/>
      <c r="MX115" s="243"/>
      <c r="MY115" s="243"/>
      <c r="MZ115" s="243"/>
      <c r="NA115" s="243"/>
      <c r="NB115" s="243"/>
      <c r="NC115" s="243"/>
      <c r="ND115" s="243"/>
      <c r="NE115" s="242"/>
      <c r="NF115" s="242"/>
      <c r="NG115" s="242"/>
      <c r="NH115" s="333"/>
    </row>
    <row r="116" spans="1:372">
      <c r="A116" s="251" t="s">
        <v>985</v>
      </c>
      <c r="B116" s="251" t="s">
        <v>86</v>
      </c>
      <c r="C116" s="251" t="s">
        <v>674</v>
      </c>
      <c r="D116" s="251" t="s">
        <v>982</v>
      </c>
      <c r="E116" s="241">
        <v>0</v>
      </c>
      <c r="F116" s="241">
        <v>16</v>
      </c>
      <c r="G116" s="242"/>
      <c r="H116" s="242"/>
      <c r="I116" s="242"/>
      <c r="J116" s="242"/>
      <c r="K116" s="242"/>
      <c r="L116" s="243"/>
      <c r="M116" s="243"/>
      <c r="N116" s="243"/>
      <c r="O116" s="243"/>
      <c r="P116" s="243"/>
      <c r="Q116" s="243"/>
      <c r="R116" s="243"/>
      <c r="S116" s="242"/>
      <c r="T116" s="242"/>
      <c r="U116" s="242"/>
      <c r="V116" s="242"/>
      <c r="W116" s="242"/>
      <c r="X116" s="242"/>
      <c r="Y116" s="242"/>
      <c r="Z116" s="243"/>
      <c r="AA116" s="243"/>
      <c r="AB116" s="243"/>
      <c r="AC116" s="243"/>
      <c r="AD116" s="243"/>
      <c r="AE116" s="243"/>
      <c r="AF116" s="243"/>
      <c r="AG116" s="242"/>
      <c r="AH116" s="242"/>
      <c r="AI116" s="242"/>
      <c r="AJ116" s="242"/>
      <c r="AK116" s="242"/>
      <c r="AL116" s="242"/>
      <c r="AM116" s="242"/>
      <c r="AN116" s="243"/>
      <c r="AO116" s="243"/>
      <c r="AP116" s="243"/>
      <c r="AQ116" s="243"/>
      <c r="AR116" s="243"/>
      <c r="AS116" s="243"/>
      <c r="AT116" s="243"/>
      <c r="AU116" s="242"/>
      <c r="AV116" s="242"/>
      <c r="AW116" s="242"/>
      <c r="AX116" s="242"/>
      <c r="AY116" s="242"/>
      <c r="AZ116" s="242"/>
      <c r="BA116" s="242"/>
      <c r="BB116" s="243"/>
      <c r="BC116" s="243"/>
      <c r="BD116" s="243"/>
      <c r="BE116" s="243"/>
      <c r="BF116" s="243"/>
      <c r="BG116" s="243"/>
      <c r="BH116" s="243"/>
      <c r="BI116" s="242"/>
      <c r="BJ116" s="242">
        <v>8</v>
      </c>
      <c r="BK116" s="242"/>
      <c r="BL116" s="242"/>
      <c r="BM116" s="242"/>
      <c r="BN116" s="242"/>
      <c r="BO116" s="242"/>
      <c r="BP116" s="243"/>
      <c r="BQ116" s="243"/>
      <c r="BR116" s="243"/>
      <c r="BS116" s="243"/>
      <c r="BT116" s="243"/>
      <c r="BU116" s="243"/>
      <c r="BV116" s="243"/>
      <c r="BW116" s="242"/>
      <c r="BX116" s="242"/>
      <c r="BY116" s="242"/>
      <c r="BZ116" s="242"/>
      <c r="CA116" s="242"/>
      <c r="CB116" s="242"/>
      <c r="CC116" s="242"/>
      <c r="CD116" s="243"/>
      <c r="CE116" s="243"/>
      <c r="CF116" s="243"/>
      <c r="CG116" s="243"/>
      <c r="CH116" s="243"/>
      <c r="CI116" s="243"/>
      <c r="CJ116" s="243"/>
      <c r="CK116" s="242"/>
      <c r="CL116" s="242"/>
      <c r="CM116" s="242"/>
      <c r="CN116" s="242"/>
      <c r="CO116" s="242"/>
      <c r="CP116" s="242"/>
      <c r="CQ116" s="242"/>
      <c r="CR116" s="243"/>
      <c r="CS116" s="243"/>
      <c r="CT116" s="243"/>
      <c r="CU116" s="243"/>
      <c r="CV116" s="243"/>
      <c r="CW116" s="243"/>
      <c r="CX116" s="243"/>
      <c r="CY116" s="242"/>
      <c r="CZ116" s="242"/>
      <c r="DA116" s="242"/>
      <c r="DB116" s="242"/>
      <c r="DC116" s="242"/>
      <c r="DD116" s="242"/>
      <c r="DE116" s="242"/>
      <c r="DF116" s="243"/>
      <c r="DG116" s="243"/>
      <c r="DH116" s="243"/>
      <c r="DI116" s="243"/>
      <c r="DJ116" s="243"/>
      <c r="DK116" s="243"/>
      <c r="DL116" s="243"/>
      <c r="DM116" s="242"/>
      <c r="DN116" s="242"/>
      <c r="DO116" s="242"/>
      <c r="DP116" s="242"/>
      <c r="DQ116" s="242"/>
      <c r="DR116" s="242"/>
      <c r="DS116" s="242"/>
      <c r="DT116" s="243"/>
      <c r="DU116" s="243"/>
      <c r="DV116" s="243"/>
      <c r="DW116" s="243"/>
      <c r="DX116" s="243"/>
      <c r="DY116" s="243"/>
      <c r="DZ116" s="243"/>
      <c r="EA116" s="242"/>
      <c r="EB116" s="242"/>
      <c r="EC116" s="242"/>
      <c r="ED116" s="242"/>
      <c r="EE116" s="242"/>
      <c r="EF116" s="242"/>
      <c r="EG116" s="242"/>
      <c r="EH116" s="243"/>
      <c r="EI116" s="243"/>
      <c r="EJ116" s="243"/>
      <c r="EK116" s="243"/>
      <c r="EL116" s="243"/>
      <c r="EM116" s="243"/>
      <c r="EN116" s="243"/>
      <c r="EO116" s="242"/>
      <c r="EP116" s="242"/>
      <c r="EQ116" s="242"/>
      <c r="ER116" s="242"/>
      <c r="ES116" s="242"/>
      <c r="ET116" s="242"/>
      <c r="EU116" s="242"/>
      <c r="EV116" s="243"/>
      <c r="EW116" s="243"/>
      <c r="EX116" s="243"/>
      <c r="EY116" s="243"/>
      <c r="EZ116" s="243"/>
      <c r="FA116" s="243"/>
      <c r="FB116" s="243"/>
      <c r="FC116" s="242"/>
      <c r="FD116" s="242"/>
      <c r="FE116" s="242"/>
      <c r="FF116" s="242"/>
      <c r="FG116" s="242"/>
      <c r="FH116" s="242"/>
      <c r="FI116" s="242"/>
      <c r="FJ116" s="243"/>
      <c r="FK116" s="243"/>
      <c r="FL116" s="243"/>
      <c r="FM116" s="243"/>
      <c r="FN116" s="243"/>
      <c r="FO116" s="243"/>
      <c r="FP116" s="243"/>
      <c r="FQ116" s="242"/>
      <c r="FR116" s="242"/>
      <c r="FS116" s="242"/>
      <c r="FT116" s="242"/>
      <c r="FU116" s="242"/>
      <c r="FV116" s="242"/>
      <c r="FW116" s="242"/>
      <c r="FX116" s="243"/>
      <c r="FY116" s="243"/>
      <c r="FZ116" s="243"/>
      <c r="GA116" s="243"/>
      <c r="GB116" s="243"/>
      <c r="GC116" s="243"/>
      <c r="GD116" s="243"/>
      <c r="GE116" s="242"/>
      <c r="GF116" s="242"/>
      <c r="GG116" s="242"/>
      <c r="GH116" s="242"/>
      <c r="GI116" s="242"/>
      <c r="GJ116" s="242"/>
      <c r="GK116" s="242"/>
      <c r="GL116" s="243"/>
      <c r="GM116" s="243"/>
      <c r="GN116" s="243"/>
      <c r="GO116" s="243"/>
      <c r="GP116" s="243"/>
      <c r="GQ116" s="243"/>
      <c r="GR116" s="243"/>
      <c r="GS116" s="242"/>
      <c r="GT116" s="242"/>
      <c r="GU116" s="242"/>
      <c r="GV116" s="242"/>
      <c r="GW116" s="242"/>
      <c r="GX116" s="242"/>
      <c r="GY116" s="242"/>
      <c r="GZ116" s="243"/>
      <c r="HA116" s="243"/>
      <c r="HB116" s="243"/>
      <c r="HC116" s="243"/>
      <c r="HD116" s="243"/>
      <c r="HE116" s="243"/>
      <c r="HF116" s="243"/>
      <c r="HG116" s="242"/>
      <c r="HH116" s="242"/>
      <c r="HI116" s="242"/>
      <c r="HJ116" s="242"/>
      <c r="HK116" s="242"/>
      <c r="HL116" s="242"/>
      <c r="HM116" s="242"/>
      <c r="HN116" s="243"/>
      <c r="HO116" s="243"/>
      <c r="HP116" s="243"/>
      <c r="HQ116" s="243"/>
      <c r="HR116" s="243"/>
      <c r="HS116" s="243"/>
      <c r="HT116" s="243"/>
      <c r="HU116" s="242"/>
      <c r="HV116" s="242"/>
      <c r="HW116" s="242"/>
      <c r="HX116" s="242"/>
      <c r="HY116" s="242"/>
      <c r="HZ116" s="242"/>
      <c r="IA116" s="242"/>
      <c r="IB116" s="243"/>
      <c r="IC116" s="243"/>
      <c r="ID116" s="243"/>
      <c r="IE116" s="243"/>
      <c r="IF116" s="243"/>
      <c r="IG116" s="243"/>
      <c r="IH116" s="243"/>
      <c r="II116" s="242"/>
      <c r="IJ116" s="242"/>
      <c r="IK116" s="242"/>
      <c r="IL116" s="242"/>
      <c r="IM116" s="242"/>
      <c r="IN116" s="242"/>
      <c r="IO116" s="242"/>
      <c r="IP116" s="243"/>
      <c r="IQ116" s="243"/>
      <c r="IR116" s="243"/>
      <c r="IS116" s="243"/>
      <c r="IT116" s="243"/>
      <c r="IU116" s="243"/>
      <c r="IV116" s="243"/>
      <c r="IW116" s="242"/>
      <c r="IX116" s="242"/>
      <c r="IY116" s="242"/>
      <c r="IZ116" s="242"/>
      <c r="JA116" s="242"/>
      <c r="JB116" s="242"/>
      <c r="JC116" s="242"/>
      <c r="JD116" s="243"/>
      <c r="JE116" s="243"/>
      <c r="JF116" s="243"/>
      <c r="JG116" s="243"/>
      <c r="JH116" s="243"/>
      <c r="JI116" s="243"/>
      <c r="JJ116" s="243"/>
      <c r="JK116" s="242"/>
      <c r="JL116" s="242"/>
      <c r="JM116" s="242"/>
      <c r="JN116" s="242"/>
      <c r="JO116" s="242"/>
      <c r="JP116" s="242"/>
      <c r="JQ116" s="242"/>
      <c r="JR116" s="243"/>
      <c r="JS116" s="243"/>
      <c r="JT116" s="243"/>
      <c r="JU116" s="243"/>
      <c r="JV116" s="243"/>
      <c r="JW116" s="243"/>
      <c r="JX116" s="243"/>
      <c r="JY116" s="242"/>
      <c r="JZ116" s="242"/>
      <c r="KA116" s="242"/>
      <c r="KB116" s="242"/>
      <c r="KC116" s="242"/>
      <c r="KD116" s="242"/>
      <c r="KE116" s="242"/>
      <c r="KF116" s="243"/>
      <c r="KG116" s="243">
        <v>8</v>
      </c>
      <c r="KH116" s="243"/>
      <c r="KI116" s="243"/>
      <c r="KJ116" s="243"/>
      <c r="KK116" s="243"/>
      <c r="KL116" s="243"/>
      <c r="KM116" s="242"/>
      <c r="KN116" s="242"/>
      <c r="KO116" s="242"/>
      <c r="KP116" s="242"/>
      <c r="KQ116" s="242"/>
      <c r="KR116" s="242"/>
      <c r="KS116" s="242"/>
      <c r="KT116" s="243"/>
      <c r="KU116" s="243"/>
      <c r="KV116" s="243"/>
      <c r="KW116" s="243"/>
      <c r="KX116" s="243"/>
      <c r="KY116" s="243"/>
      <c r="KZ116" s="243"/>
      <c r="LA116" s="242"/>
      <c r="LB116" s="242"/>
      <c r="LC116" s="242"/>
      <c r="LD116" s="242"/>
      <c r="LE116" s="242"/>
      <c r="LF116" s="242"/>
      <c r="LG116" s="242"/>
      <c r="LH116" s="243"/>
      <c r="LI116" s="243"/>
      <c r="LJ116" s="243"/>
      <c r="LK116" s="243"/>
      <c r="LL116" s="243"/>
      <c r="LM116" s="243"/>
      <c r="LN116" s="243"/>
      <c r="LO116" s="242"/>
      <c r="LP116" s="242"/>
      <c r="LQ116" s="242"/>
      <c r="LR116" s="242"/>
      <c r="LS116" s="242"/>
      <c r="LT116" s="242"/>
      <c r="LU116" s="242"/>
      <c r="LV116" s="243"/>
      <c r="LW116" s="243"/>
      <c r="LX116" s="243"/>
      <c r="LY116" s="243"/>
      <c r="LZ116" s="243"/>
      <c r="MA116" s="243"/>
      <c r="MB116" s="243"/>
      <c r="MC116" s="242"/>
      <c r="MD116" s="242"/>
      <c r="ME116" s="242"/>
      <c r="MF116" s="242"/>
      <c r="MG116" s="242"/>
      <c r="MH116" s="242"/>
      <c r="MI116" s="242"/>
      <c r="MJ116" s="243"/>
      <c r="MK116" s="243"/>
      <c r="ML116" s="243"/>
      <c r="MM116" s="243"/>
      <c r="MN116" s="243"/>
      <c r="MO116" s="243"/>
      <c r="MP116" s="243"/>
      <c r="MQ116" s="242"/>
      <c r="MR116" s="242"/>
      <c r="MS116" s="242"/>
      <c r="MT116" s="242"/>
      <c r="MU116" s="242"/>
      <c r="MV116" s="242"/>
      <c r="MW116" s="242"/>
      <c r="MX116" s="243"/>
      <c r="MY116" s="243"/>
      <c r="MZ116" s="243"/>
      <c r="NA116" s="243"/>
      <c r="NB116" s="243"/>
      <c r="NC116" s="243"/>
      <c r="ND116" s="243"/>
      <c r="NE116" s="242"/>
      <c r="NF116" s="242"/>
      <c r="NG116" s="242"/>
      <c r="NH116" s="333"/>
    </row>
    <row r="117" spans="1:372">
      <c r="A117" s="251" t="s">
        <v>985</v>
      </c>
      <c r="B117" s="251" t="s">
        <v>986</v>
      </c>
      <c r="C117" s="251" t="s">
        <v>674</v>
      </c>
      <c r="D117" s="251" t="s">
        <v>982</v>
      </c>
      <c r="E117" s="241">
        <v>0</v>
      </c>
      <c r="F117" s="241">
        <v>16</v>
      </c>
      <c r="G117" s="242"/>
      <c r="H117" s="242"/>
      <c r="I117" s="242"/>
      <c r="J117" s="242"/>
      <c r="K117" s="242"/>
      <c r="L117" s="243"/>
      <c r="M117" s="243"/>
      <c r="N117" s="243"/>
      <c r="O117" s="243"/>
      <c r="P117" s="243"/>
      <c r="Q117" s="243"/>
      <c r="R117" s="243"/>
      <c r="S117" s="242"/>
      <c r="T117" s="242"/>
      <c r="U117" s="242"/>
      <c r="V117" s="242"/>
      <c r="W117" s="242"/>
      <c r="X117" s="242"/>
      <c r="Y117" s="242"/>
      <c r="Z117" s="243"/>
      <c r="AA117" s="243"/>
      <c r="AB117" s="243"/>
      <c r="AC117" s="243"/>
      <c r="AD117" s="243"/>
      <c r="AE117" s="243"/>
      <c r="AF117" s="243"/>
      <c r="AG117" s="242"/>
      <c r="AH117" s="242"/>
      <c r="AI117" s="242"/>
      <c r="AJ117" s="242"/>
      <c r="AK117" s="242"/>
      <c r="AL117" s="242"/>
      <c r="AM117" s="242"/>
      <c r="AN117" s="243"/>
      <c r="AO117" s="243"/>
      <c r="AP117" s="243"/>
      <c r="AQ117" s="243"/>
      <c r="AR117" s="243"/>
      <c r="AS117" s="243"/>
      <c r="AT117" s="243"/>
      <c r="AU117" s="242"/>
      <c r="AV117" s="242"/>
      <c r="AW117" s="242"/>
      <c r="AX117" s="242"/>
      <c r="AY117" s="242"/>
      <c r="AZ117" s="242"/>
      <c r="BA117" s="242"/>
      <c r="BB117" s="243"/>
      <c r="BC117" s="243"/>
      <c r="BD117" s="243"/>
      <c r="BE117" s="243"/>
      <c r="BF117" s="243"/>
      <c r="BG117" s="243"/>
      <c r="BH117" s="243"/>
      <c r="BI117" s="242"/>
      <c r="BJ117" s="242">
        <v>8</v>
      </c>
      <c r="BK117" s="242"/>
      <c r="BL117" s="242"/>
      <c r="BM117" s="242"/>
      <c r="BN117" s="242"/>
      <c r="BO117" s="242"/>
      <c r="BP117" s="243"/>
      <c r="BQ117" s="243"/>
      <c r="BR117" s="243"/>
      <c r="BS117" s="243"/>
      <c r="BT117" s="243"/>
      <c r="BU117" s="243"/>
      <c r="BV117" s="243"/>
      <c r="BW117" s="242"/>
      <c r="BX117" s="242"/>
      <c r="BY117" s="242"/>
      <c r="BZ117" s="242"/>
      <c r="CA117" s="242"/>
      <c r="CB117" s="242"/>
      <c r="CC117" s="242"/>
      <c r="CD117" s="243"/>
      <c r="CE117" s="243"/>
      <c r="CF117" s="243"/>
      <c r="CG117" s="243"/>
      <c r="CH117" s="243"/>
      <c r="CI117" s="243"/>
      <c r="CJ117" s="243"/>
      <c r="CK117" s="242"/>
      <c r="CL117" s="242"/>
      <c r="CM117" s="242"/>
      <c r="CN117" s="242"/>
      <c r="CO117" s="242"/>
      <c r="CP117" s="242"/>
      <c r="CQ117" s="242"/>
      <c r="CR117" s="243"/>
      <c r="CS117" s="243"/>
      <c r="CT117" s="243"/>
      <c r="CU117" s="243"/>
      <c r="CV117" s="243"/>
      <c r="CW117" s="243"/>
      <c r="CX117" s="243"/>
      <c r="CY117" s="242"/>
      <c r="CZ117" s="242"/>
      <c r="DA117" s="242"/>
      <c r="DB117" s="242"/>
      <c r="DC117" s="242"/>
      <c r="DD117" s="242"/>
      <c r="DE117" s="242"/>
      <c r="DF117" s="243"/>
      <c r="DG117" s="243"/>
      <c r="DH117" s="243"/>
      <c r="DI117" s="243"/>
      <c r="DJ117" s="243"/>
      <c r="DK117" s="243"/>
      <c r="DL117" s="243"/>
      <c r="DM117" s="242"/>
      <c r="DN117" s="242"/>
      <c r="DO117" s="242"/>
      <c r="DP117" s="242"/>
      <c r="DQ117" s="242"/>
      <c r="DR117" s="242"/>
      <c r="DS117" s="242"/>
      <c r="DT117" s="243"/>
      <c r="DU117" s="243"/>
      <c r="DV117" s="243"/>
      <c r="DW117" s="243"/>
      <c r="DX117" s="243"/>
      <c r="DY117" s="243"/>
      <c r="DZ117" s="243"/>
      <c r="EA117" s="242"/>
      <c r="EB117" s="242"/>
      <c r="EC117" s="242"/>
      <c r="ED117" s="242"/>
      <c r="EE117" s="242"/>
      <c r="EF117" s="242"/>
      <c r="EG117" s="242"/>
      <c r="EH117" s="243"/>
      <c r="EI117" s="243"/>
      <c r="EJ117" s="243"/>
      <c r="EK117" s="243"/>
      <c r="EL117" s="243"/>
      <c r="EM117" s="243"/>
      <c r="EN117" s="243"/>
      <c r="EO117" s="242"/>
      <c r="EP117" s="242"/>
      <c r="EQ117" s="242"/>
      <c r="ER117" s="242"/>
      <c r="ES117" s="242"/>
      <c r="ET117" s="242"/>
      <c r="EU117" s="242"/>
      <c r="EV117" s="243"/>
      <c r="EW117" s="243"/>
      <c r="EX117" s="243"/>
      <c r="EY117" s="243"/>
      <c r="EZ117" s="243"/>
      <c r="FA117" s="243"/>
      <c r="FB117" s="243"/>
      <c r="FC117" s="242"/>
      <c r="FD117" s="242"/>
      <c r="FE117" s="242"/>
      <c r="FF117" s="242"/>
      <c r="FG117" s="242"/>
      <c r="FH117" s="242"/>
      <c r="FI117" s="242"/>
      <c r="FJ117" s="243"/>
      <c r="FK117" s="243"/>
      <c r="FL117" s="243"/>
      <c r="FM117" s="243"/>
      <c r="FN117" s="243"/>
      <c r="FO117" s="243"/>
      <c r="FP117" s="243"/>
      <c r="FQ117" s="242"/>
      <c r="FR117" s="242"/>
      <c r="FS117" s="242"/>
      <c r="FT117" s="242"/>
      <c r="FU117" s="242"/>
      <c r="FV117" s="242"/>
      <c r="FW117" s="242"/>
      <c r="FX117" s="243"/>
      <c r="FY117" s="243"/>
      <c r="FZ117" s="243"/>
      <c r="GA117" s="243"/>
      <c r="GB117" s="243"/>
      <c r="GC117" s="243"/>
      <c r="GD117" s="243"/>
      <c r="GE117" s="242"/>
      <c r="GF117" s="242"/>
      <c r="GG117" s="242"/>
      <c r="GH117" s="242"/>
      <c r="GI117" s="242"/>
      <c r="GJ117" s="242"/>
      <c r="GK117" s="242"/>
      <c r="GL117" s="243"/>
      <c r="GM117" s="243"/>
      <c r="GN117" s="243"/>
      <c r="GO117" s="243"/>
      <c r="GP117" s="243"/>
      <c r="GQ117" s="243"/>
      <c r="GR117" s="243"/>
      <c r="GS117" s="242"/>
      <c r="GT117" s="242"/>
      <c r="GU117" s="242"/>
      <c r="GV117" s="242"/>
      <c r="GW117" s="242"/>
      <c r="GX117" s="242"/>
      <c r="GY117" s="242"/>
      <c r="GZ117" s="243"/>
      <c r="HA117" s="243"/>
      <c r="HB117" s="243"/>
      <c r="HC117" s="243"/>
      <c r="HD117" s="243"/>
      <c r="HE117" s="243"/>
      <c r="HF117" s="243"/>
      <c r="HG117" s="242"/>
      <c r="HH117" s="242"/>
      <c r="HI117" s="242"/>
      <c r="HJ117" s="242"/>
      <c r="HK117" s="242"/>
      <c r="HL117" s="242"/>
      <c r="HM117" s="242"/>
      <c r="HN117" s="243"/>
      <c r="HO117" s="243"/>
      <c r="HP117" s="243"/>
      <c r="HQ117" s="243"/>
      <c r="HR117" s="243"/>
      <c r="HS117" s="243"/>
      <c r="HT117" s="243"/>
      <c r="HU117" s="242"/>
      <c r="HV117" s="242"/>
      <c r="HW117" s="242"/>
      <c r="HX117" s="242"/>
      <c r="HY117" s="242"/>
      <c r="HZ117" s="242"/>
      <c r="IA117" s="242"/>
      <c r="IB117" s="243"/>
      <c r="IC117" s="243"/>
      <c r="ID117" s="243"/>
      <c r="IE117" s="243"/>
      <c r="IF117" s="243"/>
      <c r="IG117" s="243"/>
      <c r="IH117" s="243"/>
      <c r="II117" s="242"/>
      <c r="IJ117" s="242"/>
      <c r="IK117" s="242"/>
      <c r="IL117" s="242"/>
      <c r="IM117" s="242"/>
      <c r="IN117" s="242"/>
      <c r="IO117" s="242"/>
      <c r="IP117" s="243"/>
      <c r="IQ117" s="243"/>
      <c r="IR117" s="243"/>
      <c r="IS117" s="243"/>
      <c r="IT117" s="243"/>
      <c r="IU117" s="243"/>
      <c r="IV117" s="243"/>
      <c r="IW117" s="242"/>
      <c r="IX117" s="242"/>
      <c r="IY117" s="242"/>
      <c r="IZ117" s="242"/>
      <c r="JA117" s="242"/>
      <c r="JB117" s="242"/>
      <c r="JC117" s="242"/>
      <c r="JD117" s="243"/>
      <c r="JE117" s="243"/>
      <c r="JF117" s="243"/>
      <c r="JG117" s="243"/>
      <c r="JH117" s="243"/>
      <c r="JI117" s="243"/>
      <c r="JJ117" s="243"/>
      <c r="JK117" s="242"/>
      <c r="JL117" s="242"/>
      <c r="JM117" s="242"/>
      <c r="JN117" s="242"/>
      <c r="JO117" s="242"/>
      <c r="JP117" s="242"/>
      <c r="JQ117" s="242"/>
      <c r="JR117" s="243"/>
      <c r="JS117" s="243"/>
      <c r="JT117" s="243"/>
      <c r="JU117" s="243"/>
      <c r="JV117" s="243"/>
      <c r="JW117" s="243"/>
      <c r="JX117" s="243"/>
      <c r="JY117" s="242"/>
      <c r="JZ117" s="242"/>
      <c r="KA117" s="242"/>
      <c r="KB117" s="242"/>
      <c r="KC117" s="242"/>
      <c r="KD117" s="242"/>
      <c r="KE117" s="242"/>
      <c r="KF117" s="243"/>
      <c r="KG117" s="243">
        <v>8</v>
      </c>
      <c r="KH117" s="243"/>
      <c r="KI117" s="243"/>
      <c r="KJ117" s="243"/>
      <c r="KK117" s="243"/>
      <c r="KL117" s="243"/>
      <c r="KM117" s="242"/>
      <c r="KN117" s="242"/>
      <c r="KO117" s="242"/>
      <c r="KP117" s="242"/>
      <c r="KQ117" s="242"/>
      <c r="KR117" s="242"/>
      <c r="KS117" s="242"/>
      <c r="KT117" s="243"/>
      <c r="KU117" s="243"/>
      <c r="KV117" s="243"/>
      <c r="KW117" s="243"/>
      <c r="KX117" s="243"/>
      <c r="KY117" s="243"/>
      <c r="KZ117" s="243"/>
      <c r="LA117" s="242"/>
      <c r="LB117" s="242"/>
      <c r="LC117" s="242"/>
      <c r="LD117" s="242"/>
      <c r="LE117" s="242"/>
      <c r="LF117" s="242"/>
      <c r="LG117" s="242"/>
      <c r="LH117" s="243"/>
      <c r="LI117" s="243"/>
      <c r="LJ117" s="243"/>
      <c r="LK117" s="243"/>
      <c r="LL117" s="243"/>
      <c r="LM117" s="243"/>
      <c r="LN117" s="243"/>
      <c r="LO117" s="242"/>
      <c r="LP117" s="242"/>
      <c r="LQ117" s="242"/>
      <c r="LR117" s="242"/>
      <c r="LS117" s="242"/>
      <c r="LT117" s="242"/>
      <c r="LU117" s="242"/>
      <c r="LV117" s="243"/>
      <c r="LW117" s="243"/>
      <c r="LX117" s="243"/>
      <c r="LY117" s="243"/>
      <c r="LZ117" s="243"/>
      <c r="MA117" s="243"/>
      <c r="MB117" s="243"/>
      <c r="MC117" s="242"/>
      <c r="MD117" s="242"/>
      <c r="ME117" s="242"/>
      <c r="MF117" s="242"/>
      <c r="MG117" s="242"/>
      <c r="MH117" s="242"/>
      <c r="MI117" s="242"/>
      <c r="MJ117" s="243"/>
      <c r="MK117" s="243"/>
      <c r="ML117" s="243"/>
      <c r="MM117" s="243"/>
      <c r="MN117" s="243"/>
      <c r="MO117" s="243"/>
      <c r="MP117" s="243"/>
      <c r="MQ117" s="242"/>
      <c r="MR117" s="242"/>
      <c r="MS117" s="242"/>
      <c r="MT117" s="242"/>
      <c r="MU117" s="242"/>
      <c r="MV117" s="242"/>
      <c r="MW117" s="242"/>
      <c r="MX117" s="243"/>
      <c r="MY117" s="243"/>
      <c r="MZ117" s="243"/>
      <c r="NA117" s="243"/>
      <c r="NB117" s="243"/>
      <c r="NC117" s="243"/>
      <c r="ND117" s="243"/>
      <c r="NE117" s="242"/>
      <c r="NF117" s="242"/>
      <c r="NG117" s="242"/>
      <c r="NH117" s="333"/>
    </row>
    <row r="118" spans="1:372">
      <c r="A118" s="251" t="s">
        <v>985</v>
      </c>
      <c r="B118" s="251" t="s">
        <v>87</v>
      </c>
      <c r="C118" s="251" t="s">
        <v>674</v>
      </c>
      <c r="D118" s="251" t="s">
        <v>982</v>
      </c>
      <c r="E118" s="241">
        <v>0</v>
      </c>
      <c r="F118" s="241">
        <v>16</v>
      </c>
      <c r="G118" s="242"/>
      <c r="H118" s="242"/>
      <c r="I118" s="242"/>
      <c r="J118" s="242"/>
      <c r="K118" s="242"/>
      <c r="L118" s="243"/>
      <c r="M118" s="243"/>
      <c r="N118" s="243"/>
      <c r="O118" s="243"/>
      <c r="P118" s="243"/>
      <c r="Q118" s="243"/>
      <c r="R118" s="243"/>
      <c r="S118" s="242"/>
      <c r="T118" s="242"/>
      <c r="U118" s="242"/>
      <c r="V118" s="242"/>
      <c r="W118" s="242"/>
      <c r="X118" s="242"/>
      <c r="Y118" s="242"/>
      <c r="Z118" s="243"/>
      <c r="AA118" s="243"/>
      <c r="AB118" s="243"/>
      <c r="AC118" s="243"/>
      <c r="AD118" s="243"/>
      <c r="AE118" s="243"/>
      <c r="AF118" s="243"/>
      <c r="AG118" s="242"/>
      <c r="AH118" s="242"/>
      <c r="AI118" s="242"/>
      <c r="AJ118" s="242"/>
      <c r="AK118" s="242"/>
      <c r="AL118" s="242"/>
      <c r="AM118" s="242"/>
      <c r="AN118" s="243"/>
      <c r="AO118" s="243"/>
      <c r="AP118" s="243"/>
      <c r="AQ118" s="243"/>
      <c r="AR118" s="243"/>
      <c r="AS118" s="243"/>
      <c r="AT118" s="243"/>
      <c r="AU118" s="242"/>
      <c r="AV118" s="242"/>
      <c r="AW118" s="242"/>
      <c r="AX118" s="242"/>
      <c r="AY118" s="242"/>
      <c r="AZ118" s="242"/>
      <c r="BA118" s="242"/>
      <c r="BB118" s="243"/>
      <c r="BC118" s="243"/>
      <c r="BD118" s="243"/>
      <c r="BE118" s="243"/>
      <c r="BF118" s="243"/>
      <c r="BG118" s="243"/>
      <c r="BH118" s="243"/>
      <c r="BI118" s="242"/>
      <c r="BJ118" s="242">
        <v>8</v>
      </c>
      <c r="BK118" s="242"/>
      <c r="BL118" s="242"/>
      <c r="BM118" s="242"/>
      <c r="BN118" s="242"/>
      <c r="BO118" s="242"/>
      <c r="BP118" s="243"/>
      <c r="BQ118" s="243"/>
      <c r="BR118" s="243"/>
      <c r="BS118" s="243"/>
      <c r="BT118" s="243"/>
      <c r="BU118" s="243"/>
      <c r="BV118" s="243"/>
      <c r="BW118" s="242"/>
      <c r="BX118" s="242"/>
      <c r="BY118" s="242"/>
      <c r="BZ118" s="242"/>
      <c r="CA118" s="242"/>
      <c r="CB118" s="242"/>
      <c r="CC118" s="242"/>
      <c r="CD118" s="243"/>
      <c r="CE118" s="243"/>
      <c r="CF118" s="243"/>
      <c r="CG118" s="243"/>
      <c r="CH118" s="243"/>
      <c r="CI118" s="243"/>
      <c r="CJ118" s="243"/>
      <c r="CK118" s="242"/>
      <c r="CL118" s="242"/>
      <c r="CM118" s="242"/>
      <c r="CN118" s="242"/>
      <c r="CO118" s="242"/>
      <c r="CP118" s="242"/>
      <c r="CQ118" s="242"/>
      <c r="CR118" s="243"/>
      <c r="CS118" s="243"/>
      <c r="CT118" s="243"/>
      <c r="CU118" s="243"/>
      <c r="CV118" s="243"/>
      <c r="CW118" s="243"/>
      <c r="CX118" s="243"/>
      <c r="CY118" s="242"/>
      <c r="CZ118" s="242"/>
      <c r="DA118" s="242"/>
      <c r="DB118" s="242"/>
      <c r="DC118" s="242"/>
      <c r="DD118" s="242"/>
      <c r="DE118" s="242"/>
      <c r="DF118" s="243"/>
      <c r="DG118" s="243"/>
      <c r="DH118" s="243"/>
      <c r="DI118" s="243"/>
      <c r="DJ118" s="243"/>
      <c r="DK118" s="243"/>
      <c r="DL118" s="243"/>
      <c r="DM118" s="242"/>
      <c r="DN118" s="242"/>
      <c r="DO118" s="242"/>
      <c r="DP118" s="242"/>
      <c r="DQ118" s="242"/>
      <c r="DR118" s="242"/>
      <c r="DS118" s="242"/>
      <c r="DT118" s="243"/>
      <c r="DU118" s="243"/>
      <c r="DV118" s="243"/>
      <c r="DW118" s="243"/>
      <c r="DX118" s="243"/>
      <c r="DY118" s="243"/>
      <c r="DZ118" s="243"/>
      <c r="EA118" s="242"/>
      <c r="EB118" s="242"/>
      <c r="EC118" s="242"/>
      <c r="ED118" s="242"/>
      <c r="EE118" s="242"/>
      <c r="EF118" s="242"/>
      <c r="EG118" s="242"/>
      <c r="EH118" s="243"/>
      <c r="EI118" s="243"/>
      <c r="EJ118" s="243"/>
      <c r="EK118" s="243"/>
      <c r="EL118" s="243"/>
      <c r="EM118" s="243"/>
      <c r="EN118" s="243"/>
      <c r="EO118" s="242"/>
      <c r="EP118" s="242"/>
      <c r="EQ118" s="242"/>
      <c r="ER118" s="242"/>
      <c r="ES118" s="242"/>
      <c r="ET118" s="242"/>
      <c r="EU118" s="242"/>
      <c r="EV118" s="243"/>
      <c r="EW118" s="243"/>
      <c r="EX118" s="243"/>
      <c r="EY118" s="243"/>
      <c r="EZ118" s="243"/>
      <c r="FA118" s="243"/>
      <c r="FB118" s="243"/>
      <c r="FC118" s="242"/>
      <c r="FD118" s="242"/>
      <c r="FE118" s="242"/>
      <c r="FF118" s="242"/>
      <c r="FG118" s="242"/>
      <c r="FH118" s="242"/>
      <c r="FI118" s="242"/>
      <c r="FJ118" s="243"/>
      <c r="FK118" s="243"/>
      <c r="FL118" s="243"/>
      <c r="FM118" s="243"/>
      <c r="FN118" s="243"/>
      <c r="FO118" s="243"/>
      <c r="FP118" s="243"/>
      <c r="FQ118" s="242"/>
      <c r="FR118" s="242"/>
      <c r="FS118" s="242"/>
      <c r="FT118" s="242"/>
      <c r="FU118" s="242"/>
      <c r="FV118" s="242"/>
      <c r="FW118" s="242"/>
      <c r="FX118" s="243"/>
      <c r="FY118" s="243"/>
      <c r="FZ118" s="243"/>
      <c r="GA118" s="243"/>
      <c r="GB118" s="243"/>
      <c r="GC118" s="243"/>
      <c r="GD118" s="243"/>
      <c r="GE118" s="242"/>
      <c r="GF118" s="242"/>
      <c r="GG118" s="242"/>
      <c r="GH118" s="242"/>
      <c r="GI118" s="242"/>
      <c r="GJ118" s="242"/>
      <c r="GK118" s="242"/>
      <c r="GL118" s="243"/>
      <c r="GM118" s="243"/>
      <c r="GN118" s="243"/>
      <c r="GO118" s="243"/>
      <c r="GP118" s="243"/>
      <c r="GQ118" s="243"/>
      <c r="GR118" s="243"/>
      <c r="GS118" s="242"/>
      <c r="GT118" s="242"/>
      <c r="GU118" s="242"/>
      <c r="GV118" s="242"/>
      <c r="GW118" s="242"/>
      <c r="GX118" s="242"/>
      <c r="GY118" s="242"/>
      <c r="GZ118" s="243"/>
      <c r="HA118" s="243"/>
      <c r="HB118" s="243"/>
      <c r="HC118" s="243"/>
      <c r="HD118" s="243"/>
      <c r="HE118" s="243"/>
      <c r="HF118" s="243"/>
      <c r="HG118" s="242"/>
      <c r="HH118" s="242"/>
      <c r="HI118" s="242"/>
      <c r="HJ118" s="242"/>
      <c r="HK118" s="242"/>
      <c r="HL118" s="242"/>
      <c r="HM118" s="242"/>
      <c r="HN118" s="243"/>
      <c r="HO118" s="243"/>
      <c r="HP118" s="243"/>
      <c r="HQ118" s="243"/>
      <c r="HR118" s="243"/>
      <c r="HS118" s="243"/>
      <c r="HT118" s="243"/>
      <c r="HU118" s="242"/>
      <c r="HV118" s="242"/>
      <c r="HW118" s="242"/>
      <c r="HX118" s="242"/>
      <c r="HY118" s="242"/>
      <c r="HZ118" s="242"/>
      <c r="IA118" s="242"/>
      <c r="IB118" s="243"/>
      <c r="IC118" s="243"/>
      <c r="ID118" s="243"/>
      <c r="IE118" s="243"/>
      <c r="IF118" s="243"/>
      <c r="IG118" s="243"/>
      <c r="IH118" s="243"/>
      <c r="II118" s="242"/>
      <c r="IJ118" s="242"/>
      <c r="IK118" s="242"/>
      <c r="IL118" s="242"/>
      <c r="IM118" s="242"/>
      <c r="IN118" s="242"/>
      <c r="IO118" s="242"/>
      <c r="IP118" s="243"/>
      <c r="IQ118" s="243"/>
      <c r="IR118" s="243"/>
      <c r="IS118" s="243"/>
      <c r="IT118" s="243"/>
      <c r="IU118" s="243"/>
      <c r="IV118" s="243"/>
      <c r="IW118" s="242"/>
      <c r="IX118" s="242"/>
      <c r="IY118" s="242"/>
      <c r="IZ118" s="242"/>
      <c r="JA118" s="242"/>
      <c r="JB118" s="242"/>
      <c r="JC118" s="242"/>
      <c r="JD118" s="243"/>
      <c r="JE118" s="243"/>
      <c r="JF118" s="243"/>
      <c r="JG118" s="243"/>
      <c r="JH118" s="243"/>
      <c r="JI118" s="243"/>
      <c r="JJ118" s="243"/>
      <c r="JK118" s="242"/>
      <c r="JL118" s="242"/>
      <c r="JM118" s="242"/>
      <c r="JN118" s="242"/>
      <c r="JO118" s="242"/>
      <c r="JP118" s="242"/>
      <c r="JQ118" s="242"/>
      <c r="JR118" s="243"/>
      <c r="JS118" s="243"/>
      <c r="JT118" s="243"/>
      <c r="JU118" s="243"/>
      <c r="JV118" s="243"/>
      <c r="JW118" s="243"/>
      <c r="JX118" s="243"/>
      <c r="JY118" s="242"/>
      <c r="JZ118" s="242"/>
      <c r="KA118" s="242"/>
      <c r="KB118" s="242"/>
      <c r="KC118" s="242"/>
      <c r="KD118" s="242"/>
      <c r="KE118" s="242"/>
      <c r="KF118" s="243"/>
      <c r="KG118" s="243">
        <v>8</v>
      </c>
      <c r="KH118" s="243"/>
      <c r="KI118" s="243"/>
      <c r="KJ118" s="243"/>
      <c r="KK118" s="243"/>
      <c r="KL118" s="243"/>
      <c r="KM118" s="242"/>
      <c r="KN118" s="242"/>
      <c r="KO118" s="242"/>
      <c r="KP118" s="242"/>
      <c r="KQ118" s="242"/>
      <c r="KR118" s="242"/>
      <c r="KS118" s="242"/>
      <c r="KT118" s="243"/>
      <c r="KU118" s="243"/>
      <c r="KV118" s="243"/>
      <c r="KW118" s="243"/>
      <c r="KX118" s="243"/>
      <c r="KY118" s="243"/>
      <c r="KZ118" s="243"/>
      <c r="LA118" s="242"/>
      <c r="LB118" s="242"/>
      <c r="LC118" s="242"/>
      <c r="LD118" s="242"/>
      <c r="LE118" s="242"/>
      <c r="LF118" s="242"/>
      <c r="LG118" s="242"/>
      <c r="LH118" s="243"/>
      <c r="LI118" s="243"/>
      <c r="LJ118" s="243"/>
      <c r="LK118" s="243"/>
      <c r="LL118" s="243"/>
      <c r="LM118" s="243"/>
      <c r="LN118" s="243"/>
      <c r="LO118" s="242"/>
      <c r="LP118" s="242"/>
      <c r="LQ118" s="242"/>
      <c r="LR118" s="242"/>
      <c r="LS118" s="242"/>
      <c r="LT118" s="242"/>
      <c r="LU118" s="242"/>
      <c r="LV118" s="243"/>
      <c r="LW118" s="243"/>
      <c r="LX118" s="243"/>
      <c r="LY118" s="243"/>
      <c r="LZ118" s="243"/>
      <c r="MA118" s="243"/>
      <c r="MB118" s="243"/>
      <c r="MC118" s="242"/>
      <c r="MD118" s="242"/>
      <c r="ME118" s="242"/>
      <c r="MF118" s="242"/>
      <c r="MG118" s="242"/>
      <c r="MH118" s="242"/>
      <c r="MI118" s="242"/>
      <c r="MJ118" s="243"/>
      <c r="MK118" s="243"/>
      <c r="ML118" s="243"/>
      <c r="MM118" s="243"/>
      <c r="MN118" s="243"/>
      <c r="MO118" s="243"/>
      <c r="MP118" s="243"/>
      <c r="MQ118" s="242"/>
      <c r="MR118" s="242"/>
      <c r="MS118" s="242"/>
      <c r="MT118" s="242"/>
      <c r="MU118" s="242"/>
      <c r="MV118" s="242"/>
      <c r="MW118" s="242"/>
      <c r="MX118" s="243"/>
      <c r="MY118" s="243"/>
      <c r="MZ118" s="243"/>
      <c r="NA118" s="243"/>
      <c r="NB118" s="243"/>
      <c r="NC118" s="243"/>
      <c r="ND118" s="243"/>
      <c r="NE118" s="242"/>
      <c r="NF118" s="242"/>
      <c r="NG118" s="242"/>
      <c r="NH118" s="333"/>
    </row>
    <row r="119" spans="1:372">
      <c r="A119" s="251" t="s">
        <v>985</v>
      </c>
      <c r="B119" s="251" t="s">
        <v>327</v>
      </c>
      <c r="C119" s="251" t="s">
        <v>674</v>
      </c>
      <c r="D119" s="251" t="s">
        <v>982</v>
      </c>
      <c r="E119" s="241">
        <v>0</v>
      </c>
      <c r="F119" s="241">
        <v>0</v>
      </c>
      <c r="G119" s="242"/>
      <c r="H119" s="242"/>
      <c r="I119" s="242"/>
      <c r="J119" s="242"/>
      <c r="K119" s="242"/>
      <c r="L119" s="243"/>
      <c r="M119" s="243"/>
      <c r="N119" s="243"/>
      <c r="O119" s="243"/>
      <c r="P119" s="243"/>
      <c r="Q119" s="243"/>
      <c r="R119" s="243"/>
      <c r="S119" s="242"/>
      <c r="T119" s="242"/>
      <c r="U119" s="242"/>
      <c r="V119" s="242"/>
      <c r="W119" s="242"/>
      <c r="X119" s="242"/>
      <c r="Y119" s="242"/>
      <c r="Z119" s="243"/>
      <c r="AA119" s="243"/>
      <c r="AB119" s="243"/>
      <c r="AC119" s="243"/>
      <c r="AD119" s="243"/>
      <c r="AE119" s="243"/>
      <c r="AF119" s="243"/>
      <c r="AG119" s="242"/>
      <c r="AH119" s="242"/>
      <c r="AI119" s="242"/>
      <c r="AJ119" s="242"/>
      <c r="AK119" s="242"/>
      <c r="AL119" s="242"/>
      <c r="AM119" s="242"/>
      <c r="AN119" s="243"/>
      <c r="AO119" s="243"/>
      <c r="AP119" s="243"/>
      <c r="AQ119" s="243"/>
      <c r="AR119" s="243"/>
      <c r="AS119" s="243"/>
      <c r="AT119" s="243"/>
      <c r="AU119" s="242"/>
      <c r="AV119" s="242"/>
      <c r="AW119" s="242"/>
      <c r="AX119" s="242"/>
      <c r="AY119" s="242"/>
      <c r="AZ119" s="242"/>
      <c r="BA119" s="242"/>
      <c r="BB119" s="243"/>
      <c r="BC119" s="243"/>
      <c r="BD119" s="243"/>
      <c r="BE119" s="243"/>
      <c r="BF119" s="243"/>
      <c r="BG119" s="243"/>
      <c r="BH119" s="243"/>
      <c r="BI119" s="242"/>
      <c r="BJ119" s="242"/>
      <c r="BK119" s="242"/>
      <c r="BL119" s="242"/>
      <c r="BM119" s="242"/>
      <c r="BN119" s="242"/>
      <c r="BO119" s="242"/>
      <c r="BP119" s="243"/>
      <c r="BQ119" s="243"/>
      <c r="BR119" s="243"/>
      <c r="BS119" s="243"/>
      <c r="BT119" s="243"/>
      <c r="BU119" s="243"/>
      <c r="BV119" s="243"/>
      <c r="BW119" s="242"/>
      <c r="BX119" s="242"/>
      <c r="BY119" s="242"/>
      <c r="BZ119" s="242"/>
      <c r="CA119" s="242"/>
      <c r="CB119" s="242"/>
      <c r="CC119" s="242"/>
      <c r="CD119" s="243"/>
      <c r="CE119" s="243"/>
      <c r="CF119" s="243"/>
      <c r="CG119" s="243"/>
      <c r="CH119" s="243"/>
      <c r="CI119" s="243"/>
      <c r="CJ119" s="243"/>
      <c r="CK119" s="242"/>
      <c r="CL119" s="242"/>
      <c r="CM119" s="242"/>
      <c r="CN119" s="242"/>
      <c r="CO119" s="242"/>
      <c r="CP119" s="242"/>
      <c r="CQ119" s="242"/>
      <c r="CR119" s="243"/>
      <c r="CS119" s="243"/>
      <c r="CT119" s="243"/>
      <c r="CU119" s="243"/>
      <c r="CV119" s="243"/>
      <c r="CW119" s="243"/>
      <c r="CX119" s="243"/>
      <c r="CY119" s="242"/>
      <c r="CZ119" s="242"/>
      <c r="DA119" s="242"/>
      <c r="DB119" s="242"/>
      <c r="DC119" s="242"/>
      <c r="DD119" s="242"/>
      <c r="DE119" s="242"/>
      <c r="DF119" s="243"/>
      <c r="DG119" s="243"/>
      <c r="DH119" s="243"/>
      <c r="DI119" s="243"/>
      <c r="DJ119" s="243"/>
      <c r="DK119" s="243"/>
      <c r="DL119" s="243"/>
      <c r="DM119" s="242"/>
      <c r="DN119" s="242"/>
      <c r="DO119" s="242"/>
      <c r="DP119" s="242"/>
      <c r="DQ119" s="242"/>
      <c r="DR119" s="242"/>
      <c r="DS119" s="242"/>
      <c r="DT119" s="243"/>
      <c r="DU119" s="243"/>
      <c r="DV119" s="243"/>
      <c r="DW119" s="243"/>
      <c r="DX119" s="243"/>
      <c r="DY119" s="243"/>
      <c r="DZ119" s="243"/>
      <c r="EA119" s="242"/>
      <c r="EB119" s="242"/>
      <c r="EC119" s="242"/>
      <c r="ED119" s="242"/>
      <c r="EE119" s="242"/>
      <c r="EF119" s="242"/>
      <c r="EG119" s="242"/>
      <c r="EH119" s="243"/>
      <c r="EI119" s="243"/>
      <c r="EJ119" s="243"/>
      <c r="EK119" s="243"/>
      <c r="EL119" s="243"/>
      <c r="EM119" s="243"/>
      <c r="EN119" s="243"/>
      <c r="EO119" s="242"/>
      <c r="EP119" s="242"/>
      <c r="EQ119" s="242"/>
      <c r="ER119" s="242"/>
      <c r="ES119" s="242"/>
      <c r="ET119" s="242"/>
      <c r="EU119" s="242"/>
      <c r="EV119" s="243"/>
      <c r="EW119" s="243"/>
      <c r="EX119" s="243"/>
      <c r="EY119" s="243"/>
      <c r="EZ119" s="243"/>
      <c r="FA119" s="243"/>
      <c r="FB119" s="243"/>
      <c r="FC119" s="242"/>
      <c r="FD119" s="242"/>
      <c r="FE119" s="242"/>
      <c r="FF119" s="242"/>
      <c r="FG119" s="242"/>
      <c r="FH119" s="242"/>
      <c r="FI119" s="242"/>
      <c r="FJ119" s="243"/>
      <c r="FK119" s="243"/>
      <c r="FL119" s="243"/>
      <c r="FM119" s="243"/>
      <c r="FN119" s="243"/>
      <c r="FO119" s="243"/>
      <c r="FP119" s="243"/>
      <c r="FQ119" s="242"/>
      <c r="FR119" s="242"/>
      <c r="FS119" s="242"/>
      <c r="FT119" s="242"/>
      <c r="FU119" s="242"/>
      <c r="FV119" s="242"/>
      <c r="FW119" s="242"/>
      <c r="FX119" s="243"/>
      <c r="FY119" s="243"/>
      <c r="FZ119" s="243"/>
      <c r="GA119" s="243"/>
      <c r="GB119" s="243"/>
      <c r="GC119" s="243"/>
      <c r="GD119" s="243"/>
      <c r="GE119" s="242"/>
      <c r="GF119" s="242"/>
      <c r="GG119" s="242"/>
      <c r="GH119" s="242"/>
      <c r="GI119" s="242"/>
      <c r="GJ119" s="242"/>
      <c r="GK119" s="242"/>
      <c r="GL119" s="243"/>
      <c r="GM119" s="243"/>
      <c r="GN119" s="243"/>
      <c r="GO119" s="243"/>
      <c r="GP119" s="243"/>
      <c r="GQ119" s="243"/>
      <c r="GR119" s="243"/>
      <c r="GS119" s="242"/>
      <c r="GT119" s="242"/>
      <c r="GU119" s="242"/>
      <c r="GV119" s="242"/>
      <c r="GW119" s="242"/>
      <c r="GX119" s="242"/>
      <c r="GY119" s="242"/>
      <c r="GZ119" s="243"/>
      <c r="HA119" s="243"/>
      <c r="HB119" s="243"/>
      <c r="HC119" s="243"/>
      <c r="HD119" s="243"/>
      <c r="HE119" s="243"/>
      <c r="HF119" s="243"/>
      <c r="HG119" s="242"/>
      <c r="HH119" s="242"/>
      <c r="HI119" s="242"/>
      <c r="HJ119" s="242"/>
      <c r="HK119" s="242"/>
      <c r="HL119" s="242"/>
      <c r="HM119" s="242"/>
      <c r="HN119" s="243"/>
      <c r="HO119" s="243"/>
      <c r="HP119" s="243"/>
      <c r="HQ119" s="243"/>
      <c r="HR119" s="243"/>
      <c r="HS119" s="243"/>
      <c r="HT119" s="243"/>
      <c r="HU119" s="242"/>
      <c r="HV119" s="242"/>
      <c r="HW119" s="242"/>
      <c r="HX119" s="242"/>
      <c r="HY119" s="242"/>
      <c r="HZ119" s="242"/>
      <c r="IA119" s="242"/>
      <c r="IB119" s="243"/>
      <c r="IC119" s="243"/>
      <c r="ID119" s="243"/>
      <c r="IE119" s="243"/>
      <c r="IF119" s="243"/>
      <c r="IG119" s="243"/>
      <c r="IH119" s="243"/>
      <c r="II119" s="242"/>
      <c r="IJ119" s="242"/>
      <c r="IK119" s="242"/>
      <c r="IL119" s="242"/>
      <c r="IM119" s="242"/>
      <c r="IN119" s="242"/>
      <c r="IO119" s="242"/>
      <c r="IP119" s="243"/>
      <c r="IQ119" s="243"/>
      <c r="IR119" s="243"/>
      <c r="IS119" s="243"/>
      <c r="IT119" s="243"/>
      <c r="IU119" s="243"/>
      <c r="IV119" s="243"/>
      <c r="IW119" s="242"/>
      <c r="IX119" s="242"/>
      <c r="IY119" s="242"/>
      <c r="IZ119" s="242"/>
      <c r="JA119" s="242"/>
      <c r="JB119" s="242"/>
      <c r="JC119" s="242"/>
      <c r="JD119" s="243"/>
      <c r="JE119" s="243"/>
      <c r="JF119" s="243"/>
      <c r="JG119" s="243"/>
      <c r="JH119" s="243"/>
      <c r="JI119" s="243"/>
      <c r="JJ119" s="243"/>
      <c r="JK119" s="242"/>
      <c r="JL119" s="242"/>
      <c r="JM119" s="242"/>
      <c r="JN119" s="242"/>
      <c r="JO119" s="242"/>
      <c r="JP119" s="242"/>
      <c r="JQ119" s="242"/>
      <c r="JR119" s="243"/>
      <c r="JS119" s="243"/>
      <c r="JT119" s="243"/>
      <c r="JU119" s="243"/>
      <c r="JV119" s="243"/>
      <c r="JW119" s="243"/>
      <c r="JX119" s="243"/>
      <c r="JY119" s="242"/>
      <c r="JZ119" s="242"/>
      <c r="KA119" s="242"/>
      <c r="KB119" s="242"/>
      <c r="KC119" s="242"/>
      <c r="KD119" s="242"/>
      <c r="KE119" s="242"/>
      <c r="KF119" s="243"/>
      <c r="KG119" s="243"/>
      <c r="KH119" s="243"/>
      <c r="KI119" s="243"/>
      <c r="KJ119" s="243"/>
      <c r="KK119" s="243"/>
      <c r="KL119" s="243"/>
      <c r="KM119" s="242"/>
      <c r="KN119" s="242"/>
      <c r="KO119" s="242"/>
      <c r="KP119" s="242"/>
      <c r="KQ119" s="242"/>
      <c r="KR119" s="242"/>
      <c r="KS119" s="242"/>
      <c r="KT119" s="243"/>
      <c r="KU119" s="243"/>
      <c r="KV119" s="243"/>
      <c r="KW119" s="243"/>
      <c r="KX119" s="243"/>
      <c r="KY119" s="243"/>
      <c r="KZ119" s="243"/>
      <c r="LA119" s="242"/>
      <c r="LB119" s="242"/>
      <c r="LC119" s="242"/>
      <c r="LD119" s="242"/>
      <c r="LE119" s="242"/>
      <c r="LF119" s="242"/>
      <c r="LG119" s="242"/>
      <c r="LH119" s="243"/>
      <c r="LI119" s="243"/>
      <c r="LJ119" s="243"/>
      <c r="LK119" s="243"/>
      <c r="LL119" s="243"/>
      <c r="LM119" s="243"/>
      <c r="LN119" s="243"/>
      <c r="LO119" s="242"/>
      <c r="LP119" s="242"/>
      <c r="LQ119" s="242"/>
      <c r="LR119" s="242"/>
      <c r="LS119" s="242"/>
      <c r="LT119" s="242"/>
      <c r="LU119" s="242"/>
      <c r="LV119" s="243"/>
      <c r="LW119" s="243"/>
      <c r="LX119" s="243"/>
      <c r="LY119" s="243"/>
      <c r="LZ119" s="243"/>
      <c r="MA119" s="243"/>
      <c r="MB119" s="243"/>
      <c r="MC119" s="242"/>
      <c r="MD119" s="242"/>
      <c r="ME119" s="242"/>
      <c r="MF119" s="242"/>
      <c r="MG119" s="242"/>
      <c r="MH119" s="242"/>
      <c r="MI119" s="242"/>
      <c r="MJ119" s="243"/>
      <c r="MK119" s="243"/>
      <c r="ML119" s="243"/>
      <c r="MM119" s="243"/>
      <c r="MN119" s="243"/>
      <c r="MO119" s="243"/>
      <c r="MP119" s="243"/>
      <c r="MQ119" s="242"/>
      <c r="MR119" s="242"/>
      <c r="MS119" s="242"/>
      <c r="MT119" s="242"/>
      <c r="MU119" s="242"/>
      <c r="MV119" s="242"/>
      <c r="MW119" s="242"/>
      <c r="MX119" s="243"/>
      <c r="MY119" s="243"/>
      <c r="MZ119" s="243"/>
      <c r="NA119" s="243"/>
      <c r="NB119" s="243"/>
      <c r="NC119" s="243"/>
      <c r="ND119" s="243"/>
      <c r="NE119" s="242"/>
      <c r="NF119" s="242"/>
      <c r="NG119" s="242"/>
      <c r="NH119" s="333"/>
    </row>
    <row r="120" spans="1:372">
      <c r="A120" s="251" t="s">
        <v>985</v>
      </c>
      <c r="B120" s="251" t="s">
        <v>88</v>
      </c>
      <c r="C120" s="251" t="s">
        <v>674</v>
      </c>
      <c r="D120" s="251" t="s">
        <v>982</v>
      </c>
      <c r="E120" s="241">
        <v>0</v>
      </c>
      <c r="F120" s="241">
        <v>0</v>
      </c>
      <c r="G120" s="249"/>
      <c r="H120" s="249"/>
      <c r="I120" s="249"/>
      <c r="J120" s="249"/>
      <c r="K120" s="249"/>
      <c r="L120" s="250"/>
      <c r="M120" s="250"/>
      <c r="N120" s="250"/>
      <c r="O120" s="250"/>
      <c r="P120" s="250"/>
      <c r="Q120" s="250"/>
      <c r="R120" s="250"/>
      <c r="S120" s="249"/>
      <c r="T120" s="249"/>
      <c r="U120" s="249"/>
      <c r="V120" s="249"/>
      <c r="W120" s="249"/>
      <c r="X120" s="249"/>
      <c r="Y120" s="249"/>
      <c r="Z120" s="250"/>
      <c r="AA120" s="250"/>
      <c r="AB120" s="250"/>
      <c r="AC120" s="250"/>
      <c r="AD120" s="250"/>
      <c r="AE120" s="250"/>
      <c r="AF120" s="250"/>
      <c r="AG120" s="249"/>
      <c r="AH120" s="249"/>
      <c r="AI120" s="249"/>
      <c r="AJ120" s="249"/>
      <c r="AK120" s="249"/>
      <c r="AL120" s="249"/>
      <c r="AM120" s="249"/>
      <c r="AN120" s="250"/>
      <c r="AO120" s="250"/>
      <c r="AP120" s="250"/>
      <c r="AQ120" s="250"/>
      <c r="AR120" s="250"/>
      <c r="AS120" s="250"/>
      <c r="AT120" s="250"/>
      <c r="AU120" s="249"/>
      <c r="AV120" s="249"/>
      <c r="AW120" s="249"/>
      <c r="AX120" s="249"/>
      <c r="AY120" s="249"/>
      <c r="AZ120" s="249"/>
      <c r="BA120" s="249"/>
      <c r="BB120" s="250"/>
      <c r="BC120" s="250"/>
      <c r="BD120" s="250"/>
      <c r="BE120" s="250"/>
      <c r="BF120" s="250"/>
      <c r="BG120" s="250"/>
      <c r="BH120" s="250"/>
      <c r="BI120" s="249"/>
      <c r="BJ120" s="249"/>
      <c r="BK120" s="249"/>
      <c r="BL120" s="249"/>
      <c r="BM120" s="249"/>
      <c r="BN120" s="249"/>
      <c r="BO120" s="249"/>
      <c r="BP120" s="250"/>
      <c r="BQ120" s="250"/>
      <c r="BR120" s="250"/>
      <c r="BS120" s="250"/>
      <c r="BT120" s="250"/>
      <c r="BU120" s="250"/>
      <c r="BV120" s="250"/>
      <c r="BW120" s="249"/>
      <c r="BX120" s="249"/>
      <c r="BY120" s="249"/>
      <c r="BZ120" s="249"/>
      <c r="CA120" s="249"/>
      <c r="CB120" s="249"/>
      <c r="CC120" s="249"/>
      <c r="CD120" s="250"/>
      <c r="CE120" s="250"/>
      <c r="CF120" s="250"/>
      <c r="CG120" s="250"/>
      <c r="CH120" s="250"/>
      <c r="CI120" s="250"/>
      <c r="CJ120" s="250"/>
      <c r="CK120" s="249"/>
      <c r="CL120" s="249"/>
      <c r="CM120" s="249"/>
      <c r="CN120" s="249"/>
      <c r="CO120" s="249"/>
      <c r="CP120" s="249"/>
      <c r="CQ120" s="249"/>
      <c r="CR120" s="250"/>
      <c r="CS120" s="250"/>
      <c r="CT120" s="250"/>
      <c r="CU120" s="250"/>
      <c r="CV120" s="250"/>
      <c r="CW120" s="250"/>
      <c r="CX120" s="250"/>
      <c r="CY120" s="249"/>
      <c r="CZ120" s="249"/>
      <c r="DA120" s="249"/>
      <c r="DB120" s="249"/>
      <c r="DC120" s="249"/>
      <c r="DD120" s="249"/>
      <c r="DE120" s="249"/>
      <c r="DF120" s="250"/>
      <c r="DG120" s="250"/>
      <c r="DH120" s="250"/>
      <c r="DI120" s="250"/>
      <c r="DJ120" s="250"/>
      <c r="DK120" s="250"/>
      <c r="DL120" s="250"/>
      <c r="DM120" s="249"/>
      <c r="DN120" s="249"/>
      <c r="DO120" s="249"/>
      <c r="DP120" s="249"/>
      <c r="DQ120" s="249"/>
      <c r="DR120" s="249"/>
      <c r="DS120" s="249"/>
      <c r="DT120" s="250"/>
      <c r="DU120" s="250"/>
      <c r="DV120" s="250"/>
      <c r="DW120" s="250"/>
      <c r="DX120" s="250"/>
      <c r="DY120" s="250"/>
      <c r="DZ120" s="250"/>
      <c r="EA120" s="249"/>
      <c r="EB120" s="249"/>
      <c r="EC120" s="249"/>
      <c r="ED120" s="249"/>
      <c r="EE120" s="249"/>
      <c r="EF120" s="249"/>
      <c r="EG120" s="249"/>
      <c r="EH120" s="250"/>
      <c r="EI120" s="250"/>
      <c r="EJ120" s="250"/>
      <c r="EK120" s="250"/>
      <c r="EL120" s="250"/>
      <c r="EM120" s="250"/>
      <c r="EN120" s="250"/>
      <c r="EO120" s="249"/>
      <c r="EP120" s="249"/>
      <c r="EQ120" s="249"/>
      <c r="ER120" s="249"/>
      <c r="ES120" s="249"/>
      <c r="ET120" s="249"/>
      <c r="EU120" s="249"/>
      <c r="EV120" s="250"/>
      <c r="EW120" s="250"/>
      <c r="EX120" s="250"/>
      <c r="EY120" s="250"/>
      <c r="EZ120" s="250"/>
      <c r="FA120" s="250"/>
      <c r="FB120" s="250"/>
      <c r="FC120" s="249"/>
      <c r="FD120" s="249"/>
      <c r="FE120" s="249"/>
      <c r="FF120" s="249"/>
      <c r="FG120" s="249"/>
      <c r="FH120" s="249"/>
      <c r="FI120" s="249"/>
      <c r="FJ120" s="250"/>
      <c r="FK120" s="250"/>
      <c r="FL120" s="250"/>
      <c r="FM120" s="250"/>
      <c r="FN120" s="250"/>
      <c r="FO120" s="250"/>
      <c r="FP120" s="250"/>
      <c r="FQ120" s="249"/>
      <c r="FR120" s="249"/>
      <c r="FS120" s="249"/>
      <c r="FT120" s="249"/>
      <c r="FU120" s="249"/>
      <c r="FV120" s="249"/>
      <c r="FW120" s="249"/>
      <c r="FX120" s="250"/>
      <c r="FY120" s="250"/>
      <c r="FZ120" s="250"/>
      <c r="GA120" s="250"/>
      <c r="GB120" s="250"/>
      <c r="GC120" s="250"/>
      <c r="GD120" s="250"/>
      <c r="GE120" s="249"/>
      <c r="GF120" s="249"/>
      <c r="GG120" s="249"/>
      <c r="GH120" s="249"/>
      <c r="GI120" s="249"/>
      <c r="GJ120" s="249"/>
      <c r="GK120" s="249"/>
      <c r="GL120" s="250"/>
      <c r="GM120" s="250"/>
      <c r="GN120" s="250"/>
      <c r="GO120" s="250"/>
      <c r="GP120" s="250"/>
      <c r="GQ120" s="250"/>
      <c r="GR120" s="250"/>
      <c r="GS120" s="249"/>
      <c r="GT120" s="249"/>
      <c r="GU120" s="249"/>
      <c r="GV120" s="249"/>
      <c r="GW120" s="249"/>
      <c r="GX120" s="249"/>
      <c r="GY120" s="249"/>
      <c r="GZ120" s="250"/>
      <c r="HA120" s="250"/>
      <c r="HB120" s="250"/>
      <c r="HC120" s="250"/>
      <c r="HD120" s="250"/>
      <c r="HE120" s="250"/>
      <c r="HF120" s="250"/>
      <c r="HG120" s="249"/>
      <c r="HH120" s="249"/>
      <c r="HI120" s="249"/>
      <c r="HJ120" s="249"/>
      <c r="HK120" s="249"/>
      <c r="HL120" s="249"/>
      <c r="HM120" s="249"/>
      <c r="HN120" s="250"/>
      <c r="HO120" s="250"/>
      <c r="HP120" s="250"/>
      <c r="HQ120" s="250"/>
      <c r="HR120" s="250"/>
      <c r="HS120" s="250"/>
      <c r="HT120" s="250"/>
      <c r="HU120" s="249"/>
      <c r="HV120" s="249"/>
      <c r="HW120" s="249"/>
      <c r="HX120" s="249"/>
      <c r="HY120" s="249"/>
      <c r="HZ120" s="249"/>
      <c r="IA120" s="249"/>
      <c r="IB120" s="250"/>
      <c r="IC120" s="250"/>
      <c r="ID120" s="250"/>
      <c r="IE120" s="250"/>
      <c r="IF120" s="250"/>
      <c r="IG120" s="250"/>
      <c r="IH120" s="250"/>
      <c r="II120" s="249"/>
      <c r="IJ120" s="249"/>
      <c r="IK120" s="249"/>
      <c r="IL120" s="249"/>
      <c r="IM120" s="249"/>
      <c r="IN120" s="249"/>
      <c r="IO120" s="249"/>
      <c r="IP120" s="250"/>
      <c r="IQ120" s="250"/>
      <c r="IR120" s="250"/>
      <c r="IS120" s="250"/>
      <c r="IT120" s="250"/>
      <c r="IU120" s="250"/>
      <c r="IV120" s="250"/>
      <c r="IW120" s="249"/>
      <c r="IX120" s="249"/>
      <c r="IY120" s="249"/>
      <c r="IZ120" s="249"/>
      <c r="JA120" s="249"/>
      <c r="JB120" s="249"/>
      <c r="JC120" s="249"/>
      <c r="JD120" s="250"/>
      <c r="JE120" s="250"/>
      <c r="JF120" s="250"/>
      <c r="JG120" s="250"/>
      <c r="JH120" s="250"/>
      <c r="JI120" s="250"/>
      <c r="JJ120" s="250"/>
      <c r="JK120" s="249"/>
      <c r="JL120" s="249"/>
      <c r="JM120" s="249"/>
      <c r="JN120" s="249"/>
      <c r="JO120" s="249"/>
      <c r="JP120" s="249"/>
      <c r="JQ120" s="249"/>
      <c r="JR120" s="250"/>
      <c r="JS120" s="250"/>
      <c r="JT120" s="250"/>
      <c r="JU120" s="250"/>
      <c r="JV120" s="250"/>
      <c r="JW120" s="250"/>
      <c r="JX120" s="250"/>
      <c r="JY120" s="249"/>
      <c r="JZ120" s="249"/>
      <c r="KA120" s="249"/>
      <c r="KB120" s="249"/>
      <c r="KC120" s="249"/>
      <c r="KD120" s="249"/>
      <c r="KE120" s="249"/>
      <c r="KF120" s="250"/>
      <c r="KG120" s="250"/>
      <c r="KH120" s="250"/>
      <c r="KI120" s="250"/>
      <c r="KJ120" s="250"/>
      <c r="KK120" s="250"/>
      <c r="KL120" s="250"/>
      <c r="KM120" s="249"/>
      <c r="KN120" s="249"/>
      <c r="KO120" s="249"/>
      <c r="KP120" s="249"/>
      <c r="KQ120" s="249"/>
      <c r="KR120" s="249"/>
      <c r="KS120" s="249"/>
      <c r="KT120" s="250"/>
      <c r="KU120" s="250"/>
      <c r="KV120" s="250"/>
      <c r="KW120" s="250"/>
      <c r="KX120" s="250"/>
      <c r="KY120" s="250"/>
      <c r="KZ120" s="250"/>
      <c r="LA120" s="249"/>
      <c r="LB120" s="249"/>
      <c r="LC120" s="249"/>
      <c r="LD120" s="249"/>
      <c r="LE120" s="249"/>
      <c r="LF120" s="249"/>
      <c r="LG120" s="249"/>
      <c r="LH120" s="250"/>
      <c r="LI120" s="250"/>
      <c r="LJ120" s="250"/>
      <c r="LK120" s="250"/>
      <c r="LL120" s="250"/>
      <c r="LM120" s="250"/>
      <c r="LN120" s="250"/>
      <c r="LO120" s="249"/>
      <c r="LP120" s="249"/>
      <c r="LQ120" s="249"/>
      <c r="LR120" s="249"/>
      <c r="LS120" s="249"/>
      <c r="LT120" s="249"/>
      <c r="LU120" s="249"/>
      <c r="LV120" s="250"/>
      <c r="LW120" s="250"/>
      <c r="LX120" s="250"/>
      <c r="LY120" s="250"/>
      <c r="LZ120" s="250"/>
      <c r="MA120" s="250"/>
      <c r="MB120" s="250"/>
      <c r="MC120" s="249"/>
      <c r="MD120" s="249"/>
      <c r="ME120" s="249"/>
      <c r="MF120" s="249"/>
      <c r="MG120" s="249"/>
      <c r="MH120" s="249"/>
      <c r="MI120" s="249"/>
      <c r="MJ120" s="250"/>
      <c r="MK120" s="250"/>
      <c r="ML120" s="250"/>
      <c r="MM120" s="250"/>
      <c r="MN120" s="250"/>
      <c r="MO120" s="250"/>
      <c r="MP120" s="250"/>
      <c r="MQ120" s="249"/>
      <c r="MR120" s="249"/>
      <c r="MS120" s="249"/>
      <c r="MT120" s="249"/>
      <c r="MU120" s="249"/>
      <c r="MV120" s="249"/>
      <c r="MW120" s="249"/>
      <c r="MX120" s="250"/>
      <c r="MY120" s="250"/>
      <c r="MZ120" s="250"/>
      <c r="NA120" s="250"/>
      <c r="NB120" s="250"/>
      <c r="NC120" s="250"/>
      <c r="ND120" s="250"/>
      <c r="NE120" s="249"/>
      <c r="NF120" s="249"/>
      <c r="NG120" s="249"/>
      <c r="NH120" s="333"/>
    </row>
    <row r="121" spans="1:372">
      <c r="A121" s="251" t="s">
        <v>985</v>
      </c>
      <c r="B121" s="251" t="s">
        <v>90</v>
      </c>
      <c r="C121" s="251" t="s">
        <v>675</v>
      </c>
      <c r="D121" s="251" t="s">
        <v>997</v>
      </c>
      <c r="E121" s="241">
        <v>168.7362955937605</v>
      </c>
      <c r="F121" s="241">
        <v>256</v>
      </c>
      <c r="G121" s="249"/>
      <c r="H121" s="249"/>
      <c r="I121" s="249"/>
      <c r="J121" s="249"/>
      <c r="K121" s="249"/>
      <c r="L121" s="250"/>
      <c r="M121" s="250"/>
      <c r="N121" s="250"/>
      <c r="O121" s="250"/>
      <c r="P121" s="250"/>
      <c r="Q121" s="250"/>
      <c r="R121" s="250"/>
      <c r="S121" s="249"/>
      <c r="T121" s="249"/>
      <c r="U121" s="249"/>
      <c r="V121" s="249"/>
      <c r="W121" s="249"/>
      <c r="X121" s="249"/>
      <c r="Y121" s="249"/>
      <c r="Z121" s="250"/>
      <c r="AA121" s="250"/>
      <c r="AB121" s="250"/>
      <c r="AC121" s="250"/>
      <c r="AD121" s="250"/>
      <c r="AE121" s="250"/>
      <c r="AF121" s="250"/>
      <c r="AG121" s="249"/>
      <c r="AH121" s="249"/>
      <c r="AI121" s="249"/>
      <c r="AJ121" s="249"/>
      <c r="AK121" s="249"/>
      <c r="AL121" s="249"/>
      <c r="AM121" s="249"/>
      <c r="AN121" s="250"/>
      <c r="AO121" s="250"/>
      <c r="AP121" s="250"/>
      <c r="AQ121" s="250"/>
      <c r="AR121" s="250"/>
      <c r="AS121" s="250"/>
      <c r="AT121" s="250"/>
      <c r="AU121" s="249"/>
      <c r="AV121" s="249"/>
      <c r="AW121" s="249"/>
      <c r="AX121" s="249"/>
      <c r="AY121" s="249"/>
      <c r="AZ121" s="249"/>
      <c r="BA121" s="249"/>
      <c r="BB121" s="250"/>
      <c r="BC121" s="250"/>
      <c r="BD121" s="250"/>
      <c r="BE121" s="250"/>
      <c r="BF121" s="250"/>
      <c r="BG121" s="250"/>
      <c r="BH121" s="250"/>
      <c r="BI121" s="249">
        <v>12</v>
      </c>
      <c r="BJ121" s="249">
        <v>24</v>
      </c>
      <c r="BK121" s="249">
        <v>24</v>
      </c>
      <c r="BL121" s="249">
        <v>12</v>
      </c>
      <c r="BM121" s="249">
        <v>8</v>
      </c>
      <c r="BN121" s="249">
        <v>6</v>
      </c>
      <c r="BO121" s="249">
        <v>4</v>
      </c>
      <c r="BP121" s="250">
        <v>2</v>
      </c>
      <c r="BQ121" s="250"/>
      <c r="BR121" s="250"/>
      <c r="BS121" s="250"/>
      <c r="BT121" s="250"/>
      <c r="BU121" s="250"/>
      <c r="BV121" s="250"/>
      <c r="BW121" s="249"/>
      <c r="BX121" s="249"/>
      <c r="BY121" s="249"/>
      <c r="BZ121" s="249"/>
      <c r="CA121" s="249"/>
      <c r="CB121" s="249"/>
      <c r="CC121" s="249"/>
      <c r="CD121" s="250"/>
      <c r="CE121" s="250"/>
      <c r="CF121" s="250"/>
      <c r="CG121" s="250"/>
      <c r="CH121" s="250"/>
      <c r="CI121" s="250"/>
      <c r="CJ121" s="250"/>
      <c r="CK121" s="249"/>
      <c r="CL121" s="249"/>
      <c r="CM121" s="249"/>
      <c r="CN121" s="249"/>
      <c r="CO121" s="249"/>
      <c r="CP121" s="249"/>
      <c r="CQ121" s="249"/>
      <c r="CR121" s="250"/>
      <c r="CS121" s="250"/>
      <c r="CT121" s="250"/>
      <c r="CU121" s="250"/>
      <c r="CV121" s="250"/>
      <c r="CW121" s="250"/>
      <c r="CX121" s="250"/>
      <c r="CY121" s="249"/>
      <c r="CZ121" s="249"/>
      <c r="DA121" s="249"/>
      <c r="DB121" s="249"/>
      <c r="DC121" s="249"/>
      <c r="DD121" s="249"/>
      <c r="DE121" s="249"/>
      <c r="DF121" s="250"/>
      <c r="DG121" s="250"/>
      <c r="DH121" s="250"/>
      <c r="DI121" s="250"/>
      <c r="DJ121" s="250"/>
      <c r="DK121" s="250"/>
      <c r="DL121" s="250"/>
      <c r="DM121" s="249"/>
      <c r="DN121" s="249"/>
      <c r="DO121" s="249"/>
      <c r="DP121" s="249"/>
      <c r="DQ121" s="249"/>
      <c r="DR121" s="249"/>
      <c r="DS121" s="249"/>
      <c r="DT121" s="250"/>
      <c r="DU121" s="250"/>
      <c r="DV121" s="250"/>
      <c r="DW121" s="250"/>
      <c r="DX121" s="250"/>
      <c r="DY121" s="250"/>
      <c r="DZ121" s="250"/>
      <c r="EA121" s="249"/>
      <c r="EB121" s="249"/>
      <c r="EC121" s="249"/>
      <c r="ED121" s="249"/>
      <c r="EE121" s="249"/>
      <c r="EF121" s="249"/>
      <c r="EG121" s="249"/>
      <c r="EH121" s="250"/>
      <c r="EI121" s="250"/>
      <c r="EJ121" s="250"/>
      <c r="EK121" s="250"/>
      <c r="EL121" s="250"/>
      <c r="EM121" s="250"/>
      <c r="EN121" s="250"/>
      <c r="EO121" s="249"/>
      <c r="EP121" s="249"/>
      <c r="EQ121" s="249"/>
      <c r="ER121" s="249"/>
      <c r="ES121" s="249"/>
      <c r="ET121" s="249"/>
      <c r="EU121" s="249"/>
      <c r="EV121" s="250"/>
      <c r="EW121" s="250"/>
      <c r="EX121" s="250"/>
      <c r="EY121" s="250"/>
      <c r="EZ121" s="250"/>
      <c r="FA121" s="250"/>
      <c r="FB121" s="250"/>
      <c r="FC121" s="249"/>
      <c r="FD121" s="249"/>
      <c r="FE121" s="249"/>
      <c r="FF121" s="249"/>
      <c r="FG121" s="249"/>
      <c r="FH121" s="249"/>
      <c r="FI121" s="249"/>
      <c r="FJ121" s="250"/>
      <c r="FK121" s="250"/>
      <c r="FL121" s="250"/>
      <c r="FM121" s="250"/>
      <c r="FN121" s="250"/>
      <c r="FO121" s="250"/>
      <c r="FP121" s="250"/>
      <c r="FQ121" s="249"/>
      <c r="FR121" s="249"/>
      <c r="FS121" s="249"/>
      <c r="FT121" s="249"/>
      <c r="FU121" s="249"/>
      <c r="FV121" s="249"/>
      <c r="FW121" s="249"/>
      <c r="FX121" s="250"/>
      <c r="FY121" s="250"/>
      <c r="FZ121" s="250"/>
      <c r="GA121" s="250"/>
      <c r="GB121" s="250"/>
      <c r="GC121" s="250"/>
      <c r="GD121" s="250"/>
      <c r="GE121" s="249"/>
      <c r="GF121" s="249"/>
      <c r="GG121" s="249"/>
      <c r="GH121" s="249"/>
      <c r="GI121" s="249"/>
      <c r="GJ121" s="249"/>
      <c r="GK121" s="249"/>
      <c r="GL121" s="250"/>
      <c r="GM121" s="250"/>
      <c r="GN121" s="250"/>
      <c r="GO121" s="250"/>
      <c r="GP121" s="250"/>
      <c r="GQ121" s="250"/>
      <c r="GR121" s="250"/>
      <c r="GS121" s="249"/>
      <c r="GT121" s="249"/>
      <c r="GU121" s="249"/>
      <c r="GV121" s="249"/>
      <c r="GW121" s="249"/>
      <c r="GX121" s="249"/>
      <c r="GY121" s="249"/>
      <c r="GZ121" s="250"/>
      <c r="HA121" s="250"/>
      <c r="HB121" s="250"/>
      <c r="HC121" s="250"/>
      <c r="HD121" s="250"/>
      <c r="HE121" s="250"/>
      <c r="HF121" s="250"/>
      <c r="HG121" s="249"/>
      <c r="HH121" s="249"/>
      <c r="HI121" s="249"/>
      <c r="HJ121" s="249"/>
      <c r="HK121" s="249"/>
      <c r="HL121" s="249"/>
      <c r="HM121" s="249"/>
      <c r="HN121" s="250"/>
      <c r="HO121" s="250"/>
      <c r="HP121" s="250"/>
      <c r="HQ121" s="250"/>
      <c r="HR121" s="250"/>
      <c r="HS121" s="250"/>
      <c r="HT121" s="250"/>
      <c r="HU121" s="249"/>
      <c r="HV121" s="249"/>
      <c r="HW121" s="249"/>
      <c r="HX121" s="249"/>
      <c r="HY121" s="249"/>
      <c r="HZ121" s="249"/>
      <c r="IA121" s="249"/>
      <c r="IB121" s="250"/>
      <c r="IC121" s="250"/>
      <c r="ID121" s="250"/>
      <c r="IE121" s="250"/>
      <c r="IF121" s="250"/>
      <c r="IG121" s="250"/>
      <c r="IH121" s="250"/>
      <c r="II121" s="249"/>
      <c r="IJ121" s="249"/>
      <c r="IK121" s="249"/>
      <c r="IL121" s="249"/>
      <c r="IM121" s="249"/>
      <c r="IN121" s="249"/>
      <c r="IO121" s="249"/>
      <c r="IP121" s="250"/>
      <c r="IQ121" s="250"/>
      <c r="IR121" s="250"/>
      <c r="IS121" s="250"/>
      <c r="IT121" s="250"/>
      <c r="IU121" s="250"/>
      <c r="IV121" s="250"/>
      <c r="IW121" s="249"/>
      <c r="IX121" s="249"/>
      <c r="IY121" s="249"/>
      <c r="IZ121" s="249"/>
      <c r="JA121" s="249"/>
      <c r="JB121" s="249"/>
      <c r="JC121" s="249"/>
      <c r="JD121" s="250"/>
      <c r="JE121" s="250"/>
      <c r="JF121" s="250"/>
      <c r="JG121" s="250"/>
      <c r="JH121" s="250"/>
      <c r="JI121" s="250"/>
      <c r="JJ121" s="250"/>
      <c r="JK121" s="249"/>
      <c r="JL121" s="249"/>
      <c r="JM121" s="249"/>
      <c r="JN121" s="249"/>
      <c r="JO121" s="249"/>
      <c r="JP121" s="249"/>
      <c r="JQ121" s="249"/>
      <c r="JR121" s="250"/>
      <c r="JS121" s="250"/>
      <c r="JT121" s="250"/>
      <c r="JU121" s="250"/>
      <c r="JV121" s="250"/>
      <c r="JW121" s="250"/>
      <c r="JX121" s="250"/>
      <c r="JY121" s="249"/>
      <c r="JZ121" s="249"/>
      <c r="KA121" s="249"/>
      <c r="KB121" s="249"/>
      <c r="KC121" s="249"/>
      <c r="KD121" s="249"/>
      <c r="KE121" s="249">
        <v>12</v>
      </c>
      <c r="KF121" s="250">
        <v>24</v>
      </c>
      <c r="KG121" s="250">
        <v>24</v>
      </c>
      <c r="KH121" s="250">
        <v>24</v>
      </c>
      <c r="KI121" s="250">
        <v>24</v>
      </c>
      <c r="KJ121" s="250">
        <v>24</v>
      </c>
      <c r="KK121" s="250">
        <v>12</v>
      </c>
      <c r="KL121" s="250">
        <v>8</v>
      </c>
      <c r="KM121" s="249">
        <v>6</v>
      </c>
      <c r="KN121" s="249">
        <v>4</v>
      </c>
      <c r="KO121" s="249">
        <v>2</v>
      </c>
      <c r="KP121" s="249"/>
      <c r="KQ121" s="249"/>
      <c r="KR121" s="249"/>
      <c r="KS121" s="249"/>
      <c r="KT121" s="250"/>
      <c r="KU121" s="250"/>
      <c r="KV121" s="250"/>
      <c r="KW121" s="250"/>
      <c r="KX121" s="250"/>
      <c r="KY121" s="250"/>
      <c r="KZ121" s="250"/>
      <c r="LA121" s="249"/>
      <c r="LB121" s="249"/>
      <c r="LC121" s="249"/>
      <c r="LD121" s="249"/>
      <c r="LE121" s="249"/>
      <c r="LF121" s="249"/>
      <c r="LG121" s="249"/>
      <c r="LH121" s="250"/>
      <c r="LI121" s="250"/>
      <c r="LJ121" s="250"/>
      <c r="LK121" s="250"/>
      <c r="LL121" s="250"/>
      <c r="LM121" s="250"/>
      <c r="LN121" s="250"/>
      <c r="LO121" s="249"/>
      <c r="LP121" s="249"/>
      <c r="LQ121" s="249"/>
      <c r="LR121" s="249"/>
      <c r="LS121" s="249"/>
      <c r="LT121" s="249"/>
      <c r="LU121" s="249"/>
      <c r="LV121" s="250"/>
      <c r="LW121" s="250"/>
      <c r="LX121" s="250"/>
      <c r="LY121" s="250"/>
      <c r="LZ121" s="250"/>
      <c r="MA121" s="250"/>
      <c r="MB121" s="250"/>
      <c r="MC121" s="249"/>
      <c r="MD121" s="249"/>
      <c r="ME121" s="249"/>
      <c r="MF121" s="249"/>
      <c r="MG121" s="249"/>
      <c r="MH121" s="249"/>
      <c r="MI121" s="249"/>
      <c r="MJ121" s="250"/>
      <c r="MK121" s="250"/>
      <c r="ML121" s="250"/>
      <c r="MM121" s="250"/>
      <c r="MN121" s="250"/>
      <c r="MO121" s="250"/>
      <c r="MP121" s="250"/>
      <c r="MQ121" s="249"/>
      <c r="MR121" s="249"/>
      <c r="MS121" s="249"/>
      <c r="MT121" s="249"/>
      <c r="MU121" s="249"/>
      <c r="MV121" s="249"/>
      <c r="MW121" s="249"/>
      <c r="MX121" s="250"/>
      <c r="MY121" s="250"/>
      <c r="MZ121" s="250"/>
      <c r="NA121" s="250"/>
      <c r="NB121" s="250"/>
      <c r="NC121" s="250"/>
      <c r="ND121" s="250"/>
      <c r="NE121" s="249"/>
      <c r="NF121" s="249"/>
      <c r="NG121" s="249"/>
      <c r="NH121" s="333" t="s">
        <v>1123</v>
      </c>
    </row>
    <row r="122" spans="1:372">
      <c r="A122" s="251" t="s">
        <v>985</v>
      </c>
      <c r="B122" s="251" t="s">
        <v>91</v>
      </c>
      <c r="C122" s="251" t="s">
        <v>675</v>
      </c>
      <c r="D122" s="251" t="s">
        <v>997</v>
      </c>
      <c r="E122" s="241">
        <v>148.71824423946413</v>
      </c>
      <c r="F122" s="241">
        <v>256</v>
      </c>
      <c r="G122" s="249"/>
      <c r="H122" s="249"/>
      <c r="I122" s="249"/>
      <c r="J122" s="249"/>
      <c r="K122" s="249"/>
      <c r="L122" s="250"/>
      <c r="M122" s="250"/>
      <c r="N122" s="250"/>
      <c r="O122" s="250"/>
      <c r="P122" s="250"/>
      <c r="Q122" s="250"/>
      <c r="R122" s="250"/>
      <c r="S122" s="249"/>
      <c r="T122" s="249"/>
      <c r="U122" s="249"/>
      <c r="V122" s="249"/>
      <c r="W122" s="249"/>
      <c r="X122" s="249"/>
      <c r="Y122" s="249"/>
      <c r="Z122" s="250"/>
      <c r="AA122" s="250"/>
      <c r="AB122" s="250"/>
      <c r="AC122" s="250"/>
      <c r="AD122" s="250"/>
      <c r="AE122" s="250"/>
      <c r="AF122" s="250"/>
      <c r="AG122" s="249"/>
      <c r="AH122" s="249"/>
      <c r="AI122" s="249"/>
      <c r="AJ122" s="249"/>
      <c r="AK122" s="249"/>
      <c r="AL122" s="249"/>
      <c r="AM122" s="249"/>
      <c r="AN122" s="250"/>
      <c r="AO122" s="250"/>
      <c r="AP122" s="250"/>
      <c r="AQ122" s="250"/>
      <c r="AR122" s="250"/>
      <c r="AS122" s="250"/>
      <c r="AT122" s="250"/>
      <c r="AU122" s="249"/>
      <c r="AV122" s="249"/>
      <c r="AW122" s="249"/>
      <c r="AX122" s="249"/>
      <c r="AY122" s="249"/>
      <c r="AZ122" s="249"/>
      <c r="BA122" s="249"/>
      <c r="BB122" s="250"/>
      <c r="BC122" s="250"/>
      <c r="BD122" s="250"/>
      <c r="BE122" s="250"/>
      <c r="BF122" s="250"/>
      <c r="BG122" s="250"/>
      <c r="BH122" s="250"/>
      <c r="BI122" s="249">
        <v>12</v>
      </c>
      <c r="BJ122" s="249">
        <v>24</v>
      </c>
      <c r="BK122" s="249">
        <v>24</v>
      </c>
      <c r="BL122" s="249">
        <v>12</v>
      </c>
      <c r="BM122" s="249">
        <v>8</v>
      </c>
      <c r="BN122" s="249">
        <v>6</v>
      </c>
      <c r="BO122" s="249">
        <v>4</v>
      </c>
      <c r="BP122" s="250">
        <v>2</v>
      </c>
      <c r="BQ122" s="250"/>
      <c r="BR122" s="250"/>
      <c r="BS122" s="250"/>
      <c r="BT122" s="250"/>
      <c r="BU122" s="250"/>
      <c r="BV122" s="250"/>
      <c r="BW122" s="249"/>
      <c r="BX122" s="249"/>
      <c r="BY122" s="249"/>
      <c r="BZ122" s="249"/>
      <c r="CA122" s="249"/>
      <c r="CB122" s="249"/>
      <c r="CC122" s="249"/>
      <c r="CD122" s="250"/>
      <c r="CE122" s="250"/>
      <c r="CF122" s="250"/>
      <c r="CG122" s="250"/>
      <c r="CH122" s="250"/>
      <c r="CI122" s="250"/>
      <c r="CJ122" s="250"/>
      <c r="CK122" s="249"/>
      <c r="CL122" s="249"/>
      <c r="CM122" s="249"/>
      <c r="CN122" s="249"/>
      <c r="CO122" s="249"/>
      <c r="CP122" s="249"/>
      <c r="CQ122" s="249"/>
      <c r="CR122" s="250"/>
      <c r="CS122" s="250"/>
      <c r="CT122" s="250"/>
      <c r="CU122" s="250"/>
      <c r="CV122" s="250"/>
      <c r="CW122" s="250"/>
      <c r="CX122" s="250"/>
      <c r="CY122" s="249"/>
      <c r="CZ122" s="249"/>
      <c r="DA122" s="249"/>
      <c r="DB122" s="249"/>
      <c r="DC122" s="249"/>
      <c r="DD122" s="249"/>
      <c r="DE122" s="249"/>
      <c r="DF122" s="250"/>
      <c r="DG122" s="250"/>
      <c r="DH122" s="250"/>
      <c r="DI122" s="250"/>
      <c r="DJ122" s="250"/>
      <c r="DK122" s="250"/>
      <c r="DL122" s="250"/>
      <c r="DM122" s="249"/>
      <c r="DN122" s="249"/>
      <c r="DO122" s="249"/>
      <c r="DP122" s="249"/>
      <c r="DQ122" s="249"/>
      <c r="DR122" s="249"/>
      <c r="DS122" s="249"/>
      <c r="DT122" s="250"/>
      <c r="DU122" s="250"/>
      <c r="DV122" s="250"/>
      <c r="DW122" s="250"/>
      <c r="DX122" s="250"/>
      <c r="DY122" s="250"/>
      <c r="DZ122" s="250"/>
      <c r="EA122" s="249"/>
      <c r="EB122" s="249"/>
      <c r="EC122" s="249"/>
      <c r="ED122" s="249"/>
      <c r="EE122" s="249"/>
      <c r="EF122" s="249"/>
      <c r="EG122" s="249"/>
      <c r="EH122" s="250"/>
      <c r="EI122" s="250"/>
      <c r="EJ122" s="250"/>
      <c r="EK122" s="250"/>
      <c r="EL122" s="250"/>
      <c r="EM122" s="250"/>
      <c r="EN122" s="250"/>
      <c r="EO122" s="249"/>
      <c r="EP122" s="249"/>
      <c r="EQ122" s="249"/>
      <c r="ER122" s="249"/>
      <c r="ES122" s="249"/>
      <c r="ET122" s="249"/>
      <c r="EU122" s="249"/>
      <c r="EV122" s="250"/>
      <c r="EW122" s="250"/>
      <c r="EX122" s="250"/>
      <c r="EY122" s="250"/>
      <c r="EZ122" s="250"/>
      <c r="FA122" s="250"/>
      <c r="FB122" s="250"/>
      <c r="FC122" s="249"/>
      <c r="FD122" s="249"/>
      <c r="FE122" s="249"/>
      <c r="FF122" s="249"/>
      <c r="FG122" s="249"/>
      <c r="FH122" s="249"/>
      <c r="FI122" s="249"/>
      <c r="FJ122" s="250"/>
      <c r="FK122" s="250"/>
      <c r="FL122" s="250"/>
      <c r="FM122" s="250"/>
      <c r="FN122" s="250"/>
      <c r="FO122" s="250"/>
      <c r="FP122" s="250"/>
      <c r="FQ122" s="249"/>
      <c r="FR122" s="249"/>
      <c r="FS122" s="249"/>
      <c r="FT122" s="249"/>
      <c r="FU122" s="249"/>
      <c r="FV122" s="249"/>
      <c r="FW122" s="249"/>
      <c r="FX122" s="250"/>
      <c r="FY122" s="250"/>
      <c r="FZ122" s="250"/>
      <c r="GA122" s="250"/>
      <c r="GB122" s="250"/>
      <c r="GC122" s="250"/>
      <c r="GD122" s="250"/>
      <c r="GE122" s="249"/>
      <c r="GF122" s="249"/>
      <c r="GG122" s="249"/>
      <c r="GH122" s="249"/>
      <c r="GI122" s="249"/>
      <c r="GJ122" s="249"/>
      <c r="GK122" s="249"/>
      <c r="GL122" s="250"/>
      <c r="GM122" s="250"/>
      <c r="GN122" s="250"/>
      <c r="GO122" s="250"/>
      <c r="GP122" s="250"/>
      <c r="GQ122" s="250"/>
      <c r="GR122" s="250"/>
      <c r="GS122" s="249"/>
      <c r="GT122" s="249"/>
      <c r="GU122" s="249"/>
      <c r="GV122" s="249"/>
      <c r="GW122" s="249"/>
      <c r="GX122" s="249"/>
      <c r="GY122" s="249"/>
      <c r="GZ122" s="250"/>
      <c r="HA122" s="250"/>
      <c r="HB122" s="250"/>
      <c r="HC122" s="250"/>
      <c r="HD122" s="250"/>
      <c r="HE122" s="250"/>
      <c r="HF122" s="250"/>
      <c r="HG122" s="249"/>
      <c r="HH122" s="249"/>
      <c r="HI122" s="249"/>
      <c r="HJ122" s="249"/>
      <c r="HK122" s="249"/>
      <c r="HL122" s="249"/>
      <c r="HM122" s="249"/>
      <c r="HN122" s="250"/>
      <c r="HO122" s="250"/>
      <c r="HP122" s="250"/>
      <c r="HQ122" s="250"/>
      <c r="HR122" s="250"/>
      <c r="HS122" s="250"/>
      <c r="HT122" s="250"/>
      <c r="HU122" s="249"/>
      <c r="HV122" s="249"/>
      <c r="HW122" s="249"/>
      <c r="HX122" s="249"/>
      <c r="HY122" s="249"/>
      <c r="HZ122" s="249"/>
      <c r="IA122" s="249"/>
      <c r="IB122" s="250"/>
      <c r="IC122" s="250"/>
      <c r="ID122" s="250"/>
      <c r="IE122" s="250"/>
      <c r="IF122" s="250"/>
      <c r="IG122" s="250"/>
      <c r="IH122" s="250"/>
      <c r="II122" s="249"/>
      <c r="IJ122" s="249"/>
      <c r="IK122" s="249"/>
      <c r="IL122" s="249"/>
      <c r="IM122" s="249"/>
      <c r="IN122" s="249"/>
      <c r="IO122" s="249"/>
      <c r="IP122" s="250"/>
      <c r="IQ122" s="250"/>
      <c r="IR122" s="250"/>
      <c r="IS122" s="250"/>
      <c r="IT122" s="250"/>
      <c r="IU122" s="250"/>
      <c r="IV122" s="250"/>
      <c r="IW122" s="249"/>
      <c r="IX122" s="249"/>
      <c r="IY122" s="249"/>
      <c r="IZ122" s="249"/>
      <c r="JA122" s="249"/>
      <c r="JB122" s="249"/>
      <c r="JC122" s="249"/>
      <c r="JD122" s="250"/>
      <c r="JE122" s="250"/>
      <c r="JF122" s="250"/>
      <c r="JG122" s="250"/>
      <c r="JH122" s="250"/>
      <c r="JI122" s="250"/>
      <c r="JJ122" s="250"/>
      <c r="JK122" s="249"/>
      <c r="JL122" s="249"/>
      <c r="JM122" s="249"/>
      <c r="JN122" s="249"/>
      <c r="JO122" s="249"/>
      <c r="JP122" s="249"/>
      <c r="JQ122" s="249"/>
      <c r="JR122" s="250"/>
      <c r="JS122" s="250"/>
      <c r="JT122" s="250"/>
      <c r="JU122" s="250"/>
      <c r="JV122" s="250"/>
      <c r="JW122" s="250"/>
      <c r="JX122" s="250"/>
      <c r="JY122" s="249"/>
      <c r="JZ122" s="249"/>
      <c r="KA122" s="249"/>
      <c r="KB122" s="249"/>
      <c r="KC122" s="249"/>
      <c r="KD122" s="249"/>
      <c r="KE122" s="249">
        <v>12</v>
      </c>
      <c r="KF122" s="250">
        <v>24</v>
      </c>
      <c r="KG122" s="250">
        <v>24</v>
      </c>
      <c r="KH122" s="250">
        <v>24</v>
      </c>
      <c r="KI122" s="250">
        <v>24</v>
      </c>
      <c r="KJ122" s="250">
        <v>24</v>
      </c>
      <c r="KK122" s="250">
        <v>12</v>
      </c>
      <c r="KL122" s="250">
        <v>8</v>
      </c>
      <c r="KM122" s="249">
        <v>6</v>
      </c>
      <c r="KN122" s="249">
        <v>4</v>
      </c>
      <c r="KO122" s="249">
        <v>2</v>
      </c>
      <c r="KP122" s="249"/>
      <c r="KQ122" s="249"/>
      <c r="KR122" s="249"/>
      <c r="KS122" s="249"/>
      <c r="KT122" s="250"/>
      <c r="KU122" s="250"/>
      <c r="KV122" s="250"/>
      <c r="KW122" s="250"/>
      <c r="KX122" s="250"/>
      <c r="KY122" s="250"/>
      <c r="KZ122" s="250"/>
      <c r="LA122" s="249"/>
      <c r="LB122" s="249"/>
      <c r="LC122" s="249"/>
      <c r="LD122" s="249"/>
      <c r="LE122" s="249"/>
      <c r="LF122" s="249"/>
      <c r="LG122" s="249"/>
      <c r="LH122" s="250"/>
      <c r="LI122" s="250"/>
      <c r="LJ122" s="250"/>
      <c r="LK122" s="250"/>
      <c r="LL122" s="250"/>
      <c r="LM122" s="250"/>
      <c r="LN122" s="250"/>
      <c r="LO122" s="249"/>
      <c r="LP122" s="249"/>
      <c r="LQ122" s="249"/>
      <c r="LR122" s="249"/>
      <c r="LS122" s="249"/>
      <c r="LT122" s="249"/>
      <c r="LU122" s="249"/>
      <c r="LV122" s="250"/>
      <c r="LW122" s="250"/>
      <c r="LX122" s="250"/>
      <c r="LY122" s="250"/>
      <c r="LZ122" s="250"/>
      <c r="MA122" s="250"/>
      <c r="MB122" s="250"/>
      <c r="MC122" s="249"/>
      <c r="MD122" s="249"/>
      <c r="ME122" s="249"/>
      <c r="MF122" s="249"/>
      <c r="MG122" s="249"/>
      <c r="MH122" s="249"/>
      <c r="MI122" s="249"/>
      <c r="MJ122" s="250"/>
      <c r="MK122" s="250"/>
      <c r="ML122" s="250"/>
      <c r="MM122" s="250"/>
      <c r="MN122" s="250"/>
      <c r="MO122" s="250"/>
      <c r="MP122" s="250"/>
      <c r="MQ122" s="249"/>
      <c r="MR122" s="249"/>
      <c r="MS122" s="249"/>
      <c r="MT122" s="249"/>
      <c r="MU122" s="249"/>
      <c r="MV122" s="249"/>
      <c r="MW122" s="249"/>
      <c r="MX122" s="250"/>
      <c r="MY122" s="250"/>
      <c r="MZ122" s="250"/>
      <c r="NA122" s="250"/>
      <c r="NB122" s="250"/>
      <c r="NC122" s="250"/>
      <c r="ND122" s="250"/>
      <c r="NE122" s="249"/>
      <c r="NF122" s="249"/>
      <c r="NG122" s="249"/>
      <c r="NH122" s="333" t="s">
        <v>1123</v>
      </c>
    </row>
    <row r="123" spans="1:372">
      <c r="A123" s="251" t="s">
        <v>985</v>
      </c>
      <c r="B123" s="251" t="s">
        <v>92</v>
      </c>
      <c r="C123" s="251" t="s">
        <v>674</v>
      </c>
      <c r="D123" s="251" t="s">
        <v>982</v>
      </c>
      <c r="E123" s="241">
        <v>36.678277767309325</v>
      </c>
      <c r="F123" s="241">
        <v>0</v>
      </c>
      <c r="G123" s="249"/>
      <c r="H123" s="249"/>
      <c r="I123" s="249"/>
      <c r="J123" s="249"/>
      <c r="K123" s="249"/>
      <c r="L123" s="250"/>
      <c r="M123" s="250"/>
      <c r="N123" s="250"/>
      <c r="O123" s="250"/>
      <c r="P123" s="250"/>
      <c r="Q123" s="250"/>
      <c r="R123" s="250"/>
      <c r="S123" s="249"/>
      <c r="T123" s="249"/>
      <c r="U123" s="249"/>
      <c r="V123" s="249"/>
      <c r="W123" s="249"/>
      <c r="X123" s="249"/>
      <c r="Y123" s="249"/>
      <c r="Z123" s="250"/>
      <c r="AA123" s="250"/>
      <c r="AB123" s="250"/>
      <c r="AC123" s="250"/>
      <c r="AD123" s="250"/>
      <c r="AE123" s="250"/>
      <c r="AF123" s="250"/>
      <c r="AG123" s="249"/>
      <c r="AH123" s="249"/>
      <c r="AI123" s="249"/>
      <c r="AJ123" s="249"/>
      <c r="AK123" s="249"/>
      <c r="AL123" s="249"/>
      <c r="AM123" s="249"/>
      <c r="AN123" s="250"/>
      <c r="AO123" s="250"/>
      <c r="AP123" s="250"/>
      <c r="AQ123" s="250"/>
      <c r="AR123" s="250"/>
      <c r="AS123" s="250"/>
      <c r="AT123" s="250"/>
      <c r="AU123" s="249"/>
      <c r="AV123" s="249"/>
      <c r="AW123" s="249"/>
      <c r="AX123" s="249"/>
      <c r="AY123" s="249"/>
      <c r="AZ123" s="249"/>
      <c r="BA123" s="249"/>
      <c r="BB123" s="250"/>
      <c r="BC123" s="250"/>
      <c r="BD123" s="250"/>
      <c r="BE123" s="250"/>
      <c r="BF123" s="250"/>
      <c r="BG123" s="250"/>
      <c r="BH123" s="250"/>
      <c r="BI123" s="249"/>
      <c r="BJ123" s="249"/>
      <c r="BK123" s="249"/>
      <c r="BL123" s="249"/>
      <c r="BM123" s="249"/>
      <c r="BN123" s="249"/>
      <c r="BO123" s="249"/>
      <c r="BP123" s="250"/>
      <c r="BQ123" s="250"/>
      <c r="BR123" s="250"/>
      <c r="BS123" s="250"/>
      <c r="BT123" s="250"/>
      <c r="BU123" s="250"/>
      <c r="BV123" s="250"/>
      <c r="BW123" s="249"/>
      <c r="BX123" s="249"/>
      <c r="BY123" s="249"/>
      <c r="BZ123" s="249"/>
      <c r="CA123" s="249"/>
      <c r="CB123" s="249"/>
      <c r="CC123" s="249"/>
      <c r="CD123" s="250"/>
      <c r="CE123" s="250"/>
      <c r="CF123" s="250"/>
      <c r="CG123" s="250"/>
      <c r="CH123" s="250"/>
      <c r="CI123" s="250"/>
      <c r="CJ123" s="250"/>
      <c r="CK123" s="249"/>
      <c r="CL123" s="249"/>
      <c r="CM123" s="249"/>
      <c r="CN123" s="249"/>
      <c r="CO123" s="249"/>
      <c r="CP123" s="249"/>
      <c r="CQ123" s="249"/>
      <c r="CR123" s="250"/>
      <c r="CS123" s="250"/>
      <c r="CT123" s="250"/>
      <c r="CU123" s="250"/>
      <c r="CV123" s="250"/>
      <c r="CW123" s="250"/>
      <c r="CX123" s="250"/>
      <c r="CY123" s="249"/>
      <c r="CZ123" s="249"/>
      <c r="DA123" s="249"/>
      <c r="DB123" s="249"/>
      <c r="DC123" s="249"/>
      <c r="DD123" s="249"/>
      <c r="DE123" s="249"/>
      <c r="DF123" s="250"/>
      <c r="DG123" s="250"/>
      <c r="DH123" s="250"/>
      <c r="DI123" s="250"/>
      <c r="DJ123" s="250"/>
      <c r="DK123" s="250"/>
      <c r="DL123" s="250"/>
      <c r="DM123" s="249"/>
      <c r="DN123" s="249"/>
      <c r="DO123" s="249"/>
      <c r="DP123" s="249"/>
      <c r="DQ123" s="249"/>
      <c r="DR123" s="249"/>
      <c r="DS123" s="249"/>
      <c r="DT123" s="250"/>
      <c r="DU123" s="250"/>
      <c r="DV123" s="250"/>
      <c r="DW123" s="250"/>
      <c r="DX123" s="250"/>
      <c r="DY123" s="250"/>
      <c r="DZ123" s="250"/>
      <c r="EA123" s="249"/>
      <c r="EB123" s="249"/>
      <c r="EC123" s="249"/>
      <c r="ED123" s="249"/>
      <c r="EE123" s="249"/>
      <c r="EF123" s="249"/>
      <c r="EG123" s="249"/>
      <c r="EH123" s="250"/>
      <c r="EI123" s="250"/>
      <c r="EJ123" s="250"/>
      <c r="EK123" s="250"/>
      <c r="EL123" s="250"/>
      <c r="EM123" s="250"/>
      <c r="EN123" s="250"/>
      <c r="EO123" s="249"/>
      <c r="EP123" s="249"/>
      <c r="EQ123" s="249"/>
      <c r="ER123" s="249"/>
      <c r="ES123" s="249"/>
      <c r="ET123" s="249"/>
      <c r="EU123" s="249"/>
      <c r="EV123" s="250"/>
      <c r="EW123" s="250"/>
      <c r="EX123" s="250"/>
      <c r="EY123" s="250"/>
      <c r="EZ123" s="250"/>
      <c r="FA123" s="250"/>
      <c r="FB123" s="250"/>
      <c r="FC123" s="249"/>
      <c r="FD123" s="249"/>
      <c r="FE123" s="249"/>
      <c r="FF123" s="249"/>
      <c r="FG123" s="249"/>
      <c r="FH123" s="249"/>
      <c r="FI123" s="249"/>
      <c r="FJ123" s="250"/>
      <c r="FK123" s="250"/>
      <c r="FL123" s="250"/>
      <c r="FM123" s="250"/>
      <c r="FN123" s="250"/>
      <c r="FO123" s="250"/>
      <c r="FP123" s="250"/>
      <c r="FQ123" s="249"/>
      <c r="FR123" s="249"/>
      <c r="FS123" s="249"/>
      <c r="FT123" s="249"/>
      <c r="FU123" s="249"/>
      <c r="FV123" s="249"/>
      <c r="FW123" s="249"/>
      <c r="FX123" s="250"/>
      <c r="FY123" s="250"/>
      <c r="FZ123" s="250"/>
      <c r="GA123" s="250"/>
      <c r="GB123" s="250"/>
      <c r="GC123" s="250"/>
      <c r="GD123" s="250"/>
      <c r="GE123" s="249"/>
      <c r="GF123" s="249"/>
      <c r="GG123" s="249"/>
      <c r="GH123" s="249"/>
      <c r="GI123" s="249"/>
      <c r="GJ123" s="249"/>
      <c r="GK123" s="249"/>
      <c r="GL123" s="250"/>
      <c r="GM123" s="250"/>
      <c r="GN123" s="250"/>
      <c r="GO123" s="250"/>
      <c r="GP123" s="250"/>
      <c r="GQ123" s="250"/>
      <c r="GR123" s="250"/>
      <c r="GS123" s="249"/>
      <c r="GT123" s="249"/>
      <c r="GU123" s="249"/>
      <c r="GV123" s="249"/>
      <c r="GW123" s="249"/>
      <c r="GX123" s="249"/>
      <c r="GY123" s="249"/>
      <c r="GZ123" s="250"/>
      <c r="HA123" s="250"/>
      <c r="HB123" s="250"/>
      <c r="HC123" s="250"/>
      <c r="HD123" s="250"/>
      <c r="HE123" s="250"/>
      <c r="HF123" s="250"/>
      <c r="HG123" s="249"/>
      <c r="HH123" s="249"/>
      <c r="HI123" s="249"/>
      <c r="HJ123" s="249"/>
      <c r="HK123" s="249"/>
      <c r="HL123" s="249"/>
      <c r="HM123" s="249"/>
      <c r="HN123" s="250"/>
      <c r="HO123" s="250"/>
      <c r="HP123" s="250"/>
      <c r="HQ123" s="250"/>
      <c r="HR123" s="250"/>
      <c r="HS123" s="250"/>
      <c r="HT123" s="250"/>
      <c r="HU123" s="249"/>
      <c r="HV123" s="249"/>
      <c r="HW123" s="249"/>
      <c r="HX123" s="249"/>
      <c r="HY123" s="249"/>
      <c r="HZ123" s="249"/>
      <c r="IA123" s="249"/>
      <c r="IB123" s="250"/>
      <c r="IC123" s="250"/>
      <c r="ID123" s="250"/>
      <c r="IE123" s="250"/>
      <c r="IF123" s="250"/>
      <c r="IG123" s="250"/>
      <c r="IH123" s="250"/>
      <c r="II123" s="249"/>
      <c r="IJ123" s="249"/>
      <c r="IK123" s="249"/>
      <c r="IL123" s="249"/>
      <c r="IM123" s="249"/>
      <c r="IN123" s="249"/>
      <c r="IO123" s="249"/>
      <c r="IP123" s="250"/>
      <c r="IQ123" s="250"/>
      <c r="IR123" s="250"/>
      <c r="IS123" s="250"/>
      <c r="IT123" s="250"/>
      <c r="IU123" s="250"/>
      <c r="IV123" s="250"/>
      <c r="IW123" s="249"/>
      <c r="IX123" s="249"/>
      <c r="IY123" s="249"/>
      <c r="IZ123" s="249"/>
      <c r="JA123" s="249"/>
      <c r="JB123" s="249"/>
      <c r="JC123" s="249"/>
      <c r="JD123" s="250"/>
      <c r="JE123" s="250"/>
      <c r="JF123" s="250"/>
      <c r="JG123" s="250"/>
      <c r="JH123" s="250"/>
      <c r="JI123" s="250"/>
      <c r="JJ123" s="250"/>
      <c r="JK123" s="249"/>
      <c r="JL123" s="249"/>
      <c r="JM123" s="249"/>
      <c r="JN123" s="249"/>
      <c r="JO123" s="249"/>
      <c r="JP123" s="249"/>
      <c r="JQ123" s="249"/>
      <c r="JR123" s="250"/>
      <c r="JS123" s="250"/>
      <c r="JT123" s="250"/>
      <c r="JU123" s="250"/>
      <c r="JV123" s="250"/>
      <c r="JW123" s="250"/>
      <c r="JX123" s="250"/>
      <c r="JY123" s="249"/>
      <c r="JZ123" s="249"/>
      <c r="KA123" s="249"/>
      <c r="KB123" s="249"/>
      <c r="KC123" s="249"/>
      <c r="KD123" s="249"/>
      <c r="KE123" s="249"/>
      <c r="KF123" s="250"/>
      <c r="KG123" s="250"/>
      <c r="KH123" s="250"/>
      <c r="KI123" s="250"/>
      <c r="KJ123" s="250"/>
      <c r="KK123" s="250"/>
      <c r="KL123" s="250"/>
      <c r="KM123" s="249"/>
      <c r="KN123" s="249"/>
      <c r="KO123" s="249"/>
      <c r="KP123" s="249"/>
      <c r="KQ123" s="249"/>
      <c r="KR123" s="249"/>
      <c r="KS123" s="249"/>
      <c r="KT123" s="250"/>
      <c r="KU123" s="250"/>
      <c r="KV123" s="250"/>
      <c r="KW123" s="250"/>
      <c r="KX123" s="250"/>
      <c r="KY123" s="250"/>
      <c r="KZ123" s="250"/>
      <c r="LA123" s="249"/>
      <c r="LB123" s="249"/>
      <c r="LC123" s="249"/>
      <c r="LD123" s="249"/>
      <c r="LE123" s="249"/>
      <c r="LF123" s="249"/>
      <c r="LG123" s="249"/>
      <c r="LH123" s="250"/>
      <c r="LI123" s="250"/>
      <c r="LJ123" s="250"/>
      <c r="LK123" s="250"/>
      <c r="LL123" s="250"/>
      <c r="LM123" s="250"/>
      <c r="LN123" s="250"/>
      <c r="LO123" s="249"/>
      <c r="LP123" s="249"/>
      <c r="LQ123" s="249"/>
      <c r="LR123" s="249"/>
      <c r="LS123" s="249"/>
      <c r="LT123" s="249"/>
      <c r="LU123" s="249"/>
      <c r="LV123" s="250"/>
      <c r="LW123" s="250"/>
      <c r="LX123" s="250"/>
      <c r="LY123" s="250"/>
      <c r="LZ123" s="250"/>
      <c r="MA123" s="250"/>
      <c r="MB123" s="250"/>
      <c r="MC123" s="249"/>
      <c r="MD123" s="249"/>
      <c r="ME123" s="249"/>
      <c r="MF123" s="249"/>
      <c r="MG123" s="249"/>
      <c r="MH123" s="249"/>
      <c r="MI123" s="249"/>
      <c r="MJ123" s="250"/>
      <c r="MK123" s="250"/>
      <c r="ML123" s="250"/>
      <c r="MM123" s="250"/>
      <c r="MN123" s="250"/>
      <c r="MO123" s="250"/>
      <c r="MP123" s="250"/>
      <c r="MQ123" s="249"/>
      <c r="MR123" s="249"/>
      <c r="MS123" s="249"/>
      <c r="MT123" s="249"/>
      <c r="MU123" s="249"/>
      <c r="MV123" s="249"/>
      <c r="MW123" s="249"/>
      <c r="MX123" s="250"/>
      <c r="MY123" s="250"/>
      <c r="MZ123" s="250"/>
      <c r="NA123" s="250"/>
      <c r="NB123" s="250"/>
      <c r="NC123" s="250"/>
      <c r="ND123" s="250"/>
      <c r="NE123" s="249"/>
      <c r="NF123" s="249"/>
      <c r="NG123" s="249"/>
      <c r="NH123" s="333"/>
    </row>
    <row r="124" spans="1:372">
      <c r="A124" s="251" t="s">
        <v>985</v>
      </c>
      <c r="B124" s="251" t="s">
        <v>93</v>
      </c>
      <c r="C124" s="251" t="s">
        <v>674</v>
      </c>
      <c r="D124" s="251" t="s">
        <v>997</v>
      </c>
      <c r="E124" s="241">
        <v>104.64079993733341</v>
      </c>
      <c r="F124" s="241">
        <v>38</v>
      </c>
      <c r="G124" s="249"/>
      <c r="H124" s="249"/>
      <c r="I124" s="249"/>
      <c r="J124" s="249"/>
      <c r="K124" s="249"/>
      <c r="L124" s="250"/>
      <c r="M124" s="250"/>
      <c r="N124" s="250"/>
      <c r="O124" s="250"/>
      <c r="P124" s="250"/>
      <c r="Q124" s="250"/>
      <c r="R124" s="250"/>
      <c r="S124" s="249"/>
      <c r="T124" s="249"/>
      <c r="U124" s="249"/>
      <c r="V124" s="249"/>
      <c r="W124" s="249"/>
      <c r="X124" s="249"/>
      <c r="Y124" s="249"/>
      <c r="Z124" s="250"/>
      <c r="AA124" s="250"/>
      <c r="AB124" s="250"/>
      <c r="AC124" s="250"/>
      <c r="AD124" s="250"/>
      <c r="AE124" s="250"/>
      <c r="AF124" s="250"/>
      <c r="AG124" s="249"/>
      <c r="AH124" s="249"/>
      <c r="AI124" s="249"/>
      <c r="AJ124" s="249"/>
      <c r="AK124" s="249"/>
      <c r="AL124" s="249"/>
      <c r="AM124" s="249"/>
      <c r="AN124" s="250"/>
      <c r="AO124" s="250"/>
      <c r="AP124" s="250"/>
      <c r="AQ124" s="250"/>
      <c r="AR124" s="250"/>
      <c r="AS124" s="250"/>
      <c r="AT124" s="250"/>
      <c r="AU124" s="249"/>
      <c r="AV124" s="249"/>
      <c r="AW124" s="249"/>
      <c r="AX124" s="249">
        <v>4</v>
      </c>
      <c r="AY124" s="249"/>
      <c r="AZ124" s="249"/>
      <c r="BA124" s="249"/>
      <c r="BB124" s="250"/>
      <c r="BC124" s="250"/>
      <c r="BD124" s="250"/>
      <c r="BE124" s="250"/>
      <c r="BF124" s="250"/>
      <c r="BG124" s="250"/>
      <c r="BH124" s="250"/>
      <c r="BI124" s="249"/>
      <c r="BJ124" s="249"/>
      <c r="BK124" s="249"/>
      <c r="BL124" s="249"/>
      <c r="BM124" s="249"/>
      <c r="BN124" s="249"/>
      <c r="BO124" s="249"/>
      <c r="BP124" s="250"/>
      <c r="BQ124" s="250"/>
      <c r="BR124" s="250"/>
      <c r="BS124" s="250"/>
      <c r="BT124" s="250"/>
      <c r="BU124" s="250"/>
      <c r="BV124" s="250"/>
      <c r="BW124" s="249"/>
      <c r="BX124" s="249"/>
      <c r="BY124" s="249">
        <v>2</v>
      </c>
      <c r="BZ124" s="249"/>
      <c r="CA124" s="249"/>
      <c r="CB124" s="249"/>
      <c r="CC124" s="249"/>
      <c r="CD124" s="250"/>
      <c r="CE124" s="250"/>
      <c r="CF124" s="250"/>
      <c r="CG124" s="250"/>
      <c r="CH124" s="250"/>
      <c r="CI124" s="250"/>
      <c r="CJ124" s="250"/>
      <c r="CK124" s="249"/>
      <c r="CL124" s="249"/>
      <c r="CM124" s="249"/>
      <c r="CN124" s="249"/>
      <c r="CO124" s="249"/>
      <c r="CP124" s="249"/>
      <c r="CQ124" s="249"/>
      <c r="CR124" s="250"/>
      <c r="CS124" s="250"/>
      <c r="CT124" s="250"/>
      <c r="CU124" s="250"/>
      <c r="CV124" s="250"/>
      <c r="CW124" s="250"/>
      <c r="CX124" s="250"/>
      <c r="CY124" s="249"/>
      <c r="CZ124" s="249"/>
      <c r="DA124" s="249"/>
      <c r="DB124" s="249">
        <v>12</v>
      </c>
      <c r="DC124" s="249"/>
      <c r="DD124" s="249"/>
      <c r="DE124" s="249"/>
      <c r="DF124" s="250"/>
      <c r="DG124" s="250"/>
      <c r="DH124" s="250"/>
      <c r="DI124" s="250"/>
      <c r="DJ124" s="250"/>
      <c r="DK124" s="250"/>
      <c r="DL124" s="250"/>
      <c r="DM124" s="249"/>
      <c r="DN124" s="249"/>
      <c r="DO124" s="249"/>
      <c r="DP124" s="249"/>
      <c r="DQ124" s="249"/>
      <c r="DR124" s="249"/>
      <c r="DS124" s="249"/>
      <c r="DT124" s="250"/>
      <c r="DU124" s="250"/>
      <c r="DV124" s="250"/>
      <c r="DW124" s="250"/>
      <c r="DX124" s="250"/>
      <c r="DY124" s="250"/>
      <c r="DZ124" s="250"/>
      <c r="EA124" s="249"/>
      <c r="EB124" s="249"/>
      <c r="EC124" s="249"/>
      <c r="ED124" s="249"/>
      <c r="EE124" s="249"/>
      <c r="EF124" s="249"/>
      <c r="EG124" s="249"/>
      <c r="EH124" s="250"/>
      <c r="EI124" s="250"/>
      <c r="EJ124" s="250"/>
      <c r="EK124" s="250"/>
      <c r="EL124" s="250"/>
      <c r="EM124" s="250"/>
      <c r="EN124" s="250"/>
      <c r="EO124" s="249"/>
      <c r="EP124" s="249"/>
      <c r="EQ124" s="249"/>
      <c r="ER124" s="249"/>
      <c r="ES124" s="249"/>
      <c r="ET124" s="249"/>
      <c r="EU124" s="249"/>
      <c r="EV124" s="250"/>
      <c r="EW124" s="250"/>
      <c r="EX124" s="250"/>
      <c r="EY124" s="250"/>
      <c r="EZ124" s="250"/>
      <c r="FA124" s="250"/>
      <c r="FB124" s="250"/>
      <c r="FC124" s="249"/>
      <c r="FD124" s="249"/>
      <c r="FE124" s="249"/>
      <c r="FF124" s="249"/>
      <c r="FG124" s="249"/>
      <c r="FH124" s="249"/>
      <c r="FI124" s="249"/>
      <c r="FJ124" s="250"/>
      <c r="FK124" s="250"/>
      <c r="FL124" s="250"/>
      <c r="FM124" s="250">
        <v>4</v>
      </c>
      <c r="FN124" s="250"/>
      <c r="FO124" s="250"/>
      <c r="FP124" s="250"/>
      <c r="FQ124" s="249"/>
      <c r="FR124" s="249"/>
      <c r="FS124" s="249"/>
      <c r="FT124" s="249"/>
      <c r="FU124" s="249"/>
      <c r="FV124" s="249"/>
      <c r="FW124" s="249"/>
      <c r="FX124" s="250"/>
      <c r="FY124" s="250"/>
      <c r="FZ124" s="250"/>
      <c r="GA124" s="250"/>
      <c r="GB124" s="250"/>
      <c r="GC124" s="250"/>
      <c r="GD124" s="250"/>
      <c r="GE124" s="249"/>
      <c r="GF124" s="249"/>
      <c r="GG124" s="249"/>
      <c r="GH124" s="249"/>
      <c r="GI124" s="249"/>
      <c r="GJ124" s="249"/>
      <c r="GK124" s="249"/>
      <c r="GL124" s="250"/>
      <c r="GM124" s="250"/>
      <c r="GN124" s="250"/>
      <c r="GO124" s="250"/>
      <c r="GP124" s="250"/>
      <c r="GQ124" s="250"/>
      <c r="GR124" s="250"/>
      <c r="GS124" s="249"/>
      <c r="GT124" s="249"/>
      <c r="GU124" s="249"/>
      <c r="GV124" s="249"/>
      <c r="GW124" s="249"/>
      <c r="GX124" s="249"/>
      <c r="GY124" s="249"/>
      <c r="GZ124" s="250"/>
      <c r="HA124" s="250"/>
      <c r="HB124" s="250"/>
      <c r="HC124" s="250"/>
      <c r="HD124" s="250"/>
      <c r="HE124" s="250"/>
      <c r="HF124" s="250"/>
      <c r="HG124" s="249"/>
      <c r="HH124" s="249"/>
      <c r="HI124" s="249"/>
      <c r="HJ124" s="249"/>
      <c r="HK124" s="249"/>
      <c r="HL124" s="249"/>
      <c r="HM124" s="249"/>
      <c r="HN124" s="250"/>
      <c r="HO124" s="250"/>
      <c r="HP124" s="250"/>
      <c r="HQ124" s="250"/>
      <c r="HR124" s="250"/>
      <c r="HS124" s="250"/>
      <c r="HT124" s="250"/>
      <c r="HU124" s="249"/>
      <c r="HV124" s="249"/>
      <c r="HW124" s="249"/>
      <c r="HX124" s="249"/>
      <c r="HY124" s="249"/>
      <c r="HZ124" s="249"/>
      <c r="IA124" s="249"/>
      <c r="IB124" s="250"/>
      <c r="IC124" s="250"/>
      <c r="ID124" s="250"/>
      <c r="IE124" s="250"/>
      <c r="IF124" s="250"/>
      <c r="IG124" s="250"/>
      <c r="IH124" s="250"/>
      <c r="II124" s="249"/>
      <c r="IJ124" s="249"/>
      <c r="IK124" s="249"/>
      <c r="IL124" s="249">
        <v>12</v>
      </c>
      <c r="IM124" s="249"/>
      <c r="IN124" s="249"/>
      <c r="IO124" s="249"/>
      <c r="IP124" s="250"/>
      <c r="IQ124" s="250"/>
      <c r="IR124" s="250"/>
      <c r="IS124" s="250"/>
      <c r="IT124" s="250"/>
      <c r="IU124" s="250"/>
      <c r="IV124" s="250"/>
      <c r="IW124" s="249"/>
      <c r="IX124" s="249"/>
      <c r="IY124" s="249"/>
      <c r="IZ124" s="249"/>
      <c r="JA124" s="249"/>
      <c r="JB124" s="249"/>
      <c r="JC124" s="249"/>
      <c r="JD124" s="250"/>
      <c r="JE124" s="250"/>
      <c r="JF124" s="250"/>
      <c r="JG124" s="250"/>
      <c r="JH124" s="250"/>
      <c r="JI124" s="250"/>
      <c r="JJ124" s="250"/>
      <c r="JK124" s="249"/>
      <c r="JL124" s="249"/>
      <c r="JM124" s="249"/>
      <c r="JN124" s="249"/>
      <c r="JO124" s="249"/>
      <c r="JP124" s="249"/>
      <c r="JQ124" s="249"/>
      <c r="JR124" s="250"/>
      <c r="JS124" s="250"/>
      <c r="JT124" s="250"/>
      <c r="JU124" s="250"/>
      <c r="JV124" s="250"/>
      <c r="JW124" s="250"/>
      <c r="JX124" s="250"/>
      <c r="JY124" s="249"/>
      <c r="JZ124" s="249"/>
      <c r="KA124" s="249"/>
      <c r="KB124" s="249"/>
      <c r="KC124" s="249"/>
      <c r="KD124" s="249"/>
      <c r="KE124" s="249"/>
      <c r="KF124" s="250"/>
      <c r="KG124" s="250"/>
      <c r="KH124" s="250"/>
      <c r="KI124" s="250"/>
      <c r="KJ124" s="250"/>
      <c r="KK124" s="250"/>
      <c r="KL124" s="250"/>
      <c r="KM124" s="249"/>
      <c r="KN124" s="249"/>
      <c r="KO124" s="249"/>
      <c r="KP124" s="249">
        <v>4</v>
      </c>
      <c r="KQ124" s="249"/>
      <c r="KR124" s="249"/>
      <c r="KS124" s="249"/>
      <c r="KT124" s="250"/>
      <c r="KU124" s="250"/>
      <c r="KV124" s="250"/>
      <c r="KW124" s="250"/>
      <c r="KX124" s="250"/>
      <c r="KY124" s="250"/>
      <c r="KZ124" s="250"/>
      <c r="LA124" s="249"/>
      <c r="LB124" s="249"/>
      <c r="LC124" s="249"/>
      <c r="LD124" s="249"/>
      <c r="LE124" s="249"/>
      <c r="LF124" s="249"/>
      <c r="LG124" s="249"/>
      <c r="LH124" s="250"/>
      <c r="LI124" s="250"/>
      <c r="LJ124" s="250"/>
      <c r="LK124" s="250"/>
      <c r="LL124" s="250"/>
      <c r="LM124" s="250"/>
      <c r="LN124" s="250"/>
      <c r="LO124" s="249"/>
      <c r="LP124" s="249"/>
      <c r="LQ124" s="249"/>
      <c r="LR124" s="249"/>
      <c r="LS124" s="249"/>
      <c r="LT124" s="249"/>
      <c r="LU124" s="249"/>
      <c r="LV124" s="250"/>
      <c r="LW124" s="250"/>
      <c r="LX124" s="250"/>
      <c r="LY124" s="250"/>
      <c r="LZ124" s="250"/>
      <c r="MA124" s="250"/>
      <c r="MB124" s="250"/>
      <c r="MC124" s="249"/>
      <c r="MD124" s="249"/>
      <c r="ME124" s="249"/>
      <c r="MF124" s="249"/>
      <c r="MG124" s="249"/>
      <c r="MH124" s="249"/>
      <c r="MI124" s="249"/>
      <c r="MJ124" s="250"/>
      <c r="MK124" s="250"/>
      <c r="ML124" s="250"/>
      <c r="MM124" s="250"/>
      <c r="MN124" s="250"/>
      <c r="MO124" s="250"/>
      <c r="MP124" s="250"/>
      <c r="MQ124" s="249"/>
      <c r="MR124" s="249"/>
      <c r="MS124" s="249"/>
      <c r="MT124" s="249"/>
      <c r="MU124" s="249"/>
      <c r="MV124" s="249"/>
      <c r="MW124" s="249"/>
      <c r="MX124" s="250"/>
      <c r="MY124" s="250"/>
      <c r="MZ124" s="250"/>
      <c r="NA124" s="250"/>
      <c r="NB124" s="250"/>
      <c r="NC124" s="250"/>
      <c r="ND124" s="250"/>
      <c r="NE124" s="249"/>
      <c r="NF124" s="249"/>
      <c r="NG124" s="249"/>
      <c r="NH124" s="333"/>
    </row>
    <row r="125" spans="1:372">
      <c r="A125" s="251" t="s">
        <v>985</v>
      </c>
      <c r="B125" s="251" t="s">
        <v>94</v>
      </c>
      <c r="C125" s="251" t="s">
        <v>674</v>
      </c>
      <c r="D125" s="251" t="s">
        <v>997</v>
      </c>
      <c r="E125" s="241">
        <v>77.170866650943978</v>
      </c>
      <c r="F125" s="241">
        <v>50</v>
      </c>
      <c r="G125" s="249"/>
      <c r="H125" s="249"/>
      <c r="I125" s="249"/>
      <c r="J125" s="249"/>
      <c r="K125" s="249"/>
      <c r="L125" s="250"/>
      <c r="M125" s="250"/>
      <c r="N125" s="250"/>
      <c r="O125" s="250"/>
      <c r="P125" s="250"/>
      <c r="Q125" s="250"/>
      <c r="R125" s="250"/>
      <c r="S125" s="249"/>
      <c r="T125" s="249"/>
      <c r="U125" s="249"/>
      <c r="V125" s="249"/>
      <c r="W125" s="249"/>
      <c r="X125" s="249"/>
      <c r="Y125" s="249"/>
      <c r="Z125" s="250"/>
      <c r="AA125" s="250"/>
      <c r="AB125" s="250"/>
      <c r="AC125" s="250"/>
      <c r="AD125" s="250"/>
      <c r="AE125" s="250"/>
      <c r="AF125" s="250"/>
      <c r="AG125" s="249"/>
      <c r="AH125" s="249"/>
      <c r="AI125" s="249"/>
      <c r="AJ125" s="249"/>
      <c r="AK125" s="249"/>
      <c r="AL125" s="249"/>
      <c r="AM125" s="249"/>
      <c r="AN125" s="250"/>
      <c r="AO125" s="250"/>
      <c r="AP125" s="250"/>
      <c r="AQ125" s="250"/>
      <c r="AR125" s="250"/>
      <c r="AS125" s="250"/>
      <c r="AT125" s="250"/>
      <c r="AU125" s="249"/>
      <c r="AV125" s="249"/>
      <c r="AW125" s="249"/>
      <c r="AX125" s="249"/>
      <c r="AY125" s="249"/>
      <c r="AZ125" s="249"/>
      <c r="BA125" s="249"/>
      <c r="BB125" s="250"/>
      <c r="BC125" s="250"/>
      <c r="BD125" s="250"/>
      <c r="BE125" s="250"/>
      <c r="BF125" s="250"/>
      <c r="BG125" s="250"/>
      <c r="BH125" s="250"/>
      <c r="BI125" s="249"/>
      <c r="BJ125" s="249"/>
      <c r="BK125" s="249"/>
      <c r="BL125" s="249"/>
      <c r="BM125" s="249"/>
      <c r="BN125" s="249"/>
      <c r="BO125" s="249"/>
      <c r="BP125" s="250"/>
      <c r="BQ125" s="250"/>
      <c r="BR125" s="250"/>
      <c r="BS125" s="250"/>
      <c r="BT125" s="250"/>
      <c r="BU125" s="250"/>
      <c r="BV125" s="250"/>
      <c r="BW125" s="249"/>
      <c r="BX125" s="249">
        <v>2</v>
      </c>
      <c r="BY125" s="249"/>
      <c r="BZ125" s="249"/>
      <c r="CA125" s="249"/>
      <c r="CB125" s="249"/>
      <c r="CC125" s="249"/>
      <c r="CD125" s="250"/>
      <c r="CE125" s="250"/>
      <c r="CF125" s="250"/>
      <c r="CG125" s="250"/>
      <c r="CH125" s="250"/>
      <c r="CI125" s="250"/>
      <c r="CJ125" s="250"/>
      <c r="CK125" s="249"/>
      <c r="CL125" s="249"/>
      <c r="CM125" s="249"/>
      <c r="CN125" s="249">
        <v>12</v>
      </c>
      <c r="CO125" s="249"/>
      <c r="CP125" s="249"/>
      <c r="CQ125" s="249"/>
      <c r="CR125" s="250"/>
      <c r="CS125" s="250"/>
      <c r="CT125" s="250"/>
      <c r="CU125" s="250"/>
      <c r="CV125" s="250"/>
      <c r="CW125" s="250"/>
      <c r="CX125" s="250"/>
      <c r="CY125" s="249"/>
      <c r="CZ125" s="249"/>
      <c r="DA125" s="249"/>
      <c r="DB125" s="249"/>
      <c r="DC125" s="249"/>
      <c r="DD125" s="249"/>
      <c r="DE125" s="249"/>
      <c r="DF125" s="250"/>
      <c r="DG125" s="250"/>
      <c r="DH125" s="250"/>
      <c r="DI125" s="250"/>
      <c r="DJ125" s="250"/>
      <c r="DK125" s="250"/>
      <c r="DL125" s="250"/>
      <c r="DM125" s="249"/>
      <c r="DN125" s="249"/>
      <c r="DO125" s="249"/>
      <c r="DP125" s="249"/>
      <c r="DQ125" s="249"/>
      <c r="DR125" s="249"/>
      <c r="DS125" s="249"/>
      <c r="DT125" s="250"/>
      <c r="DU125" s="250"/>
      <c r="DV125" s="250"/>
      <c r="DW125" s="250"/>
      <c r="DX125" s="250"/>
      <c r="DY125" s="250"/>
      <c r="DZ125" s="250"/>
      <c r="EA125" s="249"/>
      <c r="EB125" s="249"/>
      <c r="EC125" s="249"/>
      <c r="ED125" s="249"/>
      <c r="EE125" s="249"/>
      <c r="EF125" s="249"/>
      <c r="EG125" s="249"/>
      <c r="EH125" s="250"/>
      <c r="EI125" s="250"/>
      <c r="EJ125" s="250"/>
      <c r="EK125" s="250"/>
      <c r="EL125" s="250"/>
      <c r="EM125" s="250"/>
      <c r="EN125" s="250"/>
      <c r="EO125" s="249"/>
      <c r="EP125" s="249"/>
      <c r="EQ125" s="249"/>
      <c r="ER125" s="249"/>
      <c r="ES125" s="249"/>
      <c r="ET125" s="249"/>
      <c r="EU125" s="249"/>
      <c r="EV125" s="250"/>
      <c r="EW125" s="250"/>
      <c r="EX125" s="250"/>
      <c r="EY125" s="250"/>
      <c r="EZ125" s="250"/>
      <c r="FA125" s="250"/>
      <c r="FB125" s="250"/>
      <c r="FC125" s="249"/>
      <c r="FD125" s="249"/>
      <c r="FE125" s="249"/>
      <c r="FF125" s="249"/>
      <c r="FG125" s="249"/>
      <c r="FH125" s="249"/>
      <c r="FI125" s="249"/>
      <c r="FJ125" s="250"/>
      <c r="FK125" s="250"/>
      <c r="FL125" s="250"/>
      <c r="FM125" s="250"/>
      <c r="FN125" s="250"/>
      <c r="FO125" s="250"/>
      <c r="FP125" s="250"/>
      <c r="FQ125" s="249"/>
      <c r="FR125" s="249"/>
      <c r="FS125" s="249"/>
      <c r="FT125" s="249"/>
      <c r="FU125" s="249"/>
      <c r="FV125" s="249"/>
      <c r="FW125" s="249"/>
      <c r="FX125" s="250"/>
      <c r="FY125" s="250"/>
      <c r="FZ125" s="250"/>
      <c r="GA125" s="250"/>
      <c r="GB125" s="250"/>
      <c r="GC125" s="250"/>
      <c r="GD125" s="250"/>
      <c r="GE125" s="249"/>
      <c r="GF125" s="249"/>
      <c r="GG125" s="249"/>
      <c r="GH125" s="249"/>
      <c r="GI125" s="249"/>
      <c r="GJ125" s="249"/>
      <c r="GK125" s="249"/>
      <c r="GL125" s="250"/>
      <c r="GM125" s="250"/>
      <c r="GN125" s="250"/>
      <c r="GO125" s="250"/>
      <c r="GP125" s="250"/>
      <c r="GQ125" s="250"/>
      <c r="GR125" s="250"/>
      <c r="GS125" s="249"/>
      <c r="GT125" s="249"/>
      <c r="GU125" s="249"/>
      <c r="GV125" s="249">
        <v>12</v>
      </c>
      <c r="GW125" s="249"/>
      <c r="GX125" s="249"/>
      <c r="GY125" s="249"/>
      <c r="GZ125" s="250"/>
      <c r="HA125" s="250"/>
      <c r="HB125" s="250"/>
      <c r="HC125" s="250"/>
      <c r="HD125" s="250"/>
      <c r="HE125" s="250"/>
      <c r="HF125" s="250"/>
      <c r="HG125" s="249"/>
      <c r="HH125" s="249"/>
      <c r="HI125" s="249"/>
      <c r="HJ125" s="249"/>
      <c r="HK125" s="249"/>
      <c r="HL125" s="249"/>
      <c r="HM125" s="249"/>
      <c r="HN125" s="250"/>
      <c r="HO125" s="250"/>
      <c r="HP125" s="250"/>
      <c r="HQ125" s="250"/>
      <c r="HR125" s="250"/>
      <c r="HS125" s="250"/>
      <c r="HT125" s="250"/>
      <c r="HU125" s="249"/>
      <c r="HV125" s="249"/>
      <c r="HW125" s="249"/>
      <c r="HX125" s="249"/>
      <c r="HY125" s="249"/>
      <c r="HZ125" s="249"/>
      <c r="IA125" s="249"/>
      <c r="IB125" s="250"/>
      <c r="IC125" s="250"/>
      <c r="ID125" s="250"/>
      <c r="IE125" s="250"/>
      <c r="IF125" s="250"/>
      <c r="IG125" s="250"/>
      <c r="IH125" s="250"/>
      <c r="II125" s="249"/>
      <c r="IJ125" s="249"/>
      <c r="IK125" s="249"/>
      <c r="IL125" s="249"/>
      <c r="IM125" s="249"/>
      <c r="IN125" s="249"/>
      <c r="IO125" s="249"/>
      <c r="IP125" s="250"/>
      <c r="IQ125" s="250"/>
      <c r="IR125" s="250"/>
      <c r="IS125" s="250"/>
      <c r="IT125" s="250"/>
      <c r="IU125" s="250"/>
      <c r="IV125" s="250"/>
      <c r="IW125" s="249"/>
      <c r="IX125" s="249"/>
      <c r="IY125" s="249"/>
      <c r="IZ125" s="249"/>
      <c r="JA125" s="249"/>
      <c r="JB125" s="249"/>
      <c r="JC125" s="249"/>
      <c r="JD125" s="250"/>
      <c r="JE125" s="250"/>
      <c r="JF125" s="250"/>
      <c r="JG125" s="250"/>
      <c r="JH125" s="250"/>
      <c r="JI125" s="250"/>
      <c r="JJ125" s="250"/>
      <c r="JK125" s="249"/>
      <c r="JL125" s="249"/>
      <c r="JM125" s="249"/>
      <c r="JN125" s="249"/>
      <c r="JO125" s="249"/>
      <c r="JP125" s="249"/>
      <c r="JQ125" s="249"/>
      <c r="JR125" s="250"/>
      <c r="JS125" s="250"/>
      <c r="JT125" s="250"/>
      <c r="JU125" s="250"/>
      <c r="JV125" s="250"/>
      <c r="JW125" s="250"/>
      <c r="JX125" s="250"/>
      <c r="JY125" s="249"/>
      <c r="JZ125" s="249"/>
      <c r="KA125" s="249"/>
      <c r="KB125" s="249"/>
      <c r="KC125" s="249"/>
      <c r="KD125" s="249"/>
      <c r="KE125" s="249"/>
      <c r="KF125" s="250"/>
      <c r="KG125" s="250"/>
      <c r="KH125" s="250"/>
      <c r="KI125" s="250"/>
      <c r="KJ125" s="250"/>
      <c r="KK125" s="250"/>
      <c r="KL125" s="250"/>
      <c r="KM125" s="249"/>
      <c r="KN125" s="249"/>
      <c r="KO125" s="249"/>
      <c r="KP125" s="249"/>
      <c r="KQ125" s="249"/>
      <c r="KR125" s="249"/>
      <c r="KS125" s="249"/>
      <c r="KT125" s="250"/>
      <c r="KU125" s="250"/>
      <c r="KV125" s="250"/>
      <c r="KW125" s="250"/>
      <c r="KX125" s="250"/>
      <c r="KY125" s="250"/>
      <c r="KZ125" s="250"/>
      <c r="LA125" s="249"/>
      <c r="LB125" s="249"/>
      <c r="LC125" s="249"/>
      <c r="LD125" s="249"/>
      <c r="LE125" s="249"/>
      <c r="LF125" s="249"/>
      <c r="LG125" s="249"/>
      <c r="LH125" s="250"/>
      <c r="LI125" s="250"/>
      <c r="LJ125" s="250"/>
      <c r="LK125" s="250"/>
      <c r="LL125" s="250"/>
      <c r="LM125" s="250"/>
      <c r="LN125" s="250"/>
      <c r="LO125" s="249"/>
      <c r="LP125" s="249"/>
      <c r="LQ125" s="249"/>
      <c r="LR125" s="249">
        <v>12</v>
      </c>
      <c r="LS125" s="249"/>
      <c r="LT125" s="249"/>
      <c r="LU125" s="249"/>
      <c r="LV125" s="250"/>
      <c r="LW125" s="250"/>
      <c r="LX125" s="250"/>
      <c r="LY125" s="250"/>
      <c r="LZ125" s="250"/>
      <c r="MA125" s="250"/>
      <c r="MB125" s="250"/>
      <c r="MC125" s="249"/>
      <c r="MD125" s="249"/>
      <c r="ME125" s="249"/>
      <c r="MF125" s="249"/>
      <c r="MG125" s="249"/>
      <c r="MH125" s="249"/>
      <c r="MI125" s="249"/>
      <c r="MJ125" s="250"/>
      <c r="MK125" s="250"/>
      <c r="ML125" s="250"/>
      <c r="MM125" s="250">
        <v>12</v>
      </c>
      <c r="MN125" s="250"/>
      <c r="MO125" s="250"/>
      <c r="MP125" s="250"/>
      <c r="MQ125" s="249"/>
      <c r="MR125" s="249"/>
      <c r="MS125" s="249"/>
      <c r="MT125" s="249"/>
      <c r="MU125" s="249"/>
      <c r="MV125" s="249"/>
      <c r="MW125" s="249"/>
      <c r="MX125" s="250"/>
      <c r="MY125" s="250"/>
      <c r="MZ125" s="250"/>
      <c r="NA125" s="250"/>
      <c r="NB125" s="250"/>
      <c r="NC125" s="250"/>
      <c r="ND125" s="250"/>
      <c r="NE125" s="249"/>
      <c r="NF125" s="249"/>
      <c r="NG125" s="249"/>
      <c r="NH125" s="333"/>
    </row>
    <row r="126" spans="1:372">
      <c r="A126" s="251" t="s">
        <v>985</v>
      </c>
      <c r="B126" s="251" t="s">
        <v>95</v>
      </c>
      <c r="C126" s="251" t="s">
        <v>674</v>
      </c>
      <c r="D126" s="251" t="s">
        <v>997</v>
      </c>
      <c r="E126" s="241">
        <v>92.155511053599795</v>
      </c>
      <c r="F126" s="241">
        <v>36</v>
      </c>
      <c r="G126" s="249"/>
      <c r="H126" s="249"/>
      <c r="I126" s="249"/>
      <c r="J126" s="249"/>
      <c r="K126" s="249"/>
      <c r="L126" s="250"/>
      <c r="M126" s="250"/>
      <c r="N126" s="250"/>
      <c r="O126" s="250"/>
      <c r="P126" s="250"/>
      <c r="Q126" s="250"/>
      <c r="R126" s="250"/>
      <c r="S126" s="249"/>
      <c r="T126" s="249"/>
      <c r="U126" s="249"/>
      <c r="V126" s="249">
        <v>12</v>
      </c>
      <c r="W126" s="249"/>
      <c r="X126" s="249"/>
      <c r="Y126" s="249"/>
      <c r="Z126" s="250"/>
      <c r="AA126" s="250"/>
      <c r="AB126" s="250"/>
      <c r="AC126" s="250"/>
      <c r="AD126" s="250"/>
      <c r="AE126" s="250"/>
      <c r="AF126" s="250"/>
      <c r="AG126" s="249"/>
      <c r="AH126" s="249"/>
      <c r="AI126" s="249"/>
      <c r="AJ126" s="249"/>
      <c r="AK126" s="249"/>
      <c r="AL126" s="249"/>
      <c r="AM126" s="249"/>
      <c r="AN126" s="250"/>
      <c r="AO126" s="250"/>
      <c r="AP126" s="250"/>
      <c r="AQ126" s="250"/>
      <c r="AR126" s="250"/>
      <c r="AS126" s="250"/>
      <c r="AT126" s="250"/>
      <c r="AU126" s="249"/>
      <c r="AV126" s="249"/>
      <c r="AW126" s="249"/>
      <c r="AX126" s="249"/>
      <c r="AY126" s="249"/>
      <c r="AZ126" s="249"/>
      <c r="BA126" s="249"/>
      <c r="BB126" s="250"/>
      <c r="BC126" s="250"/>
      <c r="BD126" s="250"/>
      <c r="BE126" s="250"/>
      <c r="BF126" s="250"/>
      <c r="BG126" s="250"/>
      <c r="BH126" s="250"/>
      <c r="BI126" s="249"/>
      <c r="BJ126" s="249"/>
      <c r="BK126" s="249"/>
      <c r="BL126" s="249"/>
      <c r="BM126" s="249"/>
      <c r="BN126" s="249"/>
      <c r="BO126" s="249"/>
      <c r="BP126" s="250"/>
      <c r="BQ126" s="250"/>
      <c r="BR126" s="250"/>
      <c r="BS126" s="250"/>
      <c r="BT126" s="250"/>
      <c r="BU126" s="250"/>
      <c r="BV126" s="250"/>
      <c r="BW126" s="249"/>
      <c r="BX126" s="249"/>
      <c r="BY126" s="249"/>
      <c r="BZ126" s="249"/>
      <c r="CA126" s="249"/>
      <c r="CB126" s="249"/>
      <c r="CC126" s="249"/>
      <c r="CD126" s="250"/>
      <c r="CE126" s="250"/>
      <c r="CF126" s="250"/>
      <c r="CG126" s="250"/>
      <c r="CH126" s="250"/>
      <c r="CI126" s="250"/>
      <c r="CJ126" s="250"/>
      <c r="CK126" s="249"/>
      <c r="CL126" s="249"/>
      <c r="CM126" s="249"/>
      <c r="CN126" s="249"/>
      <c r="CO126" s="249"/>
      <c r="CP126" s="249"/>
      <c r="CQ126" s="249"/>
      <c r="CR126" s="250"/>
      <c r="CS126" s="250"/>
      <c r="CT126" s="250"/>
      <c r="CU126" s="250"/>
      <c r="CV126" s="250"/>
      <c r="CW126" s="250"/>
      <c r="CX126" s="250"/>
      <c r="CY126" s="249"/>
      <c r="CZ126" s="249"/>
      <c r="DA126" s="249"/>
      <c r="DB126" s="249"/>
      <c r="DC126" s="249"/>
      <c r="DD126" s="249"/>
      <c r="DE126" s="249"/>
      <c r="DF126" s="250"/>
      <c r="DG126" s="250"/>
      <c r="DH126" s="250"/>
      <c r="DI126" s="250"/>
      <c r="DJ126" s="250"/>
      <c r="DK126" s="250"/>
      <c r="DL126" s="250"/>
      <c r="DM126" s="249"/>
      <c r="DN126" s="249"/>
      <c r="DO126" s="249"/>
      <c r="DP126" s="249"/>
      <c r="DQ126" s="249"/>
      <c r="DR126" s="249"/>
      <c r="DS126" s="249"/>
      <c r="DT126" s="250"/>
      <c r="DU126" s="250"/>
      <c r="DV126" s="250"/>
      <c r="DW126" s="250"/>
      <c r="DX126" s="250"/>
      <c r="DY126" s="250"/>
      <c r="DZ126" s="250"/>
      <c r="EA126" s="249"/>
      <c r="EB126" s="249"/>
      <c r="EC126" s="249"/>
      <c r="ED126" s="249"/>
      <c r="EE126" s="249"/>
      <c r="EF126" s="249"/>
      <c r="EG126" s="249"/>
      <c r="EH126" s="250"/>
      <c r="EI126" s="250"/>
      <c r="EJ126" s="250"/>
      <c r="EK126" s="250">
        <v>12</v>
      </c>
      <c r="EL126" s="250"/>
      <c r="EM126" s="250"/>
      <c r="EN126" s="250"/>
      <c r="EO126" s="249"/>
      <c r="EP126" s="249"/>
      <c r="EQ126" s="249"/>
      <c r="ER126" s="249"/>
      <c r="ES126" s="249"/>
      <c r="ET126" s="249"/>
      <c r="EU126" s="249"/>
      <c r="EV126" s="250"/>
      <c r="EW126" s="250"/>
      <c r="EX126" s="250"/>
      <c r="EY126" s="250"/>
      <c r="EZ126" s="250"/>
      <c r="FA126" s="250"/>
      <c r="FB126" s="250"/>
      <c r="FC126" s="249"/>
      <c r="FD126" s="249"/>
      <c r="FE126" s="249"/>
      <c r="FF126" s="249"/>
      <c r="FG126" s="249"/>
      <c r="FH126" s="249"/>
      <c r="FI126" s="249"/>
      <c r="FJ126" s="250"/>
      <c r="FK126" s="250"/>
      <c r="FL126" s="250"/>
      <c r="FM126" s="250"/>
      <c r="FN126" s="250"/>
      <c r="FO126" s="250"/>
      <c r="FP126" s="250"/>
      <c r="FQ126" s="249"/>
      <c r="FR126" s="249"/>
      <c r="FS126" s="249"/>
      <c r="FT126" s="249"/>
      <c r="FU126" s="249"/>
      <c r="FV126" s="249"/>
      <c r="FW126" s="249"/>
      <c r="FX126" s="250"/>
      <c r="FY126" s="250"/>
      <c r="FZ126" s="250"/>
      <c r="GA126" s="250"/>
      <c r="GB126" s="250"/>
      <c r="GC126" s="250"/>
      <c r="GD126" s="250"/>
      <c r="GE126" s="249"/>
      <c r="GF126" s="249"/>
      <c r="GG126" s="249"/>
      <c r="GH126" s="249"/>
      <c r="GI126" s="249"/>
      <c r="GJ126" s="249"/>
      <c r="GK126" s="249"/>
      <c r="GL126" s="250"/>
      <c r="GM126" s="250"/>
      <c r="GN126" s="250"/>
      <c r="GO126" s="250"/>
      <c r="GP126" s="250"/>
      <c r="GQ126" s="250"/>
      <c r="GR126" s="250"/>
      <c r="GS126" s="249"/>
      <c r="GT126" s="249"/>
      <c r="GU126" s="249"/>
      <c r="GV126" s="249"/>
      <c r="GW126" s="249"/>
      <c r="GX126" s="249"/>
      <c r="GY126" s="249"/>
      <c r="GZ126" s="250"/>
      <c r="HA126" s="250"/>
      <c r="HB126" s="250"/>
      <c r="HC126" s="250"/>
      <c r="HD126" s="250"/>
      <c r="HE126" s="250"/>
      <c r="HF126" s="250"/>
      <c r="HG126" s="249"/>
      <c r="HH126" s="249"/>
      <c r="HI126" s="249"/>
      <c r="HJ126" s="249"/>
      <c r="HK126" s="249"/>
      <c r="HL126" s="249"/>
      <c r="HM126" s="249"/>
      <c r="HN126" s="250"/>
      <c r="HO126" s="250"/>
      <c r="HP126" s="250"/>
      <c r="HQ126" s="250"/>
      <c r="HR126" s="250"/>
      <c r="HS126" s="250"/>
      <c r="HT126" s="250"/>
      <c r="HU126" s="249"/>
      <c r="HV126" s="249"/>
      <c r="HW126" s="249"/>
      <c r="HX126" s="249"/>
      <c r="HY126" s="249"/>
      <c r="HZ126" s="249"/>
      <c r="IA126" s="249"/>
      <c r="IB126" s="250"/>
      <c r="IC126" s="250"/>
      <c r="ID126" s="250"/>
      <c r="IE126" s="250"/>
      <c r="IF126" s="250"/>
      <c r="IG126" s="250"/>
      <c r="IH126" s="250"/>
      <c r="II126" s="249"/>
      <c r="IJ126" s="249"/>
      <c r="IK126" s="249"/>
      <c r="IL126" s="249"/>
      <c r="IM126" s="249"/>
      <c r="IN126" s="249"/>
      <c r="IO126" s="249"/>
      <c r="IP126" s="250"/>
      <c r="IQ126" s="250"/>
      <c r="IR126" s="250"/>
      <c r="IS126" s="250"/>
      <c r="IT126" s="250"/>
      <c r="IU126" s="250"/>
      <c r="IV126" s="250"/>
      <c r="IW126" s="249"/>
      <c r="IX126" s="249"/>
      <c r="IY126" s="249"/>
      <c r="IZ126" s="249"/>
      <c r="JA126" s="249"/>
      <c r="JB126" s="249"/>
      <c r="JC126" s="249"/>
      <c r="JD126" s="250"/>
      <c r="JE126" s="250"/>
      <c r="JF126" s="250"/>
      <c r="JG126" s="250"/>
      <c r="JH126" s="250"/>
      <c r="JI126" s="250"/>
      <c r="JJ126" s="250"/>
      <c r="JK126" s="249"/>
      <c r="JL126" s="249"/>
      <c r="JM126" s="249"/>
      <c r="JN126" s="249"/>
      <c r="JO126" s="249"/>
      <c r="JP126" s="249"/>
      <c r="JQ126" s="249"/>
      <c r="JR126" s="250"/>
      <c r="JS126" s="250"/>
      <c r="JT126" s="250"/>
      <c r="JU126" s="250">
        <v>12</v>
      </c>
      <c r="JV126" s="250"/>
      <c r="JW126" s="250"/>
      <c r="JX126" s="250"/>
      <c r="JY126" s="249"/>
      <c r="JZ126" s="249"/>
      <c r="KA126" s="249"/>
      <c r="KB126" s="249"/>
      <c r="KC126" s="249"/>
      <c r="KD126" s="249"/>
      <c r="KE126" s="249"/>
      <c r="KF126" s="250"/>
      <c r="KG126" s="250"/>
      <c r="KH126" s="250"/>
      <c r="KI126" s="250"/>
      <c r="KJ126" s="250"/>
      <c r="KK126" s="250"/>
      <c r="KL126" s="250"/>
      <c r="KM126" s="249"/>
      <c r="KN126" s="249"/>
      <c r="KO126" s="249"/>
      <c r="KP126" s="249"/>
      <c r="KQ126" s="249"/>
      <c r="KR126" s="249"/>
      <c r="KS126" s="249"/>
      <c r="KT126" s="250"/>
      <c r="KU126" s="250"/>
      <c r="KV126" s="250"/>
      <c r="KW126" s="250"/>
      <c r="KX126" s="250"/>
      <c r="KY126" s="250"/>
      <c r="KZ126" s="250"/>
      <c r="LA126" s="249"/>
      <c r="LB126" s="249"/>
      <c r="LC126" s="249"/>
      <c r="LD126" s="249"/>
      <c r="LE126" s="249"/>
      <c r="LF126" s="249"/>
      <c r="LG126" s="249"/>
      <c r="LH126" s="250"/>
      <c r="LI126" s="250"/>
      <c r="LJ126" s="250"/>
      <c r="LK126" s="250"/>
      <c r="LL126" s="250"/>
      <c r="LM126" s="250"/>
      <c r="LN126" s="250"/>
      <c r="LO126" s="249"/>
      <c r="LP126" s="249"/>
      <c r="LQ126" s="249"/>
      <c r="LR126" s="249"/>
      <c r="LS126" s="249"/>
      <c r="LT126" s="249"/>
      <c r="LU126" s="249"/>
      <c r="LV126" s="250"/>
      <c r="LW126" s="250"/>
      <c r="LX126" s="250"/>
      <c r="LY126" s="250"/>
      <c r="LZ126" s="250"/>
      <c r="MA126" s="250"/>
      <c r="MB126" s="250"/>
      <c r="MC126" s="249"/>
      <c r="MD126" s="249"/>
      <c r="ME126" s="249"/>
      <c r="MF126" s="249"/>
      <c r="MG126" s="249"/>
      <c r="MH126" s="249"/>
      <c r="MI126" s="249"/>
      <c r="MJ126" s="250"/>
      <c r="MK126" s="250"/>
      <c r="ML126" s="250"/>
      <c r="MM126" s="250"/>
      <c r="MN126" s="250"/>
      <c r="MO126" s="250"/>
      <c r="MP126" s="250"/>
      <c r="MQ126" s="249"/>
      <c r="MR126" s="249"/>
      <c r="MS126" s="249"/>
      <c r="MT126" s="249"/>
      <c r="MU126" s="249"/>
      <c r="MV126" s="249"/>
      <c r="MW126" s="249"/>
      <c r="MX126" s="250"/>
      <c r="MY126" s="250"/>
      <c r="MZ126" s="250"/>
      <c r="NA126" s="250"/>
      <c r="NB126" s="250"/>
      <c r="NC126" s="250"/>
      <c r="ND126" s="250"/>
      <c r="NE126" s="249"/>
      <c r="NF126" s="249"/>
      <c r="NG126" s="249"/>
      <c r="NH126" s="333"/>
    </row>
    <row r="127" spans="1:372">
      <c r="A127" s="251" t="s">
        <v>985</v>
      </c>
      <c r="B127" s="251" t="s">
        <v>96</v>
      </c>
      <c r="C127" s="251" t="s">
        <v>674</v>
      </c>
      <c r="D127" s="251" t="s">
        <v>997</v>
      </c>
      <c r="E127" s="241">
        <v>198.33086105352771</v>
      </c>
      <c r="F127" s="241">
        <v>48</v>
      </c>
      <c r="G127" s="249"/>
      <c r="H127" s="249"/>
      <c r="I127" s="249"/>
      <c r="J127" s="249"/>
      <c r="K127" s="249"/>
      <c r="L127" s="250"/>
      <c r="M127" s="250"/>
      <c r="N127" s="250"/>
      <c r="O127" s="250"/>
      <c r="P127" s="250"/>
      <c r="Q127" s="250"/>
      <c r="R127" s="250"/>
      <c r="S127" s="249"/>
      <c r="T127" s="249"/>
      <c r="U127" s="249"/>
      <c r="V127" s="249"/>
      <c r="W127" s="249"/>
      <c r="X127" s="249"/>
      <c r="Y127" s="249"/>
      <c r="Z127" s="250"/>
      <c r="AA127" s="250"/>
      <c r="AB127" s="250"/>
      <c r="AC127" s="250">
        <v>4</v>
      </c>
      <c r="AD127" s="250"/>
      <c r="AE127" s="250"/>
      <c r="AF127" s="250"/>
      <c r="AG127" s="249"/>
      <c r="AH127" s="249"/>
      <c r="AI127" s="249"/>
      <c r="AJ127" s="249"/>
      <c r="AK127" s="249"/>
      <c r="AL127" s="249"/>
      <c r="AM127" s="249"/>
      <c r="AN127" s="250"/>
      <c r="AO127" s="250"/>
      <c r="AP127" s="250"/>
      <c r="AQ127" s="250"/>
      <c r="AR127" s="250"/>
      <c r="AS127" s="250"/>
      <c r="AT127" s="250"/>
      <c r="AU127" s="249"/>
      <c r="AV127" s="249"/>
      <c r="AW127" s="249"/>
      <c r="AX127" s="249"/>
      <c r="AY127" s="249"/>
      <c r="AZ127" s="249"/>
      <c r="BA127" s="249"/>
      <c r="BB127" s="250"/>
      <c r="BC127" s="250"/>
      <c r="BD127" s="250"/>
      <c r="BE127" s="250"/>
      <c r="BF127" s="250"/>
      <c r="BG127" s="250"/>
      <c r="BH127" s="250"/>
      <c r="BI127" s="249"/>
      <c r="BJ127" s="249"/>
      <c r="BK127" s="249"/>
      <c r="BL127" s="249"/>
      <c r="BM127" s="249"/>
      <c r="BN127" s="249"/>
      <c r="BO127" s="249"/>
      <c r="BP127" s="250"/>
      <c r="BQ127" s="250"/>
      <c r="BR127" s="250"/>
      <c r="BS127" s="250"/>
      <c r="BT127" s="250"/>
      <c r="BU127" s="250"/>
      <c r="BV127" s="250"/>
      <c r="BW127" s="249"/>
      <c r="BX127" s="249"/>
      <c r="BY127" s="249">
        <v>2</v>
      </c>
      <c r="BZ127" s="249"/>
      <c r="CA127" s="249"/>
      <c r="CB127" s="249"/>
      <c r="CC127" s="249"/>
      <c r="CD127" s="250"/>
      <c r="CE127" s="250"/>
      <c r="CF127" s="250"/>
      <c r="CG127" s="250">
        <v>12</v>
      </c>
      <c r="CH127" s="250"/>
      <c r="CI127" s="250"/>
      <c r="CJ127" s="250"/>
      <c r="CK127" s="249"/>
      <c r="CL127" s="249"/>
      <c r="CM127" s="249"/>
      <c r="CN127" s="249"/>
      <c r="CO127" s="249"/>
      <c r="CP127" s="249"/>
      <c r="CQ127" s="249"/>
      <c r="CR127" s="250"/>
      <c r="CS127" s="250"/>
      <c r="CT127" s="250"/>
      <c r="CU127" s="250"/>
      <c r="CV127" s="250"/>
      <c r="CW127" s="250"/>
      <c r="CX127" s="250"/>
      <c r="CY127" s="249"/>
      <c r="CZ127" s="249"/>
      <c r="DA127" s="249"/>
      <c r="DB127" s="249"/>
      <c r="DC127" s="249"/>
      <c r="DD127" s="249"/>
      <c r="DE127" s="249"/>
      <c r="DF127" s="250"/>
      <c r="DG127" s="250"/>
      <c r="DH127" s="250"/>
      <c r="DI127" s="250"/>
      <c r="DJ127" s="250"/>
      <c r="DK127" s="250"/>
      <c r="DL127" s="250"/>
      <c r="DM127" s="249"/>
      <c r="DN127" s="249"/>
      <c r="DO127" s="249"/>
      <c r="DP127" s="249"/>
      <c r="DQ127" s="249"/>
      <c r="DR127" s="249"/>
      <c r="DS127" s="249"/>
      <c r="DT127" s="250"/>
      <c r="DU127" s="250"/>
      <c r="DV127" s="250"/>
      <c r="DW127" s="250"/>
      <c r="DX127" s="250"/>
      <c r="DY127" s="250"/>
      <c r="DZ127" s="250"/>
      <c r="EA127" s="249"/>
      <c r="EB127" s="249"/>
      <c r="EC127" s="249"/>
      <c r="ED127" s="249"/>
      <c r="EE127" s="249"/>
      <c r="EF127" s="249"/>
      <c r="EG127" s="249"/>
      <c r="EH127" s="250"/>
      <c r="EI127" s="250"/>
      <c r="EJ127" s="250"/>
      <c r="EK127" s="250"/>
      <c r="EL127" s="250"/>
      <c r="EM127" s="250"/>
      <c r="EN127" s="250"/>
      <c r="EO127" s="249"/>
      <c r="EP127" s="249"/>
      <c r="EQ127" s="249"/>
      <c r="ER127" s="249">
        <v>4</v>
      </c>
      <c r="ES127" s="249"/>
      <c r="ET127" s="249"/>
      <c r="EU127" s="249"/>
      <c r="EV127" s="250"/>
      <c r="EW127" s="250"/>
      <c r="EX127" s="250"/>
      <c r="EY127" s="250"/>
      <c r="EZ127" s="250"/>
      <c r="FA127" s="250"/>
      <c r="FB127" s="250"/>
      <c r="FC127" s="249"/>
      <c r="FD127" s="249"/>
      <c r="FE127" s="249"/>
      <c r="FF127" s="249"/>
      <c r="FG127" s="249"/>
      <c r="FH127" s="249"/>
      <c r="FI127" s="249"/>
      <c r="FJ127" s="250"/>
      <c r="FK127" s="250"/>
      <c r="FL127" s="250"/>
      <c r="FM127" s="250"/>
      <c r="FN127" s="250"/>
      <c r="FO127" s="250"/>
      <c r="FP127" s="250"/>
      <c r="FQ127" s="249"/>
      <c r="FR127" s="249"/>
      <c r="FS127" s="249"/>
      <c r="FT127" s="249"/>
      <c r="FU127" s="249"/>
      <c r="FV127" s="249"/>
      <c r="FW127" s="249"/>
      <c r="FX127" s="250"/>
      <c r="FY127" s="250"/>
      <c r="FZ127" s="250"/>
      <c r="GA127" s="250"/>
      <c r="GB127" s="250"/>
      <c r="GC127" s="250"/>
      <c r="GD127" s="250"/>
      <c r="GE127" s="249"/>
      <c r="GF127" s="249"/>
      <c r="GG127" s="249"/>
      <c r="GH127" s="249"/>
      <c r="GI127" s="249"/>
      <c r="GJ127" s="249"/>
      <c r="GK127" s="249"/>
      <c r="GL127" s="250"/>
      <c r="GM127" s="250"/>
      <c r="GN127" s="250"/>
      <c r="GO127" s="250"/>
      <c r="GP127" s="250"/>
      <c r="GQ127" s="250"/>
      <c r="GR127" s="250"/>
      <c r="GS127" s="249"/>
      <c r="GT127" s="249"/>
      <c r="GU127" s="249"/>
      <c r="GV127" s="249"/>
      <c r="GW127" s="249"/>
      <c r="GX127" s="249"/>
      <c r="GY127" s="249"/>
      <c r="GZ127" s="250"/>
      <c r="HA127" s="250"/>
      <c r="HB127" s="250"/>
      <c r="HC127" s="250">
        <v>12</v>
      </c>
      <c r="HD127" s="250"/>
      <c r="HE127" s="250"/>
      <c r="HF127" s="250"/>
      <c r="HG127" s="249"/>
      <c r="HH127" s="249"/>
      <c r="HI127" s="249"/>
      <c r="HJ127" s="249"/>
      <c r="HK127" s="249"/>
      <c r="HL127" s="249"/>
      <c r="HM127" s="249"/>
      <c r="HN127" s="250"/>
      <c r="HO127" s="250"/>
      <c r="HP127" s="250"/>
      <c r="HQ127" s="250"/>
      <c r="HR127" s="250"/>
      <c r="HS127" s="250"/>
      <c r="HT127" s="250"/>
      <c r="HU127" s="249"/>
      <c r="HV127" s="249"/>
      <c r="HW127" s="249"/>
      <c r="HX127" s="249"/>
      <c r="HY127" s="249"/>
      <c r="HZ127" s="249"/>
      <c r="IA127" s="249"/>
      <c r="IB127" s="250"/>
      <c r="IC127" s="250"/>
      <c r="ID127" s="250"/>
      <c r="IE127" s="250"/>
      <c r="IF127" s="250"/>
      <c r="IG127" s="250"/>
      <c r="IH127" s="250"/>
      <c r="II127" s="249"/>
      <c r="IJ127" s="249"/>
      <c r="IK127" s="249"/>
      <c r="IL127" s="249"/>
      <c r="IM127" s="249"/>
      <c r="IN127" s="249"/>
      <c r="IO127" s="249"/>
      <c r="IP127" s="250"/>
      <c r="IQ127" s="250"/>
      <c r="IR127" s="250"/>
      <c r="IS127" s="250"/>
      <c r="IT127" s="250"/>
      <c r="IU127" s="250"/>
      <c r="IV127" s="250"/>
      <c r="IW127" s="249"/>
      <c r="IX127" s="249"/>
      <c r="IY127" s="249"/>
      <c r="IZ127" s="249"/>
      <c r="JA127" s="249"/>
      <c r="JB127" s="249"/>
      <c r="JC127" s="249"/>
      <c r="JD127" s="250"/>
      <c r="JE127" s="250"/>
      <c r="JF127" s="250"/>
      <c r="JG127" s="250"/>
      <c r="JH127" s="250"/>
      <c r="JI127" s="250"/>
      <c r="JJ127" s="250"/>
      <c r="JK127" s="249"/>
      <c r="JL127" s="249"/>
      <c r="JM127" s="249"/>
      <c r="JN127" s="249">
        <v>2</v>
      </c>
      <c r="JO127" s="249"/>
      <c r="JP127" s="249"/>
      <c r="JQ127" s="249"/>
      <c r="JR127" s="250"/>
      <c r="JS127" s="250"/>
      <c r="JT127" s="250"/>
      <c r="JU127" s="250"/>
      <c r="JV127" s="250"/>
      <c r="JW127" s="250"/>
      <c r="JX127" s="250"/>
      <c r="JY127" s="249"/>
      <c r="JZ127" s="249"/>
      <c r="KA127" s="249"/>
      <c r="KB127" s="249"/>
      <c r="KC127" s="249"/>
      <c r="KD127" s="249"/>
      <c r="KE127" s="249"/>
      <c r="KF127" s="250"/>
      <c r="KG127" s="250"/>
      <c r="KH127" s="250"/>
      <c r="KI127" s="250"/>
      <c r="KJ127" s="250"/>
      <c r="KK127" s="250"/>
      <c r="KL127" s="250"/>
      <c r="KM127" s="249"/>
      <c r="KN127" s="249"/>
      <c r="KO127" s="249"/>
      <c r="KP127" s="249"/>
      <c r="KQ127" s="249"/>
      <c r="KR127" s="249"/>
      <c r="KS127" s="249"/>
      <c r="KT127" s="250"/>
      <c r="KU127" s="250"/>
      <c r="KV127" s="250"/>
      <c r="KW127" s="250"/>
      <c r="KX127" s="250"/>
      <c r="KY127" s="250"/>
      <c r="KZ127" s="250"/>
      <c r="LA127" s="249"/>
      <c r="LB127" s="249"/>
      <c r="LC127" s="249"/>
      <c r="LD127" s="249"/>
      <c r="LE127" s="249"/>
      <c r="LF127" s="249"/>
      <c r="LG127" s="249"/>
      <c r="LH127" s="250"/>
      <c r="LI127" s="250"/>
      <c r="LJ127" s="250"/>
      <c r="LK127" s="250"/>
      <c r="LL127" s="250"/>
      <c r="LM127" s="250"/>
      <c r="LN127" s="250"/>
      <c r="LO127" s="249"/>
      <c r="LP127" s="249"/>
      <c r="LQ127" s="249"/>
      <c r="LR127" s="249"/>
      <c r="LS127" s="249"/>
      <c r="LT127" s="249"/>
      <c r="LU127" s="249"/>
      <c r="LV127" s="250"/>
      <c r="LW127" s="250"/>
      <c r="LX127" s="250"/>
      <c r="LY127" s="250">
        <v>12</v>
      </c>
      <c r="LZ127" s="250"/>
      <c r="MA127" s="250"/>
      <c r="MB127" s="250"/>
      <c r="MC127" s="249"/>
      <c r="MD127" s="249"/>
      <c r="ME127" s="249"/>
      <c r="MF127" s="249"/>
      <c r="MG127" s="249"/>
      <c r="MH127" s="249"/>
      <c r="MI127" s="249"/>
      <c r="MJ127" s="250"/>
      <c r="MK127" s="250"/>
      <c r="ML127" s="250"/>
      <c r="MM127" s="250"/>
      <c r="MN127" s="250"/>
      <c r="MO127" s="250"/>
      <c r="MP127" s="250"/>
      <c r="MQ127" s="249"/>
      <c r="MR127" s="249"/>
      <c r="MS127" s="249"/>
      <c r="MT127" s="249"/>
      <c r="MU127" s="249"/>
      <c r="MV127" s="249"/>
      <c r="MW127" s="249"/>
      <c r="MX127" s="250"/>
      <c r="MY127" s="250"/>
      <c r="MZ127" s="250"/>
      <c r="NA127" s="250"/>
      <c r="NB127" s="250"/>
      <c r="NC127" s="250"/>
      <c r="ND127" s="250"/>
      <c r="NE127" s="249"/>
      <c r="NF127" s="249"/>
      <c r="NG127" s="249"/>
      <c r="NH127" s="333"/>
    </row>
    <row r="128" spans="1:372">
      <c r="A128" s="251" t="s">
        <v>985</v>
      </c>
      <c r="B128" s="251" t="s">
        <v>653</v>
      </c>
      <c r="C128" s="251" t="s">
        <v>674</v>
      </c>
      <c r="D128" s="251" t="s">
        <v>982</v>
      </c>
      <c r="E128" s="241">
        <v>0</v>
      </c>
      <c r="F128" s="241">
        <v>0</v>
      </c>
      <c r="G128" s="249"/>
      <c r="H128" s="249"/>
      <c r="I128" s="249"/>
      <c r="J128" s="249"/>
      <c r="K128" s="249"/>
      <c r="L128" s="250"/>
      <c r="M128" s="250"/>
      <c r="N128" s="250"/>
      <c r="O128" s="250"/>
      <c r="P128" s="250"/>
      <c r="Q128" s="250"/>
      <c r="R128" s="250"/>
      <c r="S128" s="249"/>
      <c r="T128" s="249"/>
      <c r="U128" s="249"/>
      <c r="V128" s="249"/>
      <c r="W128" s="249"/>
      <c r="X128" s="249"/>
      <c r="Y128" s="249"/>
      <c r="Z128" s="250"/>
      <c r="AA128" s="250"/>
      <c r="AB128" s="250"/>
      <c r="AC128" s="250"/>
      <c r="AD128" s="250"/>
      <c r="AE128" s="250"/>
      <c r="AF128" s="250"/>
      <c r="AG128" s="249"/>
      <c r="AH128" s="249"/>
      <c r="AI128" s="249"/>
      <c r="AJ128" s="249"/>
      <c r="AK128" s="249"/>
      <c r="AL128" s="249"/>
      <c r="AM128" s="249"/>
      <c r="AN128" s="250"/>
      <c r="AO128" s="250"/>
      <c r="AP128" s="250"/>
      <c r="AQ128" s="250"/>
      <c r="AR128" s="250"/>
      <c r="AS128" s="250"/>
      <c r="AT128" s="250"/>
      <c r="AU128" s="249"/>
      <c r="AV128" s="249"/>
      <c r="AW128" s="249"/>
      <c r="AX128" s="249"/>
      <c r="AY128" s="249"/>
      <c r="AZ128" s="249"/>
      <c r="BA128" s="249"/>
      <c r="BB128" s="250"/>
      <c r="BC128" s="250"/>
      <c r="BD128" s="250"/>
      <c r="BE128" s="250"/>
      <c r="BF128" s="250"/>
      <c r="BG128" s="250"/>
      <c r="BH128" s="250"/>
      <c r="BI128" s="249"/>
      <c r="BJ128" s="249"/>
      <c r="BK128" s="249"/>
      <c r="BL128" s="249"/>
      <c r="BM128" s="249"/>
      <c r="BN128" s="249"/>
      <c r="BO128" s="249"/>
      <c r="BP128" s="250"/>
      <c r="BQ128" s="250"/>
      <c r="BR128" s="250"/>
      <c r="BS128" s="250"/>
      <c r="BT128" s="250"/>
      <c r="BU128" s="250"/>
      <c r="BV128" s="250"/>
      <c r="BW128" s="249"/>
      <c r="BX128" s="249"/>
      <c r="BY128" s="249"/>
      <c r="BZ128" s="249"/>
      <c r="CA128" s="249"/>
      <c r="CB128" s="249"/>
      <c r="CC128" s="249"/>
      <c r="CD128" s="250"/>
      <c r="CE128" s="250"/>
      <c r="CF128" s="250"/>
      <c r="CG128" s="250"/>
      <c r="CH128" s="250"/>
      <c r="CI128" s="250"/>
      <c r="CJ128" s="250"/>
      <c r="CK128" s="249"/>
      <c r="CL128" s="249"/>
      <c r="CM128" s="249"/>
      <c r="CN128" s="249"/>
      <c r="CO128" s="249"/>
      <c r="CP128" s="249"/>
      <c r="CQ128" s="249"/>
      <c r="CR128" s="250"/>
      <c r="CS128" s="250"/>
      <c r="CT128" s="250"/>
      <c r="CU128" s="250"/>
      <c r="CV128" s="250"/>
      <c r="CW128" s="250"/>
      <c r="CX128" s="250"/>
      <c r="CY128" s="249"/>
      <c r="CZ128" s="249"/>
      <c r="DA128" s="249"/>
      <c r="DB128" s="249"/>
      <c r="DC128" s="249"/>
      <c r="DD128" s="249"/>
      <c r="DE128" s="249"/>
      <c r="DF128" s="250"/>
      <c r="DG128" s="250"/>
      <c r="DH128" s="250"/>
      <c r="DI128" s="250"/>
      <c r="DJ128" s="250"/>
      <c r="DK128" s="250"/>
      <c r="DL128" s="250"/>
      <c r="DM128" s="249"/>
      <c r="DN128" s="249"/>
      <c r="DO128" s="249"/>
      <c r="DP128" s="249"/>
      <c r="DQ128" s="249"/>
      <c r="DR128" s="249"/>
      <c r="DS128" s="249"/>
      <c r="DT128" s="250"/>
      <c r="DU128" s="250"/>
      <c r="DV128" s="250"/>
      <c r="DW128" s="250"/>
      <c r="DX128" s="250"/>
      <c r="DY128" s="250"/>
      <c r="DZ128" s="250"/>
      <c r="EA128" s="249"/>
      <c r="EB128" s="249"/>
      <c r="EC128" s="249"/>
      <c r="ED128" s="249"/>
      <c r="EE128" s="249"/>
      <c r="EF128" s="249"/>
      <c r="EG128" s="249"/>
      <c r="EH128" s="250"/>
      <c r="EI128" s="250"/>
      <c r="EJ128" s="250"/>
      <c r="EK128" s="250"/>
      <c r="EL128" s="250"/>
      <c r="EM128" s="250"/>
      <c r="EN128" s="250"/>
      <c r="EO128" s="249"/>
      <c r="EP128" s="249"/>
      <c r="EQ128" s="249"/>
      <c r="ER128" s="249"/>
      <c r="ES128" s="249"/>
      <c r="ET128" s="249"/>
      <c r="EU128" s="249"/>
      <c r="EV128" s="250"/>
      <c r="EW128" s="250"/>
      <c r="EX128" s="250"/>
      <c r="EY128" s="250"/>
      <c r="EZ128" s="250"/>
      <c r="FA128" s="250"/>
      <c r="FB128" s="250"/>
      <c r="FC128" s="249"/>
      <c r="FD128" s="249"/>
      <c r="FE128" s="249"/>
      <c r="FF128" s="249"/>
      <c r="FG128" s="249"/>
      <c r="FH128" s="249"/>
      <c r="FI128" s="249"/>
      <c r="FJ128" s="250"/>
      <c r="FK128" s="250"/>
      <c r="FL128" s="250"/>
      <c r="FM128" s="250"/>
      <c r="FN128" s="250"/>
      <c r="FO128" s="250"/>
      <c r="FP128" s="250"/>
      <c r="FQ128" s="249"/>
      <c r="FR128" s="249"/>
      <c r="FS128" s="249"/>
      <c r="FT128" s="249"/>
      <c r="FU128" s="249"/>
      <c r="FV128" s="249"/>
      <c r="FW128" s="249"/>
      <c r="FX128" s="250"/>
      <c r="FY128" s="250"/>
      <c r="FZ128" s="250"/>
      <c r="GA128" s="250"/>
      <c r="GB128" s="250"/>
      <c r="GC128" s="250"/>
      <c r="GD128" s="250"/>
      <c r="GE128" s="249"/>
      <c r="GF128" s="249"/>
      <c r="GG128" s="249"/>
      <c r="GH128" s="249"/>
      <c r="GI128" s="249"/>
      <c r="GJ128" s="249"/>
      <c r="GK128" s="249"/>
      <c r="GL128" s="250"/>
      <c r="GM128" s="250"/>
      <c r="GN128" s="250"/>
      <c r="GO128" s="250"/>
      <c r="GP128" s="250"/>
      <c r="GQ128" s="250"/>
      <c r="GR128" s="250"/>
      <c r="GS128" s="249"/>
      <c r="GT128" s="249"/>
      <c r="GU128" s="249"/>
      <c r="GV128" s="249"/>
      <c r="GW128" s="249"/>
      <c r="GX128" s="249"/>
      <c r="GY128" s="249"/>
      <c r="GZ128" s="250"/>
      <c r="HA128" s="250"/>
      <c r="HB128" s="250"/>
      <c r="HC128" s="250"/>
      <c r="HD128" s="250"/>
      <c r="HE128" s="250"/>
      <c r="HF128" s="250"/>
      <c r="HG128" s="249"/>
      <c r="HH128" s="249"/>
      <c r="HI128" s="249"/>
      <c r="HJ128" s="249"/>
      <c r="HK128" s="249"/>
      <c r="HL128" s="249"/>
      <c r="HM128" s="249"/>
      <c r="HN128" s="250"/>
      <c r="HO128" s="250"/>
      <c r="HP128" s="250"/>
      <c r="HQ128" s="250"/>
      <c r="HR128" s="250"/>
      <c r="HS128" s="250"/>
      <c r="HT128" s="250"/>
      <c r="HU128" s="249"/>
      <c r="HV128" s="249"/>
      <c r="HW128" s="249"/>
      <c r="HX128" s="249"/>
      <c r="HY128" s="249"/>
      <c r="HZ128" s="249"/>
      <c r="IA128" s="249"/>
      <c r="IB128" s="250"/>
      <c r="IC128" s="250"/>
      <c r="ID128" s="250"/>
      <c r="IE128" s="250"/>
      <c r="IF128" s="250"/>
      <c r="IG128" s="250"/>
      <c r="IH128" s="250"/>
      <c r="II128" s="249"/>
      <c r="IJ128" s="249"/>
      <c r="IK128" s="249"/>
      <c r="IL128" s="249"/>
      <c r="IM128" s="249"/>
      <c r="IN128" s="249"/>
      <c r="IO128" s="249"/>
      <c r="IP128" s="250"/>
      <c r="IQ128" s="250"/>
      <c r="IR128" s="250"/>
      <c r="IS128" s="250"/>
      <c r="IT128" s="250"/>
      <c r="IU128" s="250"/>
      <c r="IV128" s="250"/>
      <c r="IW128" s="249"/>
      <c r="IX128" s="249"/>
      <c r="IY128" s="249"/>
      <c r="IZ128" s="249"/>
      <c r="JA128" s="249"/>
      <c r="JB128" s="249"/>
      <c r="JC128" s="249"/>
      <c r="JD128" s="250"/>
      <c r="JE128" s="250"/>
      <c r="JF128" s="250"/>
      <c r="JG128" s="250"/>
      <c r="JH128" s="250"/>
      <c r="JI128" s="250"/>
      <c r="JJ128" s="250"/>
      <c r="JK128" s="249"/>
      <c r="JL128" s="249"/>
      <c r="JM128" s="249"/>
      <c r="JN128" s="249"/>
      <c r="JO128" s="249"/>
      <c r="JP128" s="249"/>
      <c r="JQ128" s="249"/>
      <c r="JR128" s="250"/>
      <c r="JS128" s="250"/>
      <c r="JT128" s="250"/>
      <c r="JU128" s="250"/>
      <c r="JV128" s="250"/>
      <c r="JW128" s="250"/>
      <c r="JX128" s="250"/>
      <c r="JY128" s="249"/>
      <c r="JZ128" s="249"/>
      <c r="KA128" s="249"/>
      <c r="KB128" s="249"/>
      <c r="KC128" s="249"/>
      <c r="KD128" s="249"/>
      <c r="KE128" s="249"/>
      <c r="KF128" s="250"/>
      <c r="KG128" s="250"/>
      <c r="KH128" s="250"/>
      <c r="KI128" s="250"/>
      <c r="KJ128" s="250"/>
      <c r="KK128" s="250"/>
      <c r="KL128" s="250"/>
      <c r="KM128" s="249"/>
      <c r="KN128" s="249"/>
      <c r="KO128" s="249"/>
      <c r="KP128" s="249"/>
      <c r="KQ128" s="249"/>
      <c r="KR128" s="249"/>
      <c r="KS128" s="249"/>
      <c r="KT128" s="250"/>
      <c r="KU128" s="250"/>
      <c r="KV128" s="250"/>
      <c r="KW128" s="250"/>
      <c r="KX128" s="250"/>
      <c r="KY128" s="250"/>
      <c r="KZ128" s="250"/>
      <c r="LA128" s="249"/>
      <c r="LB128" s="249"/>
      <c r="LC128" s="249"/>
      <c r="LD128" s="249"/>
      <c r="LE128" s="249"/>
      <c r="LF128" s="249"/>
      <c r="LG128" s="249"/>
      <c r="LH128" s="250"/>
      <c r="LI128" s="250"/>
      <c r="LJ128" s="250"/>
      <c r="LK128" s="250"/>
      <c r="LL128" s="250"/>
      <c r="LM128" s="250"/>
      <c r="LN128" s="250"/>
      <c r="LO128" s="249"/>
      <c r="LP128" s="249"/>
      <c r="LQ128" s="249"/>
      <c r="LR128" s="249"/>
      <c r="LS128" s="249"/>
      <c r="LT128" s="249"/>
      <c r="LU128" s="249"/>
      <c r="LV128" s="250"/>
      <c r="LW128" s="250"/>
      <c r="LX128" s="250"/>
      <c r="LY128" s="250"/>
      <c r="LZ128" s="250"/>
      <c r="MA128" s="250"/>
      <c r="MB128" s="250"/>
      <c r="MC128" s="249"/>
      <c r="MD128" s="249"/>
      <c r="ME128" s="249"/>
      <c r="MF128" s="249"/>
      <c r="MG128" s="249"/>
      <c r="MH128" s="249"/>
      <c r="MI128" s="249"/>
      <c r="MJ128" s="250"/>
      <c r="MK128" s="250"/>
      <c r="ML128" s="250"/>
      <c r="MM128" s="250"/>
      <c r="MN128" s="250"/>
      <c r="MO128" s="250"/>
      <c r="MP128" s="250"/>
      <c r="MQ128" s="249"/>
      <c r="MR128" s="249"/>
      <c r="MS128" s="249"/>
      <c r="MT128" s="249"/>
      <c r="MU128" s="249"/>
      <c r="MV128" s="249"/>
      <c r="MW128" s="249"/>
      <c r="MX128" s="250"/>
      <c r="MY128" s="250"/>
      <c r="MZ128" s="250"/>
      <c r="NA128" s="250"/>
      <c r="NB128" s="250"/>
      <c r="NC128" s="250"/>
      <c r="ND128" s="250"/>
      <c r="NE128" s="249"/>
      <c r="NF128" s="249"/>
      <c r="NG128" s="249"/>
      <c r="NH128" s="333"/>
    </row>
    <row r="129" spans="1:372">
      <c r="A129" s="251" t="s">
        <v>985</v>
      </c>
      <c r="B129" s="251" t="s">
        <v>650</v>
      </c>
      <c r="C129" s="251" t="s">
        <v>674</v>
      </c>
      <c r="D129" s="251" t="s">
        <v>982</v>
      </c>
      <c r="E129" s="241">
        <v>2.564111085</v>
      </c>
      <c r="F129" s="241">
        <v>18</v>
      </c>
      <c r="G129" s="249"/>
      <c r="H129" s="249"/>
      <c r="I129" s="249"/>
      <c r="J129" s="249"/>
      <c r="K129" s="249"/>
      <c r="L129" s="250"/>
      <c r="M129" s="250"/>
      <c r="N129" s="250"/>
      <c r="O129" s="250"/>
      <c r="P129" s="250"/>
      <c r="Q129" s="250"/>
      <c r="R129" s="250"/>
      <c r="S129" s="249"/>
      <c r="T129" s="249"/>
      <c r="U129" s="249"/>
      <c r="V129" s="249"/>
      <c r="W129" s="249"/>
      <c r="X129" s="249"/>
      <c r="Y129" s="249"/>
      <c r="Z129" s="250"/>
      <c r="AA129" s="250"/>
      <c r="AB129" s="250"/>
      <c r="AC129" s="250"/>
      <c r="AD129" s="250"/>
      <c r="AE129" s="250"/>
      <c r="AF129" s="250"/>
      <c r="AG129" s="249"/>
      <c r="AH129" s="249"/>
      <c r="AI129" s="249"/>
      <c r="AJ129" s="249"/>
      <c r="AK129" s="249"/>
      <c r="AL129" s="249"/>
      <c r="AM129" s="249"/>
      <c r="AN129" s="250"/>
      <c r="AO129" s="250"/>
      <c r="AP129" s="250"/>
      <c r="AQ129" s="250"/>
      <c r="AR129" s="250"/>
      <c r="AS129" s="250"/>
      <c r="AT129" s="250"/>
      <c r="AU129" s="249"/>
      <c r="AV129" s="249"/>
      <c r="AW129" s="249"/>
      <c r="AX129" s="249"/>
      <c r="AY129" s="249"/>
      <c r="AZ129" s="249"/>
      <c r="BA129" s="249"/>
      <c r="BB129" s="250"/>
      <c r="BC129" s="250"/>
      <c r="BD129" s="250"/>
      <c r="BE129" s="250"/>
      <c r="BF129" s="250"/>
      <c r="BG129" s="250"/>
      <c r="BH129" s="250"/>
      <c r="BI129" s="249"/>
      <c r="BJ129" s="249"/>
      <c r="BK129" s="249"/>
      <c r="BL129" s="249"/>
      <c r="BM129" s="249"/>
      <c r="BN129" s="249"/>
      <c r="BO129" s="249"/>
      <c r="BP129" s="250"/>
      <c r="BQ129" s="250"/>
      <c r="BR129" s="250"/>
      <c r="BS129" s="250"/>
      <c r="BT129" s="250"/>
      <c r="BU129" s="250"/>
      <c r="BV129" s="250"/>
      <c r="BW129" s="249"/>
      <c r="BX129" s="249"/>
      <c r="BY129" s="249"/>
      <c r="BZ129" s="249"/>
      <c r="CA129" s="249"/>
      <c r="CB129" s="249"/>
      <c r="CC129" s="249"/>
      <c r="CD129" s="250"/>
      <c r="CE129" s="250"/>
      <c r="CF129" s="250"/>
      <c r="CG129" s="250"/>
      <c r="CH129" s="250">
        <v>6</v>
      </c>
      <c r="CI129" s="250"/>
      <c r="CJ129" s="250"/>
      <c r="CK129" s="249"/>
      <c r="CL129" s="249"/>
      <c r="CM129" s="249"/>
      <c r="CN129" s="249"/>
      <c r="CO129" s="249"/>
      <c r="CP129" s="249"/>
      <c r="CQ129" s="249"/>
      <c r="CR129" s="250"/>
      <c r="CS129" s="250"/>
      <c r="CT129" s="250"/>
      <c r="CU129" s="250"/>
      <c r="CV129" s="250"/>
      <c r="CW129" s="250"/>
      <c r="CX129" s="250"/>
      <c r="CY129" s="249"/>
      <c r="CZ129" s="249"/>
      <c r="DA129" s="249"/>
      <c r="DB129" s="249"/>
      <c r="DC129" s="249"/>
      <c r="DD129" s="249"/>
      <c r="DE129" s="249"/>
      <c r="DF129" s="250"/>
      <c r="DG129" s="250"/>
      <c r="DH129" s="250"/>
      <c r="DI129" s="250"/>
      <c r="DJ129" s="250"/>
      <c r="DK129" s="250"/>
      <c r="DL129" s="250"/>
      <c r="DM129" s="249"/>
      <c r="DN129" s="249"/>
      <c r="DO129" s="249"/>
      <c r="DP129" s="249"/>
      <c r="DQ129" s="249"/>
      <c r="DR129" s="249"/>
      <c r="DS129" s="249"/>
      <c r="DT129" s="250"/>
      <c r="DU129" s="250"/>
      <c r="DV129" s="250"/>
      <c r="DW129" s="250"/>
      <c r="DX129" s="250"/>
      <c r="DY129" s="250"/>
      <c r="DZ129" s="250"/>
      <c r="EA129" s="249"/>
      <c r="EB129" s="249"/>
      <c r="EC129" s="249"/>
      <c r="ED129" s="249"/>
      <c r="EE129" s="249"/>
      <c r="EF129" s="249"/>
      <c r="EG129" s="249"/>
      <c r="EH129" s="250"/>
      <c r="EI129" s="250"/>
      <c r="EJ129" s="250"/>
      <c r="EK129" s="250"/>
      <c r="EL129" s="250"/>
      <c r="EM129" s="250"/>
      <c r="EN129" s="250"/>
      <c r="EO129" s="249"/>
      <c r="EP129" s="249"/>
      <c r="EQ129" s="249"/>
      <c r="ER129" s="249"/>
      <c r="ES129" s="249"/>
      <c r="ET129" s="249"/>
      <c r="EU129" s="249"/>
      <c r="EV129" s="250"/>
      <c r="EW129" s="250"/>
      <c r="EX129" s="250"/>
      <c r="EY129" s="250"/>
      <c r="EZ129" s="250"/>
      <c r="FA129" s="250"/>
      <c r="FB129" s="250"/>
      <c r="FC129" s="249"/>
      <c r="FD129" s="249"/>
      <c r="FE129" s="249"/>
      <c r="FF129" s="249"/>
      <c r="FG129" s="249"/>
      <c r="FH129" s="249"/>
      <c r="FI129" s="249"/>
      <c r="FJ129" s="250"/>
      <c r="FK129" s="250"/>
      <c r="FL129" s="250"/>
      <c r="FM129" s="250"/>
      <c r="FN129" s="250"/>
      <c r="FO129" s="250"/>
      <c r="FP129" s="250"/>
      <c r="FQ129" s="249"/>
      <c r="FR129" s="249"/>
      <c r="FS129" s="249"/>
      <c r="FT129" s="249"/>
      <c r="FU129" s="249"/>
      <c r="FV129" s="249"/>
      <c r="FW129" s="249"/>
      <c r="FX129" s="250"/>
      <c r="FY129" s="250"/>
      <c r="FZ129" s="250"/>
      <c r="GA129" s="250"/>
      <c r="GB129" s="250"/>
      <c r="GC129" s="250"/>
      <c r="GD129" s="250"/>
      <c r="GE129" s="249"/>
      <c r="GF129" s="249"/>
      <c r="GG129" s="249"/>
      <c r="GH129" s="249"/>
      <c r="GI129" s="249"/>
      <c r="GJ129" s="249"/>
      <c r="GK129" s="249"/>
      <c r="GL129" s="250"/>
      <c r="GM129" s="250"/>
      <c r="GN129" s="250"/>
      <c r="GO129" s="250"/>
      <c r="GP129" s="250"/>
      <c r="GQ129" s="250"/>
      <c r="GR129" s="250"/>
      <c r="GS129" s="249"/>
      <c r="GT129" s="249"/>
      <c r="GU129" s="249"/>
      <c r="GV129" s="249"/>
      <c r="GW129" s="249"/>
      <c r="GX129" s="249"/>
      <c r="GY129" s="249"/>
      <c r="GZ129" s="250"/>
      <c r="HA129" s="250"/>
      <c r="HB129" s="250"/>
      <c r="HC129" s="250"/>
      <c r="HD129" s="250"/>
      <c r="HE129" s="250"/>
      <c r="HF129" s="250"/>
      <c r="HG129" s="249"/>
      <c r="HH129" s="249"/>
      <c r="HI129" s="249"/>
      <c r="HJ129" s="249"/>
      <c r="HK129" s="249">
        <v>6</v>
      </c>
      <c r="HL129" s="249"/>
      <c r="HM129" s="249"/>
      <c r="HN129" s="250"/>
      <c r="HO129" s="250"/>
      <c r="HP129" s="250"/>
      <c r="HQ129" s="250"/>
      <c r="HR129" s="250"/>
      <c r="HS129" s="250"/>
      <c r="HT129" s="250"/>
      <c r="HU129" s="249"/>
      <c r="HV129" s="249"/>
      <c r="HW129" s="249"/>
      <c r="HX129" s="249"/>
      <c r="HY129" s="249"/>
      <c r="HZ129" s="249"/>
      <c r="IA129" s="249"/>
      <c r="IB129" s="250"/>
      <c r="IC129" s="250"/>
      <c r="ID129" s="250"/>
      <c r="IE129" s="250"/>
      <c r="IF129" s="250"/>
      <c r="IG129" s="250"/>
      <c r="IH129" s="250"/>
      <c r="II129" s="249"/>
      <c r="IJ129" s="249"/>
      <c r="IK129" s="249"/>
      <c r="IL129" s="249"/>
      <c r="IM129" s="249"/>
      <c r="IN129" s="249"/>
      <c r="IO129" s="249"/>
      <c r="IP129" s="250"/>
      <c r="IQ129" s="250"/>
      <c r="IR129" s="250"/>
      <c r="IS129" s="250"/>
      <c r="IT129" s="250"/>
      <c r="IU129" s="250"/>
      <c r="IV129" s="250"/>
      <c r="IW129" s="249"/>
      <c r="IX129" s="249"/>
      <c r="IY129" s="249"/>
      <c r="IZ129" s="249"/>
      <c r="JA129" s="249"/>
      <c r="JB129" s="249"/>
      <c r="JC129" s="249"/>
      <c r="JD129" s="250"/>
      <c r="JE129" s="250"/>
      <c r="JF129" s="250"/>
      <c r="JG129" s="250"/>
      <c r="JH129" s="250"/>
      <c r="JI129" s="250"/>
      <c r="JJ129" s="250"/>
      <c r="JK129" s="249"/>
      <c r="JL129" s="249"/>
      <c r="JM129" s="249"/>
      <c r="JN129" s="249"/>
      <c r="JO129" s="249"/>
      <c r="JP129" s="249"/>
      <c r="JQ129" s="249"/>
      <c r="JR129" s="250"/>
      <c r="JS129" s="250"/>
      <c r="JT129" s="250"/>
      <c r="JU129" s="250"/>
      <c r="JV129" s="250"/>
      <c r="JW129" s="250"/>
      <c r="JX129" s="250"/>
      <c r="JY129" s="249"/>
      <c r="JZ129" s="249"/>
      <c r="KA129" s="249"/>
      <c r="KB129" s="249"/>
      <c r="KC129" s="249"/>
      <c r="KD129" s="249"/>
      <c r="KE129" s="249"/>
      <c r="KF129" s="250"/>
      <c r="KG129" s="250"/>
      <c r="KH129" s="250"/>
      <c r="KI129" s="250"/>
      <c r="KJ129" s="250"/>
      <c r="KK129" s="250"/>
      <c r="KL129" s="250"/>
      <c r="KM129" s="249"/>
      <c r="KN129" s="249"/>
      <c r="KO129" s="249"/>
      <c r="KP129" s="249"/>
      <c r="KQ129" s="249"/>
      <c r="KR129" s="249"/>
      <c r="KS129" s="249"/>
      <c r="KT129" s="250"/>
      <c r="KU129" s="250"/>
      <c r="KV129" s="250"/>
      <c r="KW129" s="250"/>
      <c r="KX129" s="250"/>
      <c r="KY129" s="250"/>
      <c r="KZ129" s="250"/>
      <c r="LA129" s="249"/>
      <c r="LB129" s="249"/>
      <c r="LC129" s="249"/>
      <c r="LD129" s="249"/>
      <c r="LE129" s="249"/>
      <c r="LF129" s="249"/>
      <c r="LG129" s="249"/>
      <c r="LH129" s="250"/>
      <c r="LI129" s="250"/>
      <c r="LJ129" s="250"/>
      <c r="LK129" s="250"/>
      <c r="LL129" s="250"/>
      <c r="LM129" s="250"/>
      <c r="LN129" s="250"/>
      <c r="LO129" s="249"/>
      <c r="LP129" s="249"/>
      <c r="LQ129" s="249"/>
      <c r="LR129" s="249"/>
      <c r="LS129" s="249"/>
      <c r="LT129" s="249"/>
      <c r="LU129" s="249"/>
      <c r="LV129" s="250"/>
      <c r="LW129" s="250"/>
      <c r="LX129" s="250"/>
      <c r="LY129" s="250"/>
      <c r="LZ129" s="250"/>
      <c r="MA129" s="250"/>
      <c r="MB129" s="250"/>
      <c r="MC129" s="249"/>
      <c r="MD129" s="249"/>
      <c r="ME129" s="249"/>
      <c r="MF129" s="249"/>
      <c r="MG129" s="249">
        <v>6</v>
      </c>
      <c r="MH129" s="249"/>
      <c r="MI129" s="249"/>
      <c r="MJ129" s="250"/>
      <c r="MK129" s="250"/>
      <c r="ML129" s="250"/>
      <c r="MM129" s="250"/>
      <c r="MN129" s="250"/>
      <c r="MO129" s="250"/>
      <c r="MP129" s="250"/>
      <c r="MQ129" s="249"/>
      <c r="MR129" s="249"/>
      <c r="MS129" s="249"/>
      <c r="MT129" s="249"/>
      <c r="MU129" s="249"/>
      <c r="MV129" s="249"/>
      <c r="MW129" s="249"/>
      <c r="MX129" s="250"/>
      <c r="MY129" s="250"/>
      <c r="MZ129" s="250"/>
      <c r="NA129" s="250"/>
      <c r="NB129" s="250"/>
      <c r="NC129" s="250"/>
      <c r="ND129" s="250"/>
      <c r="NE129" s="249"/>
      <c r="NF129" s="249"/>
      <c r="NG129" s="249"/>
      <c r="NH129" s="333" t="s">
        <v>1124</v>
      </c>
    </row>
    <row r="130" spans="1:372">
      <c r="A130" s="251" t="s">
        <v>985</v>
      </c>
      <c r="B130" s="251" t="s">
        <v>651</v>
      </c>
      <c r="C130" s="251" t="s">
        <v>674</v>
      </c>
      <c r="D130" s="251" t="s">
        <v>982</v>
      </c>
      <c r="E130" s="241">
        <v>0.62666666666666693</v>
      </c>
      <c r="F130" s="241">
        <v>18</v>
      </c>
      <c r="G130" s="249"/>
      <c r="H130" s="249"/>
      <c r="I130" s="249"/>
      <c r="J130" s="249"/>
      <c r="K130" s="249"/>
      <c r="L130" s="250"/>
      <c r="M130" s="250"/>
      <c r="N130" s="250"/>
      <c r="O130" s="250"/>
      <c r="P130" s="250"/>
      <c r="Q130" s="250"/>
      <c r="R130" s="250"/>
      <c r="S130" s="249"/>
      <c r="T130" s="249"/>
      <c r="U130" s="249"/>
      <c r="V130" s="249"/>
      <c r="W130" s="249"/>
      <c r="X130" s="249"/>
      <c r="Y130" s="249"/>
      <c r="Z130" s="250"/>
      <c r="AA130" s="250"/>
      <c r="AB130" s="250"/>
      <c r="AC130" s="250"/>
      <c r="AD130" s="250"/>
      <c r="AE130" s="250"/>
      <c r="AF130" s="250"/>
      <c r="AG130" s="249"/>
      <c r="AH130" s="249"/>
      <c r="AI130" s="249"/>
      <c r="AJ130" s="249"/>
      <c r="AK130" s="249"/>
      <c r="AL130" s="249"/>
      <c r="AM130" s="249"/>
      <c r="AN130" s="250"/>
      <c r="AO130" s="250"/>
      <c r="AP130" s="250"/>
      <c r="AQ130" s="250"/>
      <c r="AR130" s="250"/>
      <c r="AS130" s="250"/>
      <c r="AT130" s="250"/>
      <c r="AU130" s="249"/>
      <c r="AV130" s="249"/>
      <c r="AW130" s="249"/>
      <c r="AX130" s="249"/>
      <c r="AY130" s="249"/>
      <c r="AZ130" s="249"/>
      <c r="BA130" s="249"/>
      <c r="BB130" s="250"/>
      <c r="BC130" s="250"/>
      <c r="BD130" s="250"/>
      <c r="BE130" s="250"/>
      <c r="BF130" s="250"/>
      <c r="BG130" s="250"/>
      <c r="BH130" s="250"/>
      <c r="BI130" s="249"/>
      <c r="BJ130" s="249"/>
      <c r="BK130" s="249"/>
      <c r="BL130" s="249"/>
      <c r="BM130" s="249"/>
      <c r="BN130" s="249"/>
      <c r="BO130" s="249"/>
      <c r="BP130" s="250"/>
      <c r="BQ130" s="250"/>
      <c r="BR130" s="250"/>
      <c r="BS130" s="250"/>
      <c r="BT130" s="250"/>
      <c r="BU130" s="250"/>
      <c r="BV130" s="250"/>
      <c r="BW130" s="249"/>
      <c r="BX130" s="249"/>
      <c r="BY130" s="249"/>
      <c r="BZ130" s="249"/>
      <c r="CA130" s="249"/>
      <c r="CB130" s="249"/>
      <c r="CC130" s="249"/>
      <c r="CD130" s="250"/>
      <c r="CE130" s="250"/>
      <c r="CF130" s="250"/>
      <c r="CG130" s="250"/>
      <c r="CH130" s="250"/>
      <c r="CI130" s="250"/>
      <c r="CJ130" s="250"/>
      <c r="CK130" s="249"/>
      <c r="CL130" s="249"/>
      <c r="CM130" s="249"/>
      <c r="CN130" s="249"/>
      <c r="CO130" s="249"/>
      <c r="CP130" s="249"/>
      <c r="CQ130" s="249"/>
      <c r="CR130" s="250"/>
      <c r="CS130" s="250"/>
      <c r="CT130" s="250"/>
      <c r="CU130" s="250"/>
      <c r="CV130" s="250"/>
      <c r="CW130" s="250"/>
      <c r="CX130" s="250"/>
      <c r="CY130" s="249"/>
      <c r="CZ130" s="249"/>
      <c r="DA130" s="249"/>
      <c r="DB130" s="249"/>
      <c r="DC130" s="249">
        <v>6</v>
      </c>
      <c r="DD130" s="249"/>
      <c r="DE130" s="249"/>
      <c r="DF130" s="250"/>
      <c r="DG130" s="250"/>
      <c r="DH130" s="250"/>
      <c r="DI130" s="250"/>
      <c r="DJ130" s="250"/>
      <c r="DK130" s="250"/>
      <c r="DL130" s="250"/>
      <c r="DM130" s="249"/>
      <c r="DN130" s="249"/>
      <c r="DO130" s="249"/>
      <c r="DP130" s="249"/>
      <c r="DQ130" s="249"/>
      <c r="DR130" s="249"/>
      <c r="DS130" s="249"/>
      <c r="DT130" s="250"/>
      <c r="DU130" s="250"/>
      <c r="DV130" s="250"/>
      <c r="DW130" s="250"/>
      <c r="DX130" s="250"/>
      <c r="DY130" s="250"/>
      <c r="DZ130" s="250"/>
      <c r="EA130" s="249"/>
      <c r="EB130" s="249"/>
      <c r="EC130" s="249"/>
      <c r="ED130" s="249"/>
      <c r="EE130" s="249"/>
      <c r="EF130" s="249"/>
      <c r="EG130" s="249"/>
      <c r="EH130" s="250"/>
      <c r="EI130" s="250"/>
      <c r="EJ130" s="250"/>
      <c r="EK130" s="250"/>
      <c r="EL130" s="250"/>
      <c r="EM130" s="250"/>
      <c r="EN130" s="250"/>
      <c r="EO130" s="249"/>
      <c r="EP130" s="249"/>
      <c r="EQ130" s="249"/>
      <c r="ER130" s="249"/>
      <c r="ES130" s="249"/>
      <c r="ET130" s="249"/>
      <c r="EU130" s="249"/>
      <c r="EV130" s="250"/>
      <c r="EW130" s="250"/>
      <c r="EX130" s="250"/>
      <c r="EY130" s="250"/>
      <c r="EZ130" s="250"/>
      <c r="FA130" s="250"/>
      <c r="FB130" s="250"/>
      <c r="FC130" s="249"/>
      <c r="FD130" s="249"/>
      <c r="FE130" s="249"/>
      <c r="FF130" s="249"/>
      <c r="FG130" s="249"/>
      <c r="FH130" s="249"/>
      <c r="FI130" s="249"/>
      <c r="FJ130" s="250"/>
      <c r="FK130" s="250"/>
      <c r="FL130" s="250"/>
      <c r="FM130" s="250"/>
      <c r="FN130" s="250"/>
      <c r="FO130" s="250"/>
      <c r="FP130" s="250"/>
      <c r="FQ130" s="249"/>
      <c r="FR130" s="249"/>
      <c r="FS130" s="249"/>
      <c r="FT130" s="249"/>
      <c r="FU130" s="249"/>
      <c r="FV130" s="249"/>
      <c r="FW130" s="249"/>
      <c r="FX130" s="250"/>
      <c r="FY130" s="250"/>
      <c r="FZ130" s="250"/>
      <c r="GA130" s="250"/>
      <c r="GB130" s="250"/>
      <c r="GC130" s="250"/>
      <c r="GD130" s="250"/>
      <c r="GE130" s="249"/>
      <c r="GF130" s="249"/>
      <c r="GG130" s="249"/>
      <c r="GH130" s="249"/>
      <c r="GI130" s="249"/>
      <c r="GJ130" s="249"/>
      <c r="GK130" s="249"/>
      <c r="GL130" s="250"/>
      <c r="GM130" s="250"/>
      <c r="GN130" s="250"/>
      <c r="GO130" s="250"/>
      <c r="GP130" s="250"/>
      <c r="GQ130" s="250"/>
      <c r="GR130" s="250"/>
      <c r="GS130" s="249"/>
      <c r="GT130" s="249"/>
      <c r="GU130" s="249"/>
      <c r="GV130" s="249"/>
      <c r="GW130" s="249"/>
      <c r="GX130" s="249"/>
      <c r="GY130" s="249"/>
      <c r="GZ130" s="250"/>
      <c r="HA130" s="250"/>
      <c r="HB130" s="250"/>
      <c r="HC130" s="250"/>
      <c r="HD130" s="250"/>
      <c r="HE130" s="250"/>
      <c r="HF130" s="250"/>
      <c r="HG130" s="249"/>
      <c r="HH130" s="249"/>
      <c r="HI130" s="249"/>
      <c r="HJ130" s="249"/>
      <c r="HK130" s="249"/>
      <c r="HL130" s="249"/>
      <c r="HM130" s="249"/>
      <c r="HN130" s="250"/>
      <c r="HO130" s="250"/>
      <c r="HP130" s="250"/>
      <c r="HQ130" s="250"/>
      <c r="HR130" s="250"/>
      <c r="HS130" s="250"/>
      <c r="HT130" s="250"/>
      <c r="HU130" s="249"/>
      <c r="HV130" s="249"/>
      <c r="HW130" s="249"/>
      <c r="HX130" s="249"/>
      <c r="HY130" s="249">
        <v>6</v>
      </c>
      <c r="HZ130" s="249"/>
      <c r="IA130" s="249"/>
      <c r="IB130" s="250"/>
      <c r="IC130" s="250"/>
      <c r="ID130" s="250"/>
      <c r="IE130" s="250"/>
      <c r="IF130" s="250"/>
      <c r="IG130" s="250"/>
      <c r="IH130" s="250"/>
      <c r="II130" s="249"/>
      <c r="IJ130" s="249"/>
      <c r="IK130" s="249"/>
      <c r="IL130" s="249"/>
      <c r="IM130" s="249"/>
      <c r="IN130" s="249"/>
      <c r="IO130" s="249"/>
      <c r="IP130" s="250"/>
      <c r="IQ130" s="250"/>
      <c r="IR130" s="250"/>
      <c r="IS130" s="250"/>
      <c r="IT130" s="250"/>
      <c r="IU130" s="250"/>
      <c r="IV130" s="250"/>
      <c r="IW130" s="249"/>
      <c r="IX130" s="249"/>
      <c r="IY130" s="249"/>
      <c r="IZ130" s="249"/>
      <c r="JA130" s="249"/>
      <c r="JB130" s="249"/>
      <c r="JC130" s="249"/>
      <c r="JD130" s="250"/>
      <c r="JE130" s="250"/>
      <c r="JF130" s="250"/>
      <c r="JG130" s="250"/>
      <c r="JH130" s="250"/>
      <c r="JI130" s="250"/>
      <c r="JJ130" s="250"/>
      <c r="JK130" s="249"/>
      <c r="JL130" s="249"/>
      <c r="JM130" s="249"/>
      <c r="JN130" s="249"/>
      <c r="JO130" s="249"/>
      <c r="JP130" s="249"/>
      <c r="JQ130" s="249"/>
      <c r="JR130" s="250"/>
      <c r="JS130" s="250"/>
      <c r="JT130" s="250"/>
      <c r="JU130" s="250"/>
      <c r="JV130" s="250"/>
      <c r="JW130" s="250"/>
      <c r="JX130" s="250"/>
      <c r="JY130" s="249"/>
      <c r="JZ130" s="249"/>
      <c r="KA130" s="249"/>
      <c r="KB130" s="249"/>
      <c r="KC130" s="249"/>
      <c r="KD130" s="249"/>
      <c r="KE130" s="249"/>
      <c r="KF130" s="250"/>
      <c r="KG130" s="250"/>
      <c r="KH130" s="250"/>
      <c r="KI130" s="250"/>
      <c r="KJ130" s="250"/>
      <c r="KK130" s="250"/>
      <c r="KL130" s="250"/>
      <c r="KM130" s="249"/>
      <c r="KN130" s="249"/>
      <c r="KO130" s="249"/>
      <c r="KP130" s="249"/>
      <c r="KQ130" s="249"/>
      <c r="KR130" s="249"/>
      <c r="KS130" s="249"/>
      <c r="KT130" s="250"/>
      <c r="KU130" s="250"/>
      <c r="KV130" s="250"/>
      <c r="KW130" s="250"/>
      <c r="KX130" s="250"/>
      <c r="KY130" s="250"/>
      <c r="KZ130" s="250"/>
      <c r="LA130" s="249"/>
      <c r="LB130" s="249"/>
      <c r="LC130" s="249"/>
      <c r="LD130" s="249"/>
      <c r="LE130" s="249"/>
      <c r="LF130" s="249"/>
      <c r="LG130" s="249"/>
      <c r="LH130" s="250"/>
      <c r="LI130" s="250"/>
      <c r="LJ130" s="250"/>
      <c r="LK130" s="250"/>
      <c r="LL130" s="250"/>
      <c r="LM130" s="250"/>
      <c r="LN130" s="250"/>
      <c r="LO130" s="249"/>
      <c r="LP130" s="249"/>
      <c r="LQ130" s="249"/>
      <c r="LR130" s="249"/>
      <c r="LS130" s="249"/>
      <c r="LT130" s="249"/>
      <c r="LU130" s="249"/>
      <c r="LV130" s="250"/>
      <c r="LW130" s="250"/>
      <c r="LX130" s="250"/>
      <c r="LY130" s="250"/>
      <c r="LZ130" s="250"/>
      <c r="MA130" s="250"/>
      <c r="MB130" s="250"/>
      <c r="MC130" s="249"/>
      <c r="MD130" s="249"/>
      <c r="ME130" s="249"/>
      <c r="MF130" s="249"/>
      <c r="MG130" s="249"/>
      <c r="MH130" s="249"/>
      <c r="MI130" s="249"/>
      <c r="MJ130" s="250"/>
      <c r="MK130" s="250"/>
      <c r="ML130" s="250"/>
      <c r="MM130" s="250"/>
      <c r="MN130" s="250"/>
      <c r="MO130" s="250"/>
      <c r="MP130" s="250"/>
      <c r="MQ130" s="249"/>
      <c r="MR130" s="249"/>
      <c r="MS130" s="249"/>
      <c r="MT130" s="249"/>
      <c r="MU130" s="249">
        <v>6</v>
      </c>
      <c r="MV130" s="249"/>
      <c r="MW130" s="249"/>
      <c r="MX130" s="250"/>
      <c r="MY130" s="250"/>
      <c r="MZ130" s="250"/>
      <c r="NA130" s="250"/>
      <c r="NB130" s="250"/>
      <c r="NC130" s="250"/>
      <c r="ND130" s="250"/>
      <c r="NE130" s="249"/>
      <c r="NF130" s="249"/>
      <c r="NG130" s="249"/>
      <c r="NH130" s="333" t="s">
        <v>1125</v>
      </c>
    </row>
    <row r="131" spans="1:372">
      <c r="A131" s="251" t="s">
        <v>985</v>
      </c>
      <c r="B131" s="251" t="s">
        <v>652</v>
      </c>
      <c r="C131" s="251" t="s">
        <v>674</v>
      </c>
      <c r="D131" s="251" t="s">
        <v>997</v>
      </c>
      <c r="E131" s="241">
        <v>29.750999968650312</v>
      </c>
      <c r="F131" s="241">
        <v>16</v>
      </c>
      <c r="G131" s="249"/>
      <c r="H131" s="249"/>
      <c r="I131" s="249"/>
      <c r="J131" s="249"/>
      <c r="K131" s="249"/>
      <c r="L131" s="250"/>
      <c r="M131" s="250"/>
      <c r="N131" s="250"/>
      <c r="O131" s="250"/>
      <c r="P131" s="250"/>
      <c r="Q131" s="250"/>
      <c r="R131" s="250"/>
      <c r="S131" s="249"/>
      <c r="T131" s="249"/>
      <c r="U131" s="249"/>
      <c r="V131" s="249"/>
      <c r="W131" s="249"/>
      <c r="X131" s="249"/>
      <c r="Y131" s="249"/>
      <c r="Z131" s="250"/>
      <c r="AA131" s="250"/>
      <c r="AB131" s="250"/>
      <c r="AC131" s="250"/>
      <c r="AD131" s="250"/>
      <c r="AE131" s="250"/>
      <c r="AF131" s="250"/>
      <c r="AG131" s="249"/>
      <c r="AH131" s="249"/>
      <c r="AI131" s="249"/>
      <c r="AJ131" s="249"/>
      <c r="AK131" s="249"/>
      <c r="AL131" s="249"/>
      <c r="AM131" s="249"/>
      <c r="AN131" s="250"/>
      <c r="AO131" s="250"/>
      <c r="AP131" s="250"/>
      <c r="AQ131" s="250"/>
      <c r="AR131" s="250"/>
      <c r="AS131" s="250"/>
      <c r="AT131" s="250"/>
      <c r="AU131" s="249"/>
      <c r="AV131" s="249"/>
      <c r="AW131" s="249"/>
      <c r="AX131" s="249"/>
      <c r="AY131" s="249"/>
      <c r="AZ131" s="249"/>
      <c r="BA131" s="249"/>
      <c r="BB131" s="250"/>
      <c r="BC131" s="250"/>
      <c r="BD131" s="250"/>
      <c r="BE131" s="250"/>
      <c r="BF131" s="250"/>
      <c r="BG131" s="250"/>
      <c r="BH131" s="250"/>
      <c r="BI131" s="249"/>
      <c r="BJ131" s="249"/>
      <c r="BK131" s="249"/>
      <c r="BL131" s="249"/>
      <c r="BM131" s="249"/>
      <c r="BN131" s="249"/>
      <c r="BO131" s="249"/>
      <c r="BP131" s="250"/>
      <c r="BQ131" s="250"/>
      <c r="BR131" s="250"/>
      <c r="BS131" s="250"/>
      <c r="BT131" s="250"/>
      <c r="BU131" s="250"/>
      <c r="BV131" s="250"/>
      <c r="BW131" s="249"/>
      <c r="BX131" s="249"/>
      <c r="BY131" s="249"/>
      <c r="BZ131" s="249"/>
      <c r="CA131" s="249"/>
      <c r="CB131" s="249"/>
      <c r="CC131" s="249"/>
      <c r="CD131" s="250"/>
      <c r="CE131" s="250"/>
      <c r="CF131" s="250"/>
      <c r="CG131" s="250"/>
      <c r="CH131" s="250"/>
      <c r="CI131" s="250"/>
      <c r="CJ131" s="250"/>
      <c r="CK131" s="249"/>
      <c r="CL131" s="249"/>
      <c r="CM131" s="249"/>
      <c r="CN131" s="249"/>
      <c r="CO131" s="249"/>
      <c r="CP131" s="249"/>
      <c r="CQ131" s="249"/>
      <c r="CR131" s="250"/>
      <c r="CS131" s="250"/>
      <c r="CT131" s="250"/>
      <c r="CU131" s="250">
        <v>8</v>
      </c>
      <c r="CV131" s="250"/>
      <c r="CW131" s="250"/>
      <c r="CX131" s="250"/>
      <c r="CY131" s="249"/>
      <c r="CZ131" s="249"/>
      <c r="DA131" s="249"/>
      <c r="DB131" s="249"/>
      <c r="DC131" s="249"/>
      <c r="DD131" s="249"/>
      <c r="DE131" s="249"/>
      <c r="DF131" s="250"/>
      <c r="DG131" s="250"/>
      <c r="DH131" s="250"/>
      <c r="DI131" s="250"/>
      <c r="DJ131" s="250"/>
      <c r="DK131" s="250"/>
      <c r="DL131" s="250"/>
      <c r="DM131" s="249"/>
      <c r="DN131" s="249"/>
      <c r="DO131" s="249"/>
      <c r="DP131" s="249"/>
      <c r="DQ131" s="249"/>
      <c r="DR131" s="249"/>
      <c r="DS131" s="249"/>
      <c r="DT131" s="250"/>
      <c r="DU131" s="250"/>
      <c r="DV131" s="250"/>
      <c r="DW131" s="250"/>
      <c r="DX131" s="250"/>
      <c r="DY131" s="250"/>
      <c r="DZ131" s="250"/>
      <c r="EA131" s="249"/>
      <c r="EB131" s="249"/>
      <c r="EC131" s="249"/>
      <c r="ED131" s="249"/>
      <c r="EE131" s="249"/>
      <c r="EF131" s="249"/>
      <c r="EG131" s="249"/>
      <c r="EH131" s="250"/>
      <c r="EI131" s="250"/>
      <c r="EJ131" s="250"/>
      <c r="EK131" s="250"/>
      <c r="EL131" s="250"/>
      <c r="EM131" s="250"/>
      <c r="EN131" s="250"/>
      <c r="EO131" s="249"/>
      <c r="EP131" s="249"/>
      <c r="EQ131" s="249"/>
      <c r="ER131" s="249"/>
      <c r="ES131" s="249"/>
      <c r="ET131" s="249"/>
      <c r="EU131" s="249"/>
      <c r="EV131" s="250"/>
      <c r="EW131" s="250"/>
      <c r="EX131" s="250"/>
      <c r="EY131" s="250"/>
      <c r="EZ131" s="250"/>
      <c r="FA131" s="250"/>
      <c r="FB131" s="250"/>
      <c r="FC131" s="249"/>
      <c r="FD131" s="249"/>
      <c r="FE131" s="249"/>
      <c r="FF131" s="249"/>
      <c r="FG131" s="249"/>
      <c r="FH131" s="249"/>
      <c r="FI131" s="249"/>
      <c r="FJ131" s="250"/>
      <c r="FK131" s="250"/>
      <c r="FL131" s="250"/>
      <c r="FM131" s="250"/>
      <c r="FN131" s="250"/>
      <c r="FO131" s="250"/>
      <c r="FP131" s="250"/>
      <c r="FQ131" s="249"/>
      <c r="FR131" s="249"/>
      <c r="FS131" s="249"/>
      <c r="FT131" s="249"/>
      <c r="FU131" s="249"/>
      <c r="FV131" s="249"/>
      <c r="FW131" s="249"/>
      <c r="FX131" s="250"/>
      <c r="FY131" s="250"/>
      <c r="FZ131" s="250"/>
      <c r="GA131" s="250"/>
      <c r="GB131" s="250"/>
      <c r="GC131" s="250"/>
      <c r="GD131" s="250"/>
      <c r="GE131" s="249"/>
      <c r="GF131" s="249"/>
      <c r="GG131" s="249"/>
      <c r="GH131" s="249"/>
      <c r="GI131" s="249"/>
      <c r="GJ131" s="249"/>
      <c r="GK131" s="249"/>
      <c r="GL131" s="250"/>
      <c r="GM131" s="250"/>
      <c r="GN131" s="250"/>
      <c r="GO131" s="250"/>
      <c r="GP131" s="250"/>
      <c r="GQ131" s="250"/>
      <c r="GR131" s="250"/>
      <c r="GS131" s="249"/>
      <c r="GT131" s="249"/>
      <c r="GU131" s="249"/>
      <c r="GV131" s="249"/>
      <c r="GW131" s="249"/>
      <c r="GX131" s="249"/>
      <c r="GY131" s="249"/>
      <c r="GZ131" s="250"/>
      <c r="HA131" s="250"/>
      <c r="HB131" s="250"/>
      <c r="HC131" s="250"/>
      <c r="HD131" s="250"/>
      <c r="HE131" s="250"/>
      <c r="HF131" s="250"/>
      <c r="HG131" s="249"/>
      <c r="HH131" s="249"/>
      <c r="HI131" s="249"/>
      <c r="HJ131" s="249"/>
      <c r="HK131" s="249"/>
      <c r="HL131" s="249"/>
      <c r="HM131" s="249"/>
      <c r="HN131" s="250"/>
      <c r="HO131" s="250"/>
      <c r="HP131" s="250"/>
      <c r="HQ131" s="250"/>
      <c r="HR131" s="250"/>
      <c r="HS131" s="250"/>
      <c r="HT131" s="250"/>
      <c r="HU131" s="249"/>
      <c r="HV131" s="249"/>
      <c r="HW131" s="249"/>
      <c r="HX131" s="249"/>
      <c r="HY131" s="249"/>
      <c r="HZ131" s="249"/>
      <c r="IA131" s="249"/>
      <c r="IB131" s="250"/>
      <c r="IC131" s="250"/>
      <c r="ID131" s="250"/>
      <c r="IE131" s="250"/>
      <c r="IF131" s="250"/>
      <c r="IG131" s="250"/>
      <c r="IH131" s="250"/>
      <c r="II131" s="249"/>
      <c r="IJ131" s="249"/>
      <c r="IK131" s="249"/>
      <c r="IL131" s="249"/>
      <c r="IM131" s="249"/>
      <c r="IN131" s="249"/>
      <c r="IO131" s="249"/>
      <c r="IP131" s="250"/>
      <c r="IQ131" s="250"/>
      <c r="IR131" s="250"/>
      <c r="IS131" s="250"/>
      <c r="IT131" s="250"/>
      <c r="IU131" s="250"/>
      <c r="IV131" s="250"/>
      <c r="IW131" s="249"/>
      <c r="IX131" s="249"/>
      <c r="IY131" s="249"/>
      <c r="IZ131" s="249"/>
      <c r="JA131" s="249"/>
      <c r="JB131" s="249"/>
      <c r="JC131" s="249"/>
      <c r="JD131" s="250"/>
      <c r="JE131" s="250"/>
      <c r="JF131" s="250"/>
      <c r="JG131" s="250"/>
      <c r="JH131" s="250"/>
      <c r="JI131" s="250"/>
      <c r="JJ131" s="250"/>
      <c r="JK131" s="249"/>
      <c r="JL131" s="249"/>
      <c r="JM131" s="249"/>
      <c r="JN131" s="249"/>
      <c r="JO131" s="249"/>
      <c r="JP131" s="249"/>
      <c r="JQ131" s="249"/>
      <c r="JR131" s="250"/>
      <c r="JS131" s="250"/>
      <c r="JT131" s="250"/>
      <c r="JU131" s="250"/>
      <c r="JV131" s="250"/>
      <c r="JW131" s="250"/>
      <c r="JX131" s="250"/>
      <c r="JY131" s="249"/>
      <c r="JZ131" s="249"/>
      <c r="KA131" s="249"/>
      <c r="KB131" s="249"/>
      <c r="KC131" s="249"/>
      <c r="KD131" s="249"/>
      <c r="KE131" s="249"/>
      <c r="KF131" s="250"/>
      <c r="KG131" s="250"/>
      <c r="KH131" s="250"/>
      <c r="KI131" s="250">
        <v>8</v>
      </c>
      <c r="KJ131" s="250"/>
      <c r="KK131" s="250"/>
      <c r="KL131" s="250"/>
      <c r="KM131" s="249"/>
      <c r="KN131" s="249"/>
      <c r="KO131" s="249"/>
      <c r="KP131" s="249"/>
      <c r="KQ131" s="249"/>
      <c r="KR131" s="249"/>
      <c r="KS131" s="249"/>
      <c r="KT131" s="250"/>
      <c r="KU131" s="250"/>
      <c r="KV131" s="250"/>
      <c r="KW131" s="250"/>
      <c r="KX131" s="250"/>
      <c r="KY131" s="250"/>
      <c r="KZ131" s="250"/>
      <c r="LA131" s="249"/>
      <c r="LB131" s="249"/>
      <c r="LC131" s="249"/>
      <c r="LD131" s="249"/>
      <c r="LE131" s="249"/>
      <c r="LF131" s="249"/>
      <c r="LG131" s="249"/>
      <c r="LH131" s="250"/>
      <c r="LI131" s="250"/>
      <c r="LJ131" s="250"/>
      <c r="LK131" s="250"/>
      <c r="LL131" s="250"/>
      <c r="LM131" s="250"/>
      <c r="LN131" s="250"/>
      <c r="LO131" s="249"/>
      <c r="LP131" s="249"/>
      <c r="LQ131" s="249"/>
      <c r="LR131" s="249"/>
      <c r="LS131" s="249"/>
      <c r="LT131" s="249"/>
      <c r="LU131" s="249"/>
      <c r="LV131" s="250"/>
      <c r="LW131" s="250"/>
      <c r="LX131" s="250"/>
      <c r="LY131" s="250"/>
      <c r="LZ131" s="250"/>
      <c r="MA131" s="250"/>
      <c r="MB131" s="250"/>
      <c r="MC131" s="249"/>
      <c r="MD131" s="249"/>
      <c r="ME131" s="249"/>
      <c r="MF131" s="249"/>
      <c r="MG131" s="249"/>
      <c r="MH131" s="249"/>
      <c r="MI131" s="249"/>
      <c r="MJ131" s="250"/>
      <c r="MK131" s="250"/>
      <c r="ML131" s="250"/>
      <c r="MM131" s="250"/>
      <c r="MN131" s="250"/>
      <c r="MO131" s="250"/>
      <c r="MP131" s="250"/>
      <c r="MQ131" s="249"/>
      <c r="MR131" s="249"/>
      <c r="MS131" s="249"/>
      <c r="MT131" s="249"/>
      <c r="MU131" s="249"/>
      <c r="MV131" s="249"/>
      <c r="MW131" s="249"/>
      <c r="MX131" s="250"/>
      <c r="MY131" s="250"/>
      <c r="MZ131" s="250"/>
      <c r="NA131" s="250"/>
      <c r="NB131" s="250"/>
      <c r="NC131" s="250"/>
      <c r="ND131" s="250"/>
      <c r="NE131" s="249"/>
      <c r="NF131" s="249"/>
      <c r="NG131" s="249"/>
      <c r="NH131" s="333"/>
    </row>
    <row r="132" spans="1:372">
      <c r="A132" s="251" t="s">
        <v>985</v>
      </c>
      <c r="B132" s="251" t="s">
        <v>97</v>
      </c>
      <c r="C132" s="251" t="s">
        <v>674</v>
      </c>
      <c r="D132" s="251" t="s">
        <v>982</v>
      </c>
      <c r="E132" s="241">
        <v>0</v>
      </c>
      <c r="F132" s="241">
        <v>26</v>
      </c>
      <c r="G132" s="249"/>
      <c r="H132" s="249"/>
      <c r="I132" s="249"/>
      <c r="J132" s="249"/>
      <c r="K132" s="249"/>
      <c r="L132" s="250"/>
      <c r="M132" s="250"/>
      <c r="N132" s="250"/>
      <c r="O132" s="250"/>
      <c r="P132" s="250"/>
      <c r="Q132" s="250"/>
      <c r="R132" s="250"/>
      <c r="S132" s="249"/>
      <c r="T132" s="249"/>
      <c r="U132" s="249"/>
      <c r="V132" s="249"/>
      <c r="W132" s="249"/>
      <c r="X132" s="249"/>
      <c r="Y132" s="249"/>
      <c r="Z132" s="250"/>
      <c r="AA132" s="250"/>
      <c r="AB132" s="250"/>
      <c r="AC132" s="250"/>
      <c r="AD132" s="250"/>
      <c r="AE132" s="250"/>
      <c r="AF132" s="250"/>
      <c r="AG132" s="249"/>
      <c r="AH132" s="249"/>
      <c r="AI132" s="249"/>
      <c r="AJ132" s="249"/>
      <c r="AK132" s="249"/>
      <c r="AL132" s="249"/>
      <c r="AM132" s="249"/>
      <c r="AN132" s="250"/>
      <c r="AO132" s="250"/>
      <c r="AP132" s="250"/>
      <c r="AQ132" s="250"/>
      <c r="AR132" s="250"/>
      <c r="AS132" s="250"/>
      <c r="AT132" s="250"/>
      <c r="AU132" s="249"/>
      <c r="AV132" s="249"/>
      <c r="AW132" s="249"/>
      <c r="AX132" s="249"/>
      <c r="AY132" s="249"/>
      <c r="AZ132" s="249"/>
      <c r="BA132" s="249"/>
      <c r="BB132" s="250"/>
      <c r="BC132" s="250"/>
      <c r="BD132" s="250"/>
      <c r="BE132" s="250"/>
      <c r="BF132" s="250"/>
      <c r="BG132" s="250"/>
      <c r="BH132" s="250"/>
      <c r="BI132" s="249"/>
      <c r="BJ132" s="249"/>
      <c r="BK132" s="249"/>
      <c r="BL132" s="249"/>
      <c r="BM132" s="249"/>
      <c r="BN132" s="249"/>
      <c r="BO132" s="249"/>
      <c r="BP132" s="250"/>
      <c r="BQ132" s="250"/>
      <c r="BR132" s="250"/>
      <c r="BS132" s="250"/>
      <c r="BT132" s="250"/>
      <c r="BU132" s="250"/>
      <c r="BV132" s="250"/>
      <c r="BW132" s="249"/>
      <c r="BX132" s="249">
        <v>2</v>
      </c>
      <c r="BY132" s="249">
        <v>8</v>
      </c>
      <c r="BZ132" s="249"/>
      <c r="CA132" s="249"/>
      <c r="CB132" s="249"/>
      <c r="CC132" s="249"/>
      <c r="CD132" s="250"/>
      <c r="CE132" s="250"/>
      <c r="CF132" s="250"/>
      <c r="CG132" s="250"/>
      <c r="CH132" s="250"/>
      <c r="CI132" s="250"/>
      <c r="CJ132" s="250"/>
      <c r="CK132" s="249"/>
      <c r="CL132" s="249"/>
      <c r="CM132" s="249"/>
      <c r="CN132" s="249"/>
      <c r="CO132" s="249"/>
      <c r="CP132" s="249"/>
      <c r="CQ132" s="249"/>
      <c r="CR132" s="250"/>
      <c r="CS132" s="250"/>
      <c r="CT132" s="250"/>
      <c r="CU132" s="250"/>
      <c r="CV132" s="250"/>
      <c r="CW132" s="250"/>
      <c r="CX132" s="250"/>
      <c r="CY132" s="249"/>
      <c r="CZ132" s="249"/>
      <c r="DA132" s="249"/>
      <c r="DB132" s="249"/>
      <c r="DC132" s="249"/>
      <c r="DD132" s="249"/>
      <c r="DE132" s="249"/>
      <c r="DF132" s="250"/>
      <c r="DG132" s="250"/>
      <c r="DH132" s="250"/>
      <c r="DI132" s="250"/>
      <c r="DJ132" s="250"/>
      <c r="DK132" s="250"/>
      <c r="DL132" s="250"/>
      <c r="DM132" s="249"/>
      <c r="DN132" s="249"/>
      <c r="DO132" s="249"/>
      <c r="DP132" s="249"/>
      <c r="DQ132" s="249"/>
      <c r="DR132" s="249"/>
      <c r="DS132" s="249"/>
      <c r="DT132" s="250"/>
      <c r="DU132" s="250"/>
      <c r="DV132" s="250"/>
      <c r="DW132" s="250"/>
      <c r="DX132" s="250"/>
      <c r="DY132" s="250"/>
      <c r="DZ132" s="250"/>
      <c r="EA132" s="249"/>
      <c r="EB132" s="249"/>
      <c r="EC132" s="249"/>
      <c r="ED132" s="249"/>
      <c r="EE132" s="249"/>
      <c r="EF132" s="249"/>
      <c r="EG132" s="249"/>
      <c r="EH132" s="250"/>
      <c r="EI132" s="250"/>
      <c r="EJ132" s="250"/>
      <c r="EK132" s="250"/>
      <c r="EL132" s="250"/>
      <c r="EM132" s="250"/>
      <c r="EN132" s="250"/>
      <c r="EO132" s="249"/>
      <c r="EP132" s="249"/>
      <c r="EQ132" s="249"/>
      <c r="ER132" s="249"/>
      <c r="ES132" s="249"/>
      <c r="ET132" s="249"/>
      <c r="EU132" s="249"/>
      <c r="EV132" s="250"/>
      <c r="EW132" s="250"/>
      <c r="EX132" s="250"/>
      <c r="EY132" s="250"/>
      <c r="EZ132" s="250"/>
      <c r="FA132" s="250"/>
      <c r="FB132" s="250"/>
      <c r="FC132" s="249"/>
      <c r="FD132" s="249"/>
      <c r="FE132" s="249"/>
      <c r="FF132" s="249"/>
      <c r="FG132" s="249"/>
      <c r="FH132" s="249"/>
      <c r="FI132" s="249"/>
      <c r="FJ132" s="250"/>
      <c r="FK132" s="250"/>
      <c r="FL132" s="250"/>
      <c r="FM132" s="250"/>
      <c r="FN132" s="250"/>
      <c r="FO132" s="250"/>
      <c r="FP132" s="250"/>
      <c r="FQ132" s="249"/>
      <c r="FR132" s="249"/>
      <c r="FS132" s="249"/>
      <c r="FT132" s="249"/>
      <c r="FU132" s="249"/>
      <c r="FV132" s="249"/>
      <c r="FW132" s="249"/>
      <c r="FX132" s="250"/>
      <c r="FY132" s="250"/>
      <c r="FZ132" s="250"/>
      <c r="GA132" s="250"/>
      <c r="GB132" s="250"/>
      <c r="GC132" s="250"/>
      <c r="GD132" s="250"/>
      <c r="GE132" s="249"/>
      <c r="GF132" s="249"/>
      <c r="GG132" s="249"/>
      <c r="GH132" s="249"/>
      <c r="GI132" s="249"/>
      <c r="GJ132" s="249"/>
      <c r="GK132" s="249"/>
      <c r="GL132" s="250"/>
      <c r="GM132" s="250"/>
      <c r="GN132" s="250"/>
      <c r="GO132" s="250"/>
      <c r="GP132" s="250"/>
      <c r="GQ132" s="250"/>
      <c r="GR132" s="250"/>
      <c r="GS132" s="249"/>
      <c r="GT132" s="249"/>
      <c r="GU132" s="249">
        <v>8</v>
      </c>
      <c r="GV132" s="249"/>
      <c r="GW132" s="249"/>
      <c r="GX132" s="249"/>
      <c r="GY132" s="249"/>
      <c r="GZ132" s="250"/>
      <c r="HA132" s="250"/>
      <c r="HB132" s="250"/>
      <c r="HC132" s="250"/>
      <c r="HD132" s="250"/>
      <c r="HE132" s="250"/>
      <c r="HF132" s="250"/>
      <c r="HG132" s="249"/>
      <c r="HH132" s="249"/>
      <c r="HI132" s="249"/>
      <c r="HJ132" s="249"/>
      <c r="HK132" s="249"/>
      <c r="HL132" s="249"/>
      <c r="HM132" s="249"/>
      <c r="HN132" s="250"/>
      <c r="HO132" s="250"/>
      <c r="HP132" s="250"/>
      <c r="HQ132" s="250"/>
      <c r="HR132" s="250"/>
      <c r="HS132" s="250"/>
      <c r="HT132" s="250"/>
      <c r="HU132" s="249"/>
      <c r="HV132" s="249"/>
      <c r="HW132" s="249"/>
      <c r="HX132" s="249"/>
      <c r="HY132" s="249"/>
      <c r="HZ132" s="249"/>
      <c r="IA132" s="249"/>
      <c r="IB132" s="250"/>
      <c r="IC132" s="250"/>
      <c r="ID132" s="250"/>
      <c r="IE132" s="250"/>
      <c r="IF132" s="250"/>
      <c r="IG132" s="250"/>
      <c r="IH132" s="250"/>
      <c r="II132" s="249"/>
      <c r="IJ132" s="249"/>
      <c r="IK132" s="249"/>
      <c r="IL132" s="249"/>
      <c r="IM132" s="249"/>
      <c r="IN132" s="249"/>
      <c r="IO132" s="249"/>
      <c r="IP132" s="250"/>
      <c r="IQ132" s="250"/>
      <c r="IR132" s="250"/>
      <c r="IS132" s="250"/>
      <c r="IT132" s="250"/>
      <c r="IU132" s="250"/>
      <c r="IV132" s="250"/>
      <c r="IW132" s="249"/>
      <c r="IX132" s="249"/>
      <c r="IY132" s="249"/>
      <c r="IZ132" s="249"/>
      <c r="JA132" s="249"/>
      <c r="JB132" s="249"/>
      <c r="JC132" s="249"/>
      <c r="JD132" s="250"/>
      <c r="JE132" s="250"/>
      <c r="JF132" s="250"/>
      <c r="JG132" s="250"/>
      <c r="JH132" s="250"/>
      <c r="JI132" s="250"/>
      <c r="JJ132" s="250"/>
      <c r="JK132" s="249"/>
      <c r="JL132" s="249"/>
      <c r="JM132" s="249"/>
      <c r="JN132" s="249"/>
      <c r="JO132" s="249"/>
      <c r="JP132" s="249"/>
      <c r="JQ132" s="249"/>
      <c r="JR132" s="250"/>
      <c r="JS132" s="250"/>
      <c r="JT132" s="250"/>
      <c r="JU132" s="250"/>
      <c r="JV132" s="250"/>
      <c r="JW132" s="250"/>
      <c r="JX132" s="250"/>
      <c r="JY132" s="249"/>
      <c r="JZ132" s="249"/>
      <c r="KA132" s="249"/>
      <c r="KB132" s="249"/>
      <c r="KC132" s="249"/>
      <c r="KD132" s="249"/>
      <c r="KE132" s="249"/>
      <c r="KF132" s="250"/>
      <c r="KG132" s="250"/>
      <c r="KH132" s="250"/>
      <c r="KI132" s="250"/>
      <c r="KJ132" s="250"/>
      <c r="KK132" s="250"/>
      <c r="KL132" s="250"/>
      <c r="KM132" s="249"/>
      <c r="KN132" s="249"/>
      <c r="KO132" s="249"/>
      <c r="KP132" s="249"/>
      <c r="KQ132" s="249"/>
      <c r="KR132" s="249"/>
      <c r="KS132" s="249"/>
      <c r="KT132" s="250"/>
      <c r="KU132" s="250"/>
      <c r="KV132" s="250"/>
      <c r="KW132" s="250"/>
      <c r="KX132" s="250"/>
      <c r="KY132" s="250"/>
      <c r="KZ132" s="250"/>
      <c r="LA132" s="249"/>
      <c r="LB132" s="249"/>
      <c r="LC132" s="249">
        <v>8</v>
      </c>
      <c r="LD132" s="249"/>
      <c r="LE132" s="249"/>
      <c r="LF132" s="249"/>
      <c r="LG132" s="249"/>
      <c r="LH132" s="250"/>
      <c r="LI132" s="250"/>
      <c r="LJ132" s="250"/>
      <c r="LK132" s="250"/>
      <c r="LL132" s="250"/>
      <c r="LM132" s="250"/>
      <c r="LN132" s="250"/>
      <c r="LO132" s="249"/>
      <c r="LP132" s="249"/>
      <c r="LQ132" s="249"/>
      <c r="LR132" s="249"/>
      <c r="LS132" s="249"/>
      <c r="LT132" s="249"/>
      <c r="LU132" s="249"/>
      <c r="LV132" s="250"/>
      <c r="LW132" s="250"/>
      <c r="LX132" s="250"/>
      <c r="LY132" s="250"/>
      <c r="LZ132" s="250"/>
      <c r="MA132" s="250"/>
      <c r="MB132" s="250"/>
      <c r="MC132" s="249"/>
      <c r="MD132" s="249"/>
      <c r="ME132" s="249"/>
      <c r="MF132" s="249"/>
      <c r="MG132" s="249"/>
      <c r="MH132" s="249"/>
      <c r="MI132" s="249"/>
      <c r="MJ132" s="250"/>
      <c r="MK132" s="250"/>
      <c r="ML132" s="250"/>
      <c r="MM132" s="250"/>
      <c r="MN132" s="250"/>
      <c r="MO132" s="250"/>
      <c r="MP132" s="250"/>
      <c r="MQ132" s="249"/>
      <c r="MR132" s="249"/>
      <c r="MS132" s="249"/>
      <c r="MT132" s="249"/>
      <c r="MU132" s="249"/>
      <c r="MV132" s="249"/>
      <c r="MW132" s="249"/>
      <c r="MX132" s="250"/>
      <c r="MY132" s="250"/>
      <c r="MZ132" s="250"/>
      <c r="NA132" s="250"/>
      <c r="NB132" s="250"/>
      <c r="NC132" s="250"/>
      <c r="ND132" s="250"/>
      <c r="NE132" s="249"/>
      <c r="NF132" s="249"/>
      <c r="NG132" s="249"/>
      <c r="NH132" s="333" t="s">
        <v>1126</v>
      </c>
    </row>
    <row r="133" spans="1:372">
      <c r="A133" s="251" t="s">
        <v>985</v>
      </c>
      <c r="B133" s="251" t="s">
        <v>401</v>
      </c>
      <c r="C133" s="251" t="s">
        <v>674</v>
      </c>
      <c r="D133" s="251" t="s">
        <v>982</v>
      </c>
      <c r="E133" s="241">
        <v>48.525149968619623</v>
      </c>
      <c r="F133" s="241">
        <v>198</v>
      </c>
      <c r="G133" s="249"/>
      <c r="H133" s="249"/>
      <c r="I133" s="249"/>
      <c r="J133" s="249"/>
      <c r="K133" s="249"/>
      <c r="L133" s="250"/>
      <c r="M133" s="250"/>
      <c r="N133" s="250"/>
      <c r="O133" s="250"/>
      <c r="P133" s="250"/>
      <c r="Q133" s="250"/>
      <c r="R133" s="250"/>
      <c r="S133" s="249"/>
      <c r="T133" s="249"/>
      <c r="U133" s="249"/>
      <c r="V133" s="249"/>
      <c r="W133" s="249"/>
      <c r="X133" s="249"/>
      <c r="Y133" s="249"/>
      <c r="Z133" s="250"/>
      <c r="AA133" s="250"/>
      <c r="AB133" s="250"/>
      <c r="AC133" s="250"/>
      <c r="AD133" s="250"/>
      <c r="AE133" s="250"/>
      <c r="AF133" s="250">
        <v>12</v>
      </c>
      <c r="AG133" s="249">
        <v>24</v>
      </c>
      <c r="AH133" s="249">
        <v>24</v>
      </c>
      <c r="AI133" s="249">
        <v>24</v>
      </c>
      <c r="AJ133" s="249">
        <v>18</v>
      </c>
      <c r="AK133" s="249"/>
      <c r="AL133" s="249"/>
      <c r="AM133" s="249"/>
      <c r="AN133" s="250"/>
      <c r="AO133" s="250"/>
      <c r="AP133" s="250"/>
      <c r="AQ133" s="250"/>
      <c r="AR133" s="250"/>
      <c r="AS133" s="250"/>
      <c r="AT133" s="250"/>
      <c r="AU133" s="249"/>
      <c r="AV133" s="249"/>
      <c r="AW133" s="249"/>
      <c r="AX133" s="249"/>
      <c r="AY133" s="249"/>
      <c r="AZ133" s="249"/>
      <c r="BA133" s="249"/>
      <c r="BB133" s="250"/>
      <c r="BC133" s="250"/>
      <c r="BD133" s="250"/>
      <c r="BE133" s="250"/>
      <c r="BF133" s="250"/>
      <c r="BG133" s="250"/>
      <c r="BH133" s="250"/>
      <c r="BI133" s="249"/>
      <c r="BJ133" s="249"/>
      <c r="BK133" s="249"/>
      <c r="BL133" s="249"/>
      <c r="BM133" s="249"/>
      <c r="BN133" s="249"/>
      <c r="BO133" s="249"/>
      <c r="BP133" s="250"/>
      <c r="BQ133" s="250"/>
      <c r="BR133" s="250"/>
      <c r="BS133" s="250"/>
      <c r="BT133" s="250"/>
      <c r="BU133" s="250"/>
      <c r="BV133" s="250"/>
      <c r="BW133" s="249"/>
      <c r="BX133" s="249"/>
      <c r="BY133" s="249"/>
      <c r="BZ133" s="249"/>
      <c r="CA133" s="249"/>
      <c r="CB133" s="249"/>
      <c r="CC133" s="249"/>
      <c r="CD133" s="250"/>
      <c r="CE133" s="250">
        <v>16</v>
      </c>
      <c r="CF133" s="250"/>
      <c r="CG133" s="250"/>
      <c r="CH133" s="250"/>
      <c r="CI133" s="250"/>
      <c r="CJ133" s="250"/>
      <c r="CK133" s="249"/>
      <c r="CL133" s="249"/>
      <c r="CM133" s="249"/>
      <c r="CN133" s="249"/>
      <c r="CO133" s="249"/>
      <c r="CP133" s="249"/>
      <c r="CQ133" s="249"/>
      <c r="CR133" s="250"/>
      <c r="CS133" s="250"/>
      <c r="CT133" s="250"/>
      <c r="CU133" s="250"/>
      <c r="CV133" s="250"/>
      <c r="CW133" s="250"/>
      <c r="CX133" s="250"/>
      <c r="CY133" s="249"/>
      <c r="CZ133" s="249"/>
      <c r="DA133" s="249"/>
      <c r="DB133" s="249"/>
      <c r="DC133" s="249"/>
      <c r="DD133" s="249"/>
      <c r="DE133" s="249"/>
      <c r="DF133" s="250"/>
      <c r="DG133" s="250"/>
      <c r="DH133" s="250"/>
      <c r="DI133" s="250"/>
      <c r="DJ133" s="250"/>
      <c r="DK133" s="250"/>
      <c r="DL133" s="250"/>
      <c r="DM133" s="249"/>
      <c r="DN133" s="249"/>
      <c r="DO133" s="249"/>
      <c r="DP133" s="249"/>
      <c r="DQ133" s="249"/>
      <c r="DR133" s="249"/>
      <c r="DS133" s="249"/>
      <c r="DT133" s="250"/>
      <c r="DU133" s="250"/>
      <c r="DV133" s="250"/>
      <c r="DW133" s="250"/>
      <c r="DX133" s="250"/>
      <c r="DY133" s="250"/>
      <c r="DZ133" s="250"/>
      <c r="EA133" s="249"/>
      <c r="EB133" s="249">
        <v>16</v>
      </c>
      <c r="EC133" s="249"/>
      <c r="ED133" s="249"/>
      <c r="EE133" s="249"/>
      <c r="EF133" s="249"/>
      <c r="EG133" s="249"/>
      <c r="EH133" s="250"/>
      <c r="EI133" s="250"/>
      <c r="EJ133" s="250"/>
      <c r="EK133" s="250"/>
      <c r="EL133" s="250"/>
      <c r="EM133" s="250"/>
      <c r="EN133" s="250"/>
      <c r="EO133" s="249"/>
      <c r="EP133" s="249"/>
      <c r="EQ133" s="249"/>
      <c r="ER133" s="249"/>
      <c r="ES133" s="249"/>
      <c r="ET133" s="249"/>
      <c r="EU133" s="249"/>
      <c r="EV133" s="250"/>
      <c r="EW133" s="250"/>
      <c r="EX133" s="250"/>
      <c r="EY133" s="250"/>
      <c r="EZ133" s="250"/>
      <c r="FA133" s="250"/>
      <c r="FB133" s="250"/>
      <c r="FC133" s="249"/>
      <c r="FD133" s="249"/>
      <c r="FE133" s="249"/>
      <c r="FF133" s="249"/>
      <c r="FG133" s="249"/>
      <c r="FH133" s="249"/>
      <c r="FI133" s="249"/>
      <c r="FJ133" s="250"/>
      <c r="FK133" s="250"/>
      <c r="FL133" s="250"/>
      <c r="FM133" s="250"/>
      <c r="FN133" s="250"/>
      <c r="FO133" s="250"/>
      <c r="FP133" s="250"/>
      <c r="FQ133" s="249"/>
      <c r="FR133" s="249"/>
      <c r="FS133" s="249"/>
      <c r="FT133" s="249"/>
      <c r="FU133" s="249"/>
      <c r="FV133" s="249"/>
      <c r="FW133" s="249"/>
      <c r="FX133" s="250"/>
      <c r="FY133" s="250">
        <v>16</v>
      </c>
      <c r="FZ133" s="250"/>
      <c r="GA133" s="250"/>
      <c r="GB133" s="250"/>
      <c r="GC133" s="250"/>
      <c r="GD133" s="250"/>
      <c r="GE133" s="249"/>
      <c r="GF133" s="249"/>
      <c r="GG133" s="249"/>
      <c r="GH133" s="249"/>
      <c r="GI133" s="249"/>
      <c r="GJ133" s="249"/>
      <c r="GK133" s="249"/>
      <c r="GL133" s="250"/>
      <c r="GM133" s="250"/>
      <c r="GN133" s="250"/>
      <c r="GO133" s="250"/>
      <c r="GP133" s="250"/>
      <c r="GQ133" s="250"/>
      <c r="GR133" s="250"/>
      <c r="GS133" s="249"/>
      <c r="GT133" s="249"/>
      <c r="GU133" s="249"/>
      <c r="GV133" s="249"/>
      <c r="GW133" s="249"/>
      <c r="GX133" s="249"/>
      <c r="GY133" s="249"/>
      <c r="GZ133" s="250"/>
      <c r="HA133" s="250"/>
      <c r="HB133" s="250"/>
      <c r="HC133" s="250"/>
      <c r="HD133" s="250"/>
      <c r="HE133" s="250"/>
      <c r="HF133" s="250"/>
      <c r="HG133" s="249"/>
      <c r="HH133" s="249"/>
      <c r="HI133" s="249"/>
      <c r="HJ133" s="249"/>
      <c r="HK133" s="249"/>
      <c r="HL133" s="249"/>
      <c r="HM133" s="249"/>
      <c r="HN133" s="250"/>
      <c r="HO133" s="250"/>
      <c r="HP133" s="250"/>
      <c r="HQ133" s="250"/>
      <c r="HR133" s="250"/>
      <c r="HS133" s="250"/>
      <c r="HT133" s="250"/>
      <c r="HU133" s="249"/>
      <c r="HV133" s="249">
        <v>16</v>
      </c>
      <c r="HW133" s="249"/>
      <c r="HX133" s="249"/>
      <c r="HY133" s="249"/>
      <c r="HZ133" s="249"/>
      <c r="IA133" s="249"/>
      <c r="IB133" s="250"/>
      <c r="IC133" s="250"/>
      <c r="ID133" s="250"/>
      <c r="IE133" s="250"/>
      <c r="IF133" s="250"/>
      <c r="IG133" s="250"/>
      <c r="IH133" s="250"/>
      <c r="II133" s="249"/>
      <c r="IJ133" s="249"/>
      <c r="IK133" s="249"/>
      <c r="IL133" s="249"/>
      <c r="IM133" s="249"/>
      <c r="IN133" s="249"/>
      <c r="IO133" s="249"/>
      <c r="IP133" s="250"/>
      <c r="IQ133" s="250"/>
      <c r="IR133" s="250"/>
      <c r="IS133" s="250"/>
      <c r="IT133" s="250"/>
      <c r="IU133" s="250"/>
      <c r="IV133" s="250"/>
      <c r="IW133" s="249"/>
      <c r="IX133" s="249"/>
      <c r="IY133" s="249"/>
      <c r="IZ133" s="249"/>
      <c r="JA133" s="249"/>
      <c r="JB133" s="249"/>
      <c r="JC133" s="249"/>
      <c r="JD133" s="250"/>
      <c r="JE133" s="250"/>
      <c r="JF133" s="250"/>
      <c r="JG133" s="250"/>
      <c r="JH133" s="250"/>
      <c r="JI133" s="250"/>
      <c r="JJ133" s="250"/>
      <c r="JK133" s="249"/>
      <c r="JL133" s="249"/>
      <c r="JM133" s="249"/>
      <c r="JN133" s="249"/>
      <c r="JO133" s="249"/>
      <c r="JP133" s="249"/>
      <c r="JQ133" s="249"/>
      <c r="JR133" s="250"/>
      <c r="JS133" s="250">
        <v>16</v>
      </c>
      <c r="JT133" s="250"/>
      <c r="JU133" s="250"/>
      <c r="JV133" s="250"/>
      <c r="JW133" s="250"/>
      <c r="JX133" s="250"/>
      <c r="JY133" s="249"/>
      <c r="JZ133" s="249"/>
      <c r="KA133" s="249"/>
      <c r="KB133" s="249"/>
      <c r="KC133" s="249"/>
      <c r="KD133" s="249"/>
      <c r="KE133" s="249"/>
      <c r="KF133" s="250"/>
      <c r="KG133" s="250"/>
      <c r="KH133" s="250"/>
      <c r="KI133" s="250"/>
      <c r="KJ133" s="250"/>
      <c r="KK133" s="250"/>
      <c r="KL133" s="250"/>
      <c r="KM133" s="249"/>
      <c r="KN133" s="249"/>
      <c r="KO133" s="249"/>
      <c r="KP133" s="249"/>
      <c r="KQ133" s="249"/>
      <c r="KR133" s="249"/>
      <c r="KS133" s="249"/>
      <c r="KT133" s="250"/>
      <c r="KU133" s="250"/>
      <c r="KV133" s="250"/>
      <c r="KW133" s="250"/>
      <c r="KX133" s="250"/>
      <c r="KY133" s="250"/>
      <c r="KZ133" s="250"/>
      <c r="LA133" s="249"/>
      <c r="LB133" s="249"/>
      <c r="LC133" s="249"/>
      <c r="LD133" s="249"/>
      <c r="LE133" s="249"/>
      <c r="LF133" s="249"/>
      <c r="LG133" s="249"/>
      <c r="LH133" s="250"/>
      <c r="LI133" s="250"/>
      <c r="LJ133" s="250"/>
      <c r="LK133" s="250"/>
      <c r="LL133" s="250"/>
      <c r="LM133" s="250"/>
      <c r="LN133" s="250"/>
      <c r="LO133" s="249"/>
      <c r="LP133" s="249">
        <v>16</v>
      </c>
      <c r="LQ133" s="249"/>
      <c r="LR133" s="249"/>
      <c r="LS133" s="249"/>
      <c r="LT133" s="249"/>
      <c r="LU133" s="249"/>
      <c r="LV133" s="250"/>
      <c r="LW133" s="250"/>
      <c r="LX133" s="250"/>
      <c r="LY133" s="250"/>
      <c r="LZ133" s="250"/>
      <c r="MA133" s="250"/>
      <c r="MB133" s="250"/>
      <c r="MC133" s="249"/>
      <c r="MD133" s="249"/>
      <c r="ME133" s="249"/>
      <c r="MF133" s="249"/>
      <c r="MG133" s="249"/>
      <c r="MH133" s="249"/>
      <c r="MI133" s="249"/>
      <c r="MJ133" s="250"/>
      <c r="MK133" s="250"/>
      <c r="ML133" s="250"/>
      <c r="MM133" s="250"/>
      <c r="MN133" s="250"/>
      <c r="MO133" s="250"/>
      <c r="MP133" s="250"/>
      <c r="MQ133" s="249"/>
      <c r="MR133" s="249"/>
      <c r="MS133" s="249"/>
      <c r="MT133" s="249"/>
      <c r="MU133" s="249"/>
      <c r="MV133" s="249"/>
      <c r="MW133" s="249"/>
      <c r="MX133" s="250"/>
      <c r="MY133" s="250"/>
      <c r="MZ133" s="250"/>
      <c r="NA133" s="250"/>
      <c r="NB133" s="250"/>
      <c r="NC133" s="250"/>
      <c r="ND133" s="250"/>
      <c r="NE133" s="249"/>
      <c r="NF133" s="249"/>
      <c r="NG133" s="249"/>
      <c r="NH133" s="333" t="s">
        <v>1127</v>
      </c>
    </row>
    <row r="134" spans="1:372">
      <c r="A134" s="251" t="s">
        <v>985</v>
      </c>
      <c r="B134" s="251" t="s">
        <v>402</v>
      </c>
      <c r="C134" s="251" t="s">
        <v>674</v>
      </c>
      <c r="D134" s="251" t="s">
        <v>982</v>
      </c>
      <c r="E134" s="241">
        <v>187.22972220127332</v>
      </c>
      <c r="F134" s="241">
        <v>214</v>
      </c>
      <c r="G134" s="249"/>
      <c r="H134" s="249">
        <v>16</v>
      </c>
      <c r="I134" s="249"/>
      <c r="J134" s="249"/>
      <c r="K134" s="249"/>
      <c r="L134" s="250"/>
      <c r="M134" s="250"/>
      <c r="N134" s="250"/>
      <c r="O134" s="250"/>
      <c r="P134" s="250"/>
      <c r="Q134" s="250"/>
      <c r="R134" s="250"/>
      <c r="S134" s="249"/>
      <c r="T134" s="249"/>
      <c r="U134" s="249"/>
      <c r="V134" s="249"/>
      <c r="W134" s="249"/>
      <c r="X134" s="249"/>
      <c r="Y134" s="249"/>
      <c r="Z134" s="250"/>
      <c r="AA134" s="250"/>
      <c r="AB134" s="250"/>
      <c r="AC134" s="250"/>
      <c r="AD134" s="250"/>
      <c r="AE134" s="250"/>
      <c r="AF134" s="250"/>
      <c r="AG134" s="249"/>
      <c r="AH134" s="249"/>
      <c r="AI134" s="249"/>
      <c r="AJ134" s="249"/>
      <c r="AK134" s="249"/>
      <c r="AL134" s="249"/>
      <c r="AM134" s="249"/>
      <c r="AN134" s="250"/>
      <c r="AO134" s="250"/>
      <c r="AP134" s="250"/>
      <c r="AQ134" s="250"/>
      <c r="AR134" s="250"/>
      <c r="AS134" s="250"/>
      <c r="AT134" s="250"/>
      <c r="AU134" s="249"/>
      <c r="AV134" s="249"/>
      <c r="AW134" s="249"/>
      <c r="AX134" s="249"/>
      <c r="AY134" s="249"/>
      <c r="AZ134" s="249"/>
      <c r="BA134" s="249"/>
      <c r="BB134" s="250"/>
      <c r="BC134" s="250">
        <v>16</v>
      </c>
      <c r="BD134" s="250"/>
      <c r="BE134" s="250"/>
      <c r="BF134" s="250"/>
      <c r="BG134" s="250"/>
      <c r="BH134" s="250"/>
      <c r="BI134" s="249"/>
      <c r="BJ134" s="249"/>
      <c r="BK134" s="249"/>
      <c r="BL134" s="249"/>
      <c r="BM134" s="249"/>
      <c r="BN134" s="249"/>
      <c r="BO134" s="249"/>
      <c r="BP134" s="250"/>
      <c r="BQ134" s="250"/>
      <c r="BR134" s="250"/>
      <c r="BS134" s="250"/>
      <c r="BT134" s="250"/>
      <c r="BU134" s="250"/>
      <c r="BV134" s="250"/>
      <c r="BW134" s="249"/>
      <c r="BX134" s="249"/>
      <c r="BY134" s="249"/>
      <c r="BZ134" s="249"/>
      <c r="CA134" s="249"/>
      <c r="CB134" s="249"/>
      <c r="CC134" s="249"/>
      <c r="CD134" s="250"/>
      <c r="CE134" s="250"/>
      <c r="CF134" s="250"/>
      <c r="CG134" s="250"/>
      <c r="CH134" s="250"/>
      <c r="CI134" s="250"/>
      <c r="CJ134" s="250"/>
      <c r="CK134" s="249"/>
      <c r="CL134" s="249"/>
      <c r="CM134" s="249"/>
      <c r="CN134" s="249"/>
      <c r="CO134" s="249"/>
      <c r="CP134" s="249"/>
      <c r="CQ134" s="249"/>
      <c r="CR134" s="250"/>
      <c r="CS134" s="250"/>
      <c r="CT134" s="250"/>
      <c r="CU134" s="250"/>
      <c r="CV134" s="250"/>
      <c r="CW134" s="250"/>
      <c r="CX134" s="250"/>
      <c r="CY134" s="249"/>
      <c r="CZ134" s="249">
        <v>16</v>
      </c>
      <c r="DA134" s="249"/>
      <c r="DB134" s="249"/>
      <c r="DC134" s="249"/>
      <c r="DD134" s="249"/>
      <c r="DE134" s="249"/>
      <c r="DF134" s="250"/>
      <c r="DG134" s="250"/>
      <c r="DH134" s="250"/>
      <c r="DI134" s="250"/>
      <c r="DJ134" s="250"/>
      <c r="DK134" s="250"/>
      <c r="DL134" s="250"/>
      <c r="DM134" s="249"/>
      <c r="DN134" s="249"/>
      <c r="DO134" s="249"/>
      <c r="DP134" s="249"/>
      <c r="DQ134" s="249"/>
      <c r="DR134" s="249"/>
      <c r="DS134" s="249"/>
      <c r="DT134" s="250"/>
      <c r="DU134" s="250"/>
      <c r="DV134" s="250"/>
      <c r="DW134" s="250"/>
      <c r="DX134" s="250"/>
      <c r="DY134" s="250"/>
      <c r="DZ134" s="250"/>
      <c r="EA134" s="249"/>
      <c r="EB134" s="249"/>
      <c r="EC134" s="249"/>
      <c r="ED134" s="249"/>
      <c r="EE134" s="249"/>
      <c r="EF134" s="249"/>
      <c r="EG134" s="249"/>
      <c r="EH134" s="250"/>
      <c r="EI134" s="250"/>
      <c r="EJ134" s="250"/>
      <c r="EK134" s="250"/>
      <c r="EL134" s="250"/>
      <c r="EM134" s="250"/>
      <c r="EN134" s="250"/>
      <c r="EO134" s="249"/>
      <c r="EP134" s="249"/>
      <c r="EQ134" s="249"/>
      <c r="ER134" s="249"/>
      <c r="ES134" s="249"/>
      <c r="ET134" s="249"/>
      <c r="EU134" s="249"/>
      <c r="EV134" s="250"/>
      <c r="EW134" s="250">
        <v>16</v>
      </c>
      <c r="EX134" s="250"/>
      <c r="EY134" s="250"/>
      <c r="EZ134" s="250"/>
      <c r="FA134" s="250"/>
      <c r="FB134" s="250"/>
      <c r="FC134" s="249"/>
      <c r="FD134" s="249"/>
      <c r="FE134" s="249"/>
      <c r="FF134" s="249"/>
      <c r="FG134" s="249"/>
      <c r="FH134" s="249"/>
      <c r="FI134" s="249"/>
      <c r="FJ134" s="250"/>
      <c r="FK134" s="250"/>
      <c r="FL134" s="250"/>
      <c r="FM134" s="250"/>
      <c r="FN134" s="250"/>
      <c r="FO134" s="250"/>
      <c r="FP134" s="250"/>
      <c r="FQ134" s="249"/>
      <c r="FR134" s="249"/>
      <c r="FS134" s="249"/>
      <c r="FT134" s="249"/>
      <c r="FU134" s="249"/>
      <c r="FV134" s="249"/>
      <c r="FW134" s="249"/>
      <c r="FX134" s="250"/>
      <c r="FY134" s="250"/>
      <c r="FZ134" s="250"/>
      <c r="GA134" s="250"/>
      <c r="GB134" s="250"/>
      <c r="GC134" s="250"/>
      <c r="GD134" s="250"/>
      <c r="GE134" s="249"/>
      <c r="GF134" s="249"/>
      <c r="GG134" s="249"/>
      <c r="GH134" s="249"/>
      <c r="GI134" s="249"/>
      <c r="GJ134" s="249"/>
      <c r="GK134" s="249"/>
      <c r="GL134" s="250"/>
      <c r="GM134" s="250"/>
      <c r="GN134" s="250"/>
      <c r="GO134" s="250"/>
      <c r="GP134" s="250"/>
      <c r="GQ134" s="250"/>
      <c r="GR134" s="250"/>
      <c r="GS134" s="249"/>
      <c r="GT134" s="249">
        <v>16</v>
      </c>
      <c r="GU134" s="249"/>
      <c r="GV134" s="249"/>
      <c r="GW134" s="249"/>
      <c r="GX134" s="249"/>
      <c r="GY134" s="249"/>
      <c r="GZ134" s="250"/>
      <c r="HA134" s="250"/>
      <c r="HB134" s="250"/>
      <c r="HC134" s="250"/>
      <c r="HD134" s="250"/>
      <c r="HE134" s="250"/>
      <c r="HF134" s="250"/>
      <c r="HG134" s="249"/>
      <c r="HH134" s="249"/>
      <c r="HI134" s="249"/>
      <c r="HJ134" s="249"/>
      <c r="HK134" s="249"/>
      <c r="HL134" s="249"/>
      <c r="HM134" s="249"/>
      <c r="HN134" s="250"/>
      <c r="HO134" s="250"/>
      <c r="HP134" s="250"/>
      <c r="HQ134" s="250"/>
      <c r="HR134" s="250"/>
      <c r="HS134" s="250"/>
      <c r="HT134" s="250"/>
      <c r="HU134" s="249"/>
      <c r="HV134" s="249"/>
      <c r="HW134" s="249"/>
      <c r="HX134" s="249"/>
      <c r="HY134" s="249"/>
      <c r="HZ134" s="249"/>
      <c r="IA134" s="249"/>
      <c r="IB134" s="250"/>
      <c r="IC134" s="250"/>
      <c r="ID134" s="250"/>
      <c r="IE134" s="250"/>
      <c r="IF134" s="250"/>
      <c r="IG134" s="250"/>
      <c r="IH134" s="250"/>
      <c r="II134" s="249"/>
      <c r="IJ134" s="249"/>
      <c r="IK134" s="249"/>
      <c r="IL134" s="249"/>
      <c r="IM134" s="249"/>
      <c r="IN134" s="249"/>
      <c r="IO134" s="249">
        <v>12</v>
      </c>
      <c r="IP134" s="250">
        <v>24</v>
      </c>
      <c r="IQ134" s="250">
        <v>24</v>
      </c>
      <c r="IR134" s="250">
        <v>24</v>
      </c>
      <c r="IS134" s="250">
        <v>18</v>
      </c>
      <c r="IT134" s="250"/>
      <c r="IU134" s="250"/>
      <c r="IV134" s="250"/>
      <c r="IW134" s="249"/>
      <c r="IX134" s="249"/>
      <c r="IY134" s="249"/>
      <c r="IZ134" s="249"/>
      <c r="JA134" s="249"/>
      <c r="JB134" s="249"/>
      <c r="JC134" s="249"/>
      <c r="JD134" s="250"/>
      <c r="JE134" s="250"/>
      <c r="JF134" s="250"/>
      <c r="JG134" s="250"/>
      <c r="JH134" s="250"/>
      <c r="JI134" s="250"/>
      <c r="JJ134" s="250"/>
      <c r="JK134" s="249"/>
      <c r="JL134" s="249"/>
      <c r="JM134" s="249"/>
      <c r="JN134" s="249"/>
      <c r="JO134" s="249"/>
      <c r="JP134" s="249"/>
      <c r="JQ134" s="249"/>
      <c r="JR134" s="250"/>
      <c r="JS134" s="250"/>
      <c r="JT134" s="250"/>
      <c r="JU134" s="250"/>
      <c r="JV134" s="250"/>
      <c r="JW134" s="250"/>
      <c r="JX134" s="250"/>
      <c r="JY134" s="249"/>
      <c r="JZ134" s="249"/>
      <c r="KA134" s="249"/>
      <c r="KB134" s="249"/>
      <c r="KC134" s="249"/>
      <c r="KD134" s="249"/>
      <c r="KE134" s="249"/>
      <c r="KF134" s="250"/>
      <c r="KG134" s="250"/>
      <c r="KH134" s="250"/>
      <c r="KI134" s="250"/>
      <c r="KJ134" s="250"/>
      <c r="KK134" s="250"/>
      <c r="KL134" s="250"/>
      <c r="KM134" s="249"/>
      <c r="KN134" s="249">
        <v>16</v>
      </c>
      <c r="KO134" s="249"/>
      <c r="KP134" s="249"/>
      <c r="KQ134" s="249"/>
      <c r="KR134" s="249"/>
      <c r="KS134" s="249"/>
      <c r="KT134" s="250"/>
      <c r="KU134" s="250"/>
      <c r="KV134" s="250"/>
      <c r="KW134" s="250"/>
      <c r="KX134" s="250"/>
      <c r="KY134" s="250"/>
      <c r="KZ134" s="250"/>
      <c r="LA134" s="249"/>
      <c r="LB134" s="249"/>
      <c r="LC134" s="249"/>
      <c r="LD134" s="249"/>
      <c r="LE134" s="249"/>
      <c r="LF134" s="249"/>
      <c r="LG134" s="249"/>
      <c r="LH134" s="250"/>
      <c r="LI134" s="250"/>
      <c r="LJ134" s="250"/>
      <c r="LK134" s="250"/>
      <c r="LL134" s="250"/>
      <c r="LM134" s="250"/>
      <c r="LN134" s="250"/>
      <c r="LO134" s="249"/>
      <c r="LP134" s="249"/>
      <c r="LQ134" s="249"/>
      <c r="LR134" s="249"/>
      <c r="LS134" s="249"/>
      <c r="LT134" s="249"/>
      <c r="LU134" s="249"/>
      <c r="LV134" s="250"/>
      <c r="LW134" s="250"/>
      <c r="LX134" s="250"/>
      <c r="LY134" s="250"/>
      <c r="LZ134" s="250"/>
      <c r="MA134" s="250"/>
      <c r="MB134" s="250"/>
      <c r="MC134" s="249"/>
      <c r="MD134" s="249"/>
      <c r="ME134" s="249"/>
      <c r="MF134" s="249"/>
      <c r="MG134" s="249"/>
      <c r="MH134" s="249"/>
      <c r="MI134" s="249"/>
      <c r="MJ134" s="250"/>
      <c r="MK134" s="250">
        <v>16</v>
      </c>
      <c r="ML134" s="250"/>
      <c r="MM134" s="250"/>
      <c r="MN134" s="250"/>
      <c r="MO134" s="250"/>
      <c r="MP134" s="250"/>
      <c r="MQ134" s="249"/>
      <c r="MR134" s="249"/>
      <c r="MS134" s="249"/>
      <c r="MT134" s="249"/>
      <c r="MU134" s="249"/>
      <c r="MV134" s="249"/>
      <c r="MW134" s="249"/>
      <c r="MX134" s="250"/>
      <c r="MY134" s="250"/>
      <c r="MZ134" s="250"/>
      <c r="NA134" s="250"/>
      <c r="NB134" s="250"/>
      <c r="NC134" s="250"/>
      <c r="ND134" s="250"/>
      <c r="NE134" s="249"/>
      <c r="NF134" s="249"/>
      <c r="NG134" s="249"/>
      <c r="NH134" s="333" t="s">
        <v>1128</v>
      </c>
    </row>
    <row r="135" spans="1:372">
      <c r="A135" s="251" t="s">
        <v>985</v>
      </c>
      <c r="B135" s="251" t="s">
        <v>403</v>
      </c>
      <c r="C135" s="251" t="s">
        <v>674</v>
      </c>
      <c r="D135" s="251" t="s">
        <v>982</v>
      </c>
      <c r="E135" s="241">
        <v>177.77513331666904</v>
      </c>
      <c r="F135" s="241">
        <v>198</v>
      </c>
      <c r="G135" s="249"/>
      <c r="H135" s="249"/>
      <c r="I135" s="249"/>
      <c r="J135" s="249"/>
      <c r="K135" s="249"/>
      <c r="L135" s="250"/>
      <c r="M135" s="250"/>
      <c r="N135" s="250"/>
      <c r="O135" s="250"/>
      <c r="P135" s="250"/>
      <c r="Q135" s="250"/>
      <c r="R135" s="250"/>
      <c r="S135" s="249"/>
      <c r="T135" s="249"/>
      <c r="U135" s="249"/>
      <c r="V135" s="249"/>
      <c r="W135" s="249"/>
      <c r="X135" s="249"/>
      <c r="Y135" s="249"/>
      <c r="Z135" s="250"/>
      <c r="AA135" s="250"/>
      <c r="AB135" s="250"/>
      <c r="AC135" s="250"/>
      <c r="AD135" s="250"/>
      <c r="AE135" s="250"/>
      <c r="AF135" s="250"/>
      <c r="AG135" s="249"/>
      <c r="AH135" s="249"/>
      <c r="AI135" s="249"/>
      <c r="AJ135" s="249"/>
      <c r="AK135" s="249"/>
      <c r="AL135" s="249"/>
      <c r="AM135" s="249"/>
      <c r="AN135" s="250"/>
      <c r="AO135" s="250">
        <v>16</v>
      </c>
      <c r="AP135" s="250"/>
      <c r="AQ135" s="250"/>
      <c r="AR135" s="250"/>
      <c r="AS135" s="250"/>
      <c r="AT135" s="250"/>
      <c r="AU135" s="249"/>
      <c r="AV135" s="249"/>
      <c r="AW135" s="249"/>
      <c r="AX135" s="249"/>
      <c r="AY135" s="249"/>
      <c r="AZ135" s="249"/>
      <c r="BA135" s="249"/>
      <c r="BB135" s="250"/>
      <c r="BC135" s="250"/>
      <c r="BD135" s="250"/>
      <c r="BE135" s="250"/>
      <c r="BF135" s="250"/>
      <c r="BG135" s="250"/>
      <c r="BH135" s="250"/>
      <c r="BI135" s="249"/>
      <c r="BJ135" s="249"/>
      <c r="BK135" s="249"/>
      <c r="BL135" s="249"/>
      <c r="BM135" s="249"/>
      <c r="BN135" s="249"/>
      <c r="BO135" s="249"/>
      <c r="BP135" s="250"/>
      <c r="BQ135" s="250"/>
      <c r="BR135" s="250"/>
      <c r="BS135" s="250"/>
      <c r="BT135" s="250"/>
      <c r="BU135" s="250"/>
      <c r="BV135" s="250"/>
      <c r="BW135" s="249"/>
      <c r="BX135" s="249"/>
      <c r="BY135" s="249"/>
      <c r="BZ135" s="249"/>
      <c r="CA135" s="249"/>
      <c r="CB135" s="249"/>
      <c r="CC135" s="249"/>
      <c r="CD135" s="250"/>
      <c r="CE135" s="250"/>
      <c r="CF135" s="250"/>
      <c r="CG135" s="250"/>
      <c r="CH135" s="250"/>
      <c r="CI135" s="250"/>
      <c r="CJ135" s="250">
        <v>12</v>
      </c>
      <c r="CK135" s="249">
        <v>24</v>
      </c>
      <c r="CL135" s="249">
        <v>24</v>
      </c>
      <c r="CM135" s="249">
        <v>24</v>
      </c>
      <c r="CN135" s="249">
        <v>18</v>
      </c>
      <c r="CO135" s="249"/>
      <c r="CP135" s="249"/>
      <c r="CQ135" s="249"/>
      <c r="CR135" s="250"/>
      <c r="CS135" s="250"/>
      <c r="CT135" s="250"/>
      <c r="CU135" s="250"/>
      <c r="CV135" s="250"/>
      <c r="CW135" s="250"/>
      <c r="CX135" s="250"/>
      <c r="CY135" s="249"/>
      <c r="CZ135" s="249"/>
      <c r="DA135" s="249"/>
      <c r="DB135" s="249"/>
      <c r="DC135" s="249"/>
      <c r="DD135" s="249"/>
      <c r="DE135" s="249"/>
      <c r="DF135" s="250"/>
      <c r="DG135" s="250"/>
      <c r="DH135" s="250"/>
      <c r="DI135" s="250"/>
      <c r="DJ135" s="250"/>
      <c r="DK135" s="250"/>
      <c r="DL135" s="250"/>
      <c r="DM135" s="249"/>
      <c r="DN135" s="249"/>
      <c r="DO135" s="249"/>
      <c r="DP135" s="249"/>
      <c r="DQ135" s="249"/>
      <c r="DR135" s="249"/>
      <c r="DS135" s="249"/>
      <c r="DT135" s="250"/>
      <c r="DU135" s="250"/>
      <c r="DV135" s="250"/>
      <c r="DW135" s="250"/>
      <c r="DX135" s="250"/>
      <c r="DY135" s="250"/>
      <c r="DZ135" s="250"/>
      <c r="EA135" s="249"/>
      <c r="EB135" s="249"/>
      <c r="EC135" s="249"/>
      <c r="ED135" s="249"/>
      <c r="EE135" s="249"/>
      <c r="EF135" s="249"/>
      <c r="EG135" s="249"/>
      <c r="EH135" s="250"/>
      <c r="EI135" s="250">
        <v>16</v>
      </c>
      <c r="EJ135" s="250"/>
      <c r="EK135" s="250"/>
      <c r="EL135" s="250"/>
      <c r="EM135" s="250"/>
      <c r="EN135" s="250"/>
      <c r="EO135" s="249"/>
      <c r="EP135" s="249"/>
      <c r="EQ135" s="249"/>
      <c r="ER135" s="249"/>
      <c r="ES135" s="249"/>
      <c r="ET135" s="249"/>
      <c r="EU135" s="249"/>
      <c r="EV135" s="250"/>
      <c r="EW135" s="250"/>
      <c r="EX135" s="250"/>
      <c r="EY135" s="250"/>
      <c r="EZ135" s="250"/>
      <c r="FA135" s="250"/>
      <c r="FB135" s="250"/>
      <c r="FC135" s="249"/>
      <c r="FD135" s="249"/>
      <c r="FE135" s="249"/>
      <c r="FF135" s="249"/>
      <c r="FG135" s="249"/>
      <c r="FH135" s="249"/>
      <c r="FI135" s="249"/>
      <c r="FJ135" s="250"/>
      <c r="FK135" s="250"/>
      <c r="FL135" s="250"/>
      <c r="FM135" s="250"/>
      <c r="FN135" s="250"/>
      <c r="FO135" s="250"/>
      <c r="FP135" s="250"/>
      <c r="FQ135" s="249"/>
      <c r="FR135" s="249"/>
      <c r="FS135" s="249"/>
      <c r="FT135" s="249"/>
      <c r="FU135" s="249"/>
      <c r="FV135" s="249"/>
      <c r="FW135" s="249"/>
      <c r="FX135" s="250"/>
      <c r="FY135" s="250"/>
      <c r="FZ135" s="250"/>
      <c r="GA135" s="250"/>
      <c r="GB135" s="250"/>
      <c r="GC135" s="250"/>
      <c r="GD135" s="250"/>
      <c r="GE135" s="249"/>
      <c r="GF135" s="249">
        <v>16</v>
      </c>
      <c r="GG135" s="249"/>
      <c r="GH135" s="249"/>
      <c r="GI135" s="249"/>
      <c r="GJ135" s="249"/>
      <c r="GK135" s="249"/>
      <c r="GL135" s="250"/>
      <c r="GM135" s="250"/>
      <c r="GN135" s="250"/>
      <c r="GO135" s="250"/>
      <c r="GP135" s="250"/>
      <c r="GQ135" s="250"/>
      <c r="GR135" s="250"/>
      <c r="GS135" s="249"/>
      <c r="GT135" s="249"/>
      <c r="GU135" s="249"/>
      <c r="GV135" s="249"/>
      <c r="GW135" s="249"/>
      <c r="GX135" s="249"/>
      <c r="GY135" s="249"/>
      <c r="GZ135" s="250"/>
      <c r="HA135" s="250"/>
      <c r="HB135" s="250"/>
      <c r="HC135" s="250"/>
      <c r="HD135" s="250"/>
      <c r="HE135" s="250"/>
      <c r="HF135" s="250"/>
      <c r="HG135" s="249"/>
      <c r="HH135" s="249"/>
      <c r="HI135" s="249"/>
      <c r="HJ135" s="249"/>
      <c r="HK135" s="249"/>
      <c r="HL135" s="249"/>
      <c r="HM135" s="249"/>
      <c r="HN135" s="250"/>
      <c r="HO135" s="250"/>
      <c r="HP135" s="250"/>
      <c r="HQ135" s="250"/>
      <c r="HR135" s="250"/>
      <c r="HS135" s="250"/>
      <c r="HT135" s="250"/>
      <c r="HU135" s="249"/>
      <c r="HV135" s="249"/>
      <c r="HW135" s="249"/>
      <c r="HX135" s="249"/>
      <c r="HY135" s="249"/>
      <c r="HZ135" s="249"/>
      <c r="IA135" s="249"/>
      <c r="IB135" s="250"/>
      <c r="IC135" s="250">
        <v>16</v>
      </c>
      <c r="ID135" s="250"/>
      <c r="IE135" s="250"/>
      <c r="IF135" s="250"/>
      <c r="IG135" s="250"/>
      <c r="IH135" s="250"/>
      <c r="II135" s="249"/>
      <c r="IJ135" s="249"/>
      <c r="IK135" s="249"/>
      <c r="IL135" s="249"/>
      <c r="IM135" s="249"/>
      <c r="IN135" s="249"/>
      <c r="IO135" s="249"/>
      <c r="IP135" s="250"/>
      <c r="IQ135" s="250"/>
      <c r="IR135" s="250"/>
      <c r="IS135" s="250"/>
      <c r="IT135" s="250"/>
      <c r="IU135" s="250"/>
      <c r="IV135" s="250"/>
      <c r="IW135" s="249"/>
      <c r="IX135" s="249"/>
      <c r="IY135" s="249"/>
      <c r="IZ135" s="249"/>
      <c r="JA135" s="249"/>
      <c r="JB135" s="249"/>
      <c r="JC135" s="249"/>
      <c r="JD135" s="250"/>
      <c r="JE135" s="250"/>
      <c r="JF135" s="250"/>
      <c r="JG135" s="250"/>
      <c r="JH135" s="250"/>
      <c r="JI135" s="250"/>
      <c r="JJ135" s="250"/>
      <c r="JK135" s="249"/>
      <c r="JL135" s="249"/>
      <c r="JM135" s="249"/>
      <c r="JN135" s="249"/>
      <c r="JO135" s="249"/>
      <c r="JP135" s="249"/>
      <c r="JQ135" s="249"/>
      <c r="JR135" s="250"/>
      <c r="JS135" s="250"/>
      <c r="JT135" s="250"/>
      <c r="JU135" s="250"/>
      <c r="JV135" s="250"/>
      <c r="JW135" s="250"/>
      <c r="JX135" s="250"/>
      <c r="JY135" s="249"/>
      <c r="JZ135" s="249">
        <v>16</v>
      </c>
      <c r="KA135" s="249"/>
      <c r="KB135" s="249"/>
      <c r="KC135" s="249"/>
      <c r="KD135" s="249"/>
      <c r="KE135" s="249"/>
      <c r="KF135" s="250"/>
      <c r="KG135" s="250"/>
      <c r="KH135" s="250"/>
      <c r="KI135" s="250"/>
      <c r="KJ135" s="250"/>
      <c r="KK135" s="250"/>
      <c r="KL135" s="250"/>
      <c r="KM135" s="249"/>
      <c r="KN135" s="249"/>
      <c r="KO135" s="249"/>
      <c r="KP135" s="249"/>
      <c r="KQ135" s="249"/>
      <c r="KR135" s="249"/>
      <c r="KS135" s="249"/>
      <c r="KT135" s="250"/>
      <c r="KU135" s="250"/>
      <c r="KV135" s="250"/>
      <c r="KW135" s="250"/>
      <c r="KX135" s="250"/>
      <c r="KY135" s="250"/>
      <c r="KZ135" s="250"/>
      <c r="LA135" s="249"/>
      <c r="LB135" s="249"/>
      <c r="LC135" s="249"/>
      <c r="LD135" s="249"/>
      <c r="LE135" s="249"/>
      <c r="LF135" s="249"/>
      <c r="LG135" s="249"/>
      <c r="LH135" s="250"/>
      <c r="LI135" s="250"/>
      <c r="LJ135" s="250"/>
      <c r="LK135" s="250"/>
      <c r="LL135" s="250"/>
      <c r="LM135" s="250"/>
      <c r="LN135" s="250"/>
      <c r="LO135" s="249"/>
      <c r="LP135" s="249"/>
      <c r="LQ135" s="249"/>
      <c r="LR135" s="249"/>
      <c r="LS135" s="249"/>
      <c r="LT135" s="249"/>
      <c r="LU135" s="249"/>
      <c r="LV135" s="250"/>
      <c r="LW135" s="250">
        <v>16</v>
      </c>
      <c r="LX135" s="250"/>
      <c r="LY135" s="250"/>
      <c r="LZ135" s="250"/>
      <c r="MA135" s="250"/>
      <c r="MB135" s="250"/>
      <c r="MC135" s="249"/>
      <c r="MD135" s="249"/>
      <c r="ME135" s="249"/>
      <c r="MF135" s="249"/>
      <c r="MG135" s="249"/>
      <c r="MH135" s="249"/>
      <c r="MI135" s="249"/>
      <c r="MJ135" s="250"/>
      <c r="MK135" s="250"/>
      <c r="ML135" s="250"/>
      <c r="MM135" s="250"/>
      <c r="MN135" s="250"/>
      <c r="MO135" s="250"/>
      <c r="MP135" s="250"/>
      <c r="MQ135" s="249"/>
      <c r="MR135" s="249"/>
      <c r="MS135" s="249"/>
      <c r="MT135" s="249"/>
      <c r="MU135" s="249"/>
      <c r="MV135" s="249"/>
      <c r="MW135" s="249"/>
      <c r="MX135" s="250"/>
      <c r="MY135" s="250"/>
      <c r="MZ135" s="250"/>
      <c r="NA135" s="250"/>
      <c r="NB135" s="250"/>
      <c r="NC135" s="250"/>
      <c r="ND135" s="250"/>
      <c r="NE135" s="249"/>
      <c r="NF135" s="249"/>
      <c r="NG135" s="249"/>
      <c r="NH135" s="333" t="s">
        <v>1127</v>
      </c>
    </row>
    <row r="136" spans="1:372">
      <c r="A136" s="251" t="s">
        <v>985</v>
      </c>
      <c r="B136" s="251" t="s">
        <v>404</v>
      </c>
      <c r="C136" s="251" t="s">
        <v>674</v>
      </c>
      <c r="D136" s="251" t="s">
        <v>982</v>
      </c>
      <c r="E136" s="241">
        <v>172.68532773433733</v>
      </c>
      <c r="F136" s="241">
        <v>128</v>
      </c>
      <c r="G136" s="249"/>
      <c r="H136" s="249"/>
      <c r="I136" s="249"/>
      <c r="J136" s="249"/>
      <c r="K136" s="249"/>
      <c r="L136" s="250"/>
      <c r="M136" s="250"/>
      <c r="N136" s="250"/>
      <c r="O136" s="250"/>
      <c r="P136" s="250"/>
      <c r="Q136" s="250"/>
      <c r="R136" s="250"/>
      <c r="S136" s="249"/>
      <c r="T136" s="249">
        <v>16</v>
      </c>
      <c r="U136" s="249"/>
      <c r="V136" s="249"/>
      <c r="W136" s="249"/>
      <c r="X136" s="249"/>
      <c r="Y136" s="249"/>
      <c r="Z136" s="250"/>
      <c r="AA136" s="250"/>
      <c r="AB136" s="250"/>
      <c r="AC136" s="250"/>
      <c r="AD136" s="250"/>
      <c r="AE136" s="250"/>
      <c r="AF136" s="250"/>
      <c r="AG136" s="249"/>
      <c r="AH136" s="249"/>
      <c r="AI136" s="249"/>
      <c r="AJ136" s="249"/>
      <c r="AK136" s="249"/>
      <c r="AL136" s="249"/>
      <c r="AM136" s="249"/>
      <c r="AN136" s="250"/>
      <c r="AO136" s="250"/>
      <c r="AP136" s="250"/>
      <c r="AQ136" s="250"/>
      <c r="AR136" s="250"/>
      <c r="AS136" s="250"/>
      <c r="AT136" s="250"/>
      <c r="AU136" s="249"/>
      <c r="AV136" s="249"/>
      <c r="AW136" s="249"/>
      <c r="AX136" s="249"/>
      <c r="AY136" s="249"/>
      <c r="AZ136" s="249"/>
      <c r="BA136" s="249"/>
      <c r="BB136" s="250"/>
      <c r="BC136" s="250"/>
      <c r="BD136" s="250"/>
      <c r="BE136" s="250"/>
      <c r="BF136" s="250"/>
      <c r="BG136" s="250"/>
      <c r="BH136" s="250"/>
      <c r="BI136" s="249"/>
      <c r="BJ136" s="249"/>
      <c r="BK136" s="249"/>
      <c r="BL136" s="249"/>
      <c r="BM136" s="249"/>
      <c r="BN136" s="249"/>
      <c r="BO136" s="249"/>
      <c r="BP136" s="250"/>
      <c r="BQ136" s="250">
        <v>16</v>
      </c>
      <c r="BR136" s="250"/>
      <c r="BS136" s="250"/>
      <c r="BT136" s="250"/>
      <c r="BU136" s="250"/>
      <c r="BV136" s="250"/>
      <c r="BW136" s="249"/>
      <c r="BX136" s="249"/>
      <c r="BY136" s="249"/>
      <c r="BZ136" s="249"/>
      <c r="CA136" s="249"/>
      <c r="CB136" s="249"/>
      <c r="CC136" s="249"/>
      <c r="CD136" s="250"/>
      <c r="CE136" s="250"/>
      <c r="CF136" s="250"/>
      <c r="CG136" s="250"/>
      <c r="CH136" s="250"/>
      <c r="CI136" s="250"/>
      <c r="CJ136" s="250"/>
      <c r="CK136" s="249"/>
      <c r="CL136" s="249"/>
      <c r="CM136" s="249"/>
      <c r="CN136" s="249"/>
      <c r="CO136" s="249"/>
      <c r="CP136" s="249"/>
      <c r="CQ136" s="249"/>
      <c r="CR136" s="250"/>
      <c r="CS136" s="250"/>
      <c r="CT136" s="250"/>
      <c r="CU136" s="250"/>
      <c r="CV136" s="250"/>
      <c r="CW136" s="250"/>
      <c r="CX136" s="250"/>
      <c r="CY136" s="249"/>
      <c r="CZ136" s="249"/>
      <c r="DA136" s="249"/>
      <c r="DB136" s="249"/>
      <c r="DC136" s="249"/>
      <c r="DD136" s="249"/>
      <c r="DE136" s="249"/>
      <c r="DF136" s="250"/>
      <c r="DG136" s="250"/>
      <c r="DH136" s="250"/>
      <c r="DI136" s="250"/>
      <c r="DJ136" s="250"/>
      <c r="DK136" s="250"/>
      <c r="DL136" s="250"/>
      <c r="DM136" s="249"/>
      <c r="DN136" s="249">
        <v>16</v>
      </c>
      <c r="DO136" s="249"/>
      <c r="DP136" s="249"/>
      <c r="DQ136" s="249"/>
      <c r="DR136" s="249"/>
      <c r="DS136" s="249"/>
      <c r="DT136" s="250"/>
      <c r="DU136" s="250"/>
      <c r="DV136" s="250"/>
      <c r="DW136" s="250"/>
      <c r="DX136" s="250"/>
      <c r="DY136" s="250"/>
      <c r="DZ136" s="250"/>
      <c r="EA136" s="249"/>
      <c r="EB136" s="249"/>
      <c r="EC136" s="249"/>
      <c r="ED136" s="249"/>
      <c r="EE136" s="249"/>
      <c r="EF136" s="249"/>
      <c r="EG136" s="249"/>
      <c r="EH136" s="250"/>
      <c r="EI136" s="250"/>
      <c r="EJ136" s="250"/>
      <c r="EK136" s="250"/>
      <c r="EL136" s="250"/>
      <c r="EM136" s="250"/>
      <c r="EN136" s="250"/>
      <c r="EO136" s="249"/>
      <c r="EP136" s="249"/>
      <c r="EQ136" s="249"/>
      <c r="ER136" s="249"/>
      <c r="ES136" s="249"/>
      <c r="ET136" s="249"/>
      <c r="EU136" s="249"/>
      <c r="EV136" s="250"/>
      <c r="EW136" s="250"/>
      <c r="EX136" s="250"/>
      <c r="EY136" s="250"/>
      <c r="EZ136" s="250"/>
      <c r="FA136" s="250"/>
      <c r="FB136" s="250"/>
      <c r="FC136" s="249"/>
      <c r="FD136" s="249"/>
      <c r="FE136" s="249"/>
      <c r="FF136" s="249"/>
      <c r="FG136" s="249"/>
      <c r="FH136" s="249"/>
      <c r="FI136" s="249"/>
      <c r="FJ136" s="250"/>
      <c r="FK136" s="250">
        <v>16</v>
      </c>
      <c r="FL136" s="250"/>
      <c r="FM136" s="250"/>
      <c r="FN136" s="250"/>
      <c r="FO136" s="250"/>
      <c r="FP136" s="250"/>
      <c r="FQ136" s="249"/>
      <c r="FR136" s="249"/>
      <c r="FS136" s="249"/>
      <c r="FT136" s="249"/>
      <c r="FU136" s="249"/>
      <c r="FV136" s="249"/>
      <c r="FW136" s="249"/>
      <c r="FX136" s="250"/>
      <c r="FY136" s="250"/>
      <c r="FZ136" s="250"/>
      <c r="GA136" s="250"/>
      <c r="GB136" s="250"/>
      <c r="GC136" s="250"/>
      <c r="GD136" s="250"/>
      <c r="GE136" s="249"/>
      <c r="GF136" s="249"/>
      <c r="GG136" s="249"/>
      <c r="GH136" s="249"/>
      <c r="GI136" s="249"/>
      <c r="GJ136" s="249"/>
      <c r="GK136" s="249"/>
      <c r="GL136" s="250"/>
      <c r="GM136" s="250"/>
      <c r="GN136" s="250"/>
      <c r="GO136" s="250"/>
      <c r="GP136" s="250"/>
      <c r="GQ136" s="250"/>
      <c r="GR136" s="250"/>
      <c r="GS136" s="249"/>
      <c r="GT136" s="249"/>
      <c r="GU136" s="249"/>
      <c r="GV136" s="249"/>
      <c r="GW136" s="249"/>
      <c r="GX136" s="249"/>
      <c r="GY136" s="249"/>
      <c r="GZ136" s="250"/>
      <c r="HA136" s="250"/>
      <c r="HB136" s="250"/>
      <c r="HC136" s="250"/>
      <c r="HD136" s="250"/>
      <c r="HE136" s="250"/>
      <c r="HF136" s="250"/>
      <c r="HG136" s="249"/>
      <c r="HH136" s="249">
        <v>16</v>
      </c>
      <c r="HI136" s="249"/>
      <c r="HJ136" s="249"/>
      <c r="HK136" s="249"/>
      <c r="HL136" s="249"/>
      <c r="HM136" s="249"/>
      <c r="HN136" s="250"/>
      <c r="HO136" s="250"/>
      <c r="HP136" s="250"/>
      <c r="HQ136" s="250"/>
      <c r="HR136" s="250"/>
      <c r="HS136" s="250"/>
      <c r="HT136" s="250"/>
      <c r="HU136" s="249"/>
      <c r="HV136" s="249"/>
      <c r="HW136" s="249"/>
      <c r="HX136" s="249"/>
      <c r="HY136" s="249"/>
      <c r="HZ136" s="249"/>
      <c r="IA136" s="249"/>
      <c r="IB136" s="250"/>
      <c r="IC136" s="250"/>
      <c r="ID136" s="250"/>
      <c r="IE136" s="250"/>
      <c r="IF136" s="250"/>
      <c r="IG136" s="250"/>
      <c r="IH136" s="250"/>
      <c r="II136" s="249"/>
      <c r="IJ136" s="249"/>
      <c r="IK136" s="249"/>
      <c r="IL136" s="249"/>
      <c r="IM136" s="249"/>
      <c r="IN136" s="249"/>
      <c r="IO136" s="249"/>
      <c r="IP136" s="250"/>
      <c r="IQ136" s="250"/>
      <c r="IR136" s="250"/>
      <c r="IS136" s="250"/>
      <c r="IT136" s="250"/>
      <c r="IU136" s="250"/>
      <c r="IV136" s="250"/>
      <c r="IW136" s="249"/>
      <c r="IX136" s="249"/>
      <c r="IY136" s="249"/>
      <c r="IZ136" s="249"/>
      <c r="JA136" s="249"/>
      <c r="JB136" s="249"/>
      <c r="JC136" s="249"/>
      <c r="JD136" s="250"/>
      <c r="JE136" s="250">
        <v>16</v>
      </c>
      <c r="JF136" s="250"/>
      <c r="JG136" s="250"/>
      <c r="JH136" s="250"/>
      <c r="JI136" s="250"/>
      <c r="JJ136" s="250"/>
      <c r="JK136" s="249"/>
      <c r="JL136" s="249"/>
      <c r="JM136" s="249"/>
      <c r="JN136" s="249"/>
      <c r="JO136" s="249"/>
      <c r="JP136" s="249"/>
      <c r="JQ136" s="249"/>
      <c r="JR136" s="250"/>
      <c r="JS136" s="250"/>
      <c r="JT136" s="250"/>
      <c r="JU136" s="250"/>
      <c r="JV136" s="250"/>
      <c r="JW136" s="250"/>
      <c r="JX136" s="250"/>
      <c r="JY136" s="249"/>
      <c r="JZ136" s="249"/>
      <c r="KA136" s="249"/>
      <c r="KB136" s="249"/>
      <c r="KC136" s="249"/>
      <c r="KD136" s="249"/>
      <c r="KE136" s="249"/>
      <c r="KF136" s="250"/>
      <c r="KG136" s="250"/>
      <c r="KH136" s="250"/>
      <c r="KI136" s="250"/>
      <c r="KJ136" s="250"/>
      <c r="KK136" s="250"/>
      <c r="KL136" s="250"/>
      <c r="KM136" s="249"/>
      <c r="KN136" s="249"/>
      <c r="KO136" s="249"/>
      <c r="KP136" s="249"/>
      <c r="KQ136" s="249"/>
      <c r="KR136" s="249"/>
      <c r="KS136" s="249"/>
      <c r="KT136" s="250"/>
      <c r="KU136" s="250"/>
      <c r="KV136" s="250"/>
      <c r="KW136" s="250"/>
      <c r="KX136" s="250"/>
      <c r="KY136" s="250"/>
      <c r="KZ136" s="250"/>
      <c r="LA136" s="249"/>
      <c r="LB136" s="249">
        <v>16</v>
      </c>
      <c r="LC136" s="249"/>
      <c r="LD136" s="249"/>
      <c r="LE136" s="249"/>
      <c r="LF136" s="249"/>
      <c r="LG136" s="249"/>
      <c r="LH136" s="250"/>
      <c r="LI136" s="250"/>
      <c r="LJ136" s="250"/>
      <c r="LK136" s="250"/>
      <c r="LL136" s="250"/>
      <c r="LM136" s="250"/>
      <c r="LN136" s="250"/>
      <c r="LO136" s="249"/>
      <c r="LP136" s="249"/>
      <c r="LQ136" s="249"/>
      <c r="LR136" s="249"/>
      <c r="LS136" s="249"/>
      <c r="LT136" s="249"/>
      <c r="LU136" s="249"/>
      <c r="LV136" s="250"/>
      <c r="LW136" s="250"/>
      <c r="LX136" s="250"/>
      <c r="LY136" s="250"/>
      <c r="LZ136" s="250"/>
      <c r="MA136" s="250"/>
      <c r="MB136" s="250"/>
      <c r="MC136" s="249"/>
      <c r="MD136" s="249"/>
      <c r="ME136" s="249"/>
      <c r="MF136" s="249"/>
      <c r="MG136" s="249"/>
      <c r="MH136" s="249"/>
      <c r="MI136" s="249"/>
      <c r="MJ136" s="250"/>
      <c r="MK136" s="250"/>
      <c r="ML136" s="250"/>
      <c r="MM136" s="250"/>
      <c r="MN136" s="250"/>
      <c r="MO136" s="250"/>
      <c r="MP136" s="250"/>
      <c r="MQ136" s="249"/>
      <c r="MR136" s="249"/>
      <c r="MS136" s="249"/>
      <c r="MT136" s="249"/>
      <c r="MU136" s="249"/>
      <c r="MV136" s="249"/>
      <c r="MW136" s="249"/>
      <c r="MX136" s="250"/>
      <c r="MY136" s="250">
        <v>16</v>
      </c>
      <c r="MZ136" s="250"/>
      <c r="NA136" s="250"/>
      <c r="NB136" s="250"/>
      <c r="NC136" s="250"/>
      <c r="ND136" s="250"/>
      <c r="NE136" s="249"/>
      <c r="NF136" s="249"/>
      <c r="NG136" s="249"/>
      <c r="NH136" s="333" t="s">
        <v>1129</v>
      </c>
    </row>
    <row r="137" spans="1:372">
      <c r="A137" s="251" t="s">
        <v>985</v>
      </c>
      <c r="B137" s="251" t="s">
        <v>405</v>
      </c>
      <c r="C137" s="251" t="s">
        <v>674</v>
      </c>
      <c r="D137" s="251" t="s">
        <v>982</v>
      </c>
      <c r="E137" s="241">
        <v>106.59087496758849</v>
      </c>
      <c r="F137" s="241">
        <v>198</v>
      </c>
      <c r="G137" s="249"/>
      <c r="H137" s="249"/>
      <c r="I137" s="249"/>
      <c r="J137" s="249"/>
      <c r="K137" s="249"/>
      <c r="L137" s="250"/>
      <c r="M137" s="250"/>
      <c r="N137" s="250"/>
      <c r="O137" s="250"/>
      <c r="P137" s="250"/>
      <c r="Q137" s="250"/>
      <c r="R137" s="250"/>
      <c r="S137" s="249"/>
      <c r="T137" s="249"/>
      <c r="U137" s="249"/>
      <c r="V137" s="249"/>
      <c r="W137" s="249"/>
      <c r="X137" s="249"/>
      <c r="Y137" s="249"/>
      <c r="Z137" s="250"/>
      <c r="AA137" s="250">
        <v>16</v>
      </c>
      <c r="AB137" s="250"/>
      <c r="AC137" s="250"/>
      <c r="AD137" s="250"/>
      <c r="AE137" s="250"/>
      <c r="AF137" s="250"/>
      <c r="AG137" s="249"/>
      <c r="AH137" s="249"/>
      <c r="AI137" s="249"/>
      <c r="AJ137" s="249"/>
      <c r="AK137" s="249"/>
      <c r="AL137" s="249"/>
      <c r="AM137" s="249"/>
      <c r="AN137" s="250"/>
      <c r="AO137" s="250"/>
      <c r="AP137" s="250"/>
      <c r="AQ137" s="250"/>
      <c r="AR137" s="250"/>
      <c r="AS137" s="250"/>
      <c r="AT137" s="250"/>
      <c r="AU137" s="249"/>
      <c r="AV137" s="249"/>
      <c r="AW137" s="249"/>
      <c r="AX137" s="249"/>
      <c r="AY137" s="249"/>
      <c r="AZ137" s="249"/>
      <c r="BA137" s="249"/>
      <c r="BB137" s="250"/>
      <c r="BC137" s="250"/>
      <c r="BD137" s="250"/>
      <c r="BE137" s="250"/>
      <c r="BF137" s="250"/>
      <c r="BG137" s="250"/>
      <c r="BH137" s="250"/>
      <c r="BI137" s="249"/>
      <c r="BJ137" s="249"/>
      <c r="BK137" s="249"/>
      <c r="BL137" s="249"/>
      <c r="BM137" s="249"/>
      <c r="BN137" s="249"/>
      <c r="BO137" s="249"/>
      <c r="BP137" s="250"/>
      <c r="BQ137" s="250"/>
      <c r="BR137" s="250"/>
      <c r="BS137" s="250"/>
      <c r="BT137" s="250"/>
      <c r="BU137" s="250"/>
      <c r="BV137" s="250">
        <v>12</v>
      </c>
      <c r="BW137" s="249">
        <v>24</v>
      </c>
      <c r="BX137" s="249">
        <v>24</v>
      </c>
      <c r="BY137" s="249">
        <v>24</v>
      </c>
      <c r="BZ137" s="249">
        <v>18</v>
      </c>
      <c r="CA137" s="249"/>
      <c r="CB137" s="249"/>
      <c r="CC137" s="249"/>
      <c r="CD137" s="250"/>
      <c r="CE137" s="250"/>
      <c r="CF137" s="250"/>
      <c r="CG137" s="250"/>
      <c r="CH137" s="250"/>
      <c r="CI137" s="250"/>
      <c r="CJ137" s="250"/>
      <c r="CK137" s="249"/>
      <c r="CL137" s="249"/>
      <c r="CM137" s="249"/>
      <c r="CN137" s="249"/>
      <c r="CO137" s="249"/>
      <c r="CP137" s="249"/>
      <c r="CQ137" s="249"/>
      <c r="CR137" s="250"/>
      <c r="CS137" s="250"/>
      <c r="CT137" s="250"/>
      <c r="CU137" s="250"/>
      <c r="CV137" s="250"/>
      <c r="CW137" s="250"/>
      <c r="CX137" s="250"/>
      <c r="CY137" s="249"/>
      <c r="CZ137" s="249"/>
      <c r="DA137" s="249"/>
      <c r="DB137" s="249"/>
      <c r="DC137" s="249"/>
      <c r="DD137" s="249"/>
      <c r="DE137" s="249"/>
      <c r="DF137" s="250"/>
      <c r="DG137" s="250"/>
      <c r="DH137" s="250"/>
      <c r="DI137" s="250"/>
      <c r="DJ137" s="250"/>
      <c r="DK137" s="250"/>
      <c r="DL137" s="250"/>
      <c r="DM137" s="249"/>
      <c r="DN137" s="249"/>
      <c r="DO137" s="249"/>
      <c r="DP137" s="249"/>
      <c r="DQ137" s="249"/>
      <c r="DR137" s="249"/>
      <c r="DS137" s="249"/>
      <c r="DT137" s="250"/>
      <c r="DU137" s="250">
        <v>16</v>
      </c>
      <c r="DV137" s="250"/>
      <c r="DW137" s="250"/>
      <c r="DX137" s="250"/>
      <c r="DY137" s="250"/>
      <c r="DZ137" s="250"/>
      <c r="EA137" s="249"/>
      <c r="EB137" s="249"/>
      <c r="EC137" s="249"/>
      <c r="ED137" s="249"/>
      <c r="EE137" s="249"/>
      <c r="EF137" s="249"/>
      <c r="EG137" s="249"/>
      <c r="EH137" s="250"/>
      <c r="EI137" s="250"/>
      <c r="EJ137" s="250"/>
      <c r="EK137" s="250"/>
      <c r="EL137" s="250"/>
      <c r="EM137" s="250"/>
      <c r="EN137" s="250"/>
      <c r="EO137" s="249"/>
      <c r="EP137" s="249"/>
      <c r="EQ137" s="249"/>
      <c r="ER137" s="249"/>
      <c r="ES137" s="249"/>
      <c r="ET137" s="249"/>
      <c r="EU137" s="249"/>
      <c r="EV137" s="250"/>
      <c r="EW137" s="250"/>
      <c r="EX137" s="250"/>
      <c r="EY137" s="250"/>
      <c r="EZ137" s="250"/>
      <c r="FA137" s="250"/>
      <c r="FB137" s="250"/>
      <c r="FC137" s="249"/>
      <c r="FD137" s="249"/>
      <c r="FE137" s="249"/>
      <c r="FF137" s="249"/>
      <c r="FG137" s="249"/>
      <c r="FH137" s="249"/>
      <c r="FI137" s="249"/>
      <c r="FJ137" s="250"/>
      <c r="FK137" s="250"/>
      <c r="FL137" s="250"/>
      <c r="FM137" s="250"/>
      <c r="FN137" s="250"/>
      <c r="FO137" s="250"/>
      <c r="FP137" s="250"/>
      <c r="FQ137" s="249"/>
      <c r="FR137" s="249">
        <v>16</v>
      </c>
      <c r="FS137" s="249"/>
      <c r="FT137" s="249"/>
      <c r="FU137" s="249"/>
      <c r="FV137" s="249"/>
      <c r="FW137" s="249"/>
      <c r="FX137" s="250"/>
      <c r="FY137" s="250"/>
      <c r="FZ137" s="250"/>
      <c r="GA137" s="250"/>
      <c r="GB137" s="250"/>
      <c r="GC137" s="250"/>
      <c r="GD137" s="250"/>
      <c r="GE137" s="249"/>
      <c r="GF137" s="249"/>
      <c r="GG137" s="249"/>
      <c r="GH137" s="249"/>
      <c r="GI137" s="249"/>
      <c r="GJ137" s="249"/>
      <c r="GK137" s="249"/>
      <c r="GL137" s="250"/>
      <c r="GM137" s="250"/>
      <c r="GN137" s="250"/>
      <c r="GO137" s="250"/>
      <c r="GP137" s="250"/>
      <c r="GQ137" s="250"/>
      <c r="GR137" s="250"/>
      <c r="GS137" s="249"/>
      <c r="GT137" s="249"/>
      <c r="GU137" s="249"/>
      <c r="GV137" s="249"/>
      <c r="GW137" s="249"/>
      <c r="GX137" s="249"/>
      <c r="GY137" s="249"/>
      <c r="GZ137" s="250"/>
      <c r="HA137" s="250"/>
      <c r="HB137" s="250"/>
      <c r="HC137" s="250"/>
      <c r="HD137" s="250"/>
      <c r="HE137" s="250"/>
      <c r="HF137" s="250"/>
      <c r="HG137" s="249"/>
      <c r="HH137" s="249"/>
      <c r="HI137" s="249"/>
      <c r="HJ137" s="249"/>
      <c r="HK137" s="249"/>
      <c r="HL137" s="249"/>
      <c r="HM137" s="249"/>
      <c r="HN137" s="250"/>
      <c r="HO137" s="250">
        <v>16</v>
      </c>
      <c r="HP137" s="250"/>
      <c r="HQ137" s="250"/>
      <c r="HR137" s="250"/>
      <c r="HS137" s="250"/>
      <c r="HT137" s="250"/>
      <c r="HU137" s="249"/>
      <c r="HV137" s="249"/>
      <c r="HW137" s="249"/>
      <c r="HX137" s="249"/>
      <c r="HY137" s="249"/>
      <c r="HZ137" s="249"/>
      <c r="IA137" s="249"/>
      <c r="IB137" s="250"/>
      <c r="IC137" s="250"/>
      <c r="ID137" s="250"/>
      <c r="IE137" s="250"/>
      <c r="IF137" s="250"/>
      <c r="IG137" s="250"/>
      <c r="IH137" s="250"/>
      <c r="II137" s="249"/>
      <c r="IJ137" s="249"/>
      <c r="IK137" s="249"/>
      <c r="IL137" s="249"/>
      <c r="IM137" s="249"/>
      <c r="IN137" s="249"/>
      <c r="IO137" s="249"/>
      <c r="IP137" s="250"/>
      <c r="IQ137" s="250"/>
      <c r="IR137" s="250"/>
      <c r="IS137" s="250"/>
      <c r="IT137" s="250"/>
      <c r="IU137" s="250"/>
      <c r="IV137" s="250"/>
      <c r="IW137" s="249"/>
      <c r="IX137" s="249"/>
      <c r="IY137" s="249"/>
      <c r="IZ137" s="249"/>
      <c r="JA137" s="249"/>
      <c r="JB137" s="249"/>
      <c r="JC137" s="249"/>
      <c r="JD137" s="250"/>
      <c r="JE137" s="250"/>
      <c r="JF137" s="250"/>
      <c r="JG137" s="250"/>
      <c r="JH137" s="250"/>
      <c r="JI137" s="250"/>
      <c r="JJ137" s="250"/>
      <c r="JK137" s="249"/>
      <c r="JL137" s="249">
        <v>16</v>
      </c>
      <c r="JM137" s="249"/>
      <c r="JN137" s="249"/>
      <c r="JO137" s="249"/>
      <c r="JP137" s="249"/>
      <c r="JQ137" s="249"/>
      <c r="JR137" s="250"/>
      <c r="JS137" s="250"/>
      <c r="JT137" s="250"/>
      <c r="JU137" s="250"/>
      <c r="JV137" s="250"/>
      <c r="JW137" s="250"/>
      <c r="JX137" s="250"/>
      <c r="JY137" s="249"/>
      <c r="JZ137" s="249"/>
      <c r="KA137" s="249"/>
      <c r="KB137" s="249"/>
      <c r="KC137" s="249"/>
      <c r="KD137" s="249"/>
      <c r="KE137" s="249"/>
      <c r="KF137" s="250"/>
      <c r="KG137" s="250"/>
      <c r="KH137" s="250"/>
      <c r="KI137" s="250"/>
      <c r="KJ137" s="250"/>
      <c r="KK137" s="250"/>
      <c r="KL137" s="250"/>
      <c r="KM137" s="249"/>
      <c r="KN137" s="249"/>
      <c r="KO137" s="249"/>
      <c r="KP137" s="249"/>
      <c r="KQ137" s="249"/>
      <c r="KR137" s="249"/>
      <c r="KS137" s="249"/>
      <c r="KT137" s="250"/>
      <c r="KU137" s="250"/>
      <c r="KV137" s="250"/>
      <c r="KW137" s="250"/>
      <c r="KX137" s="250"/>
      <c r="KY137" s="250"/>
      <c r="KZ137" s="250"/>
      <c r="LA137" s="249"/>
      <c r="LB137" s="249"/>
      <c r="LC137" s="249"/>
      <c r="LD137" s="249"/>
      <c r="LE137" s="249"/>
      <c r="LF137" s="249"/>
      <c r="LG137" s="249"/>
      <c r="LH137" s="250"/>
      <c r="LI137" s="250">
        <v>16</v>
      </c>
      <c r="LJ137" s="250"/>
      <c r="LK137" s="250"/>
      <c r="LL137" s="250"/>
      <c r="LM137" s="250"/>
      <c r="LN137" s="250"/>
      <c r="LO137" s="249"/>
      <c r="LP137" s="249"/>
      <c r="LQ137" s="249"/>
      <c r="LR137" s="249"/>
      <c r="LS137" s="249"/>
      <c r="LT137" s="249"/>
      <c r="LU137" s="249"/>
      <c r="LV137" s="250"/>
      <c r="LW137" s="250"/>
      <c r="LX137" s="250"/>
      <c r="LY137" s="250"/>
      <c r="LZ137" s="250"/>
      <c r="MA137" s="250"/>
      <c r="MB137" s="250"/>
      <c r="MC137" s="249"/>
      <c r="MD137" s="249"/>
      <c r="ME137" s="249"/>
      <c r="MF137" s="249"/>
      <c r="MG137" s="249"/>
      <c r="MH137" s="249"/>
      <c r="MI137" s="249"/>
      <c r="MJ137" s="250"/>
      <c r="MK137" s="250"/>
      <c r="ML137" s="250"/>
      <c r="MM137" s="250"/>
      <c r="MN137" s="250"/>
      <c r="MO137" s="250"/>
      <c r="MP137" s="250"/>
      <c r="MQ137" s="249"/>
      <c r="MR137" s="249"/>
      <c r="MS137" s="249"/>
      <c r="MT137" s="249"/>
      <c r="MU137" s="249"/>
      <c r="MV137" s="249"/>
      <c r="MW137" s="249"/>
      <c r="MX137" s="250"/>
      <c r="MY137" s="250"/>
      <c r="MZ137" s="250"/>
      <c r="NA137" s="250"/>
      <c r="NB137" s="250"/>
      <c r="NC137" s="250"/>
      <c r="ND137" s="250"/>
      <c r="NE137" s="249"/>
      <c r="NF137" s="249"/>
      <c r="NG137" s="249"/>
      <c r="NH137" s="333" t="s">
        <v>1127</v>
      </c>
    </row>
    <row r="138" spans="1:372">
      <c r="A138" s="251" t="s">
        <v>985</v>
      </c>
      <c r="B138" s="251" t="s">
        <v>406</v>
      </c>
      <c r="C138" s="251" t="s">
        <v>674</v>
      </c>
      <c r="D138" s="251" t="s">
        <v>982</v>
      </c>
      <c r="E138" s="241">
        <v>76.632694401309081</v>
      </c>
      <c r="F138" s="241">
        <v>214</v>
      </c>
      <c r="G138" s="249"/>
      <c r="H138" s="249"/>
      <c r="I138" s="249"/>
      <c r="J138" s="249"/>
      <c r="K138" s="249"/>
      <c r="L138" s="250"/>
      <c r="M138" s="250">
        <v>16</v>
      </c>
      <c r="N138" s="250"/>
      <c r="O138" s="250"/>
      <c r="P138" s="250"/>
      <c r="Q138" s="250"/>
      <c r="R138" s="250"/>
      <c r="S138" s="249"/>
      <c r="T138" s="249"/>
      <c r="U138" s="249"/>
      <c r="V138" s="249"/>
      <c r="W138" s="249"/>
      <c r="X138" s="249"/>
      <c r="Y138" s="249"/>
      <c r="Z138" s="250"/>
      <c r="AA138" s="250"/>
      <c r="AB138" s="250"/>
      <c r="AC138" s="250"/>
      <c r="AD138" s="250"/>
      <c r="AE138" s="250"/>
      <c r="AF138" s="250"/>
      <c r="AG138" s="249"/>
      <c r="AH138" s="249"/>
      <c r="AI138" s="249"/>
      <c r="AJ138" s="249"/>
      <c r="AK138" s="249"/>
      <c r="AL138" s="249"/>
      <c r="AM138" s="249"/>
      <c r="AN138" s="250"/>
      <c r="AO138" s="250"/>
      <c r="AP138" s="250"/>
      <c r="AQ138" s="250"/>
      <c r="AR138" s="250"/>
      <c r="AS138" s="250"/>
      <c r="AT138" s="250"/>
      <c r="AU138" s="249"/>
      <c r="AV138" s="249"/>
      <c r="AW138" s="249"/>
      <c r="AX138" s="249"/>
      <c r="AY138" s="249"/>
      <c r="AZ138" s="249"/>
      <c r="BA138" s="249"/>
      <c r="BB138" s="250"/>
      <c r="BC138" s="250"/>
      <c r="BD138" s="250"/>
      <c r="BE138" s="250"/>
      <c r="BF138" s="250"/>
      <c r="BG138" s="250"/>
      <c r="BH138" s="250"/>
      <c r="BI138" s="249"/>
      <c r="BJ138" s="249">
        <v>16</v>
      </c>
      <c r="BK138" s="249"/>
      <c r="BL138" s="249"/>
      <c r="BM138" s="249"/>
      <c r="BN138" s="249"/>
      <c r="BO138" s="249"/>
      <c r="BP138" s="250"/>
      <c r="BQ138" s="250"/>
      <c r="BR138" s="250"/>
      <c r="BS138" s="250"/>
      <c r="BT138" s="250"/>
      <c r="BU138" s="250"/>
      <c r="BV138" s="250"/>
      <c r="BW138" s="249"/>
      <c r="BX138" s="249"/>
      <c r="BY138" s="249"/>
      <c r="BZ138" s="249"/>
      <c r="CA138" s="249"/>
      <c r="CB138" s="249"/>
      <c r="CC138" s="249"/>
      <c r="CD138" s="250"/>
      <c r="CE138" s="250"/>
      <c r="CF138" s="250"/>
      <c r="CG138" s="250"/>
      <c r="CH138" s="250"/>
      <c r="CI138" s="250"/>
      <c r="CJ138" s="250"/>
      <c r="CK138" s="249"/>
      <c r="CL138" s="249"/>
      <c r="CM138" s="249"/>
      <c r="CN138" s="249"/>
      <c r="CO138" s="249"/>
      <c r="CP138" s="249"/>
      <c r="CQ138" s="249"/>
      <c r="CR138" s="250"/>
      <c r="CS138" s="250"/>
      <c r="CT138" s="250"/>
      <c r="CU138" s="250"/>
      <c r="CV138" s="250"/>
      <c r="CW138" s="250"/>
      <c r="CX138" s="250"/>
      <c r="CY138" s="249"/>
      <c r="CZ138" s="249"/>
      <c r="DA138" s="249"/>
      <c r="DB138" s="249"/>
      <c r="DC138" s="249"/>
      <c r="DD138" s="249"/>
      <c r="DE138" s="249"/>
      <c r="DF138" s="250"/>
      <c r="DG138" s="250">
        <v>16</v>
      </c>
      <c r="DH138" s="250"/>
      <c r="DI138" s="250"/>
      <c r="DJ138" s="250"/>
      <c r="DK138" s="250"/>
      <c r="DL138" s="250"/>
      <c r="DM138" s="249"/>
      <c r="DN138" s="249"/>
      <c r="DO138" s="249"/>
      <c r="DP138" s="249"/>
      <c r="DQ138" s="249"/>
      <c r="DR138" s="249"/>
      <c r="DS138" s="249"/>
      <c r="DT138" s="250"/>
      <c r="DU138" s="250"/>
      <c r="DV138" s="250"/>
      <c r="DW138" s="250"/>
      <c r="DX138" s="250"/>
      <c r="DY138" s="250"/>
      <c r="DZ138" s="250"/>
      <c r="EA138" s="249"/>
      <c r="EB138" s="249"/>
      <c r="EC138" s="249"/>
      <c r="ED138" s="249"/>
      <c r="EE138" s="249"/>
      <c r="EF138" s="249"/>
      <c r="EG138" s="249"/>
      <c r="EH138" s="250"/>
      <c r="EI138" s="250"/>
      <c r="EJ138" s="250"/>
      <c r="EK138" s="250"/>
      <c r="EL138" s="250"/>
      <c r="EM138" s="250"/>
      <c r="EN138" s="250"/>
      <c r="EO138" s="249"/>
      <c r="EP138" s="249"/>
      <c r="EQ138" s="249"/>
      <c r="ER138" s="249"/>
      <c r="ES138" s="249"/>
      <c r="ET138" s="249"/>
      <c r="EU138" s="249"/>
      <c r="EV138" s="250"/>
      <c r="EW138" s="250"/>
      <c r="EX138" s="250"/>
      <c r="EY138" s="250"/>
      <c r="EZ138" s="250"/>
      <c r="FA138" s="250"/>
      <c r="FB138" s="250">
        <v>12</v>
      </c>
      <c r="FC138" s="249">
        <v>24</v>
      </c>
      <c r="FD138" s="249">
        <v>24</v>
      </c>
      <c r="FE138" s="249">
        <v>24</v>
      </c>
      <c r="FF138" s="249">
        <v>18</v>
      </c>
      <c r="FG138" s="249"/>
      <c r="FH138" s="249"/>
      <c r="FI138" s="249"/>
      <c r="FJ138" s="250"/>
      <c r="FK138" s="250"/>
      <c r="FL138" s="250"/>
      <c r="FM138" s="250"/>
      <c r="FN138" s="250"/>
      <c r="FO138" s="250"/>
      <c r="FP138" s="250"/>
      <c r="FQ138" s="249"/>
      <c r="FR138" s="249"/>
      <c r="FS138" s="249"/>
      <c r="FT138" s="249"/>
      <c r="FU138" s="249"/>
      <c r="FV138" s="249"/>
      <c r="FW138" s="249"/>
      <c r="FX138" s="250"/>
      <c r="FY138" s="250"/>
      <c r="FZ138" s="250"/>
      <c r="GA138" s="250"/>
      <c r="GB138" s="250"/>
      <c r="GC138" s="250"/>
      <c r="GD138" s="250"/>
      <c r="GE138" s="249"/>
      <c r="GF138" s="249"/>
      <c r="GG138" s="249"/>
      <c r="GH138" s="249"/>
      <c r="GI138" s="249"/>
      <c r="GJ138" s="249"/>
      <c r="GK138" s="249"/>
      <c r="GL138" s="250"/>
      <c r="GM138" s="250"/>
      <c r="GN138" s="250"/>
      <c r="GO138" s="250"/>
      <c r="GP138" s="250"/>
      <c r="GQ138" s="250"/>
      <c r="GR138" s="250"/>
      <c r="GS138" s="249"/>
      <c r="GT138" s="249"/>
      <c r="GU138" s="249"/>
      <c r="GV138" s="249"/>
      <c r="GW138" s="249"/>
      <c r="GX138" s="249"/>
      <c r="GY138" s="249"/>
      <c r="GZ138" s="250"/>
      <c r="HA138" s="250">
        <v>16</v>
      </c>
      <c r="HB138" s="250"/>
      <c r="HC138" s="250"/>
      <c r="HD138" s="250"/>
      <c r="HE138" s="250"/>
      <c r="HF138" s="250"/>
      <c r="HG138" s="249"/>
      <c r="HH138" s="249"/>
      <c r="HI138" s="249"/>
      <c r="HJ138" s="249"/>
      <c r="HK138" s="249"/>
      <c r="HL138" s="249"/>
      <c r="HM138" s="249"/>
      <c r="HN138" s="250"/>
      <c r="HO138" s="250"/>
      <c r="HP138" s="250"/>
      <c r="HQ138" s="250"/>
      <c r="HR138" s="250"/>
      <c r="HS138" s="250"/>
      <c r="HT138" s="250"/>
      <c r="HU138" s="249"/>
      <c r="HV138" s="249"/>
      <c r="HW138" s="249"/>
      <c r="HX138" s="249"/>
      <c r="HY138" s="249"/>
      <c r="HZ138" s="249"/>
      <c r="IA138" s="249"/>
      <c r="IB138" s="250"/>
      <c r="IC138" s="250"/>
      <c r="ID138" s="250"/>
      <c r="IE138" s="250"/>
      <c r="IF138" s="250"/>
      <c r="IG138" s="250"/>
      <c r="IH138" s="250"/>
      <c r="II138" s="249"/>
      <c r="IJ138" s="249"/>
      <c r="IK138" s="249"/>
      <c r="IL138" s="249"/>
      <c r="IM138" s="249"/>
      <c r="IN138" s="249"/>
      <c r="IO138" s="249"/>
      <c r="IP138" s="250"/>
      <c r="IQ138" s="250"/>
      <c r="IR138" s="250"/>
      <c r="IS138" s="250"/>
      <c r="IT138" s="250"/>
      <c r="IU138" s="250"/>
      <c r="IV138" s="250"/>
      <c r="IW138" s="249"/>
      <c r="IX138" s="249">
        <v>16</v>
      </c>
      <c r="IY138" s="249"/>
      <c r="IZ138" s="249"/>
      <c r="JA138" s="249"/>
      <c r="JB138" s="249"/>
      <c r="JC138" s="249"/>
      <c r="JD138" s="250"/>
      <c r="JE138" s="250"/>
      <c r="JF138" s="250"/>
      <c r="JG138" s="250"/>
      <c r="JH138" s="250"/>
      <c r="JI138" s="250"/>
      <c r="JJ138" s="250"/>
      <c r="JK138" s="249"/>
      <c r="JL138" s="249"/>
      <c r="JM138" s="249"/>
      <c r="JN138" s="249"/>
      <c r="JO138" s="249"/>
      <c r="JP138" s="249"/>
      <c r="JQ138" s="249"/>
      <c r="JR138" s="250"/>
      <c r="JS138" s="250"/>
      <c r="JT138" s="250"/>
      <c r="JU138" s="250"/>
      <c r="JV138" s="250"/>
      <c r="JW138" s="250"/>
      <c r="JX138" s="250"/>
      <c r="JY138" s="249"/>
      <c r="JZ138" s="249"/>
      <c r="KA138" s="249"/>
      <c r="KB138" s="249"/>
      <c r="KC138" s="249"/>
      <c r="KD138" s="249"/>
      <c r="KE138" s="249"/>
      <c r="KF138" s="250"/>
      <c r="KG138" s="250"/>
      <c r="KH138" s="250"/>
      <c r="KI138" s="250"/>
      <c r="KJ138" s="250"/>
      <c r="KK138" s="250"/>
      <c r="KL138" s="250"/>
      <c r="KM138" s="249"/>
      <c r="KN138" s="249"/>
      <c r="KO138" s="249"/>
      <c r="KP138" s="249"/>
      <c r="KQ138" s="249"/>
      <c r="KR138" s="249"/>
      <c r="KS138" s="249"/>
      <c r="KT138" s="250"/>
      <c r="KU138" s="250">
        <v>16</v>
      </c>
      <c r="KV138" s="250"/>
      <c r="KW138" s="250"/>
      <c r="KX138" s="250"/>
      <c r="KY138" s="250"/>
      <c r="KZ138" s="250"/>
      <c r="LA138" s="249"/>
      <c r="LB138" s="249"/>
      <c r="LC138" s="249"/>
      <c r="LD138" s="249"/>
      <c r="LE138" s="249"/>
      <c r="LF138" s="249"/>
      <c r="LG138" s="249"/>
      <c r="LH138" s="250"/>
      <c r="LI138" s="250"/>
      <c r="LJ138" s="250"/>
      <c r="LK138" s="250"/>
      <c r="LL138" s="250"/>
      <c r="LM138" s="250"/>
      <c r="LN138" s="250"/>
      <c r="LO138" s="249"/>
      <c r="LP138" s="249"/>
      <c r="LQ138" s="249"/>
      <c r="LR138" s="249"/>
      <c r="LS138" s="249"/>
      <c r="LT138" s="249"/>
      <c r="LU138" s="249"/>
      <c r="LV138" s="250"/>
      <c r="LW138" s="250"/>
      <c r="LX138" s="250"/>
      <c r="LY138" s="250"/>
      <c r="LZ138" s="250"/>
      <c r="MA138" s="250"/>
      <c r="MB138" s="250"/>
      <c r="MC138" s="249"/>
      <c r="MD138" s="249"/>
      <c r="ME138" s="249"/>
      <c r="MF138" s="249"/>
      <c r="MG138" s="249"/>
      <c r="MH138" s="249"/>
      <c r="MI138" s="249"/>
      <c r="MJ138" s="250"/>
      <c r="MK138" s="250"/>
      <c r="ML138" s="250"/>
      <c r="MM138" s="250"/>
      <c r="MN138" s="250"/>
      <c r="MO138" s="250"/>
      <c r="MP138" s="250"/>
      <c r="MQ138" s="249"/>
      <c r="MR138" s="249">
        <v>16</v>
      </c>
      <c r="MS138" s="249"/>
      <c r="MT138" s="249"/>
      <c r="MU138" s="249"/>
      <c r="MV138" s="249"/>
      <c r="MW138" s="249"/>
      <c r="MX138" s="250"/>
      <c r="MY138" s="250"/>
      <c r="MZ138" s="250"/>
      <c r="NA138" s="250"/>
      <c r="NB138" s="250"/>
      <c r="NC138" s="250"/>
      <c r="ND138" s="250"/>
      <c r="NE138" s="249"/>
      <c r="NF138" s="249"/>
      <c r="NG138" s="249"/>
      <c r="NH138" s="333" t="s">
        <v>1128</v>
      </c>
    </row>
    <row r="139" spans="1:372">
      <c r="A139" s="251" t="s">
        <v>985</v>
      </c>
      <c r="B139" s="251" t="s">
        <v>407</v>
      </c>
      <c r="C139" s="251" t="s">
        <v>674</v>
      </c>
      <c r="D139" s="251" t="s">
        <v>982</v>
      </c>
      <c r="E139" s="241">
        <v>153.26961108481635</v>
      </c>
      <c r="F139" s="241">
        <v>112</v>
      </c>
      <c r="G139" s="249"/>
      <c r="H139" s="249"/>
      <c r="I139" s="249"/>
      <c r="J139" s="249"/>
      <c r="K139" s="249"/>
      <c r="L139" s="250"/>
      <c r="M139" s="250"/>
      <c r="N139" s="250"/>
      <c r="O139" s="250"/>
      <c r="P139" s="250"/>
      <c r="Q139" s="250"/>
      <c r="R139" s="250"/>
      <c r="S139" s="249"/>
      <c r="T139" s="249"/>
      <c r="U139" s="249"/>
      <c r="V139" s="249"/>
      <c r="W139" s="249"/>
      <c r="X139" s="249"/>
      <c r="Y139" s="249"/>
      <c r="Z139" s="250"/>
      <c r="AA139" s="250"/>
      <c r="AB139" s="250"/>
      <c r="AC139" s="250"/>
      <c r="AD139" s="250"/>
      <c r="AE139" s="250"/>
      <c r="AF139" s="250"/>
      <c r="AG139" s="249"/>
      <c r="AH139" s="249"/>
      <c r="AI139" s="249"/>
      <c r="AJ139" s="249"/>
      <c r="AK139" s="249"/>
      <c r="AL139" s="249"/>
      <c r="AM139" s="249"/>
      <c r="AN139" s="250"/>
      <c r="AO139" s="250"/>
      <c r="AP139" s="250"/>
      <c r="AQ139" s="250"/>
      <c r="AR139" s="250"/>
      <c r="AS139" s="250"/>
      <c r="AT139" s="250"/>
      <c r="AU139" s="249"/>
      <c r="AV139" s="249">
        <v>16</v>
      </c>
      <c r="AW139" s="249"/>
      <c r="AX139" s="249"/>
      <c r="AY139" s="249"/>
      <c r="AZ139" s="249"/>
      <c r="BA139" s="249"/>
      <c r="BB139" s="250"/>
      <c r="BC139" s="250"/>
      <c r="BD139" s="250"/>
      <c r="BE139" s="250"/>
      <c r="BF139" s="250"/>
      <c r="BG139" s="250"/>
      <c r="BH139" s="250"/>
      <c r="BI139" s="249"/>
      <c r="BJ139" s="249"/>
      <c r="BK139" s="249"/>
      <c r="BL139" s="249"/>
      <c r="BM139" s="249"/>
      <c r="BN139" s="249"/>
      <c r="BO139" s="249"/>
      <c r="BP139" s="250"/>
      <c r="BQ139" s="250"/>
      <c r="BR139" s="250"/>
      <c r="BS139" s="250"/>
      <c r="BT139" s="250"/>
      <c r="BU139" s="250"/>
      <c r="BV139" s="250"/>
      <c r="BW139" s="249"/>
      <c r="BX139" s="249"/>
      <c r="BY139" s="249"/>
      <c r="BZ139" s="249"/>
      <c r="CA139" s="249"/>
      <c r="CB139" s="249"/>
      <c r="CC139" s="249"/>
      <c r="CD139" s="250"/>
      <c r="CE139" s="250"/>
      <c r="CF139" s="250"/>
      <c r="CG139" s="250"/>
      <c r="CH139" s="250"/>
      <c r="CI139" s="250"/>
      <c r="CJ139" s="250"/>
      <c r="CK139" s="249"/>
      <c r="CL139" s="249"/>
      <c r="CM139" s="249"/>
      <c r="CN139" s="249"/>
      <c r="CO139" s="249"/>
      <c r="CP139" s="249"/>
      <c r="CQ139" s="249"/>
      <c r="CR139" s="250"/>
      <c r="CS139" s="250">
        <v>16</v>
      </c>
      <c r="CT139" s="250"/>
      <c r="CU139" s="250"/>
      <c r="CV139" s="250"/>
      <c r="CW139" s="250"/>
      <c r="CX139" s="250"/>
      <c r="CY139" s="249"/>
      <c r="CZ139" s="249"/>
      <c r="DA139" s="249"/>
      <c r="DB139" s="249"/>
      <c r="DC139" s="249"/>
      <c r="DD139" s="249"/>
      <c r="DE139" s="249"/>
      <c r="DF139" s="250"/>
      <c r="DG139" s="250"/>
      <c r="DH139" s="250"/>
      <c r="DI139" s="250"/>
      <c r="DJ139" s="250"/>
      <c r="DK139" s="250"/>
      <c r="DL139" s="250"/>
      <c r="DM139" s="249"/>
      <c r="DN139" s="249"/>
      <c r="DO139" s="249"/>
      <c r="DP139" s="249"/>
      <c r="DQ139" s="249"/>
      <c r="DR139" s="249"/>
      <c r="DS139" s="249"/>
      <c r="DT139" s="250"/>
      <c r="DU139" s="250"/>
      <c r="DV139" s="250"/>
      <c r="DW139" s="250"/>
      <c r="DX139" s="250"/>
      <c r="DY139" s="250"/>
      <c r="DZ139" s="250"/>
      <c r="EA139" s="249"/>
      <c r="EB139" s="249"/>
      <c r="EC139" s="249"/>
      <c r="ED139" s="249"/>
      <c r="EE139" s="249"/>
      <c r="EF139" s="249"/>
      <c r="EG139" s="249"/>
      <c r="EH139" s="250"/>
      <c r="EI139" s="250"/>
      <c r="EJ139" s="250"/>
      <c r="EK139" s="250"/>
      <c r="EL139" s="250"/>
      <c r="EM139" s="250"/>
      <c r="EN139" s="250"/>
      <c r="EO139" s="249"/>
      <c r="EP139" s="249">
        <v>16</v>
      </c>
      <c r="EQ139" s="249"/>
      <c r="ER139" s="249"/>
      <c r="ES139" s="249"/>
      <c r="ET139" s="249"/>
      <c r="EU139" s="249"/>
      <c r="EV139" s="250"/>
      <c r="EW139" s="250"/>
      <c r="EX139" s="250"/>
      <c r="EY139" s="250"/>
      <c r="EZ139" s="250"/>
      <c r="FA139" s="250"/>
      <c r="FB139" s="250"/>
      <c r="FC139" s="249"/>
      <c r="FD139" s="249"/>
      <c r="FE139" s="249"/>
      <c r="FF139" s="249"/>
      <c r="FG139" s="249"/>
      <c r="FH139" s="249"/>
      <c r="FI139" s="249"/>
      <c r="FJ139" s="250"/>
      <c r="FK139" s="250"/>
      <c r="FL139" s="250"/>
      <c r="FM139" s="250"/>
      <c r="FN139" s="250"/>
      <c r="FO139" s="250"/>
      <c r="FP139" s="250"/>
      <c r="FQ139" s="249"/>
      <c r="FR139" s="249"/>
      <c r="FS139" s="249"/>
      <c r="FT139" s="249"/>
      <c r="FU139" s="249"/>
      <c r="FV139" s="249"/>
      <c r="FW139" s="249"/>
      <c r="FX139" s="250"/>
      <c r="FY139" s="250"/>
      <c r="FZ139" s="250"/>
      <c r="GA139" s="250"/>
      <c r="GB139" s="250"/>
      <c r="GC139" s="250"/>
      <c r="GD139" s="250"/>
      <c r="GE139" s="249"/>
      <c r="GF139" s="249"/>
      <c r="GG139" s="249"/>
      <c r="GH139" s="249"/>
      <c r="GI139" s="249"/>
      <c r="GJ139" s="249"/>
      <c r="GK139" s="249"/>
      <c r="GL139" s="250"/>
      <c r="GM139" s="250">
        <v>16</v>
      </c>
      <c r="GN139" s="250"/>
      <c r="GO139" s="250"/>
      <c r="GP139" s="250"/>
      <c r="GQ139" s="250"/>
      <c r="GR139" s="250"/>
      <c r="GS139" s="249"/>
      <c r="GT139" s="249"/>
      <c r="GU139" s="249"/>
      <c r="GV139" s="249"/>
      <c r="GW139" s="249"/>
      <c r="GX139" s="249"/>
      <c r="GY139" s="249"/>
      <c r="GZ139" s="250"/>
      <c r="HA139" s="250"/>
      <c r="HB139" s="250"/>
      <c r="HC139" s="250"/>
      <c r="HD139" s="250"/>
      <c r="HE139" s="250"/>
      <c r="HF139" s="250"/>
      <c r="HG139" s="249"/>
      <c r="HH139" s="249"/>
      <c r="HI139" s="249"/>
      <c r="HJ139" s="249"/>
      <c r="HK139" s="249"/>
      <c r="HL139" s="249"/>
      <c r="HM139" s="249"/>
      <c r="HN139" s="250"/>
      <c r="HO139" s="250"/>
      <c r="HP139" s="250"/>
      <c r="HQ139" s="250"/>
      <c r="HR139" s="250"/>
      <c r="HS139" s="250"/>
      <c r="HT139" s="250"/>
      <c r="HU139" s="249"/>
      <c r="HV139" s="249"/>
      <c r="HW139" s="249"/>
      <c r="HX139" s="249"/>
      <c r="HY139" s="249"/>
      <c r="HZ139" s="249"/>
      <c r="IA139" s="249"/>
      <c r="IB139" s="250"/>
      <c r="IC139" s="250"/>
      <c r="ID139" s="250"/>
      <c r="IE139" s="250"/>
      <c r="IF139" s="250"/>
      <c r="IG139" s="250"/>
      <c r="IH139" s="250"/>
      <c r="II139" s="249"/>
      <c r="IJ139" s="249">
        <v>16</v>
      </c>
      <c r="IK139" s="249"/>
      <c r="IL139" s="249"/>
      <c r="IM139" s="249"/>
      <c r="IN139" s="249"/>
      <c r="IO139" s="249"/>
      <c r="IP139" s="250"/>
      <c r="IQ139" s="250"/>
      <c r="IR139" s="250"/>
      <c r="IS139" s="250"/>
      <c r="IT139" s="250"/>
      <c r="IU139" s="250"/>
      <c r="IV139" s="250"/>
      <c r="IW139" s="249"/>
      <c r="IX139" s="249"/>
      <c r="IY139" s="249"/>
      <c r="IZ139" s="249"/>
      <c r="JA139" s="249"/>
      <c r="JB139" s="249"/>
      <c r="JC139" s="249"/>
      <c r="JD139" s="250"/>
      <c r="JE139" s="250"/>
      <c r="JF139" s="250"/>
      <c r="JG139" s="250"/>
      <c r="JH139" s="250"/>
      <c r="JI139" s="250"/>
      <c r="JJ139" s="250"/>
      <c r="JK139" s="249"/>
      <c r="JL139" s="249"/>
      <c r="JM139" s="249"/>
      <c r="JN139" s="249"/>
      <c r="JO139" s="249"/>
      <c r="JP139" s="249"/>
      <c r="JQ139" s="249"/>
      <c r="JR139" s="250"/>
      <c r="JS139" s="250"/>
      <c r="JT139" s="250"/>
      <c r="JU139" s="250"/>
      <c r="JV139" s="250"/>
      <c r="JW139" s="250"/>
      <c r="JX139" s="250"/>
      <c r="JY139" s="249"/>
      <c r="JZ139" s="249"/>
      <c r="KA139" s="249"/>
      <c r="KB139" s="249"/>
      <c r="KC139" s="249"/>
      <c r="KD139" s="249"/>
      <c r="KE139" s="249"/>
      <c r="KF139" s="250"/>
      <c r="KG139" s="250">
        <v>16</v>
      </c>
      <c r="KH139" s="250"/>
      <c r="KI139" s="250"/>
      <c r="KJ139" s="250"/>
      <c r="KK139" s="250"/>
      <c r="KL139" s="250"/>
      <c r="KM139" s="249"/>
      <c r="KN139" s="249"/>
      <c r="KO139" s="249"/>
      <c r="KP139" s="249"/>
      <c r="KQ139" s="249"/>
      <c r="KR139" s="249"/>
      <c r="KS139" s="249"/>
      <c r="KT139" s="250"/>
      <c r="KU139" s="250"/>
      <c r="KV139" s="250"/>
      <c r="KW139" s="250"/>
      <c r="KX139" s="250"/>
      <c r="KY139" s="250"/>
      <c r="KZ139" s="250"/>
      <c r="LA139" s="249"/>
      <c r="LB139" s="249"/>
      <c r="LC139" s="249"/>
      <c r="LD139" s="249"/>
      <c r="LE139" s="249"/>
      <c r="LF139" s="249"/>
      <c r="LG139" s="249"/>
      <c r="LH139" s="250"/>
      <c r="LI139" s="250"/>
      <c r="LJ139" s="250"/>
      <c r="LK139" s="250"/>
      <c r="LL139" s="250"/>
      <c r="LM139" s="250"/>
      <c r="LN139" s="250"/>
      <c r="LO139" s="249"/>
      <c r="LP139" s="249"/>
      <c r="LQ139" s="249"/>
      <c r="LR139" s="249"/>
      <c r="LS139" s="249"/>
      <c r="LT139" s="249"/>
      <c r="LU139" s="249"/>
      <c r="LV139" s="250"/>
      <c r="LW139" s="250"/>
      <c r="LX139" s="250"/>
      <c r="LY139" s="250"/>
      <c r="LZ139" s="250"/>
      <c r="MA139" s="250"/>
      <c r="MB139" s="250"/>
      <c r="MC139" s="249"/>
      <c r="MD139" s="249">
        <v>16</v>
      </c>
      <c r="ME139" s="249"/>
      <c r="MF139" s="249"/>
      <c r="MG139" s="249"/>
      <c r="MH139" s="249"/>
      <c r="MI139" s="249"/>
      <c r="MJ139" s="250"/>
      <c r="MK139" s="250"/>
      <c r="ML139" s="250"/>
      <c r="MM139" s="250"/>
      <c r="MN139" s="250"/>
      <c r="MO139" s="250"/>
      <c r="MP139" s="250"/>
      <c r="MQ139" s="249"/>
      <c r="MR139" s="249"/>
      <c r="MS139" s="249"/>
      <c r="MT139" s="249"/>
      <c r="MU139" s="249"/>
      <c r="MV139" s="249"/>
      <c r="MW139" s="249"/>
      <c r="MX139" s="250"/>
      <c r="MY139" s="250"/>
      <c r="MZ139" s="250"/>
      <c r="NA139" s="250"/>
      <c r="NB139" s="250"/>
      <c r="NC139" s="250"/>
      <c r="ND139" s="250"/>
      <c r="NE139" s="249"/>
      <c r="NF139" s="249"/>
      <c r="NG139" s="249"/>
      <c r="NH139" s="333" t="s">
        <v>1129</v>
      </c>
    </row>
    <row r="140" spans="1:372">
      <c r="A140" s="251" t="s">
        <v>985</v>
      </c>
      <c r="B140" s="251" t="s">
        <v>987</v>
      </c>
      <c r="C140" s="251" t="s">
        <v>674</v>
      </c>
      <c r="D140" s="251" t="s">
        <v>982</v>
      </c>
      <c r="E140" s="241">
        <v>0</v>
      </c>
      <c r="F140" s="241">
        <v>0</v>
      </c>
      <c r="G140" s="249"/>
      <c r="H140" s="249"/>
      <c r="I140" s="249"/>
      <c r="J140" s="249"/>
      <c r="K140" s="249"/>
      <c r="L140" s="250"/>
      <c r="M140" s="250"/>
      <c r="N140" s="250"/>
      <c r="O140" s="250"/>
      <c r="P140" s="250"/>
      <c r="Q140" s="250"/>
      <c r="R140" s="250"/>
      <c r="S140" s="249"/>
      <c r="T140" s="249"/>
      <c r="U140" s="249"/>
      <c r="V140" s="249"/>
      <c r="W140" s="249"/>
      <c r="X140" s="249"/>
      <c r="Y140" s="249"/>
      <c r="Z140" s="250"/>
      <c r="AA140" s="250"/>
      <c r="AB140" s="250"/>
      <c r="AC140" s="250"/>
      <c r="AD140" s="250"/>
      <c r="AE140" s="250"/>
      <c r="AF140" s="250"/>
      <c r="AG140" s="249"/>
      <c r="AH140" s="249"/>
      <c r="AI140" s="249"/>
      <c r="AJ140" s="249"/>
      <c r="AK140" s="249"/>
      <c r="AL140" s="249"/>
      <c r="AM140" s="249"/>
      <c r="AN140" s="250"/>
      <c r="AO140" s="250"/>
      <c r="AP140" s="250"/>
      <c r="AQ140" s="250"/>
      <c r="AR140" s="250"/>
      <c r="AS140" s="250"/>
      <c r="AT140" s="250"/>
      <c r="AU140" s="249"/>
      <c r="AV140" s="249"/>
      <c r="AW140" s="249"/>
      <c r="AX140" s="249"/>
      <c r="AY140" s="249"/>
      <c r="AZ140" s="249"/>
      <c r="BA140" s="249"/>
      <c r="BB140" s="250"/>
      <c r="BC140" s="250"/>
      <c r="BD140" s="250"/>
      <c r="BE140" s="250"/>
      <c r="BF140" s="250"/>
      <c r="BG140" s="250"/>
      <c r="BH140" s="250"/>
      <c r="BI140" s="249"/>
      <c r="BJ140" s="249"/>
      <c r="BK140" s="249"/>
      <c r="BL140" s="249"/>
      <c r="BM140" s="249"/>
      <c r="BN140" s="249"/>
      <c r="BO140" s="249"/>
      <c r="BP140" s="250"/>
      <c r="BQ140" s="250"/>
      <c r="BR140" s="250"/>
      <c r="BS140" s="250"/>
      <c r="BT140" s="250"/>
      <c r="BU140" s="250"/>
      <c r="BV140" s="250"/>
      <c r="BW140" s="249"/>
      <c r="BX140" s="249"/>
      <c r="BY140" s="249"/>
      <c r="BZ140" s="249"/>
      <c r="CA140" s="249"/>
      <c r="CB140" s="249"/>
      <c r="CC140" s="249"/>
      <c r="CD140" s="250"/>
      <c r="CE140" s="250"/>
      <c r="CF140" s="250"/>
      <c r="CG140" s="250"/>
      <c r="CH140" s="250"/>
      <c r="CI140" s="250"/>
      <c r="CJ140" s="250"/>
      <c r="CK140" s="249"/>
      <c r="CL140" s="249"/>
      <c r="CM140" s="249"/>
      <c r="CN140" s="249"/>
      <c r="CO140" s="249"/>
      <c r="CP140" s="249"/>
      <c r="CQ140" s="249"/>
      <c r="CR140" s="250"/>
      <c r="CS140" s="250"/>
      <c r="CT140" s="250"/>
      <c r="CU140" s="250"/>
      <c r="CV140" s="250"/>
      <c r="CW140" s="250"/>
      <c r="CX140" s="250"/>
      <c r="CY140" s="249"/>
      <c r="CZ140" s="249"/>
      <c r="DA140" s="249"/>
      <c r="DB140" s="249"/>
      <c r="DC140" s="249"/>
      <c r="DD140" s="249"/>
      <c r="DE140" s="249"/>
      <c r="DF140" s="250"/>
      <c r="DG140" s="250"/>
      <c r="DH140" s="250"/>
      <c r="DI140" s="250"/>
      <c r="DJ140" s="250"/>
      <c r="DK140" s="250"/>
      <c r="DL140" s="250"/>
      <c r="DM140" s="249"/>
      <c r="DN140" s="249"/>
      <c r="DO140" s="249"/>
      <c r="DP140" s="249"/>
      <c r="DQ140" s="249"/>
      <c r="DR140" s="249"/>
      <c r="DS140" s="249"/>
      <c r="DT140" s="250"/>
      <c r="DU140" s="250"/>
      <c r="DV140" s="250"/>
      <c r="DW140" s="250"/>
      <c r="DX140" s="250"/>
      <c r="DY140" s="250"/>
      <c r="DZ140" s="250"/>
      <c r="EA140" s="249"/>
      <c r="EB140" s="249"/>
      <c r="EC140" s="249"/>
      <c r="ED140" s="249"/>
      <c r="EE140" s="249"/>
      <c r="EF140" s="249"/>
      <c r="EG140" s="249"/>
      <c r="EH140" s="250"/>
      <c r="EI140" s="250"/>
      <c r="EJ140" s="250"/>
      <c r="EK140" s="250"/>
      <c r="EL140" s="250"/>
      <c r="EM140" s="250"/>
      <c r="EN140" s="250"/>
      <c r="EO140" s="249"/>
      <c r="EP140" s="249"/>
      <c r="EQ140" s="249"/>
      <c r="ER140" s="249"/>
      <c r="ES140" s="249"/>
      <c r="ET140" s="249"/>
      <c r="EU140" s="249"/>
      <c r="EV140" s="250"/>
      <c r="EW140" s="250"/>
      <c r="EX140" s="250"/>
      <c r="EY140" s="250"/>
      <c r="EZ140" s="250"/>
      <c r="FA140" s="250"/>
      <c r="FB140" s="250"/>
      <c r="FC140" s="249"/>
      <c r="FD140" s="249"/>
      <c r="FE140" s="249"/>
      <c r="FF140" s="249"/>
      <c r="FG140" s="249"/>
      <c r="FH140" s="249"/>
      <c r="FI140" s="249"/>
      <c r="FJ140" s="250"/>
      <c r="FK140" s="250"/>
      <c r="FL140" s="250"/>
      <c r="FM140" s="250"/>
      <c r="FN140" s="250"/>
      <c r="FO140" s="250"/>
      <c r="FP140" s="250"/>
      <c r="FQ140" s="249"/>
      <c r="FR140" s="249"/>
      <c r="FS140" s="249"/>
      <c r="FT140" s="249"/>
      <c r="FU140" s="249"/>
      <c r="FV140" s="249"/>
      <c r="FW140" s="249"/>
      <c r="FX140" s="250"/>
      <c r="FY140" s="250"/>
      <c r="FZ140" s="250"/>
      <c r="GA140" s="250"/>
      <c r="GB140" s="250"/>
      <c r="GC140" s="250"/>
      <c r="GD140" s="250"/>
      <c r="GE140" s="249"/>
      <c r="GF140" s="249"/>
      <c r="GG140" s="249"/>
      <c r="GH140" s="249"/>
      <c r="GI140" s="249"/>
      <c r="GJ140" s="249"/>
      <c r="GK140" s="249"/>
      <c r="GL140" s="250"/>
      <c r="GM140" s="250"/>
      <c r="GN140" s="250"/>
      <c r="GO140" s="250"/>
      <c r="GP140" s="250"/>
      <c r="GQ140" s="250"/>
      <c r="GR140" s="250"/>
      <c r="GS140" s="249"/>
      <c r="GT140" s="249"/>
      <c r="GU140" s="249"/>
      <c r="GV140" s="249"/>
      <c r="GW140" s="249"/>
      <c r="GX140" s="249"/>
      <c r="GY140" s="249"/>
      <c r="GZ140" s="250"/>
      <c r="HA140" s="250"/>
      <c r="HB140" s="250"/>
      <c r="HC140" s="250"/>
      <c r="HD140" s="250"/>
      <c r="HE140" s="250"/>
      <c r="HF140" s="250"/>
      <c r="HG140" s="249"/>
      <c r="HH140" s="249"/>
      <c r="HI140" s="249"/>
      <c r="HJ140" s="249"/>
      <c r="HK140" s="249"/>
      <c r="HL140" s="249"/>
      <c r="HM140" s="249"/>
      <c r="HN140" s="250"/>
      <c r="HO140" s="250"/>
      <c r="HP140" s="250"/>
      <c r="HQ140" s="250"/>
      <c r="HR140" s="250"/>
      <c r="HS140" s="250"/>
      <c r="HT140" s="250"/>
      <c r="HU140" s="249"/>
      <c r="HV140" s="249"/>
      <c r="HW140" s="249"/>
      <c r="HX140" s="249"/>
      <c r="HY140" s="249"/>
      <c r="HZ140" s="249"/>
      <c r="IA140" s="249"/>
      <c r="IB140" s="250"/>
      <c r="IC140" s="250"/>
      <c r="ID140" s="250"/>
      <c r="IE140" s="250"/>
      <c r="IF140" s="250"/>
      <c r="IG140" s="250"/>
      <c r="IH140" s="250"/>
      <c r="II140" s="249"/>
      <c r="IJ140" s="249"/>
      <c r="IK140" s="249"/>
      <c r="IL140" s="249"/>
      <c r="IM140" s="249"/>
      <c r="IN140" s="249"/>
      <c r="IO140" s="249"/>
      <c r="IP140" s="250"/>
      <c r="IQ140" s="250"/>
      <c r="IR140" s="250"/>
      <c r="IS140" s="250"/>
      <c r="IT140" s="250"/>
      <c r="IU140" s="250"/>
      <c r="IV140" s="250"/>
      <c r="IW140" s="249"/>
      <c r="IX140" s="249"/>
      <c r="IY140" s="249"/>
      <c r="IZ140" s="249"/>
      <c r="JA140" s="249"/>
      <c r="JB140" s="249"/>
      <c r="JC140" s="249"/>
      <c r="JD140" s="250"/>
      <c r="JE140" s="250"/>
      <c r="JF140" s="250"/>
      <c r="JG140" s="250"/>
      <c r="JH140" s="250"/>
      <c r="JI140" s="250"/>
      <c r="JJ140" s="250"/>
      <c r="JK140" s="249"/>
      <c r="JL140" s="249"/>
      <c r="JM140" s="249"/>
      <c r="JN140" s="249"/>
      <c r="JO140" s="249"/>
      <c r="JP140" s="249"/>
      <c r="JQ140" s="249"/>
      <c r="JR140" s="250"/>
      <c r="JS140" s="250"/>
      <c r="JT140" s="250"/>
      <c r="JU140" s="250"/>
      <c r="JV140" s="250"/>
      <c r="JW140" s="250"/>
      <c r="JX140" s="250"/>
      <c r="JY140" s="249"/>
      <c r="JZ140" s="249"/>
      <c r="KA140" s="249"/>
      <c r="KB140" s="249"/>
      <c r="KC140" s="249"/>
      <c r="KD140" s="249"/>
      <c r="KE140" s="249"/>
      <c r="KF140" s="250"/>
      <c r="KG140" s="250"/>
      <c r="KH140" s="250"/>
      <c r="KI140" s="250"/>
      <c r="KJ140" s="250"/>
      <c r="KK140" s="250"/>
      <c r="KL140" s="250"/>
      <c r="KM140" s="249"/>
      <c r="KN140" s="249"/>
      <c r="KO140" s="249"/>
      <c r="KP140" s="249"/>
      <c r="KQ140" s="249"/>
      <c r="KR140" s="249"/>
      <c r="KS140" s="249"/>
      <c r="KT140" s="250"/>
      <c r="KU140" s="250"/>
      <c r="KV140" s="250"/>
      <c r="KW140" s="250"/>
      <c r="KX140" s="250"/>
      <c r="KY140" s="250"/>
      <c r="KZ140" s="250"/>
      <c r="LA140" s="249"/>
      <c r="LB140" s="249"/>
      <c r="LC140" s="249"/>
      <c r="LD140" s="249"/>
      <c r="LE140" s="249"/>
      <c r="LF140" s="249"/>
      <c r="LG140" s="249"/>
      <c r="LH140" s="250"/>
      <c r="LI140" s="250"/>
      <c r="LJ140" s="250"/>
      <c r="LK140" s="250"/>
      <c r="LL140" s="250"/>
      <c r="LM140" s="250"/>
      <c r="LN140" s="250"/>
      <c r="LO140" s="249"/>
      <c r="LP140" s="249"/>
      <c r="LQ140" s="249"/>
      <c r="LR140" s="249"/>
      <c r="LS140" s="249"/>
      <c r="LT140" s="249"/>
      <c r="LU140" s="249"/>
      <c r="LV140" s="250"/>
      <c r="LW140" s="250"/>
      <c r="LX140" s="250"/>
      <c r="LY140" s="250"/>
      <c r="LZ140" s="250"/>
      <c r="MA140" s="250"/>
      <c r="MB140" s="250"/>
      <c r="MC140" s="249"/>
      <c r="MD140" s="249"/>
      <c r="ME140" s="249"/>
      <c r="MF140" s="249"/>
      <c r="MG140" s="249"/>
      <c r="MH140" s="249"/>
      <c r="MI140" s="249"/>
      <c r="MJ140" s="250"/>
      <c r="MK140" s="250"/>
      <c r="ML140" s="250"/>
      <c r="MM140" s="250"/>
      <c r="MN140" s="250"/>
      <c r="MO140" s="250"/>
      <c r="MP140" s="250"/>
      <c r="MQ140" s="249"/>
      <c r="MR140" s="249"/>
      <c r="MS140" s="249"/>
      <c r="MT140" s="249"/>
      <c r="MU140" s="249"/>
      <c r="MV140" s="249"/>
      <c r="MW140" s="249"/>
      <c r="MX140" s="250"/>
      <c r="MY140" s="250"/>
      <c r="MZ140" s="250"/>
      <c r="NA140" s="250"/>
      <c r="NB140" s="250"/>
      <c r="NC140" s="250"/>
      <c r="ND140" s="250"/>
      <c r="NE140" s="249"/>
      <c r="NF140" s="249"/>
      <c r="NG140" s="249"/>
      <c r="NH140" s="333"/>
    </row>
    <row r="141" spans="1:372">
      <c r="A141" s="251" t="s">
        <v>985</v>
      </c>
      <c r="B141" s="251" t="s">
        <v>98</v>
      </c>
      <c r="C141" s="251" t="s">
        <v>674</v>
      </c>
      <c r="D141" s="251" t="s">
        <v>982</v>
      </c>
      <c r="E141" s="241">
        <v>141.42061092242267</v>
      </c>
      <c r="F141" s="241">
        <v>116</v>
      </c>
      <c r="G141" s="249"/>
      <c r="H141" s="249"/>
      <c r="I141" s="249"/>
      <c r="J141" s="249"/>
      <c r="K141" s="249"/>
      <c r="L141" s="250"/>
      <c r="M141" s="250"/>
      <c r="N141" s="250"/>
      <c r="O141" s="250"/>
      <c r="P141" s="250"/>
      <c r="Q141" s="250"/>
      <c r="R141" s="250"/>
      <c r="S141" s="249"/>
      <c r="T141" s="249"/>
      <c r="U141" s="249"/>
      <c r="V141" s="249"/>
      <c r="W141" s="249"/>
      <c r="X141" s="249"/>
      <c r="Y141" s="249"/>
      <c r="Z141" s="250"/>
      <c r="AA141" s="250"/>
      <c r="AB141" s="250">
        <v>3</v>
      </c>
      <c r="AC141" s="250"/>
      <c r="AD141" s="250"/>
      <c r="AE141" s="250"/>
      <c r="AF141" s="250"/>
      <c r="AG141" s="249"/>
      <c r="AH141" s="249"/>
      <c r="AI141" s="249"/>
      <c r="AJ141" s="249"/>
      <c r="AK141" s="249"/>
      <c r="AL141" s="249"/>
      <c r="AM141" s="249"/>
      <c r="AN141" s="250"/>
      <c r="AO141" s="250"/>
      <c r="AP141" s="250"/>
      <c r="AQ141" s="250"/>
      <c r="AR141" s="250"/>
      <c r="AS141" s="250"/>
      <c r="AT141" s="250"/>
      <c r="AU141" s="249"/>
      <c r="AV141" s="249"/>
      <c r="AW141" s="249"/>
      <c r="AX141" s="249"/>
      <c r="AY141" s="249"/>
      <c r="AZ141" s="249"/>
      <c r="BA141" s="249"/>
      <c r="BB141" s="250"/>
      <c r="BC141" s="250"/>
      <c r="BD141" s="250">
        <v>3</v>
      </c>
      <c r="BE141" s="250"/>
      <c r="BF141" s="250"/>
      <c r="BG141" s="250"/>
      <c r="BH141" s="250"/>
      <c r="BI141" s="249"/>
      <c r="BJ141" s="249"/>
      <c r="BK141" s="249"/>
      <c r="BL141" s="249"/>
      <c r="BM141" s="249"/>
      <c r="BN141" s="249"/>
      <c r="BO141" s="249"/>
      <c r="BP141" s="250"/>
      <c r="BQ141" s="250"/>
      <c r="BR141" s="250"/>
      <c r="BS141" s="250"/>
      <c r="BT141" s="250"/>
      <c r="BU141" s="250"/>
      <c r="BV141" s="250"/>
      <c r="BW141" s="249"/>
      <c r="BX141" s="249"/>
      <c r="BY141" s="249"/>
      <c r="BZ141" s="249"/>
      <c r="CA141" s="249"/>
      <c r="CB141" s="249"/>
      <c r="CC141" s="249"/>
      <c r="CD141" s="250"/>
      <c r="CE141" s="250"/>
      <c r="CF141" s="250">
        <v>3</v>
      </c>
      <c r="CG141" s="250"/>
      <c r="CH141" s="250"/>
      <c r="CI141" s="250"/>
      <c r="CJ141" s="250"/>
      <c r="CK141" s="249"/>
      <c r="CL141" s="249"/>
      <c r="CM141" s="249"/>
      <c r="CN141" s="249"/>
      <c r="CO141" s="249"/>
      <c r="CP141" s="249"/>
      <c r="CQ141" s="249"/>
      <c r="CR141" s="250"/>
      <c r="CS141" s="250"/>
      <c r="CT141" s="250"/>
      <c r="CU141" s="250"/>
      <c r="CV141" s="250"/>
      <c r="CW141" s="250"/>
      <c r="CX141" s="250"/>
      <c r="CY141" s="249"/>
      <c r="CZ141" s="249"/>
      <c r="DA141" s="249"/>
      <c r="DB141" s="249"/>
      <c r="DC141" s="249"/>
      <c r="DD141" s="249"/>
      <c r="DE141" s="249"/>
      <c r="DF141" s="250"/>
      <c r="DG141" s="250"/>
      <c r="DH141" s="250">
        <v>3</v>
      </c>
      <c r="DI141" s="250"/>
      <c r="DJ141" s="250"/>
      <c r="DK141" s="250"/>
      <c r="DL141" s="250"/>
      <c r="DM141" s="249"/>
      <c r="DN141" s="249"/>
      <c r="DO141" s="249"/>
      <c r="DP141" s="249"/>
      <c r="DQ141" s="249"/>
      <c r="DR141" s="249"/>
      <c r="DS141" s="249"/>
      <c r="DT141" s="250"/>
      <c r="DU141" s="250"/>
      <c r="DV141" s="250"/>
      <c r="DW141" s="250"/>
      <c r="DX141" s="250"/>
      <c r="DY141" s="250"/>
      <c r="DZ141" s="250"/>
      <c r="EA141" s="249"/>
      <c r="EB141" s="249"/>
      <c r="EC141" s="249"/>
      <c r="ED141" s="249"/>
      <c r="EE141" s="249"/>
      <c r="EF141" s="249"/>
      <c r="EG141" s="249"/>
      <c r="EH141" s="250"/>
      <c r="EI141" s="250"/>
      <c r="EJ141" s="250">
        <v>3</v>
      </c>
      <c r="EK141" s="250"/>
      <c r="EL141" s="250"/>
      <c r="EM141" s="250"/>
      <c r="EN141" s="250"/>
      <c r="EO141" s="249"/>
      <c r="EP141" s="249"/>
      <c r="EQ141" s="249"/>
      <c r="ER141" s="249"/>
      <c r="ES141" s="249"/>
      <c r="ET141" s="249"/>
      <c r="EU141" s="249"/>
      <c r="EV141" s="250"/>
      <c r="EW141" s="250"/>
      <c r="EX141" s="250"/>
      <c r="EY141" s="250"/>
      <c r="EZ141" s="250"/>
      <c r="FA141" s="250"/>
      <c r="FB141" s="250"/>
      <c r="FC141" s="249"/>
      <c r="FD141" s="249"/>
      <c r="FE141" s="249"/>
      <c r="FF141" s="249"/>
      <c r="FG141" s="249"/>
      <c r="FH141" s="249"/>
      <c r="FI141" s="249"/>
      <c r="FJ141" s="250"/>
      <c r="FK141" s="250"/>
      <c r="FL141" s="250">
        <v>3</v>
      </c>
      <c r="FM141" s="250"/>
      <c r="FN141" s="250"/>
      <c r="FO141" s="250"/>
      <c r="FP141" s="250"/>
      <c r="FQ141" s="249"/>
      <c r="FR141" s="249"/>
      <c r="FS141" s="249"/>
      <c r="FT141" s="249"/>
      <c r="FU141" s="249"/>
      <c r="FV141" s="249"/>
      <c r="FW141" s="249"/>
      <c r="FX141" s="250"/>
      <c r="FY141" s="250"/>
      <c r="FZ141" s="250"/>
      <c r="GA141" s="250"/>
      <c r="GB141" s="250"/>
      <c r="GC141" s="250"/>
      <c r="GD141" s="250"/>
      <c r="GE141" s="249"/>
      <c r="GF141" s="249"/>
      <c r="GG141" s="249"/>
      <c r="GH141" s="249"/>
      <c r="GI141" s="249"/>
      <c r="GJ141" s="249"/>
      <c r="GK141" s="249"/>
      <c r="GL141" s="250"/>
      <c r="GM141" s="250"/>
      <c r="GN141" s="250">
        <v>3</v>
      </c>
      <c r="GO141" s="250"/>
      <c r="GP141" s="250"/>
      <c r="GQ141" s="250"/>
      <c r="GR141" s="250"/>
      <c r="GS141" s="249"/>
      <c r="GT141" s="249"/>
      <c r="GU141" s="249"/>
      <c r="GV141" s="249"/>
      <c r="GW141" s="249"/>
      <c r="GX141" s="249"/>
      <c r="GY141" s="249"/>
      <c r="GZ141" s="250"/>
      <c r="HA141" s="250"/>
      <c r="HB141" s="250"/>
      <c r="HC141" s="250"/>
      <c r="HD141" s="250"/>
      <c r="HE141" s="250"/>
      <c r="HF141" s="250"/>
      <c r="HG141" s="249"/>
      <c r="HH141" s="249"/>
      <c r="HI141" s="249"/>
      <c r="HJ141" s="249"/>
      <c r="HK141" s="249"/>
      <c r="HL141" s="249"/>
      <c r="HM141" s="249"/>
      <c r="HN141" s="250"/>
      <c r="HO141" s="250"/>
      <c r="HP141" s="250">
        <v>3</v>
      </c>
      <c r="HQ141" s="250"/>
      <c r="HR141" s="250"/>
      <c r="HS141" s="250"/>
      <c r="HT141" s="250"/>
      <c r="HU141" s="249"/>
      <c r="HV141" s="249"/>
      <c r="HW141" s="249"/>
      <c r="HX141" s="249"/>
      <c r="HY141" s="249"/>
      <c r="HZ141" s="249"/>
      <c r="IA141" s="249"/>
      <c r="IB141" s="250"/>
      <c r="IC141" s="250"/>
      <c r="ID141" s="250"/>
      <c r="IE141" s="250"/>
      <c r="IF141" s="250"/>
      <c r="IG141" s="250"/>
      <c r="IH141" s="250"/>
      <c r="II141" s="249"/>
      <c r="IJ141" s="249">
        <v>12</v>
      </c>
      <c r="IK141" s="249">
        <v>24</v>
      </c>
      <c r="IL141" s="249">
        <v>24</v>
      </c>
      <c r="IM141" s="249">
        <v>12</v>
      </c>
      <c r="IN141" s="249"/>
      <c r="IO141" s="249"/>
      <c r="IP141" s="250"/>
      <c r="IQ141" s="250"/>
      <c r="IR141" s="250">
        <v>3</v>
      </c>
      <c r="IS141" s="250"/>
      <c r="IT141" s="250"/>
      <c r="IU141" s="250"/>
      <c r="IV141" s="250"/>
      <c r="IW141" s="249"/>
      <c r="IX141" s="249"/>
      <c r="IY141" s="249"/>
      <c r="IZ141" s="249"/>
      <c r="JA141" s="249"/>
      <c r="JB141" s="249"/>
      <c r="JC141" s="249"/>
      <c r="JD141" s="250"/>
      <c r="JE141" s="250"/>
      <c r="JF141" s="250"/>
      <c r="JG141" s="250"/>
      <c r="JH141" s="250"/>
      <c r="JI141" s="250"/>
      <c r="JJ141" s="250"/>
      <c r="JK141" s="249"/>
      <c r="JL141" s="249"/>
      <c r="JM141" s="249"/>
      <c r="JN141" s="249"/>
      <c r="JO141" s="249"/>
      <c r="JP141" s="249"/>
      <c r="JQ141" s="249"/>
      <c r="JR141" s="250"/>
      <c r="JS141" s="250"/>
      <c r="JT141" s="250">
        <v>8</v>
      </c>
      <c r="JU141" s="250"/>
      <c r="JV141" s="250"/>
      <c r="JW141" s="250"/>
      <c r="JX141" s="250"/>
      <c r="JY141" s="249"/>
      <c r="JZ141" s="249"/>
      <c r="KA141" s="249"/>
      <c r="KB141" s="249"/>
      <c r="KC141" s="249"/>
      <c r="KD141" s="249"/>
      <c r="KE141" s="249"/>
      <c r="KF141" s="250"/>
      <c r="KG141" s="250"/>
      <c r="KH141" s="250"/>
      <c r="KI141" s="250"/>
      <c r="KJ141" s="250"/>
      <c r="KK141" s="250"/>
      <c r="KL141" s="250"/>
      <c r="KM141" s="249"/>
      <c r="KN141" s="249"/>
      <c r="KO141" s="249"/>
      <c r="KP141" s="249"/>
      <c r="KQ141" s="249"/>
      <c r="KR141" s="249"/>
      <c r="KS141" s="249"/>
      <c r="KT141" s="250"/>
      <c r="KU141" s="250"/>
      <c r="KV141" s="250">
        <v>3</v>
      </c>
      <c r="KW141" s="250"/>
      <c r="KX141" s="250"/>
      <c r="KY141" s="250"/>
      <c r="KZ141" s="250"/>
      <c r="LA141" s="249"/>
      <c r="LB141" s="249"/>
      <c r="LC141" s="249"/>
      <c r="LD141" s="249"/>
      <c r="LE141" s="249"/>
      <c r="LF141" s="249"/>
      <c r="LG141" s="249"/>
      <c r="LH141" s="250"/>
      <c r="LI141" s="250"/>
      <c r="LJ141" s="250"/>
      <c r="LK141" s="250"/>
      <c r="LL141" s="250"/>
      <c r="LM141" s="250"/>
      <c r="LN141" s="250"/>
      <c r="LO141" s="249"/>
      <c r="LP141" s="249"/>
      <c r="LQ141" s="249"/>
      <c r="LR141" s="249"/>
      <c r="LS141" s="249"/>
      <c r="LT141" s="249"/>
      <c r="LU141" s="249"/>
      <c r="LV141" s="250"/>
      <c r="LW141" s="250"/>
      <c r="LX141" s="250">
        <v>3</v>
      </c>
      <c r="LY141" s="250"/>
      <c r="LZ141" s="250"/>
      <c r="MA141" s="250"/>
      <c r="MB141" s="250"/>
      <c r="MC141" s="249"/>
      <c r="MD141" s="249"/>
      <c r="ME141" s="249"/>
      <c r="MF141" s="249"/>
      <c r="MG141" s="249"/>
      <c r="MH141" s="249"/>
      <c r="MI141" s="249"/>
      <c r="MJ141" s="250"/>
      <c r="MK141" s="250"/>
      <c r="ML141" s="250"/>
      <c r="MM141" s="250"/>
      <c r="MN141" s="250"/>
      <c r="MO141" s="250"/>
      <c r="MP141" s="250"/>
      <c r="MQ141" s="249"/>
      <c r="MR141" s="249"/>
      <c r="MS141" s="249"/>
      <c r="MT141" s="249"/>
      <c r="MU141" s="249"/>
      <c r="MV141" s="249"/>
      <c r="MW141" s="249"/>
      <c r="MX141" s="250"/>
      <c r="MY141" s="250">
        <v>3</v>
      </c>
      <c r="MZ141" s="250"/>
      <c r="NA141" s="250"/>
      <c r="NB141" s="250"/>
      <c r="NC141" s="250"/>
      <c r="ND141" s="250"/>
      <c r="NE141" s="249"/>
      <c r="NF141" s="249"/>
      <c r="NG141" s="249"/>
      <c r="NH141" s="333"/>
    </row>
    <row r="142" spans="1:372">
      <c r="A142" s="251" t="s">
        <v>988</v>
      </c>
      <c r="B142" s="251" t="s">
        <v>109</v>
      </c>
      <c r="C142" s="251" t="s">
        <v>674</v>
      </c>
      <c r="D142" s="251" t="s">
        <v>997</v>
      </c>
      <c r="E142" s="241">
        <v>14.591763867333338</v>
      </c>
      <c r="F142" s="241">
        <v>192</v>
      </c>
      <c r="G142" s="249"/>
      <c r="H142" s="249"/>
      <c r="I142" s="249"/>
      <c r="J142" s="249"/>
      <c r="K142" s="249"/>
      <c r="L142" s="250"/>
      <c r="M142" s="250"/>
      <c r="N142" s="250"/>
      <c r="O142" s="250"/>
      <c r="P142" s="250"/>
      <c r="Q142" s="250"/>
      <c r="R142" s="250"/>
      <c r="S142" s="249"/>
      <c r="T142" s="249"/>
      <c r="U142" s="249"/>
      <c r="V142" s="249"/>
      <c r="W142" s="249"/>
      <c r="X142" s="249"/>
      <c r="Y142" s="249"/>
      <c r="Z142" s="250"/>
      <c r="AA142" s="250"/>
      <c r="AB142" s="250"/>
      <c r="AC142" s="250"/>
      <c r="AD142" s="250"/>
      <c r="AE142" s="250"/>
      <c r="AF142" s="250"/>
      <c r="AG142" s="249"/>
      <c r="AH142" s="249"/>
      <c r="AI142" s="249"/>
      <c r="AJ142" s="249"/>
      <c r="AK142" s="249"/>
      <c r="AL142" s="249"/>
      <c r="AM142" s="249"/>
      <c r="AN142" s="250"/>
      <c r="AO142" s="250"/>
      <c r="AP142" s="250"/>
      <c r="AQ142" s="250"/>
      <c r="AR142" s="250"/>
      <c r="AS142" s="250"/>
      <c r="AT142" s="250"/>
      <c r="AU142" s="249"/>
      <c r="AV142" s="249"/>
      <c r="AW142" s="249"/>
      <c r="AX142" s="249"/>
      <c r="AY142" s="249"/>
      <c r="AZ142" s="249"/>
      <c r="BA142" s="249"/>
      <c r="BB142" s="250"/>
      <c r="BC142" s="250"/>
      <c r="BD142" s="250"/>
      <c r="BE142" s="250"/>
      <c r="BF142" s="250"/>
      <c r="BG142" s="250"/>
      <c r="BH142" s="250"/>
      <c r="BI142" s="249"/>
      <c r="BJ142" s="249"/>
      <c r="BK142" s="249"/>
      <c r="BL142" s="249"/>
      <c r="BM142" s="249"/>
      <c r="BN142" s="249"/>
      <c r="BO142" s="249"/>
      <c r="BP142" s="250"/>
      <c r="BQ142" s="250"/>
      <c r="BR142" s="250"/>
      <c r="BS142" s="250"/>
      <c r="BT142" s="250"/>
      <c r="BU142" s="250"/>
      <c r="BV142" s="250"/>
      <c r="BW142" s="249"/>
      <c r="BX142" s="249"/>
      <c r="BY142" s="249"/>
      <c r="BZ142" s="249"/>
      <c r="CA142" s="249"/>
      <c r="CB142" s="249"/>
      <c r="CC142" s="249"/>
      <c r="CD142" s="250"/>
      <c r="CE142" s="250"/>
      <c r="CF142" s="250"/>
      <c r="CG142" s="250"/>
      <c r="CH142" s="250"/>
      <c r="CI142" s="250"/>
      <c r="CJ142" s="250"/>
      <c r="CK142" s="249"/>
      <c r="CL142" s="249"/>
      <c r="CM142" s="249"/>
      <c r="CN142" s="249"/>
      <c r="CO142" s="249"/>
      <c r="CP142" s="249"/>
      <c r="CQ142" s="249"/>
      <c r="CR142" s="250"/>
      <c r="CS142" s="250"/>
      <c r="CT142" s="250"/>
      <c r="CU142" s="250"/>
      <c r="CV142" s="250"/>
      <c r="CW142" s="250"/>
      <c r="CX142" s="250"/>
      <c r="CY142" s="249"/>
      <c r="CZ142" s="249"/>
      <c r="DA142" s="249"/>
      <c r="DB142" s="249"/>
      <c r="DC142" s="249"/>
      <c r="DD142" s="249"/>
      <c r="DE142" s="249"/>
      <c r="DF142" s="250"/>
      <c r="DG142" s="250"/>
      <c r="DH142" s="250"/>
      <c r="DI142" s="250"/>
      <c r="DJ142" s="250"/>
      <c r="DK142" s="250"/>
      <c r="DL142" s="250"/>
      <c r="DM142" s="249"/>
      <c r="DN142" s="249"/>
      <c r="DO142" s="249"/>
      <c r="DP142" s="249"/>
      <c r="DQ142" s="249"/>
      <c r="DR142" s="249"/>
      <c r="DS142" s="249"/>
      <c r="DT142" s="250"/>
      <c r="DU142" s="250"/>
      <c r="DV142" s="250"/>
      <c r="DW142" s="250"/>
      <c r="DX142" s="250"/>
      <c r="DY142" s="250"/>
      <c r="DZ142" s="250"/>
      <c r="EA142" s="249"/>
      <c r="EB142" s="249"/>
      <c r="EC142" s="249"/>
      <c r="ED142" s="249"/>
      <c r="EE142" s="249"/>
      <c r="EF142" s="249"/>
      <c r="EG142" s="249"/>
      <c r="EH142" s="250"/>
      <c r="EI142" s="250"/>
      <c r="EJ142" s="250"/>
      <c r="EK142" s="250"/>
      <c r="EL142" s="250"/>
      <c r="EM142" s="250"/>
      <c r="EN142" s="250"/>
      <c r="EO142" s="249"/>
      <c r="EP142" s="249"/>
      <c r="EQ142" s="249"/>
      <c r="ER142" s="249"/>
      <c r="ES142" s="249"/>
      <c r="ET142" s="249"/>
      <c r="EU142" s="249"/>
      <c r="EV142" s="250"/>
      <c r="EW142" s="250"/>
      <c r="EX142" s="250"/>
      <c r="EY142" s="250"/>
      <c r="EZ142" s="250"/>
      <c r="FA142" s="250"/>
      <c r="FB142" s="250"/>
      <c r="FC142" s="249"/>
      <c r="FD142" s="249"/>
      <c r="FE142" s="249"/>
      <c r="FF142" s="249"/>
      <c r="FG142" s="249"/>
      <c r="FH142" s="249"/>
      <c r="FI142" s="249"/>
      <c r="FJ142" s="250"/>
      <c r="FK142" s="250"/>
      <c r="FL142" s="250"/>
      <c r="FM142" s="250"/>
      <c r="FN142" s="250"/>
      <c r="FO142" s="250"/>
      <c r="FP142" s="250"/>
      <c r="FQ142" s="249">
        <v>24</v>
      </c>
      <c r="FR142" s="249">
        <v>24</v>
      </c>
      <c r="FS142" s="249">
        <v>24</v>
      </c>
      <c r="FT142" s="249">
        <v>24</v>
      </c>
      <c r="FU142" s="249">
        <v>24</v>
      </c>
      <c r="FV142" s="249">
        <v>24</v>
      </c>
      <c r="FW142" s="249">
        <v>24</v>
      </c>
      <c r="FX142" s="250"/>
      <c r="FY142" s="250"/>
      <c r="FZ142" s="250"/>
      <c r="GA142" s="250"/>
      <c r="GB142" s="250"/>
      <c r="GC142" s="250"/>
      <c r="GD142" s="250"/>
      <c r="GE142" s="249"/>
      <c r="GF142" s="249"/>
      <c r="GG142" s="249"/>
      <c r="GH142" s="249"/>
      <c r="GI142" s="249"/>
      <c r="GJ142" s="249"/>
      <c r="GK142" s="249"/>
      <c r="GL142" s="250"/>
      <c r="GM142" s="250"/>
      <c r="GN142" s="250"/>
      <c r="GO142" s="250"/>
      <c r="GP142" s="250"/>
      <c r="GQ142" s="250"/>
      <c r="GR142" s="250"/>
      <c r="GS142" s="249"/>
      <c r="GT142" s="249"/>
      <c r="GU142" s="249"/>
      <c r="GV142" s="249"/>
      <c r="GW142" s="249"/>
      <c r="GX142" s="249"/>
      <c r="GY142" s="249"/>
      <c r="GZ142" s="250"/>
      <c r="HA142" s="250"/>
      <c r="HB142" s="250"/>
      <c r="HC142" s="250"/>
      <c r="HD142" s="250"/>
      <c r="HE142" s="250"/>
      <c r="HF142" s="250"/>
      <c r="HG142" s="249"/>
      <c r="HH142" s="249"/>
      <c r="HI142" s="249"/>
      <c r="HJ142" s="249"/>
      <c r="HK142" s="249"/>
      <c r="HL142" s="249"/>
      <c r="HM142" s="249"/>
      <c r="HN142" s="250"/>
      <c r="HO142" s="250"/>
      <c r="HP142" s="250"/>
      <c r="HQ142" s="250"/>
      <c r="HR142" s="250"/>
      <c r="HS142" s="250"/>
      <c r="HT142" s="250"/>
      <c r="HU142" s="249"/>
      <c r="HV142" s="249"/>
      <c r="HW142" s="249"/>
      <c r="HX142" s="249"/>
      <c r="HY142" s="249"/>
      <c r="HZ142" s="249"/>
      <c r="IA142" s="249"/>
      <c r="IB142" s="250"/>
      <c r="IC142" s="250"/>
      <c r="ID142" s="250"/>
      <c r="IE142" s="250"/>
      <c r="IF142" s="250"/>
      <c r="IG142" s="250"/>
      <c r="IH142" s="250"/>
      <c r="II142" s="249"/>
      <c r="IJ142" s="249"/>
      <c r="IK142" s="249"/>
      <c r="IL142" s="249"/>
      <c r="IM142" s="249"/>
      <c r="IN142" s="249"/>
      <c r="IO142" s="249"/>
      <c r="IP142" s="250"/>
      <c r="IQ142" s="250"/>
      <c r="IR142" s="250"/>
      <c r="IS142" s="250"/>
      <c r="IT142" s="250"/>
      <c r="IU142" s="250"/>
      <c r="IV142" s="250"/>
      <c r="IW142" s="249"/>
      <c r="IX142" s="249"/>
      <c r="IY142" s="249"/>
      <c r="IZ142" s="249"/>
      <c r="JA142" s="249"/>
      <c r="JB142" s="249"/>
      <c r="JC142" s="249"/>
      <c r="JD142" s="250"/>
      <c r="JE142" s="250"/>
      <c r="JF142" s="250"/>
      <c r="JG142" s="250"/>
      <c r="JH142" s="250"/>
      <c r="JI142" s="250"/>
      <c r="JJ142" s="250"/>
      <c r="JK142" s="249"/>
      <c r="JL142" s="249"/>
      <c r="JM142" s="249"/>
      <c r="JN142" s="249"/>
      <c r="JO142" s="249"/>
      <c r="JP142" s="249"/>
      <c r="JQ142" s="249"/>
      <c r="JR142" s="250"/>
      <c r="JS142" s="250"/>
      <c r="JT142" s="250"/>
      <c r="JU142" s="250"/>
      <c r="JV142" s="250"/>
      <c r="JW142" s="250"/>
      <c r="JX142" s="250"/>
      <c r="JY142" s="249"/>
      <c r="JZ142" s="249"/>
      <c r="KA142" s="249"/>
      <c r="KB142" s="249"/>
      <c r="KC142" s="249"/>
      <c r="KD142" s="249"/>
      <c r="KE142" s="249"/>
      <c r="KF142" s="250"/>
      <c r="KG142" s="250"/>
      <c r="KH142" s="250"/>
      <c r="KI142" s="250"/>
      <c r="KJ142" s="250"/>
      <c r="KK142" s="250"/>
      <c r="KL142" s="250"/>
      <c r="KM142" s="249"/>
      <c r="KN142" s="249"/>
      <c r="KO142" s="249"/>
      <c r="KP142" s="249"/>
      <c r="KQ142" s="249"/>
      <c r="KR142" s="249"/>
      <c r="KS142" s="249"/>
      <c r="KT142" s="250"/>
      <c r="KU142" s="250"/>
      <c r="KV142" s="250"/>
      <c r="KW142" s="250"/>
      <c r="KX142" s="250"/>
      <c r="KY142" s="250"/>
      <c r="KZ142" s="250"/>
      <c r="LA142" s="249"/>
      <c r="LB142" s="249"/>
      <c r="LC142" s="249"/>
      <c r="LD142" s="249"/>
      <c r="LE142" s="249"/>
      <c r="LF142" s="249"/>
      <c r="LG142" s="249"/>
      <c r="LH142" s="250"/>
      <c r="LI142" s="250"/>
      <c r="LJ142" s="250"/>
      <c r="LK142" s="250"/>
      <c r="LL142" s="250"/>
      <c r="LM142" s="250"/>
      <c r="LN142" s="250"/>
      <c r="LO142" s="249"/>
      <c r="LP142" s="249"/>
      <c r="LQ142" s="249"/>
      <c r="LR142" s="249"/>
      <c r="LS142" s="249"/>
      <c r="LT142" s="249"/>
      <c r="LU142" s="249"/>
      <c r="LV142" s="250"/>
      <c r="LW142" s="250"/>
      <c r="LX142" s="250"/>
      <c r="LY142" s="250"/>
      <c r="LZ142" s="250"/>
      <c r="MA142" s="250"/>
      <c r="MB142" s="250"/>
      <c r="MC142" s="249"/>
      <c r="MD142" s="249"/>
      <c r="ME142" s="249"/>
      <c r="MF142" s="249"/>
      <c r="MG142" s="249"/>
      <c r="MH142" s="249"/>
      <c r="MI142" s="249"/>
      <c r="MJ142" s="250"/>
      <c r="MK142" s="250"/>
      <c r="ML142" s="250"/>
      <c r="MM142" s="250"/>
      <c r="MN142" s="250"/>
      <c r="MO142" s="250"/>
      <c r="MP142" s="250"/>
      <c r="MQ142" s="249"/>
      <c r="MR142" s="249"/>
      <c r="MS142" s="249"/>
      <c r="MT142" s="249"/>
      <c r="MU142" s="249"/>
      <c r="MV142" s="249"/>
      <c r="MW142" s="249"/>
      <c r="MX142" s="250"/>
      <c r="MY142" s="250"/>
      <c r="MZ142" s="250">
        <v>24</v>
      </c>
      <c r="NA142" s="250"/>
      <c r="NB142" s="250"/>
      <c r="NC142" s="250"/>
      <c r="ND142" s="250"/>
      <c r="NE142" s="249"/>
      <c r="NF142" s="249"/>
      <c r="NG142" s="249"/>
      <c r="NH142" s="333" t="s">
        <v>1130</v>
      </c>
    </row>
    <row r="143" spans="1:372">
      <c r="A143" s="251" t="s">
        <v>988</v>
      </c>
      <c r="B143" s="251" t="s">
        <v>110</v>
      </c>
      <c r="C143" s="251" t="s">
        <v>674</v>
      </c>
      <c r="D143" s="251" t="s">
        <v>997</v>
      </c>
      <c r="E143" s="241">
        <v>12.491444417499993</v>
      </c>
      <c r="F143" s="241">
        <v>192</v>
      </c>
      <c r="G143" s="249"/>
      <c r="H143" s="249"/>
      <c r="I143" s="249"/>
      <c r="J143" s="249"/>
      <c r="K143" s="249"/>
      <c r="L143" s="250"/>
      <c r="M143" s="250"/>
      <c r="N143" s="250"/>
      <c r="O143" s="250"/>
      <c r="P143" s="250"/>
      <c r="Q143" s="250"/>
      <c r="R143" s="250"/>
      <c r="S143" s="249"/>
      <c r="T143" s="249"/>
      <c r="U143" s="249"/>
      <c r="V143" s="249"/>
      <c r="W143" s="249"/>
      <c r="X143" s="249"/>
      <c r="Y143" s="249"/>
      <c r="Z143" s="250"/>
      <c r="AA143" s="250"/>
      <c r="AB143" s="250"/>
      <c r="AC143" s="250"/>
      <c r="AD143" s="250"/>
      <c r="AE143" s="250"/>
      <c r="AF143" s="250"/>
      <c r="AG143" s="249"/>
      <c r="AH143" s="249"/>
      <c r="AI143" s="249"/>
      <c r="AJ143" s="249"/>
      <c r="AK143" s="249"/>
      <c r="AL143" s="249"/>
      <c r="AM143" s="249"/>
      <c r="AN143" s="250"/>
      <c r="AO143" s="250"/>
      <c r="AP143" s="250"/>
      <c r="AQ143" s="250"/>
      <c r="AR143" s="250"/>
      <c r="AS143" s="250"/>
      <c r="AT143" s="250"/>
      <c r="AU143" s="249"/>
      <c r="AV143" s="249"/>
      <c r="AW143" s="249"/>
      <c r="AX143" s="249"/>
      <c r="AY143" s="249"/>
      <c r="AZ143" s="249"/>
      <c r="BA143" s="249"/>
      <c r="BB143" s="250"/>
      <c r="BC143" s="250"/>
      <c r="BD143" s="250"/>
      <c r="BE143" s="250"/>
      <c r="BF143" s="250"/>
      <c r="BG143" s="250"/>
      <c r="BH143" s="250"/>
      <c r="BI143" s="249"/>
      <c r="BJ143" s="249"/>
      <c r="BK143" s="249"/>
      <c r="BL143" s="249"/>
      <c r="BM143" s="249"/>
      <c r="BN143" s="249"/>
      <c r="BO143" s="249"/>
      <c r="BP143" s="250"/>
      <c r="BQ143" s="250"/>
      <c r="BR143" s="250"/>
      <c r="BS143" s="250"/>
      <c r="BT143" s="250"/>
      <c r="BU143" s="250"/>
      <c r="BV143" s="250"/>
      <c r="BW143" s="249"/>
      <c r="BX143" s="249"/>
      <c r="BY143" s="249"/>
      <c r="BZ143" s="249"/>
      <c r="CA143" s="249"/>
      <c r="CB143" s="249"/>
      <c r="CC143" s="249"/>
      <c r="CD143" s="250"/>
      <c r="CE143" s="250"/>
      <c r="CF143" s="250"/>
      <c r="CG143" s="250"/>
      <c r="CH143" s="250"/>
      <c r="CI143" s="250"/>
      <c r="CJ143" s="250"/>
      <c r="CK143" s="249"/>
      <c r="CL143" s="249"/>
      <c r="CM143" s="249"/>
      <c r="CN143" s="249"/>
      <c r="CO143" s="249"/>
      <c r="CP143" s="249"/>
      <c r="CQ143" s="249"/>
      <c r="CR143" s="250"/>
      <c r="CS143" s="250"/>
      <c r="CT143" s="250"/>
      <c r="CU143" s="250"/>
      <c r="CV143" s="250"/>
      <c r="CW143" s="250"/>
      <c r="CX143" s="250"/>
      <c r="CY143" s="249"/>
      <c r="CZ143" s="249"/>
      <c r="DA143" s="249"/>
      <c r="DB143" s="249"/>
      <c r="DC143" s="249"/>
      <c r="DD143" s="249"/>
      <c r="DE143" s="249"/>
      <c r="DF143" s="250"/>
      <c r="DG143" s="250"/>
      <c r="DH143" s="250"/>
      <c r="DI143" s="250"/>
      <c r="DJ143" s="250"/>
      <c r="DK143" s="250"/>
      <c r="DL143" s="250"/>
      <c r="DM143" s="249"/>
      <c r="DN143" s="249"/>
      <c r="DO143" s="249"/>
      <c r="DP143" s="249"/>
      <c r="DQ143" s="249"/>
      <c r="DR143" s="249"/>
      <c r="DS143" s="249"/>
      <c r="DT143" s="250"/>
      <c r="DU143" s="250"/>
      <c r="DV143" s="250"/>
      <c r="DW143" s="250"/>
      <c r="DX143" s="250"/>
      <c r="DY143" s="250"/>
      <c r="DZ143" s="250"/>
      <c r="EA143" s="249"/>
      <c r="EB143" s="249"/>
      <c r="EC143" s="249"/>
      <c r="ED143" s="249"/>
      <c r="EE143" s="249"/>
      <c r="EF143" s="249"/>
      <c r="EG143" s="249"/>
      <c r="EH143" s="250"/>
      <c r="EI143" s="250"/>
      <c r="EJ143" s="250"/>
      <c r="EK143" s="250"/>
      <c r="EL143" s="250"/>
      <c r="EM143" s="250"/>
      <c r="EN143" s="250"/>
      <c r="EO143" s="249"/>
      <c r="EP143" s="249"/>
      <c r="EQ143" s="249"/>
      <c r="ER143" s="249"/>
      <c r="ES143" s="249"/>
      <c r="ET143" s="249"/>
      <c r="EU143" s="249"/>
      <c r="EV143" s="250"/>
      <c r="EW143" s="250"/>
      <c r="EX143" s="250"/>
      <c r="EY143" s="250"/>
      <c r="EZ143" s="250"/>
      <c r="FA143" s="250"/>
      <c r="FB143" s="250"/>
      <c r="FC143" s="249"/>
      <c r="FD143" s="249"/>
      <c r="FE143" s="249"/>
      <c r="FF143" s="249"/>
      <c r="FG143" s="249"/>
      <c r="FH143" s="249"/>
      <c r="FI143" s="249"/>
      <c r="FJ143" s="250"/>
      <c r="FK143" s="250"/>
      <c r="FL143" s="250"/>
      <c r="FM143" s="250"/>
      <c r="FN143" s="250"/>
      <c r="FO143" s="250"/>
      <c r="FP143" s="250"/>
      <c r="FQ143" s="249">
        <v>24</v>
      </c>
      <c r="FR143" s="249">
        <v>24</v>
      </c>
      <c r="FS143" s="249">
        <v>24</v>
      </c>
      <c r="FT143" s="249">
        <v>24</v>
      </c>
      <c r="FU143" s="249">
        <v>24</v>
      </c>
      <c r="FV143" s="249">
        <v>24</v>
      </c>
      <c r="FW143" s="249">
        <v>24</v>
      </c>
      <c r="FX143" s="250"/>
      <c r="FY143" s="250"/>
      <c r="FZ143" s="250"/>
      <c r="GA143" s="250"/>
      <c r="GB143" s="250"/>
      <c r="GC143" s="250"/>
      <c r="GD143" s="250"/>
      <c r="GE143" s="249"/>
      <c r="GF143" s="249"/>
      <c r="GG143" s="249"/>
      <c r="GH143" s="249"/>
      <c r="GI143" s="249"/>
      <c r="GJ143" s="249"/>
      <c r="GK143" s="249"/>
      <c r="GL143" s="250"/>
      <c r="GM143" s="250"/>
      <c r="GN143" s="250"/>
      <c r="GO143" s="250"/>
      <c r="GP143" s="250"/>
      <c r="GQ143" s="250"/>
      <c r="GR143" s="250"/>
      <c r="GS143" s="249"/>
      <c r="GT143" s="249"/>
      <c r="GU143" s="249"/>
      <c r="GV143" s="249"/>
      <c r="GW143" s="249"/>
      <c r="GX143" s="249"/>
      <c r="GY143" s="249"/>
      <c r="GZ143" s="250"/>
      <c r="HA143" s="250"/>
      <c r="HB143" s="250"/>
      <c r="HC143" s="250"/>
      <c r="HD143" s="250"/>
      <c r="HE143" s="250"/>
      <c r="HF143" s="250"/>
      <c r="HG143" s="249"/>
      <c r="HH143" s="249"/>
      <c r="HI143" s="249"/>
      <c r="HJ143" s="249"/>
      <c r="HK143" s="249"/>
      <c r="HL143" s="249"/>
      <c r="HM143" s="249"/>
      <c r="HN143" s="250"/>
      <c r="HO143" s="250"/>
      <c r="HP143" s="250"/>
      <c r="HQ143" s="250"/>
      <c r="HR143" s="250"/>
      <c r="HS143" s="250"/>
      <c r="HT143" s="250"/>
      <c r="HU143" s="249"/>
      <c r="HV143" s="249"/>
      <c r="HW143" s="249"/>
      <c r="HX143" s="249"/>
      <c r="HY143" s="249"/>
      <c r="HZ143" s="249"/>
      <c r="IA143" s="249"/>
      <c r="IB143" s="250"/>
      <c r="IC143" s="250"/>
      <c r="ID143" s="250"/>
      <c r="IE143" s="250"/>
      <c r="IF143" s="250"/>
      <c r="IG143" s="250"/>
      <c r="IH143" s="250"/>
      <c r="II143" s="249"/>
      <c r="IJ143" s="249"/>
      <c r="IK143" s="249"/>
      <c r="IL143" s="249"/>
      <c r="IM143" s="249"/>
      <c r="IN143" s="249"/>
      <c r="IO143" s="249"/>
      <c r="IP143" s="250"/>
      <c r="IQ143" s="250"/>
      <c r="IR143" s="250"/>
      <c r="IS143" s="250"/>
      <c r="IT143" s="250"/>
      <c r="IU143" s="250"/>
      <c r="IV143" s="250"/>
      <c r="IW143" s="249"/>
      <c r="IX143" s="249"/>
      <c r="IY143" s="249"/>
      <c r="IZ143" s="249"/>
      <c r="JA143" s="249"/>
      <c r="JB143" s="249"/>
      <c r="JC143" s="249"/>
      <c r="JD143" s="250"/>
      <c r="JE143" s="250"/>
      <c r="JF143" s="250"/>
      <c r="JG143" s="250"/>
      <c r="JH143" s="250"/>
      <c r="JI143" s="250"/>
      <c r="JJ143" s="250"/>
      <c r="JK143" s="249"/>
      <c r="JL143" s="249"/>
      <c r="JM143" s="249"/>
      <c r="JN143" s="249"/>
      <c r="JO143" s="249"/>
      <c r="JP143" s="249"/>
      <c r="JQ143" s="249"/>
      <c r="JR143" s="250"/>
      <c r="JS143" s="250"/>
      <c r="JT143" s="250"/>
      <c r="JU143" s="250"/>
      <c r="JV143" s="250"/>
      <c r="JW143" s="250"/>
      <c r="JX143" s="250"/>
      <c r="JY143" s="249"/>
      <c r="JZ143" s="249"/>
      <c r="KA143" s="249"/>
      <c r="KB143" s="249"/>
      <c r="KC143" s="249"/>
      <c r="KD143" s="249"/>
      <c r="KE143" s="249"/>
      <c r="KF143" s="250"/>
      <c r="KG143" s="250"/>
      <c r="KH143" s="250"/>
      <c r="KI143" s="250"/>
      <c r="KJ143" s="250"/>
      <c r="KK143" s="250"/>
      <c r="KL143" s="250"/>
      <c r="KM143" s="249"/>
      <c r="KN143" s="249"/>
      <c r="KO143" s="249"/>
      <c r="KP143" s="249"/>
      <c r="KQ143" s="249"/>
      <c r="KR143" s="249"/>
      <c r="KS143" s="249"/>
      <c r="KT143" s="250"/>
      <c r="KU143" s="250"/>
      <c r="KV143" s="250"/>
      <c r="KW143" s="250"/>
      <c r="KX143" s="250"/>
      <c r="KY143" s="250"/>
      <c r="KZ143" s="250"/>
      <c r="LA143" s="249"/>
      <c r="LB143" s="249"/>
      <c r="LC143" s="249"/>
      <c r="LD143" s="249"/>
      <c r="LE143" s="249"/>
      <c r="LF143" s="249"/>
      <c r="LG143" s="249"/>
      <c r="LH143" s="250"/>
      <c r="LI143" s="250"/>
      <c r="LJ143" s="250"/>
      <c r="LK143" s="250"/>
      <c r="LL143" s="250"/>
      <c r="LM143" s="250"/>
      <c r="LN143" s="250"/>
      <c r="LO143" s="249"/>
      <c r="LP143" s="249"/>
      <c r="LQ143" s="249"/>
      <c r="LR143" s="249"/>
      <c r="LS143" s="249"/>
      <c r="LT143" s="249"/>
      <c r="LU143" s="249"/>
      <c r="LV143" s="250"/>
      <c r="LW143" s="250"/>
      <c r="LX143" s="250"/>
      <c r="LY143" s="250"/>
      <c r="LZ143" s="250"/>
      <c r="MA143" s="250"/>
      <c r="MB143" s="250"/>
      <c r="MC143" s="249"/>
      <c r="MD143" s="249"/>
      <c r="ME143" s="249"/>
      <c r="MF143" s="249"/>
      <c r="MG143" s="249"/>
      <c r="MH143" s="249"/>
      <c r="MI143" s="249"/>
      <c r="MJ143" s="250"/>
      <c r="MK143" s="250"/>
      <c r="ML143" s="250"/>
      <c r="MM143" s="250"/>
      <c r="MN143" s="250"/>
      <c r="MO143" s="250"/>
      <c r="MP143" s="250"/>
      <c r="MQ143" s="249"/>
      <c r="MR143" s="249"/>
      <c r="MS143" s="249"/>
      <c r="MT143" s="249"/>
      <c r="MU143" s="249"/>
      <c r="MV143" s="249"/>
      <c r="MW143" s="249"/>
      <c r="MX143" s="250"/>
      <c r="MY143" s="250"/>
      <c r="MZ143" s="250">
        <v>24</v>
      </c>
      <c r="NA143" s="250"/>
      <c r="NB143" s="250"/>
      <c r="NC143" s="250"/>
      <c r="ND143" s="250"/>
      <c r="NE143" s="249"/>
      <c r="NF143" s="249"/>
      <c r="NG143" s="249"/>
      <c r="NH143" s="333" t="s">
        <v>1130</v>
      </c>
    </row>
    <row r="144" spans="1:372">
      <c r="A144" s="251" t="s">
        <v>988</v>
      </c>
      <c r="B144" s="251" t="s">
        <v>111</v>
      </c>
      <c r="C144" s="251" t="s">
        <v>674</v>
      </c>
      <c r="D144" s="251" t="s">
        <v>997</v>
      </c>
      <c r="E144" s="241">
        <v>11.027013867333325</v>
      </c>
      <c r="F144" s="241">
        <v>192</v>
      </c>
      <c r="G144" s="249"/>
      <c r="H144" s="249"/>
      <c r="I144" s="249"/>
      <c r="J144" s="249"/>
      <c r="K144" s="249"/>
      <c r="L144" s="250"/>
      <c r="M144" s="250"/>
      <c r="N144" s="250"/>
      <c r="O144" s="250"/>
      <c r="P144" s="250"/>
      <c r="Q144" s="250"/>
      <c r="R144" s="250"/>
      <c r="S144" s="249"/>
      <c r="T144" s="249"/>
      <c r="U144" s="249"/>
      <c r="V144" s="249"/>
      <c r="W144" s="249"/>
      <c r="X144" s="249"/>
      <c r="Y144" s="249"/>
      <c r="Z144" s="250"/>
      <c r="AA144" s="250"/>
      <c r="AB144" s="250"/>
      <c r="AC144" s="250"/>
      <c r="AD144" s="250"/>
      <c r="AE144" s="250"/>
      <c r="AF144" s="250"/>
      <c r="AG144" s="249"/>
      <c r="AH144" s="249"/>
      <c r="AI144" s="249"/>
      <c r="AJ144" s="249"/>
      <c r="AK144" s="249"/>
      <c r="AL144" s="249"/>
      <c r="AM144" s="249"/>
      <c r="AN144" s="250"/>
      <c r="AO144" s="250"/>
      <c r="AP144" s="250"/>
      <c r="AQ144" s="250"/>
      <c r="AR144" s="250"/>
      <c r="AS144" s="250"/>
      <c r="AT144" s="250"/>
      <c r="AU144" s="249"/>
      <c r="AV144" s="249"/>
      <c r="AW144" s="249"/>
      <c r="AX144" s="249"/>
      <c r="AY144" s="249"/>
      <c r="AZ144" s="249"/>
      <c r="BA144" s="249"/>
      <c r="BB144" s="250"/>
      <c r="BC144" s="250"/>
      <c r="BD144" s="250"/>
      <c r="BE144" s="250"/>
      <c r="BF144" s="250"/>
      <c r="BG144" s="250"/>
      <c r="BH144" s="250"/>
      <c r="BI144" s="249"/>
      <c r="BJ144" s="249"/>
      <c r="BK144" s="249"/>
      <c r="BL144" s="249"/>
      <c r="BM144" s="249"/>
      <c r="BN144" s="249"/>
      <c r="BO144" s="249"/>
      <c r="BP144" s="250"/>
      <c r="BQ144" s="250"/>
      <c r="BR144" s="250"/>
      <c r="BS144" s="250"/>
      <c r="BT144" s="250"/>
      <c r="BU144" s="250"/>
      <c r="BV144" s="250"/>
      <c r="BW144" s="249"/>
      <c r="BX144" s="249"/>
      <c r="BY144" s="249"/>
      <c r="BZ144" s="249"/>
      <c r="CA144" s="249"/>
      <c r="CB144" s="249"/>
      <c r="CC144" s="249"/>
      <c r="CD144" s="250"/>
      <c r="CE144" s="250"/>
      <c r="CF144" s="250"/>
      <c r="CG144" s="250"/>
      <c r="CH144" s="250"/>
      <c r="CI144" s="250"/>
      <c r="CJ144" s="250"/>
      <c r="CK144" s="249"/>
      <c r="CL144" s="249"/>
      <c r="CM144" s="249"/>
      <c r="CN144" s="249"/>
      <c r="CO144" s="249"/>
      <c r="CP144" s="249"/>
      <c r="CQ144" s="249"/>
      <c r="CR144" s="250"/>
      <c r="CS144" s="250"/>
      <c r="CT144" s="250"/>
      <c r="CU144" s="250"/>
      <c r="CV144" s="250"/>
      <c r="CW144" s="250"/>
      <c r="CX144" s="250"/>
      <c r="CY144" s="249"/>
      <c r="CZ144" s="249"/>
      <c r="DA144" s="249"/>
      <c r="DB144" s="249"/>
      <c r="DC144" s="249"/>
      <c r="DD144" s="249"/>
      <c r="DE144" s="249"/>
      <c r="DF144" s="250"/>
      <c r="DG144" s="250"/>
      <c r="DH144" s="250"/>
      <c r="DI144" s="250"/>
      <c r="DJ144" s="250"/>
      <c r="DK144" s="250"/>
      <c r="DL144" s="250"/>
      <c r="DM144" s="249"/>
      <c r="DN144" s="249"/>
      <c r="DO144" s="249"/>
      <c r="DP144" s="249"/>
      <c r="DQ144" s="249"/>
      <c r="DR144" s="249"/>
      <c r="DS144" s="249"/>
      <c r="DT144" s="250"/>
      <c r="DU144" s="250"/>
      <c r="DV144" s="250"/>
      <c r="DW144" s="250"/>
      <c r="DX144" s="250"/>
      <c r="DY144" s="250"/>
      <c r="DZ144" s="250"/>
      <c r="EA144" s="249"/>
      <c r="EB144" s="249"/>
      <c r="EC144" s="249"/>
      <c r="ED144" s="249"/>
      <c r="EE144" s="249"/>
      <c r="EF144" s="249"/>
      <c r="EG144" s="249"/>
      <c r="EH144" s="250"/>
      <c r="EI144" s="250"/>
      <c r="EJ144" s="250"/>
      <c r="EK144" s="250"/>
      <c r="EL144" s="250"/>
      <c r="EM144" s="250"/>
      <c r="EN144" s="250"/>
      <c r="EO144" s="249"/>
      <c r="EP144" s="249"/>
      <c r="EQ144" s="249"/>
      <c r="ER144" s="249"/>
      <c r="ES144" s="249"/>
      <c r="ET144" s="249"/>
      <c r="EU144" s="249"/>
      <c r="EV144" s="250"/>
      <c r="EW144" s="250"/>
      <c r="EX144" s="250"/>
      <c r="EY144" s="250"/>
      <c r="EZ144" s="250"/>
      <c r="FA144" s="250"/>
      <c r="FB144" s="250"/>
      <c r="FC144" s="249"/>
      <c r="FD144" s="249"/>
      <c r="FE144" s="249"/>
      <c r="FF144" s="249"/>
      <c r="FG144" s="249"/>
      <c r="FH144" s="249"/>
      <c r="FI144" s="249"/>
      <c r="FJ144" s="250"/>
      <c r="FK144" s="250"/>
      <c r="FL144" s="250"/>
      <c r="FM144" s="250"/>
      <c r="FN144" s="250"/>
      <c r="FO144" s="250"/>
      <c r="FP144" s="250"/>
      <c r="FQ144" s="249">
        <v>24</v>
      </c>
      <c r="FR144" s="249">
        <v>24</v>
      </c>
      <c r="FS144" s="249">
        <v>24</v>
      </c>
      <c r="FT144" s="249">
        <v>24</v>
      </c>
      <c r="FU144" s="249">
        <v>24</v>
      </c>
      <c r="FV144" s="249">
        <v>24</v>
      </c>
      <c r="FW144" s="249">
        <v>24</v>
      </c>
      <c r="FX144" s="250"/>
      <c r="FY144" s="250"/>
      <c r="FZ144" s="250"/>
      <c r="GA144" s="250"/>
      <c r="GB144" s="250"/>
      <c r="GC144" s="250"/>
      <c r="GD144" s="250"/>
      <c r="GE144" s="249"/>
      <c r="GF144" s="249"/>
      <c r="GG144" s="249"/>
      <c r="GH144" s="249"/>
      <c r="GI144" s="249"/>
      <c r="GJ144" s="249"/>
      <c r="GK144" s="249"/>
      <c r="GL144" s="250"/>
      <c r="GM144" s="250"/>
      <c r="GN144" s="250"/>
      <c r="GO144" s="250"/>
      <c r="GP144" s="250"/>
      <c r="GQ144" s="250"/>
      <c r="GR144" s="250"/>
      <c r="GS144" s="249"/>
      <c r="GT144" s="249"/>
      <c r="GU144" s="249"/>
      <c r="GV144" s="249"/>
      <c r="GW144" s="249"/>
      <c r="GX144" s="249"/>
      <c r="GY144" s="249"/>
      <c r="GZ144" s="250"/>
      <c r="HA144" s="250"/>
      <c r="HB144" s="250"/>
      <c r="HC144" s="250"/>
      <c r="HD144" s="250"/>
      <c r="HE144" s="250"/>
      <c r="HF144" s="250"/>
      <c r="HG144" s="249"/>
      <c r="HH144" s="249"/>
      <c r="HI144" s="249"/>
      <c r="HJ144" s="249"/>
      <c r="HK144" s="249"/>
      <c r="HL144" s="249"/>
      <c r="HM144" s="249"/>
      <c r="HN144" s="250"/>
      <c r="HO144" s="250"/>
      <c r="HP144" s="250"/>
      <c r="HQ144" s="250"/>
      <c r="HR144" s="250"/>
      <c r="HS144" s="250"/>
      <c r="HT144" s="250"/>
      <c r="HU144" s="249"/>
      <c r="HV144" s="249"/>
      <c r="HW144" s="249"/>
      <c r="HX144" s="249"/>
      <c r="HY144" s="249"/>
      <c r="HZ144" s="249"/>
      <c r="IA144" s="249"/>
      <c r="IB144" s="250"/>
      <c r="IC144" s="250"/>
      <c r="ID144" s="250"/>
      <c r="IE144" s="250"/>
      <c r="IF144" s="250"/>
      <c r="IG144" s="250"/>
      <c r="IH144" s="250"/>
      <c r="II144" s="249"/>
      <c r="IJ144" s="249"/>
      <c r="IK144" s="249"/>
      <c r="IL144" s="249"/>
      <c r="IM144" s="249"/>
      <c r="IN144" s="249"/>
      <c r="IO144" s="249"/>
      <c r="IP144" s="250"/>
      <c r="IQ144" s="250"/>
      <c r="IR144" s="250"/>
      <c r="IS144" s="250"/>
      <c r="IT144" s="250"/>
      <c r="IU144" s="250"/>
      <c r="IV144" s="250"/>
      <c r="IW144" s="249"/>
      <c r="IX144" s="249"/>
      <c r="IY144" s="249"/>
      <c r="IZ144" s="249"/>
      <c r="JA144" s="249"/>
      <c r="JB144" s="249"/>
      <c r="JC144" s="249"/>
      <c r="JD144" s="250"/>
      <c r="JE144" s="250"/>
      <c r="JF144" s="250"/>
      <c r="JG144" s="250"/>
      <c r="JH144" s="250"/>
      <c r="JI144" s="250"/>
      <c r="JJ144" s="250"/>
      <c r="JK144" s="249"/>
      <c r="JL144" s="249"/>
      <c r="JM144" s="249"/>
      <c r="JN144" s="249"/>
      <c r="JO144" s="249"/>
      <c r="JP144" s="249"/>
      <c r="JQ144" s="249"/>
      <c r="JR144" s="250"/>
      <c r="JS144" s="250"/>
      <c r="JT144" s="250"/>
      <c r="JU144" s="250"/>
      <c r="JV144" s="250"/>
      <c r="JW144" s="250"/>
      <c r="JX144" s="250"/>
      <c r="JY144" s="249"/>
      <c r="JZ144" s="249"/>
      <c r="KA144" s="249"/>
      <c r="KB144" s="249"/>
      <c r="KC144" s="249"/>
      <c r="KD144" s="249"/>
      <c r="KE144" s="249"/>
      <c r="KF144" s="250"/>
      <c r="KG144" s="250"/>
      <c r="KH144" s="250"/>
      <c r="KI144" s="250"/>
      <c r="KJ144" s="250"/>
      <c r="KK144" s="250"/>
      <c r="KL144" s="250"/>
      <c r="KM144" s="249"/>
      <c r="KN144" s="249"/>
      <c r="KO144" s="249"/>
      <c r="KP144" s="249"/>
      <c r="KQ144" s="249"/>
      <c r="KR144" s="249"/>
      <c r="KS144" s="249"/>
      <c r="KT144" s="250"/>
      <c r="KU144" s="250"/>
      <c r="KV144" s="250"/>
      <c r="KW144" s="250"/>
      <c r="KX144" s="250"/>
      <c r="KY144" s="250"/>
      <c r="KZ144" s="250"/>
      <c r="LA144" s="249"/>
      <c r="LB144" s="249"/>
      <c r="LC144" s="249"/>
      <c r="LD144" s="249"/>
      <c r="LE144" s="249"/>
      <c r="LF144" s="249"/>
      <c r="LG144" s="249"/>
      <c r="LH144" s="250"/>
      <c r="LI144" s="250"/>
      <c r="LJ144" s="250"/>
      <c r="LK144" s="250"/>
      <c r="LL144" s="250"/>
      <c r="LM144" s="250"/>
      <c r="LN144" s="250"/>
      <c r="LO144" s="249"/>
      <c r="LP144" s="249"/>
      <c r="LQ144" s="249"/>
      <c r="LR144" s="249"/>
      <c r="LS144" s="249"/>
      <c r="LT144" s="249"/>
      <c r="LU144" s="249"/>
      <c r="LV144" s="250"/>
      <c r="LW144" s="250"/>
      <c r="LX144" s="250"/>
      <c r="LY144" s="250"/>
      <c r="LZ144" s="250"/>
      <c r="MA144" s="250"/>
      <c r="MB144" s="250"/>
      <c r="MC144" s="249"/>
      <c r="MD144" s="249"/>
      <c r="ME144" s="249"/>
      <c r="MF144" s="249"/>
      <c r="MG144" s="249"/>
      <c r="MH144" s="249"/>
      <c r="MI144" s="249"/>
      <c r="MJ144" s="250"/>
      <c r="MK144" s="250"/>
      <c r="ML144" s="250"/>
      <c r="MM144" s="250"/>
      <c r="MN144" s="250"/>
      <c r="MO144" s="250"/>
      <c r="MP144" s="250"/>
      <c r="MQ144" s="249"/>
      <c r="MR144" s="249"/>
      <c r="MS144" s="249"/>
      <c r="MT144" s="249"/>
      <c r="MU144" s="249"/>
      <c r="MV144" s="249"/>
      <c r="MW144" s="249"/>
      <c r="MX144" s="250"/>
      <c r="MY144" s="250"/>
      <c r="MZ144" s="250">
        <v>24</v>
      </c>
      <c r="NA144" s="250"/>
      <c r="NB144" s="250"/>
      <c r="NC144" s="250"/>
      <c r="ND144" s="250" t="s">
        <v>989</v>
      </c>
      <c r="NE144" s="249"/>
      <c r="NF144" s="249"/>
      <c r="NG144" s="249"/>
      <c r="NH144" s="333" t="s">
        <v>1130</v>
      </c>
    </row>
    <row r="145" spans="1:372">
      <c r="A145" s="251" t="s">
        <v>988</v>
      </c>
      <c r="B145" s="251" t="s">
        <v>112</v>
      </c>
      <c r="C145" s="251" t="s">
        <v>674</v>
      </c>
      <c r="D145" s="251" t="s">
        <v>997</v>
      </c>
      <c r="E145" s="241">
        <v>18.532388867333331</v>
      </c>
      <c r="F145" s="241">
        <v>192</v>
      </c>
      <c r="G145" s="249"/>
      <c r="H145" s="249"/>
      <c r="I145" s="249"/>
      <c r="J145" s="249"/>
      <c r="K145" s="249"/>
      <c r="L145" s="250"/>
      <c r="M145" s="250"/>
      <c r="N145" s="250"/>
      <c r="O145" s="250"/>
      <c r="P145" s="250"/>
      <c r="Q145" s="250"/>
      <c r="R145" s="250"/>
      <c r="S145" s="249"/>
      <c r="T145" s="249"/>
      <c r="U145" s="249"/>
      <c r="V145" s="249"/>
      <c r="W145" s="249"/>
      <c r="X145" s="249"/>
      <c r="Y145" s="249"/>
      <c r="Z145" s="250"/>
      <c r="AA145" s="250"/>
      <c r="AB145" s="250"/>
      <c r="AC145" s="250"/>
      <c r="AD145" s="250"/>
      <c r="AE145" s="250"/>
      <c r="AF145" s="250"/>
      <c r="AG145" s="249"/>
      <c r="AH145" s="249"/>
      <c r="AI145" s="249"/>
      <c r="AJ145" s="249"/>
      <c r="AK145" s="249"/>
      <c r="AL145" s="249"/>
      <c r="AM145" s="249"/>
      <c r="AN145" s="250"/>
      <c r="AO145" s="250"/>
      <c r="AP145" s="250"/>
      <c r="AQ145" s="250"/>
      <c r="AR145" s="250"/>
      <c r="AS145" s="250"/>
      <c r="AT145" s="250"/>
      <c r="AU145" s="249"/>
      <c r="AV145" s="249"/>
      <c r="AW145" s="249"/>
      <c r="AX145" s="249"/>
      <c r="AY145" s="249"/>
      <c r="AZ145" s="249"/>
      <c r="BA145" s="249"/>
      <c r="BB145" s="250"/>
      <c r="BC145" s="250"/>
      <c r="BD145" s="250"/>
      <c r="BE145" s="250"/>
      <c r="BF145" s="250"/>
      <c r="BG145" s="250"/>
      <c r="BH145" s="250"/>
      <c r="BI145" s="249"/>
      <c r="BJ145" s="249"/>
      <c r="BK145" s="249"/>
      <c r="BL145" s="249"/>
      <c r="BM145" s="249"/>
      <c r="BN145" s="249"/>
      <c r="BO145" s="249"/>
      <c r="BP145" s="250"/>
      <c r="BQ145" s="250"/>
      <c r="BR145" s="250"/>
      <c r="BS145" s="250"/>
      <c r="BT145" s="250"/>
      <c r="BU145" s="250"/>
      <c r="BV145" s="250"/>
      <c r="BW145" s="249"/>
      <c r="BX145" s="249"/>
      <c r="BY145" s="249"/>
      <c r="BZ145" s="249"/>
      <c r="CA145" s="249"/>
      <c r="CB145" s="249"/>
      <c r="CC145" s="249"/>
      <c r="CD145" s="250"/>
      <c r="CE145" s="250"/>
      <c r="CF145" s="250"/>
      <c r="CG145" s="250"/>
      <c r="CH145" s="250"/>
      <c r="CI145" s="250"/>
      <c r="CJ145" s="250"/>
      <c r="CK145" s="249"/>
      <c r="CL145" s="249"/>
      <c r="CM145" s="249"/>
      <c r="CN145" s="249"/>
      <c r="CO145" s="249"/>
      <c r="CP145" s="249"/>
      <c r="CQ145" s="249"/>
      <c r="CR145" s="250"/>
      <c r="CS145" s="250"/>
      <c r="CT145" s="250"/>
      <c r="CU145" s="250"/>
      <c r="CV145" s="250"/>
      <c r="CW145" s="250"/>
      <c r="CX145" s="250"/>
      <c r="CY145" s="249"/>
      <c r="CZ145" s="249"/>
      <c r="DA145" s="249"/>
      <c r="DB145" s="249"/>
      <c r="DC145" s="249"/>
      <c r="DD145" s="249"/>
      <c r="DE145" s="249"/>
      <c r="DF145" s="250"/>
      <c r="DG145" s="250"/>
      <c r="DH145" s="250"/>
      <c r="DI145" s="250"/>
      <c r="DJ145" s="250"/>
      <c r="DK145" s="250"/>
      <c r="DL145" s="250"/>
      <c r="DM145" s="249"/>
      <c r="DN145" s="249"/>
      <c r="DO145" s="249"/>
      <c r="DP145" s="249"/>
      <c r="DQ145" s="249"/>
      <c r="DR145" s="249"/>
      <c r="DS145" s="249"/>
      <c r="DT145" s="250"/>
      <c r="DU145" s="250"/>
      <c r="DV145" s="250"/>
      <c r="DW145" s="250"/>
      <c r="DX145" s="250"/>
      <c r="DY145" s="250"/>
      <c r="DZ145" s="250"/>
      <c r="EA145" s="249"/>
      <c r="EB145" s="249"/>
      <c r="EC145" s="249"/>
      <c r="ED145" s="249"/>
      <c r="EE145" s="249"/>
      <c r="EF145" s="249"/>
      <c r="EG145" s="249"/>
      <c r="EH145" s="250"/>
      <c r="EI145" s="250"/>
      <c r="EJ145" s="250"/>
      <c r="EK145" s="250"/>
      <c r="EL145" s="250"/>
      <c r="EM145" s="250"/>
      <c r="EN145" s="250"/>
      <c r="EO145" s="249"/>
      <c r="EP145" s="249"/>
      <c r="EQ145" s="249"/>
      <c r="ER145" s="249"/>
      <c r="ES145" s="249"/>
      <c r="ET145" s="249"/>
      <c r="EU145" s="249"/>
      <c r="EV145" s="250"/>
      <c r="EW145" s="250"/>
      <c r="EX145" s="250"/>
      <c r="EY145" s="250"/>
      <c r="EZ145" s="250"/>
      <c r="FA145" s="250"/>
      <c r="FB145" s="250"/>
      <c r="FC145" s="249"/>
      <c r="FD145" s="249"/>
      <c r="FE145" s="249"/>
      <c r="FF145" s="249"/>
      <c r="FG145" s="249"/>
      <c r="FH145" s="249"/>
      <c r="FI145" s="249"/>
      <c r="FJ145" s="250"/>
      <c r="FK145" s="250"/>
      <c r="FL145" s="250"/>
      <c r="FM145" s="250"/>
      <c r="FN145" s="250"/>
      <c r="FO145" s="250"/>
      <c r="FP145" s="250"/>
      <c r="FQ145" s="249">
        <v>24</v>
      </c>
      <c r="FR145" s="249">
        <v>24</v>
      </c>
      <c r="FS145" s="249">
        <v>24</v>
      </c>
      <c r="FT145" s="249">
        <v>24</v>
      </c>
      <c r="FU145" s="249">
        <v>24</v>
      </c>
      <c r="FV145" s="249">
        <v>24</v>
      </c>
      <c r="FW145" s="249">
        <v>24</v>
      </c>
      <c r="FX145" s="250"/>
      <c r="FY145" s="250"/>
      <c r="FZ145" s="250"/>
      <c r="GA145" s="250"/>
      <c r="GB145" s="250"/>
      <c r="GC145" s="250"/>
      <c r="GD145" s="250"/>
      <c r="GE145" s="249"/>
      <c r="GF145" s="249"/>
      <c r="GG145" s="249"/>
      <c r="GH145" s="249"/>
      <c r="GI145" s="249"/>
      <c r="GJ145" s="249"/>
      <c r="GK145" s="249"/>
      <c r="GL145" s="250"/>
      <c r="GM145" s="250"/>
      <c r="GN145" s="250"/>
      <c r="GO145" s="250"/>
      <c r="GP145" s="250"/>
      <c r="GQ145" s="250"/>
      <c r="GR145" s="250"/>
      <c r="GS145" s="249"/>
      <c r="GT145" s="249"/>
      <c r="GU145" s="249"/>
      <c r="GV145" s="249"/>
      <c r="GW145" s="249"/>
      <c r="GX145" s="249"/>
      <c r="GY145" s="249"/>
      <c r="GZ145" s="250"/>
      <c r="HA145" s="250"/>
      <c r="HB145" s="250"/>
      <c r="HC145" s="250"/>
      <c r="HD145" s="250"/>
      <c r="HE145" s="250"/>
      <c r="HF145" s="250"/>
      <c r="HG145" s="249"/>
      <c r="HH145" s="249"/>
      <c r="HI145" s="249"/>
      <c r="HJ145" s="249"/>
      <c r="HK145" s="249"/>
      <c r="HL145" s="249"/>
      <c r="HM145" s="249"/>
      <c r="HN145" s="250"/>
      <c r="HO145" s="250"/>
      <c r="HP145" s="250"/>
      <c r="HQ145" s="250"/>
      <c r="HR145" s="250"/>
      <c r="HS145" s="250"/>
      <c r="HT145" s="250"/>
      <c r="HU145" s="249"/>
      <c r="HV145" s="249"/>
      <c r="HW145" s="249"/>
      <c r="HX145" s="249"/>
      <c r="HY145" s="249"/>
      <c r="HZ145" s="249"/>
      <c r="IA145" s="249"/>
      <c r="IB145" s="250"/>
      <c r="IC145" s="250"/>
      <c r="ID145" s="250"/>
      <c r="IE145" s="250"/>
      <c r="IF145" s="250"/>
      <c r="IG145" s="250"/>
      <c r="IH145" s="250"/>
      <c r="II145" s="249"/>
      <c r="IJ145" s="249"/>
      <c r="IK145" s="249"/>
      <c r="IL145" s="249"/>
      <c r="IM145" s="249"/>
      <c r="IN145" s="249"/>
      <c r="IO145" s="249"/>
      <c r="IP145" s="250"/>
      <c r="IQ145" s="250"/>
      <c r="IR145" s="250"/>
      <c r="IS145" s="250"/>
      <c r="IT145" s="250"/>
      <c r="IU145" s="250"/>
      <c r="IV145" s="250"/>
      <c r="IW145" s="249"/>
      <c r="IX145" s="249"/>
      <c r="IY145" s="249"/>
      <c r="IZ145" s="249"/>
      <c r="JA145" s="249"/>
      <c r="JB145" s="249"/>
      <c r="JC145" s="249"/>
      <c r="JD145" s="250"/>
      <c r="JE145" s="250"/>
      <c r="JF145" s="250"/>
      <c r="JG145" s="250"/>
      <c r="JH145" s="250"/>
      <c r="JI145" s="250"/>
      <c r="JJ145" s="250"/>
      <c r="JK145" s="249"/>
      <c r="JL145" s="249"/>
      <c r="JM145" s="249"/>
      <c r="JN145" s="249"/>
      <c r="JO145" s="249"/>
      <c r="JP145" s="249"/>
      <c r="JQ145" s="249"/>
      <c r="JR145" s="250"/>
      <c r="JS145" s="250"/>
      <c r="JT145" s="250"/>
      <c r="JU145" s="250"/>
      <c r="JV145" s="250"/>
      <c r="JW145" s="250"/>
      <c r="JX145" s="250"/>
      <c r="JY145" s="249"/>
      <c r="JZ145" s="249"/>
      <c r="KA145" s="249"/>
      <c r="KB145" s="249"/>
      <c r="KC145" s="249"/>
      <c r="KD145" s="249"/>
      <c r="KE145" s="249"/>
      <c r="KF145" s="250"/>
      <c r="KG145" s="250"/>
      <c r="KH145" s="250"/>
      <c r="KI145" s="250"/>
      <c r="KJ145" s="250"/>
      <c r="KK145" s="250"/>
      <c r="KL145" s="250"/>
      <c r="KM145" s="249"/>
      <c r="KN145" s="249"/>
      <c r="KO145" s="249"/>
      <c r="KP145" s="249"/>
      <c r="KQ145" s="249"/>
      <c r="KR145" s="249"/>
      <c r="KS145" s="249"/>
      <c r="KT145" s="250"/>
      <c r="KU145" s="250"/>
      <c r="KV145" s="250"/>
      <c r="KW145" s="250"/>
      <c r="KX145" s="250"/>
      <c r="KY145" s="250"/>
      <c r="KZ145" s="250"/>
      <c r="LA145" s="249"/>
      <c r="LB145" s="249"/>
      <c r="LC145" s="249"/>
      <c r="LD145" s="249"/>
      <c r="LE145" s="249"/>
      <c r="LF145" s="249"/>
      <c r="LG145" s="249"/>
      <c r="LH145" s="250"/>
      <c r="LI145" s="250"/>
      <c r="LJ145" s="250"/>
      <c r="LK145" s="250"/>
      <c r="LL145" s="250"/>
      <c r="LM145" s="250"/>
      <c r="LN145" s="250"/>
      <c r="LO145" s="249"/>
      <c r="LP145" s="249"/>
      <c r="LQ145" s="249"/>
      <c r="LR145" s="249"/>
      <c r="LS145" s="249"/>
      <c r="LT145" s="249"/>
      <c r="LU145" s="249"/>
      <c r="LV145" s="250"/>
      <c r="LW145" s="250"/>
      <c r="LX145" s="250"/>
      <c r="LY145" s="250"/>
      <c r="LZ145" s="250"/>
      <c r="MA145" s="250"/>
      <c r="MB145" s="250"/>
      <c r="MC145" s="249"/>
      <c r="MD145" s="249"/>
      <c r="ME145" s="249"/>
      <c r="MF145" s="249"/>
      <c r="MG145" s="249"/>
      <c r="MH145" s="249"/>
      <c r="MI145" s="249"/>
      <c r="MJ145" s="250"/>
      <c r="MK145" s="250"/>
      <c r="ML145" s="250"/>
      <c r="MM145" s="250"/>
      <c r="MN145" s="250"/>
      <c r="MO145" s="250"/>
      <c r="MP145" s="250"/>
      <c r="MQ145" s="249"/>
      <c r="MR145" s="249"/>
      <c r="MS145" s="249"/>
      <c r="MT145" s="249"/>
      <c r="MU145" s="249"/>
      <c r="MV145" s="249"/>
      <c r="MW145" s="249"/>
      <c r="MX145" s="250"/>
      <c r="MY145" s="250"/>
      <c r="MZ145" s="250">
        <v>24</v>
      </c>
      <c r="NA145" s="250"/>
      <c r="NB145" s="250"/>
      <c r="NC145" s="250"/>
      <c r="ND145" s="250"/>
      <c r="NE145" s="249"/>
      <c r="NF145" s="249"/>
      <c r="NG145" s="249"/>
      <c r="NH145" s="333" t="s">
        <v>1130</v>
      </c>
    </row>
    <row r="146" spans="1:372">
      <c r="A146" s="251" t="s">
        <v>990</v>
      </c>
      <c r="B146" s="251" t="s">
        <v>991</v>
      </c>
      <c r="C146" s="251" t="s">
        <v>675</v>
      </c>
      <c r="D146" s="251" t="e">
        <v>#N/A</v>
      </c>
      <c r="E146" s="241">
        <v>0</v>
      </c>
      <c r="F146" s="241">
        <v>0</v>
      </c>
      <c r="G146" s="249"/>
      <c r="H146" s="249"/>
      <c r="I146" s="249"/>
      <c r="J146" s="249"/>
      <c r="K146" s="249"/>
      <c r="L146" s="250"/>
      <c r="M146" s="250"/>
      <c r="N146" s="250"/>
      <c r="O146" s="250"/>
      <c r="P146" s="250"/>
      <c r="Q146" s="250"/>
      <c r="R146" s="250"/>
      <c r="S146" s="249"/>
      <c r="T146" s="249"/>
      <c r="U146" s="249"/>
      <c r="V146" s="249"/>
      <c r="W146" s="249"/>
      <c r="X146" s="249"/>
      <c r="Y146" s="249"/>
      <c r="Z146" s="250"/>
      <c r="AA146" s="250"/>
      <c r="AB146" s="250"/>
      <c r="AC146" s="250"/>
      <c r="AD146" s="250"/>
      <c r="AE146" s="250"/>
      <c r="AF146" s="250"/>
      <c r="AG146" s="249"/>
      <c r="AH146" s="249"/>
      <c r="AI146" s="249"/>
      <c r="AJ146" s="249"/>
      <c r="AK146" s="249"/>
      <c r="AL146" s="249"/>
      <c r="AM146" s="249"/>
      <c r="AN146" s="250"/>
      <c r="AO146" s="250"/>
      <c r="AP146" s="250"/>
      <c r="AQ146" s="250"/>
      <c r="AR146" s="250"/>
      <c r="AS146" s="250"/>
      <c r="AT146" s="250"/>
      <c r="AU146" s="249"/>
      <c r="AV146" s="249"/>
      <c r="AW146" s="249"/>
      <c r="AX146" s="249"/>
      <c r="AY146" s="249"/>
      <c r="AZ146" s="249"/>
      <c r="BA146" s="249"/>
      <c r="BB146" s="250"/>
      <c r="BC146" s="250"/>
      <c r="BD146" s="250"/>
      <c r="BE146" s="250"/>
      <c r="BF146" s="250"/>
      <c r="BG146" s="250"/>
      <c r="BH146" s="250"/>
      <c r="BI146" s="249"/>
      <c r="BJ146" s="249"/>
      <c r="BK146" s="249"/>
      <c r="BL146" s="249"/>
      <c r="BM146" s="249"/>
      <c r="BN146" s="249"/>
      <c r="BO146" s="249"/>
      <c r="BP146" s="250"/>
      <c r="BQ146" s="250"/>
      <c r="BR146" s="250"/>
      <c r="BS146" s="250"/>
      <c r="BT146" s="250"/>
      <c r="BU146" s="250"/>
      <c r="BV146" s="250"/>
      <c r="BW146" s="249"/>
      <c r="BX146" s="249"/>
      <c r="BY146" s="249"/>
      <c r="BZ146" s="249"/>
      <c r="CA146" s="249"/>
      <c r="CB146" s="249"/>
      <c r="CC146" s="249"/>
      <c r="CD146" s="250"/>
      <c r="CE146" s="250"/>
      <c r="CF146" s="250"/>
      <c r="CG146" s="250"/>
      <c r="CH146" s="250"/>
      <c r="CI146" s="250"/>
      <c r="CJ146" s="250"/>
      <c r="CK146" s="249"/>
      <c r="CL146" s="249"/>
      <c r="CM146" s="249"/>
      <c r="CN146" s="249"/>
      <c r="CO146" s="249"/>
      <c r="CP146" s="249"/>
      <c r="CQ146" s="249"/>
      <c r="CR146" s="250"/>
      <c r="CS146" s="250"/>
      <c r="CT146" s="250"/>
      <c r="CU146" s="250"/>
      <c r="CV146" s="250"/>
      <c r="CW146" s="250"/>
      <c r="CX146" s="250"/>
      <c r="CY146" s="249"/>
      <c r="CZ146" s="249"/>
      <c r="DA146" s="249"/>
      <c r="DB146" s="249"/>
      <c r="DC146" s="249"/>
      <c r="DD146" s="249"/>
      <c r="DE146" s="249"/>
      <c r="DF146" s="250"/>
      <c r="DG146" s="250"/>
      <c r="DH146" s="250"/>
      <c r="DI146" s="250"/>
      <c r="DJ146" s="250"/>
      <c r="DK146" s="250"/>
      <c r="DL146" s="250"/>
      <c r="DM146" s="249"/>
      <c r="DN146" s="249"/>
      <c r="DO146" s="249"/>
      <c r="DP146" s="249"/>
      <c r="DQ146" s="249"/>
      <c r="DR146" s="249"/>
      <c r="DS146" s="249"/>
      <c r="DT146" s="250"/>
      <c r="DU146" s="250"/>
      <c r="DV146" s="250"/>
      <c r="DW146" s="250"/>
      <c r="DX146" s="250"/>
      <c r="DY146" s="250"/>
      <c r="DZ146" s="250"/>
      <c r="EA146" s="249"/>
      <c r="EB146" s="249"/>
      <c r="EC146" s="249"/>
      <c r="ED146" s="249"/>
      <c r="EE146" s="249"/>
      <c r="EF146" s="249"/>
      <c r="EG146" s="249"/>
      <c r="EH146" s="250"/>
      <c r="EI146" s="250"/>
      <c r="EJ146" s="250"/>
      <c r="EK146" s="250"/>
      <c r="EL146" s="250"/>
      <c r="EM146" s="250"/>
      <c r="EN146" s="250"/>
      <c r="EO146" s="249"/>
      <c r="EP146" s="249"/>
      <c r="EQ146" s="249"/>
      <c r="ER146" s="249"/>
      <c r="ES146" s="249"/>
      <c r="ET146" s="249"/>
      <c r="EU146" s="249"/>
      <c r="EV146" s="250"/>
      <c r="EW146" s="250"/>
      <c r="EX146" s="250"/>
      <c r="EY146" s="250"/>
      <c r="EZ146" s="250"/>
      <c r="FA146" s="250"/>
      <c r="FB146" s="250"/>
      <c r="FC146" s="249"/>
      <c r="FD146" s="249"/>
      <c r="FE146" s="249"/>
      <c r="FF146" s="249"/>
      <c r="FG146" s="249"/>
      <c r="FH146" s="249"/>
      <c r="FI146" s="249"/>
      <c r="FJ146" s="250"/>
      <c r="FK146" s="250"/>
      <c r="FL146" s="250"/>
      <c r="FM146" s="250"/>
      <c r="FN146" s="250"/>
      <c r="FO146" s="250"/>
      <c r="FP146" s="250"/>
      <c r="FQ146" s="249"/>
      <c r="FR146" s="249"/>
      <c r="FS146" s="249"/>
      <c r="FT146" s="249"/>
      <c r="FU146" s="249"/>
      <c r="FV146" s="249"/>
      <c r="FW146" s="249"/>
      <c r="FX146" s="250"/>
      <c r="FY146" s="250"/>
      <c r="FZ146" s="250"/>
      <c r="GA146" s="250"/>
      <c r="GB146" s="250"/>
      <c r="GC146" s="250"/>
      <c r="GD146" s="250"/>
      <c r="GE146" s="249"/>
      <c r="GF146" s="249"/>
      <c r="GG146" s="249"/>
      <c r="GH146" s="249"/>
      <c r="GI146" s="249"/>
      <c r="GJ146" s="249"/>
      <c r="GK146" s="249"/>
      <c r="GL146" s="250"/>
      <c r="GM146" s="250"/>
      <c r="GN146" s="250"/>
      <c r="GO146" s="250"/>
      <c r="GP146" s="250"/>
      <c r="GQ146" s="250"/>
      <c r="GR146" s="250"/>
      <c r="GS146" s="249"/>
      <c r="GT146" s="249"/>
      <c r="GU146" s="249"/>
      <c r="GV146" s="249"/>
      <c r="GW146" s="249"/>
      <c r="GX146" s="249"/>
      <c r="GY146" s="249"/>
      <c r="GZ146" s="250"/>
      <c r="HA146" s="250"/>
      <c r="HB146" s="250"/>
      <c r="HC146" s="250"/>
      <c r="HD146" s="250"/>
      <c r="HE146" s="250"/>
      <c r="HF146" s="250"/>
      <c r="HG146" s="249"/>
      <c r="HH146" s="249"/>
      <c r="HI146" s="249"/>
      <c r="HJ146" s="249"/>
      <c r="HK146" s="249"/>
      <c r="HL146" s="249"/>
      <c r="HM146" s="249"/>
      <c r="HN146" s="250"/>
      <c r="HO146" s="250"/>
      <c r="HP146" s="250"/>
      <c r="HQ146" s="250"/>
      <c r="HR146" s="250"/>
      <c r="HS146" s="250"/>
      <c r="HT146" s="250"/>
      <c r="HU146" s="249"/>
      <c r="HV146" s="249"/>
      <c r="HW146" s="249"/>
      <c r="HX146" s="249"/>
      <c r="HY146" s="249"/>
      <c r="HZ146" s="249"/>
      <c r="IA146" s="249"/>
      <c r="IB146" s="250"/>
      <c r="IC146" s="250"/>
      <c r="ID146" s="250"/>
      <c r="IE146" s="250"/>
      <c r="IF146" s="250"/>
      <c r="IG146" s="250"/>
      <c r="IH146" s="250"/>
      <c r="II146" s="249"/>
      <c r="IJ146" s="249"/>
      <c r="IK146" s="249"/>
      <c r="IL146" s="249"/>
      <c r="IM146" s="249"/>
      <c r="IN146" s="249"/>
      <c r="IO146" s="249"/>
      <c r="IP146" s="250"/>
      <c r="IQ146" s="250"/>
      <c r="IR146" s="250"/>
      <c r="IS146" s="250"/>
      <c r="IT146" s="250"/>
      <c r="IU146" s="250"/>
      <c r="IV146" s="250"/>
      <c r="IW146" s="249"/>
      <c r="IX146" s="249"/>
      <c r="IY146" s="249"/>
      <c r="IZ146" s="249"/>
      <c r="JA146" s="249"/>
      <c r="JB146" s="249"/>
      <c r="JC146" s="249"/>
      <c r="JD146" s="250"/>
      <c r="JE146" s="250"/>
      <c r="JF146" s="250"/>
      <c r="JG146" s="250"/>
      <c r="JH146" s="250"/>
      <c r="JI146" s="250"/>
      <c r="JJ146" s="250"/>
      <c r="JK146" s="249"/>
      <c r="JL146" s="249"/>
      <c r="JM146" s="249"/>
      <c r="JN146" s="249"/>
      <c r="JO146" s="249"/>
      <c r="JP146" s="249"/>
      <c r="JQ146" s="249"/>
      <c r="JR146" s="250"/>
      <c r="JS146" s="250"/>
      <c r="JT146" s="250"/>
      <c r="JU146" s="250"/>
      <c r="JV146" s="250"/>
      <c r="JW146" s="250"/>
      <c r="JX146" s="250"/>
      <c r="JY146" s="249"/>
      <c r="JZ146" s="249"/>
      <c r="KA146" s="249"/>
      <c r="KB146" s="249"/>
      <c r="KC146" s="249"/>
      <c r="KD146" s="249"/>
      <c r="KE146" s="249"/>
      <c r="KF146" s="250"/>
      <c r="KG146" s="250"/>
      <c r="KH146" s="250"/>
      <c r="KI146" s="250"/>
      <c r="KJ146" s="250"/>
      <c r="KK146" s="250"/>
      <c r="KL146" s="250"/>
      <c r="KM146" s="249"/>
      <c r="KN146" s="249"/>
      <c r="KO146" s="249"/>
      <c r="KP146" s="249"/>
      <c r="KQ146" s="249"/>
      <c r="KR146" s="249"/>
      <c r="KS146" s="249"/>
      <c r="KT146" s="250"/>
      <c r="KU146" s="250"/>
      <c r="KV146" s="250"/>
      <c r="KW146" s="250"/>
      <c r="KX146" s="250"/>
      <c r="KY146" s="250"/>
      <c r="KZ146" s="250"/>
      <c r="LA146" s="249"/>
      <c r="LB146" s="249"/>
      <c r="LC146" s="249"/>
      <c r="LD146" s="249"/>
      <c r="LE146" s="249"/>
      <c r="LF146" s="249"/>
      <c r="LG146" s="249"/>
      <c r="LH146" s="250"/>
      <c r="LI146" s="250"/>
      <c r="LJ146" s="250"/>
      <c r="LK146" s="250"/>
      <c r="LL146" s="250"/>
      <c r="LM146" s="250"/>
      <c r="LN146" s="250"/>
      <c r="LO146" s="249"/>
      <c r="LP146" s="249"/>
      <c r="LQ146" s="249"/>
      <c r="LR146" s="249"/>
      <c r="LS146" s="249"/>
      <c r="LT146" s="249"/>
      <c r="LU146" s="249"/>
      <c r="LV146" s="250"/>
      <c r="LW146" s="250"/>
      <c r="LX146" s="250"/>
      <c r="LY146" s="250"/>
      <c r="LZ146" s="250"/>
      <c r="MA146" s="250"/>
      <c r="MB146" s="250"/>
      <c r="MC146" s="249"/>
      <c r="MD146" s="249"/>
      <c r="ME146" s="249"/>
      <c r="MF146" s="249"/>
      <c r="MG146" s="249"/>
      <c r="MH146" s="249"/>
      <c r="MI146" s="249"/>
      <c r="MJ146" s="250"/>
      <c r="MK146" s="250"/>
      <c r="ML146" s="250"/>
      <c r="MM146" s="250"/>
      <c r="MN146" s="250"/>
      <c r="MO146" s="250"/>
      <c r="MP146" s="250"/>
      <c r="MQ146" s="249"/>
      <c r="MR146" s="249"/>
      <c r="MS146" s="249"/>
      <c r="MT146" s="249"/>
      <c r="MU146" s="249"/>
      <c r="MV146" s="249"/>
      <c r="MW146" s="249"/>
      <c r="MX146" s="250"/>
      <c r="MY146" s="250"/>
      <c r="MZ146" s="250"/>
      <c r="NA146" s="250"/>
      <c r="NB146" s="250"/>
      <c r="NC146" s="250"/>
      <c r="ND146" s="250"/>
      <c r="NE146" s="249"/>
      <c r="NF146" s="249"/>
      <c r="NG146" s="249"/>
      <c r="NH146" s="333"/>
    </row>
    <row r="147" spans="1:372">
      <c r="A147" s="251" t="s">
        <v>990</v>
      </c>
      <c r="B147" s="251" t="s">
        <v>992</v>
      </c>
      <c r="C147" s="251" t="s">
        <v>675</v>
      </c>
      <c r="D147" s="251" t="e">
        <v>#N/A</v>
      </c>
      <c r="E147" s="241">
        <v>0</v>
      </c>
      <c r="F147" s="241">
        <v>0</v>
      </c>
      <c r="G147" s="249"/>
      <c r="H147" s="249"/>
      <c r="I147" s="249"/>
      <c r="J147" s="249"/>
      <c r="K147" s="249"/>
      <c r="L147" s="250"/>
      <c r="M147" s="250"/>
      <c r="N147" s="250"/>
      <c r="O147" s="250"/>
      <c r="P147" s="250"/>
      <c r="Q147" s="250"/>
      <c r="R147" s="250"/>
      <c r="S147" s="249"/>
      <c r="T147" s="249"/>
      <c r="U147" s="249"/>
      <c r="V147" s="249"/>
      <c r="W147" s="249"/>
      <c r="X147" s="249"/>
      <c r="Y147" s="249"/>
      <c r="Z147" s="250"/>
      <c r="AA147" s="250"/>
      <c r="AB147" s="250"/>
      <c r="AC147" s="250"/>
      <c r="AD147" s="250"/>
      <c r="AE147" s="250"/>
      <c r="AF147" s="250"/>
      <c r="AG147" s="249"/>
      <c r="AH147" s="249"/>
      <c r="AI147" s="249"/>
      <c r="AJ147" s="249"/>
      <c r="AK147" s="249"/>
      <c r="AL147" s="249"/>
      <c r="AM147" s="249"/>
      <c r="AN147" s="250"/>
      <c r="AO147" s="250"/>
      <c r="AP147" s="250"/>
      <c r="AQ147" s="250"/>
      <c r="AR147" s="250"/>
      <c r="AS147" s="250"/>
      <c r="AT147" s="250"/>
      <c r="AU147" s="249"/>
      <c r="AV147" s="249"/>
      <c r="AW147" s="249"/>
      <c r="AX147" s="249"/>
      <c r="AY147" s="249"/>
      <c r="AZ147" s="249"/>
      <c r="BA147" s="249"/>
      <c r="BB147" s="250"/>
      <c r="BC147" s="250"/>
      <c r="BD147" s="250"/>
      <c r="BE147" s="250"/>
      <c r="BF147" s="250"/>
      <c r="BG147" s="250"/>
      <c r="BH147" s="250"/>
      <c r="BI147" s="249"/>
      <c r="BJ147" s="249"/>
      <c r="BK147" s="249"/>
      <c r="BL147" s="249"/>
      <c r="BM147" s="249"/>
      <c r="BN147" s="249"/>
      <c r="BO147" s="249"/>
      <c r="BP147" s="250"/>
      <c r="BQ147" s="250"/>
      <c r="BR147" s="250"/>
      <c r="BS147" s="250"/>
      <c r="BT147" s="250"/>
      <c r="BU147" s="250"/>
      <c r="BV147" s="250"/>
      <c r="BW147" s="249"/>
      <c r="BX147" s="249"/>
      <c r="BY147" s="249"/>
      <c r="BZ147" s="249"/>
      <c r="CA147" s="249"/>
      <c r="CB147" s="249"/>
      <c r="CC147" s="249"/>
      <c r="CD147" s="250"/>
      <c r="CE147" s="250"/>
      <c r="CF147" s="250"/>
      <c r="CG147" s="250"/>
      <c r="CH147" s="250"/>
      <c r="CI147" s="250"/>
      <c r="CJ147" s="250"/>
      <c r="CK147" s="249"/>
      <c r="CL147" s="249"/>
      <c r="CM147" s="249"/>
      <c r="CN147" s="249"/>
      <c r="CO147" s="249"/>
      <c r="CP147" s="249"/>
      <c r="CQ147" s="249"/>
      <c r="CR147" s="250"/>
      <c r="CS147" s="250"/>
      <c r="CT147" s="250"/>
      <c r="CU147" s="250"/>
      <c r="CV147" s="250"/>
      <c r="CW147" s="250"/>
      <c r="CX147" s="250"/>
      <c r="CY147" s="249"/>
      <c r="CZ147" s="249"/>
      <c r="DA147" s="249"/>
      <c r="DB147" s="249"/>
      <c r="DC147" s="249"/>
      <c r="DD147" s="249"/>
      <c r="DE147" s="249"/>
      <c r="DF147" s="250"/>
      <c r="DG147" s="250"/>
      <c r="DH147" s="250"/>
      <c r="DI147" s="250"/>
      <c r="DJ147" s="250"/>
      <c r="DK147" s="250"/>
      <c r="DL147" s="250"/>
      <c r="DM147" s="249"/>
      <c r="DN147" s="249"/>
      <c r="DO147" s="249"/>
      <c r="DP147" s="249"/>
      <c r="DQ147" s="249"/>
      <c r="DR147" s="249"/>
      <c r="DS147" s="249"/>
      <c r="DT147" s="250"/>
      <c r="DU147" s="250"/>
      <c r="DV147" s="250"/>
      <c r="DW147" s="250"/>
      <c r="DX147" s="250"/>
      <c r="DY147" s="250"/>
      <c r="DZ147" s="250"/>
      <c r="EA147" s="249"/>
      <c r="EB147" s="249"/>
      <c r="EC147" s="249"/>
      <c r="ED147" s="249"/>
      <c r="EE147" s="249"/>
      <c r="EF147" s="249"/>
      <c r="EG147" s="249"/>
      <c r="EH147" s="250"/>
      <c r="EI147" s="250"/>
      <c r="EJ147" s="250"/>
      <c r="EK147" s="250"/>
      <c r="EL147" s="250"/>
      <c r="EM147" s="250"/>
      <c r="EN147" s="250"/>
      <c r="EO147" s="249"/>
      <c r="EP147" s="249"/>
      <c r="EQ147" s="249"/>
      <c r="ER147" s="249"/>
      <c r="ES147" s="249"/>
      <c r="ET147" s="249"/>
      <c r="EU147" s="249"/>
      <c r="EV147" s="250"/>
      <c r="EW147" s="250"/>
      <c r="EX147" s="250"/>
      <c r="EY147" s="250"/>
      <c r="EZ147" s="250"/>
      <c r="FA147" s="250"/>
      <c r="FB147" s="250"/>
      <c r="FC147" s="249"/>
      <c r="FD147" s="249"/>
      <c r="FE147" s="249"/>
      <c r="FF147" s="249"/>
      <c r="FG147" s="249"/>
      <c r="FH147" s="249"/>
      <c r="FI147" s="249"/>
      <c r="FJ147" s="250"/>
      <c r="FK147" s="250"/>
      <c r="FL147" s="250"/>
      <c r="FM147" s="250"/>
      <c r="FN147" s="250"/>
      <c r="FO147" s="250"/>
      <c r="FP147" s="250"/>
      <c r="FQ147" s="249"/>
      <c r="FR147" s="249"/>
      <c r="FS147" s="249"/>
      <c r="FT147" s="249"/>
      <c r="FU147" s="249"/>
      <c r="FV147" s="249"/>
      <c r="FW147" s="249"/>
      <c r="FX147" s="250"/>
      <c r="FY147" s="250"/>
      <c r="FZ147" s="250"/>
      <c r="GA147" s="250"/>
      <c r="GB147" s="250"/>
      <c r="GC147" s="250"/>
      <c r="GD147" s="250"/>
      <c r="GE147" s="249"/>
      <c r="GF147" s="249"/>
      <c r="GG147" s="249"/>
      <c r="GH147" s="249"/>
      <c r="GI147" s="249"/>
      <c r="GJ147" s="249"/>
      <c r="GK147" s="249"/>
      <c r="GL147" s="250"/>
      <c r="GM147" s="250"/>
      <c r="GN147" s="250"/>
      <c r="GO147" s="250"/>
      <c r="GP147" s="250"/>
      <c r="GQ147" s="250"/>
      <c r="GR147" s="250"/>
      <c r="GS147" s="249"/>
      <c r="GT147" s="249"/>
      <c r="GU147" s="249"/>
      <c r="GV147" s="249"/>
      <c r="GW147" s="249"/>
      <c r="GX147" s="249"/>
      <c r="GY147" s="249"/>
      <c r="GZ147" s="250"/>
      <c r="HA147" s="250"/>
      <c r="HB147" s="250"/>
      <c r="HC147" s="250"/>
      <c r="HD147" s="250"/>
      <c r="HE147" s="250"/>
      <c r="HF147" s="250"/>
      <c r="HG147" s="249"/>
      <c r="HH147" s="249"/>
      <c r="HI147" s="249"/>
      <c r="HJ147" s="249"/>
      <c r="HK147" s="249"/>
      <c r="HL147" s="249"/>
      <c r="HM147" s="249"/>
      <c r="HN147" s="250"/>
      <c r="HO147" s="250"/>
      <c r="HP147" s="250"/>
      <c r="HQ147" s="250"/>
      <c r="HR147" s="250"/>
      <c r="HS147" s="250"/>
      <c r="HT147" s="250"/>
      <c r="HU147" s="249"/>
      <c r="HV147" s="249"/>
      <c r="HW147" s="249"/>
      <c r="HX147" s="249"/>
      <c r="HY147" s="249"/>
      <c r="HZ147" s="249"/>
      <c r="IA147" s="249"/>
      <c r="IB147" s="250"/>
      <c r="IC147" s="250"/>
      <c r="ID147" s="250"/>
      <c r="IE147" s="250"/>
      <c r="IF147" s="250"/>
      <c r="IG147" s="250"/>
      <c r="IH147" s="250"/>
      <c r="II147" s="249"/>
      <c r="IJ147" s="249"/>
      <c r="IK147" s="249"/>
      <c r="IL147" s="249"/>
      <c r="IM147" s="249"/>
      <c r="IN147" s="249"/>
      <c r="IO147" s="249"/>
      <c r="IP147" s="250"/>
      <c r="IQ147" s="250"/>
      <c r="IR147" s="250"/>
      <c r="IS147" s="250"/>
      <c r="IT147" s="250"/>
      <c r="IU147" s="250"/>
      <c r="IV147" s="250"/>
      <c r="IW147" s="249"/>
      <c r="IX147" s="249"/>
      <c r="IY147" s="249"/>
      <c r="IZ147" s="249"/>
      <c r="JA147" s="249"/>
      <c r="JB147" s="249"/>
      <c r="JC147" s="249"/>
      <c r="JD147" s="250"/>
      <c r="JE147" s="250"/>
      <c r="JF147" s="250"/>
      <c r="JG147" s="250"/>
      <c r="JH147" s="250"/>
      <c r="JI147" s="250"/>
      <c r="JJ147" s="250"/>
      <c r="JK147" s="249"/>
      <c r="JL147" s="249"/>
      <c r="JM147" s="249"/>
      <c r="JN147" s="249"/>
      <c r="JO147" s="249"/>
      <c r="JP147" s="249"/>
      <c r="JQ147" s="249"/>
      <c r="JR147" s="250"/>
      <c r="JS147" s="250"/>
      <c r="JT147" s="250"/>
      <c r="JU147" s="250"/>
      <c r="JV147" s="250"/>
      <c r="JW147" s="250"/>
      <c r="JX147" s="250"/>
      <c r="JY147" s="249"/>
      <c r="JZ147" s="249"/>
      <c r="KA147" s="249"/>
      <c r="KB147" s="249"/>
      <c r="KC147" s="249"/>
      <c r="KD147" s="249"/>
      <c r="KE147" s="249"/>
      <c r="KF147" s="250"/>
      <c r="KG147" s="250"/>
      <c r="KH147" s="250"/>
      <c r="KI147" s="250"/>
      <c r="KJ147" s="250"/>
      <c r="KK147" s="250"/>
      <c r="KL147" s="250"/>
      <c r="KM147" s="249"/>
      <c r="KN147" s="249"/>
      <c r="KO147" s="249"/>
      <c r="KP147" s="249"/>
      <c r="KQ147" s="249"/>
      <c r="KR147" s="249"/>
      <c r="KS147" s="249"/>
      <c r="KT147" s="250"/>
      <c r="KU147" s="250"/>
      <c r="KV147" s="250"/>
      <c r="KW147" s="250"/>
      <c r="KX147" s="250"/>
      <c r="KY147" s="250"/>
      <c r="KZ147" s="250"/>
      <c r="LA147" s="249"/>
      <c r="LB147" s="249"/>
      <c r="LC147" s="249"/>
      <c r="LD147" s="249"/>
      <c r="LE147" s="249"/>
      <c r="LF147" s="249"/>
      <c r="LG147" s="249"/>
      <c r="LH147" s="250"/>
      <c r="LI147" s="250"/>
      <c r="LJ147" s="250"/>
      <c r="LK147" s="250"/>
      <c r="LL147" s="250"/>
      <c r="LM147" s="250"/>
      <c r="LN147" s="250"/>
      <c r="LO147" s="249"/>
      <c r="LP147" s="249"/>
      <c r="LQ147" s="249"/>
      <c r="LR147" s="249"/>
      <c r="LS147" s="249"/>
      <c r="LT147" s="249"/>
      <c r="LU147" s="249"/>
      <c r="LV147" s="250"/>
      <c r="LW147" s="250"/>
      <c r="LX147" s="250"/>
      <c r="LY147" s="250"/>
      <c r="LZ147" s="250"/>
      <c r="MA147" s="250"/>
      <c r="MB147" s="250"/>
      <c r="MC147" s="249"/>
      <c r="MD147" s="249"/>
      <c r="ME147" s="249"/>
      <c r="MF147" s="249"/>
      <c r="MG147" s="249"/>
      <c r="MH147" s="249"/>
      <c r="MI147" s="249"/>
      <c r="MJ147" s="250"/>
      <c r="MK147" s="250"/>
      <c r="ML147" s="250"/>
      <c r="MM147" s="250"/>
      <c r="MN147" s="250"/>
      <c r="MO147" s="250"/>
      <c r="MP147" s="250"/>
      <c r="MQ147" s="249"/>
      <c r="MR147" s="249"/>
      <c r="MS147" s="249"/>
      <c r="MT147" s="249"/>
      <c r="MU147" s="249"/>
      <c r="MV147" s="249"/>
      <c r="MW147" s="249"/>
      <c r="MX147" s="250"/>
      <c r="MY147" s="250"/>
      <c r="MZ147" s="250"/>
      <c r="NA147" s="250"/>
      <c r="NB147" s="250"/>
      <c r="NC147" s="250"/>
      <c r="ND147" s="250"/>
      <c r="NE147" s="249"/>
      <c r="NF147" s="249"/>
      <c r="NG147" s="249"/>
      <c r="NH147" s="333"/>
    </row>
    <row r="148" spans="1:372">
      <c r="A148" s="251" t="s">
        <v>1158</v>
      </c>
      <c r="B148" s="251" t="s">
        <v>1159</v>
      </c>
      <c r="C148" s="251" t="s">
        <v>674</v>
      </c>
      <c r="D148" s="251" t="e">
        <v>#N/A</v>
      </c>
      <c r="E148" s="241">
        <v>0</v>
      </c>
      <c r="F148" s="241">
        <v>0</v>
      </c>
      <c r="G148" s="249"/>
      <c r="H148" s="249"/>
      <c r="I148" s="249"/>
      <c r="J148" s="249"/>
      <c r="K148" s="249"/>
      <c r="L148" s="250"/>
      <c r="M148" s="250"/>
      <c r="N148" s="250"/>
      <c r="O148" s="250"/>
      <c r="P148" s="250"/>
      <c r="Q148" s="250"/>
      <c r="R148" s="250"/>
      <c r="S148" s="249"/>
      <c r="T148" s="249"/>
      <c r="U148" s="249"/>
      <c r="V148" s="249"/>
      <c r="W148" s="249"/>
      <c r="X148" s="249"/>
      <c r="Y148" s="249"/>
      <c r="Z148" s="250"/>
      <c r="AA148" s="250"/>
      <c r="AB148" s="250"/>
      <c r="AC148" s="250"/>
      <c r="AD148" s="250"/>
      <c r="AE148" s="250"/>
      <c r="AF148" s="250"/>
      <c r="AG148" s="249"/>
      <c r="AH148" s="249"/>
      <c r="AI148" s="249"/>
      <c r="AJ148" s="249"/>
      <c r="AK148" s="249"/>
      <c r="AL148" s="249"/>
      <c r="AM148" s="249"/>
      <c r="AN148" s="250"/>
      <c r="AO148" s="250"/>
      <c r="AP148" s="250"/>
      <c r="AQ148" s="250"/>
      <c r="AR148" s="250"/>
      <c r="AS148" s="250"/>
      <c r="AT148" s="250"/>
      <c r="AU148" s="249"/>
      <c r="AV148" s="249"/>
      <c r="AW148" s="249"/>
      <c r="AX148" s="249"/>
      <c r="AY148" s="249"/>
      <c r="AZ148" s="249"/>
      <c r="BA148" s="249"/>
      <c r="BB148" s="250"/>
      <c r="BC148" s="250"/>
      <c r="BD148" s="250"/>
      <c r="BE148" s="250"/>
      <c r="BF148" s="250"/>
      <c r="BG148" s="250"/>
      <c r="BH148" s="250"/>
      <c r="BI148" s="249"/>
      <c r="BJ148" s="249"/>
      <c r="BK148" s="249"/>
      <c r="BL148" s="249"/>
      <c r="BM148" s="249"/>
      <c r="BN148" s="249"/>
      <c r="BO148" s="249"/>
      <c r="BP148" s="250"/>
      <c r="BQ148" s="250"/>
      <c r="BR148" s="250"/>
      <c r="BS148" s="250"/>
      <c r="BT148" s="250"/>
      <c r="BU148" s="250"/>
      <c r="BV148" s="250"/>
      <c r="BW148" s="249"/>
      <c r="BX148" s="249"/>
      <c r="BY148" s="249"/>
      <c r="BZ148" s="249"/>
      <c r="CA148" s="249"/>
      <c r="CB148" s="249"/>
      <c r="CC148" s="249"/>
      <c r="CD148" s="250"/>
      <c r="CE148" s="250"/>
      <c r="CF148" s="250"/>
      <c r="CG148" s="250"/>
      <c r="CH148" s="250"/>
      <c r="CI148" s="250"/>
      <c r="CJ148" s="250"/>
      <c r="CK148" s="249"/>
      <c r="CL148" s="249"/>
      <c r="CM148" s="249"/>
      <c r="CN148" s="249"/>
      <c r="CO148" s="249"/>
      <c r="CP148" s="249"/>
      <c r="CQ148" s="249"/>
      <c r="CR148" s="250"/>
      <c r="CS148" s="250"/>
      <c r="CT148" s="250"/>
      <c r="CU148" s="250"/>
      <c r="CV148" s="250"/>
      <c r="CW148" s="250"/>
      <c r="CX148" s="250"/>
      <c r="CY148" s="249"/>
      <c r="CZ148" s="249"/>
      <c r="DA148" s="249"/>
      <c r="DB148" s="249"/>
      <c r="DC148" s="249"/>
      <c r="DD148" s="249"/>
      <c r="DE148" s="249"/>
      <c r="DF148" s="250"/>
      <c r="DG148" s="250"/>
      <c r="DH148" s="250"/>
      <c r="DI148" s="250"/>
      <c r="DJ148" s="250"/>
      <c r="DK148" s="250"/>
      <c r="DL148" s="250"/>
      <c r="DM148" s="249"/>
      <c r="DN148" s="249"/>
      <c r="DO148" s="249"/>
      <c r="DP148" s="249"/>
      <c r="DQ148" s="249"/>
      <c r="DR148" s="249"/>
      <c r="DS148" s="249"/>
      <c r="DT148" s="250"/>
      <c r="DU148" s="250"/>
      <c r="DV148" s="250"/>
      <c r="DW148" s="250"/>
      <c r="DX148" s="250"/>
      <c r="DY148" s="250"/>
      <c r="DZ148" s="250"/>
      <c r="EA148" s="249"/>
      <c r="EB148" s="249"/>
      <c r="EC148" s="249"/>
      <c r="ED148" s="249"/>
      <c r="EE148" s="249"/>
      <c r="EF148" s="249"/>
      <c r="EG148" s="249"/>
      <c r="EH148" s="250"/>
      <c r="EI148" s="250"/>
      <c r="EJ148" s="250"/>
      <c r="EK148" s="250"/>
      <c r="EL148" s="250"/>
      <c r="EM148" s="250"/>
      <c r="EN148" s="250"/>
      <c r="EO148" s="249"/>
      <c r="EP148" s="249"/>
      <c r="EQ148" s="249"/>
      <c r="ER148" s="249"/>
      <c r="ES148" s="249"/>
      <c r="ET148" s="249"/>
      <c r="EU148" s="249"/>
      <c r="EV148" s="250"/>
      <c r="EW148" s="250"/>
      <c r="EX148" s="250"/>
      <c r="EY148" s="250"/>
      <c r="EZ148" s="250"/>
      <c r="FA148" s="250"/>
      <c r="FB148" s="250"/>
      <c r="FC148" s="249"/>
      <c r="FD148" s="249"/>
      <c r="FE148" s="249"/>
      <c r="FF148" s="249"/>
      <c r="FG148" s="249"/>
      <c r="FH148" s="249"/>
      <c r="FI148" s="249"/>
      <c r="FJ148" s="250"/>
      <c r="FK148" s="250"/>
      <c r="FL148" s="250"/>
      <c r="FM148" s="250"/>
      <c r="FN148" s="250"/>
      <c r="FO148" s="250"/>
      <c r="FP148" s="250"/>
      <c r="FQ148" s="249"/>
      <c r="FR148" s="249"/>
      <c r="FS148" s="249"/>
      <c r="FT148" s="249"/>
      <c r="FU148" s="249"/>
      <c r="FV148" s="249"/>
      <c r="FW148" s="249"/>
      <c r="FX148" s="250"/>
      <c r="FY148" s="250"/>
      <c r="FZ148" s="250"/>
      <c r="GA148" s="250"/>
      <c r="GB148" s="250"/>
      <c r="GC148" s="250"/>
      <c r="GD148" s="250"/>
      <c r="GE148" s="249"/>
      <c r="GF148" s="249"/>
      <c r="GG148" s="249"/>
      <c r="GH148" s="249"/>
      <c r="GI148" s="249"/>
      <c r="GJ148" s="249"/>
      <c r="GK148" s="249"/>
      <c r="GL148" s="250"/>
      <c r="GM148" s="250"/>
      <c r="GN148" s="250"/>
      <c r="GO148" s="250"/>
      <c r="GP148" s="250"/>
      <c r="GQ148" s="250"/>
      <c r="GR148" s="250"/>
      <c r="GS148" s="249"/>
      <c r="GT148" s="249"/>
      <c r="GU148" s="249"/>
      <c r="GV148" s="249"/>
      <c r="GW148" s="249"/>
      <c r="GX148" s="249"/>
      <c r="GY148" s="249"/>
      <c r="GZ148" s="250"/>
      <c r="HA148" s="250"/>
      <c r="HB148" s="250"/>
      <c r="HC148" s="250"/>
      <c r="HD148" s="250"/>
      <c r="HE148" s="250"/>
      <c r="HF148" s="250"/>
      <c r="HG148" s="249"/>
      <c r="HH148" s="249"/>
      <c r="HI148" s="249"/>
      <c r="HJ148" s="249"/>
      <c r="HK148" s="249"/>
      <c r="HL148" s="249"/>
      <c r="HM148" s="249"/>
      <c r="HN148" s="250"/>
      <c r="HO148" s="250"/>
      <c r="HP148" s="250"/>
      <c r="HQ148" s="250"/>
      <c r="HR148" s="250"/>
      <c r="HS148" s="250"/>
      <c r="HT148" s="250"/>
      <c r="HU148" s="249"/>
      <c r="HV148" s="249"/>
      <c r="HW148" s="249"/>
      <c r="HX148" s="249"/>
      <c r="HY148" s="249"/>
      <c r="HZ148" s="249"/>
      <c r="IA148" s="249"/>
      <c r="IB148" s="250"/>
      <c r="IC148" s="250"/>
      <c r="ID148" s="250"/>
      <c r="IE148" s="250"/>
      <c r="IF148" s="250"/>
      <c r="IG148" s="250"/>
      <c r="IH148" s="250"/>
      <c r="II148" s="249"/>
      <c r="IJ148" s="249"/>
      <c r="IK148" s="249"/>
      <c r="IL148" s="249"/>
      <c r="IM148" s="249"/>
      <c r="IN148" s="249"/>
      <c r="IO148" s="249"/>
      <c r="IP148" s="250"/>
      <c r="IQ148" s="250"/>
      <c r="IR148" s="250"/>
      <c r="IS148" s="250"/>
      <c r="IT148" s="250"/>
      <c r="IU148" s="250"/>
      <c r="IV148" s="250"/>
      <c r="IW148" s="249"/>
      <c r="IX148" s="249"/>
      <c r="IY148" s="249"/>
      <c r="IZ148" s="249"/>
      <c r="JA148" s="249"/>
      <c r="JB148" s="249"/>
      <c r="JC148" s="249"/>
      <c r="JD148" s="250"/>
      <c r="JE148" s="250"/>
      <c r="JF148" s="250"/>
      <c r="JG148" s="250"/>
      <c r="JH148" s="250"/>
      <c r="JI148" s="250"/>
      <c r="JJ148" s="250"/>
      <c r="JK148" s="249"/>
      <c r="JL148" s="249"/>
      <c r="JM148" s="249"/>
      <c r="JN148" s="249"/>
      <c r="JO148" s="249"/>
      <c r="JP148" s="249"/>
      <c r="JQ148" s="249"/>
      <c r="JR148" s="250"/>
      <c r="JS148" s="250"/>
      <c r="JT148" s="250"/>
      <c r="JU148" s="250"/>
      <c r="JV148" s="250"/>
      <c r="JW148" s="250"/>
      <c r="JX148" s="250"/>
      <c r="JY148" s="249"/>
      <c r="JZ148" s="249"/>
      <c r="KA148" s="249"/>
      <c r="KB148" s="249"/>
      <c r="KC148" s="249"/>
      <c r="KD148" s="249"/>
      <c r="KE148" s="249"/>
      <c r="KF148" s="250"/>
      <c r="KG148" s="250"/>
      <c r="KH148" s="250"/>
      <c r="KI148" s="250"/>
      <c r="KJ148" s="250"/>
      <c r="KK148" s="250"/>
      <c r="KL148" s="250"/>
      <c r="KM148" s="249"/>
      <c r="KN148" s="249"/>
      <c r="KO148" s="249"/>
      <c r="KP148" s="249"/>
      <c r="KQ148" s="249"/>
      <c r="KR148" s="249"/>
      <c r="KS148" s="249"/>
      <c r="KT148" s="250"/>
      <c r="KU148" s="250"/>
      <c r="KV148" s="250"/>
      <c r="KW148" s="250"/>
      <c r="KX148" s="250"/>
      <c r="KY148" s="250"/>
      <c r="KZ148" s="250"/>
      <c r="LA148" s="249"/>
      <c r="LB148" s="249"/>
      <c r="LC148" s="249"/>
      <c r="LD148" s="249"/>
      <c r="LE148" s="249"/>
      <c r="LF148" s="249"/>
      <c r="LG148" s="249"/>
      <c r="LH148" s="250"/>
      <c r="LI148" s="250"/>
      <c r="LJ148" s="250"/>
      <c r="LK148" s="250"/>
      <c r="LL148" s="250"/>
      <c r="LM148" s="250"/>
      <c r="LN148" s="250"/>
      <c r="LO148" s="249"/>
      <c r="LP148" s="249"/>
      <c r="LQ148" s="249"/>
      <c r="LR148" s="249"/>
      <c r="LS148" s="249"/>
      <c r="LT148" s="249"/>
      <c r="LU148" s="249"/>
      <c r="LV148" s="250"/>
      <c r="LW148" s="250"/>
      <c r="LX148" s="250"/>
      <c r="LY148" s="250"/>
      <c r="LZ148" s="250"/>
      <c r="MA148" s="250"/>
      <c r="MB148" s="250"/>
      <c r="MC148" s="249"/>
      <c r="MD148" s="249"/>
      <c r="ME148" s="249"/>
      <c r="MF148" s="249"/>
      <c r="MG148" s="249"/>
      <c r="MH148" s="249"/>
      <c r="MI148" s="249"/>
      <c r="MJ148" s="250"/>
      <c r="MK148" s="250"/>
      <c r="ML148" s="250"/>
      <c r="MM148" s="250"/>
      <c r="MN148" s="250"/>
      <c r="MO148" s="250"/>
      <c r="MP148" s="250"/>
      <c r="MQ148" s="249"/>
      <c r="MR148" s="249"/>
      <c r="MS148" s="249"/>
      <c r="MT148" s="249"/>
      <c r="MU148" s="249"/>
      <c r="MV148" s="249"/>
      <c r="MW148" s="249"/>
      <c r="MX148" s="250"/>
      <c r="MY148" s="250"/>
      <c r="MZ148" s="250"/>
      <c r="NA148" s="250"/>
      <c r="NB148" s="250"/>
      <c r="NC148" s="250"/>
      <c r="ND148" s="250"/>
      <c r="NE148" s="249"/>
      <c r="NF148" s="249"/>
      <c r="NG148" s="249"/>
      <c r="NH148" s="333"/>
    </row>
    <row r="149" spans="1:372">
      <c r="A149" s="251" t="s">
        <v>1160</v>
      </c>
      <c r="B149" s="251" t="s">
        <v>1161</v>
      </c>
      <c r="C149" s="251" t="s">
        <v>674</v>
      </c>
      <c r="D149" s="251" t="s">
        <v>982</v>
      </c>
      <c r="E149" s="241">
        <v>0</v>
      </c>
      <c r="F149" s="241">
        <v>0</v>
      </c>
      <c r="G149" s="249"/>
      <c r="H149" s="249"/>
      <c r="I149" s="249"/>
      <c r="J149" s="249"/>
      <c r="K149" s="249"/>
      <c r="L149" s="250"/>
      <c r="M149" s="250"/>
      <c r="N149" s="250"/>
      <c r="O149" s="250"/>
      <c r="P149" s="250"/>
      <c r="Q149" s="250"/>
      <c r="R149" s="250"/>
      <c r="S149" s="249"/>
      <c r="T149" s="249"/>
      <c r="U149" s="249"/>
      <c r="V149" s="249"/>
      <c r="W149" s="249"/>
      <c r="X149" s="249"/>
      <c r="Y149" s="249"/>
      <c r="Z149" s="250"/>
      <c r="AA149" s="250"/>
      <c r="AB149" s="250"/>
      <c r="AC149" s="250"/>
      <c r="AD149" s="250"/>
      <c r="AE149" s="250"/>
      <c r="AF149" s="250"/>
      <c r="AG149" s="249"/>
      <c r="AH149" s="249"/>
      <c r="AI149" s="249"/>
      <c r="AJ149" s="249"/>
      <c r="AK149" s="249"/>
      <c r="AL149" s="249"/>
      <c r="AM149" s="249"/>
      <c r="AN149" s="250"/>
      <c r="AO149" s="250"/>
      <c r="AP149" s="250"/>
      <c r="AQ149" s="250"/>
      <c r="AR149" s="250"/>
      <c r="AS149" s="250"/>
      <c r="AT149" s="250"/>
      <c r="AU149" s="249"/>
      <c r="AV149" s="249"/>
      <c r="AW149" s="249"/>
      <c r="AX149" s="249"/>
      <c r="AY149" s="249"/>
      <c r="AZ149" s="249"/>
      <c r="BA149" s="249"/>
      <c r="BB149" s="250"/>
      <c r="BC149" s="250"/>
      <c r="BD149" s="250"/>
      <c r="BE149" s="250"/>
      <c r="BF149" s="250"/>
      <c r="BG149" s="250"/>
      <c r="BH149" s="250"/>
      <c r="BI149" s="249"/>
      <c r="BJ149" s="249"/>
      <c r="BK149" s="249"/>
      <c r="BL149" s="249"/>
      <c r="BM149" s="249"/>
      <c r="BN149" s="249"/>
      <c r="BO149" s="249"/>
      <c r="BP149" s="250"/>
      <c r="BQ149" s="250"/>
      <c r="BR149" s="250"/>
      <c r="BS149" s="250"/>
      <c r="BT149" s="250"/>
      <c r="BU149" s="250"/>
      <c r="BV149" s="250"/>
      <c r="BW149" s="249"/>
      <c r="BX149" s="249"/>
      <c r="BY149" s="249"/>
      <c r="BZ149" s="249"/>
      <c r="CA149" s="249"/>
      <c r="CB149" s="249"/>
      <c r="CC149" s="249"/>
      <c r="CD149" s="250"/>
      <c r="CE149" s="250"/>
      <c r="CF149" s="250"/>
      <c r="CG149" s="250"/>
      <c r="CH149" s="250"/>
      <c r="CI149" s="250"/>
      <c r="CJ149" s="250"/>
      <c r="CK149" s="249"/>
      <c r="CL149" s="249"/>
      <c r="CM149" s="249"/>
      <c r="CN149" s="249"/>
      <c r="CO149" s="249"/>
      <c r="CP149" s="249"/>
      <c r="CQ149" s="249"/>
      <c r="CR149" s="250"/>
      <c r="CS149" s="250"/>
      <c r="CT149" s="250"/>
      <c r="CU149" s="250"/>
      <c r="CV149" s="250"/>
      <c r="CW149" s="250"/>
      <c r="CX149" s="250"/>
      <c r="CY149" s="249"/>
      <c r="CZ149" s="249"/>
      <c r="DA149" s="249"/>
      <c r="DB149" s="249"/>
      <c r="DC149" s="249"/>
      <c r="DD149" s="249"/>
      <c r="DE149" s="249"/>
      <c r="DF149" s="250"/>
      <c r="DG149" s="250"/>
      <c r="DH149" s="250"/>
      <c r="DI149" s="250"/>
      <c r="DJ149" s="250"/>
      <c r="DK149" s="250"/>
      <c r="DL149" s="250"/>
      <c r="DM149" s="249"/>
      <c r="DN149" s="249"/>
      <c r="DO149" s="249"/>
      <c r="DP149" s="249"/>
      <c r="DQ149" s="249"/>
      <c r="DR149" s="249"/>
      <c r="DS149" s="249"/>
      <c r="DT149" s="250"/>
      <c r="DU149" s="250"/>
      <c r="DV149" s="250"/>
      <c r="DW149" s="250"/>
      <c r="DX149" s="250"/>
      <c r="DY149" s="250"/>
      <c r="DZ149" s="250"/>
      <c r="EA149" s="249"/>
      <c r="EB149" s="249"/>
      <c r="EC149" s="249"/>
      <c r="ED149" s="249"/>
      <c r="EE149" s="249"/>
      <c r="EF149" s="249"/>
      <c r="EG149" s="249"/>
      <c r="EH149" s="250"/>
      <c r="EI149" s="250"/>
      <c r="EJ149" s="250"/>
      <c r="EK149" s="250"/>
      <c r="EL149" s="250"/>
      <c r="EM149" s="250"/>
      <c r="EN149" s="250"/>
      <c r="EO149" s="249"/>
      <c r="EP149" s="249"/>
      <c r="EQ149" s="249"/>
      <c r="ER149" s="249"/>
      <c r="ES149" s="249"/>
      <c r="ET149" s="249"/>
      <c r="EU149" s="249"/>
      <c r="EV149" s="250"/>
      <c r="EW149" s="250"/>
      <c r="EX149" s="250"/>
      <c r="EY149" s="250"/>
      <c r="EZ149" s="250"/>
      <c r="FA149" s="250"/>
      <c r="FB149" s="250"/>
      <c r="FC149" s="249"/>
      <c r="FD149" s="249"/>
      <c r="FE149" s="249"/>
      <c r="FF149" s="249"/>
      <c r="FG149" s="249"/>
      <c r="FH149" s="249"/>
      <c r="FI149" s="249"/>
      <c r="FJ149" s="250"/>
      <c r="FK149" s="250"/>
      <c r="FL149" s="250"/>
      <c r="FM149" s="250"/>
      <c r="FN149" s="250"/>
      <c r="FO149" s="250"/>
      <c r="FP149" s="250"/>
      <c r="FQ149" s="249"/>
      <c r="FR149" s="249"/>
      <c r="FS149" s="249"/>
      <c r="FT149" s="249"/>
      <c r="FU149" s="249"/>
      <c r="FV149" s="249"/>
      <c r="FW149" s="249"/>
      <c r="FX149" s="250"/>
      <c r="FY149" s="250"/>
      <c r="FZ149" s="250"/>
      <c r="GA149" s="250"/>
      <c r="GB149" s="250"/>
      <c r="GC149" s="250"/>
      <c r="GD149" s="250"/>
      <c r="GE149" s="249"/>
      <c r="GF149" s="249"/>
      <c r="GG149" s="249"/>
      <c r="GH149" s="249"/>
      <c r="GI149" s="249"/>
      <c r="GJ149" s="249"/>
      <c r="GK149" s="249"/>
      <c r="GL149" s="250"/>
      <c r="GM149" s="250"/>
      <c r="GN149" s="250"/>
      <c r="GO149" s="250"/>
      <c r="GP149" s="250"/>
      <c r="GQ149" s="250"/>
      <c r="GR149" s="250"/>
      <c r="GS149" s="249"/>
      <c r="GT149" s="249"/>
      <c r="GU149" s="249"/>
      <c r="GV149" s="249"/>
      <c r="GW149" s="249"/>
      <c r="GX149" s="249"/>
      <c r="GY149" s="249"/>
      <c r="GZ149" s="250"/>
      <c r="HA149" s="250"/>
      <c r="HB149" s="250"/>
      <c r="HC149" s="250"/>
      <c r="HD149" s="250"/>
      <c r="HE149" s="250"/>
      <c r="HF149" s="250"/>
      <c r="HG149" s="249"/>
      <c r="HH149" s="249"/>
      <c r="HI149" s="249"/>
      <c r="HJ149" s="249"/>
      <c r="HK149" s="249"/>
      <c r="HL149" s="249"/>
      <c r="HM149" s="249"/>
      <c r="HN149" s="250"/>
      <c r="HO149" s="250"/>
      <c r="HP149" s="250"/>
      <c r="HQ149" s="250"/>
      <c r="HR149" s="250"/>
      <c r="HS149" s="250"/>
      <c r="HT149" s="250"/>
      <c r="HU149" s="249"/>
      <c r="HV149" s="249"/>
      <c r="HW149" s="249"/>
      <c r="HX149" s="249"/>
      <c r="HY149" s="249"/>
      <c r="HZ149" s="249"/>
      <c r="IA149" s="249"/>
      <c r="IB149" s="250"/>
      <c r="IC149" s="250"/>
      <c r="ID149" s="250"/>
      <c r="IE149" s="250"/>
      <c r="IF149" s="250"/>
      <c r="IG149" s="250"/>
      <c r="IH149" s="250"/>
      <c r="II149" s="249"/>
      <c r="IJ149" s="249"/>
      <c r="IK149" s="249"/>
      <c r="IL149" s="249"/>
      <c r="IM149" s="249"/>
      <c r="IN149" s="249"/>
      <c r="IO149" s="249"/>
      <c r="IP149" s="250"/>
      <c r="IQ149" s="250"/>
      <c r="IR149" s="250"/>
      <c r="IS149" s="250"/>
      <c r="IT149" s="250"/>
      <c r="IU149" s="250"/>
      <c r="IV149" s="250"/>
      <c r="IW149" s="249"/>
      <c r="IX149" s="249"/>
      <c r="IY149" s="249"/>
      <c r="IZ149" s="249"/>
      <c r="JA149" s="249"/>
      <c r="JB149" s="249"/>
      <c r="JC149" s="249"/>
      <c r="JD149" s="250"/>
      <c r="JE149" s="250"/>
      <c r="JF149" s="250"/>
      <c r="JG149" s="250"/>
      <c r="JH149" s="250"/>
      <c r="JI149" s="250"/>
      <c r="JJ149" s="250"/>
      <c r="JK149" s="249"/>
      <c r="JL149" s="249"/>
      <c r="JM149" s="249"/>
      <c r="JN149" s="249"/>
      <c r="JO149" s="249"/>
      <c r="JP149" s="249"/>
      <c r="JQ149" s="249"/>
      <c r="JR149" s="250"/>
      <c r="JS149" s="250"/>
      <c r="JT149" s="250"/>
      <c r="JU149" s="250"/>
      <c r="JV149" s="250"/>
      <c r="JW149" s="250"/>
      <c r="JX149" s="250"/>
      <c r="JY149" s="249"/>
      <c r="JZ149" s="249"/>
      <c r="KA149" s="249"/>
      <c r="KB149" s="249"/>
      <c r="KC149" s="249"/>
      <c r="KD149" s="249"/>
      <c r="KE149" s="249"/>
      <c r="KF149" s="250"/>
      <c r="KG149" s="250"/>
      <c r="KH149" s="250"/>
      <c r="KI149" s="250"/>
      <c r="KJ149" s="250"/>
      <c r="KK149" s="250"/>
      <c r="KL149" s="250"/>
      <c r="KM149" s="249"/>
      <c r="KN149" s="249"/>
      <c r="KO149" s="249"/>
      <c r="KP149" s="249"/>
      <c r="KQ149" s="249"/>
      <c r="KR149" s="249"/>
      <c r="KS149" s="249"/>
      <c r="KT149" s="250"/>
      <c r="KU149" s="250"/>
      <c r="KV149" s="250"/>
      <c r="KW149" s="250"/>
      <c r="KX149" s="250"/>
      <c r="KY149" s="250"/>
      <c r="KZ149" s="250"/>
      <c r="LA149" s="249"/>
      <c r="LB149" s="249"/>
      <c r="LC149" s="249"/>
      <c r="LD149" s="249"/>
      <c r="LE149" s="249"/>
      <c r="LF149" s="249"/>
      <c r="LG149" s="249"/>
      <c r="LH149" s="250"/>
      <c r="LI149" s="250"/>
      <c r="LJ149" s="250"/>
      <c r="LK149" s="250"/>
      <c r="LL149" s="250"/>
      <c r="LM149" s="250"/>
      <c r="LN149" s="250"/>
      <c r="LO149" s="249"/>
      <c r="LP149" s="249"/>
      <c r="LQ149" s="249"/>
      <c r="LR149" s="249"/>
      <c r="LS149" s="249"/>
      <c r="LT149" s="249"/>
      <c r="LU149" s="249"/>
      <c r="LV149" s="250"/>
      <c r="LW149" s="250"/>
      <c r="LX149" s="250"/>
      <c r="LY149" s="250"/>
      <c r="LZ149" s="250"/>
      <c r="MA149" s="250"/>
      <c r="MB149" s="250"/>
      <c r="MC149" s="249"/>
      <c r="MD149" s="249"/>
      <c r="ME149" s="249"/>
      <c r="MF149" s="249"/>
      <c r="MG149" s="249"/>
      <c r="MH149" s="249"/>
      <c r="MI149" s="249"/>
      <c r="MJ149" s="250"/>
      <c r="MK149" s="250"/>
      <c r="ML149" s="250"/>
      <c r="MM149" s="250"/>
      <c r="MN149" s="250"/>
      <c r="MO149" s="250"/>
      <c r="MP149" s="250"/>
      <c r="MQ149" s="249"/>
      <c r="MR149" s="249"/>
      <c r="MS149" s="249"/>
      <c r="MT149" s="249"/>
      <c r="MU149" s="249"/>
      <c r="MV149" s="249"/>
      <c r="MW149" s="249"/>
      <c r="MX149" s="250"/>
      <c r="MY149" s="250"/>
      <c r="MZ149" s="250"/>
      <c r="NA149" s="250"/>
      <c r="NB149" s="250"/>
      <c r="NC149" s="250"/>
      <c r="ND149" s="250"/>
      <c r="NE149" s="249"/>
      <c r="NF149" s="249"/>
      <c r="NG149" s="249"/>
      <c r="NH149" s="333"/>
    </row>
  </sheetData>
  <protectedRanges>
    <protectedRange sqref="G4:BH150 BM4:NH150 BI20:BK150 BL19:BL150 BI4:BL18" name="EntryRange"/>
    <protectedRange sqref="AT92:BA92" name="EntryRange_1"/>
  </protectedRanges>
  <mergeCells count="66">
    <mergeCell ref="MX2:ND2"/>
    <mergeCell ref="NE2:NG2"/>
    <mergeCell ref="LH2:LN2"/>
    <mergeCell ref="LO2:LU2"/>
    <mergeCell ref="LV2:MB2"/>
    <mergeCell ref="MC2:MI2"/>
    <mergeCell ref="MJ2:MP2"/>
    <mergeCell ref="MQ2:MW2"/>
    <mergeCell ref="LA2:LG2"/>
    <mergeCell ref="IB2:IH2"/>
    <mergeCell ref="II2:IO2"/>
    <mergeCell ref="IP2:IV2"/>
    <mergeCell ref="IW2:JC2"/>
    <mergeCell ref="JD2:JJ2"/>
    <mergeCell ref="JK2:JQ2"/>
    <mergeCell ref="JR2:JX2"/>
    <mergeCell ref="JY2:KE2"/>
    <mergeCell ref="KF2:KL2"/>
    <mergeCell ref="KM2:KS2"/>
    <mergeCell ref="KT2:KZ2"/>
    <mergeCell ref="HU2:IA2"/>
    <mergeCell ref="EV2:FB2"/>
    <mergeCell ref="FC2:FI2"/>
    <mergeCell ref="FJ2:FP2"/>
    <mergeCell ref="FQ2:FW2"/>
    <mergeCell ref="FX2:GD2"/>
    <mergeCell ref="GE2:GK2"/>
    <mergeCell ref="GL2:GR2"/>
    <mergeCell ref="GS2:GY2"/>
    <mergeCell ref="GZ2:HF2"/>
    <mergeCell ref="HG2:HM2"/>
    <mergeCell ref="HN2:HT2"/>
    <mergeCell ref="EO2:EU2"/>
    <mergeCell ref="BP2:BV2"/>
    <mergeCell ref="BW2:CC2"/>
    <mergeCell ref="CD2:CJ2"/>
    <mergeCell ref="CK2:CQ2"/>
    <mergeCell ref="CR2:CX2"/>
    <mergeCell ref="CY2:DE2"/>
    <mergeCell ref="DF2:DL2"/>
    <mergeCell ref="DM2:DS2"/>
    <mergeCell ref="DT2:DZ2"/>
    <mergeCell ref="EA2:EG2"/>
    <mergeCell ref="EH2:EN2"/>
    <mergeCell ref="NH1:NH3"/>
    <mergeCell ref="G2:K2"/>
    <mergeCell ref="L2:R2"/>
    <mergeCell ref="S2:Y2"/>
    <mergeCell ref="Z2:AF2"/>
    <mergeCell ref="AG2:AM2"/>
    <mergeCell ref="AN2:AT2"/>
    <mergeCell ref="AU2:BA2"/>
    <mergeCell ref="BB2:BH2"/>
    <mergeCell ref="BI2:BO2"/>
    <mergeCell ref="GF1:HI1"/>
    <mergeCell ref="HJ1:IO1"/>
    <mergeCell ref="IP1:JS1"/>
    <mergeCell ref="JT1:KX1"/>
    <mergeCell ref="KY1:MB1"/>
    <mergeCell ref="MC1:NG1"/>
    <mergeCell ref="FB1:GE1"/>
    <mergeCell ref="G1:AK1"/>
    <mergeCell ref="AL1:BM1"/>
    <mergeCell ref="BN1:CR1"/>
    <mergeCell ref="CS1:DV1"/>
    <mergeCell ref="DW1:FA1"/>
  </mergeCells>
  <conditionalFormatting sqref="F4:F149">
    <cfRule type="cellIs" dxfId="27" priority="1" operator="greaterThan">
      <formula>E4+1</formula>
    </cfRule>
  </conditionalFormatting>
  <hyperlinks>
    <hyperlink ref="B1" r:id="rId1" display="../../../../../../:x:/r/sites/SC00035T12607/Maintenance  Reliability/M%26R Objectives, KPI%27s %26 Targets/2025/2025 EQ Reliability Target Setting - All EMEA Sites (1).xlsx?d=wfdcfca1babf34500a3e02d9023d77a25&amp;csf=1&amp;web=1&amp;e=Jq7GYy&amp;xsdata=MDV8MDJ8ZXJpay5waGlsaXBzZUBub3VyeW9uLmNvbXw3ZWJjYWIxOTIwMzY0OWVlNDU5YjA4ZGQzNjI0YTlmZXxkMzRiMjIxZmFjZDQ0ZTQ0OTJmODEyMTVhOTY1ZDQyYXwwfDB8NjM4NzI2MjUzMjY2NjUyMjYzfFVua25vd258VFdGcGJHWnNiM2Q4ZXlKRmJYQjBlVTFoY0draU9uUnlkV1VzSWxZaU9pSXdMakF1TURBd01DSXNJbEFpT2lKWGFXNHpNaUlzSWtGT0lqb2lUV0ZwYkNJc0lsZFVJam95ZlE9PXwwfHx8&amp;sdata=dUlBV2R0cXcrdjFqWEFXUWVHZENZRlNUU3VVZW9LZFNVRW5LQzlRbTZHMD0%3d" xr:uid="{404C2CF6-3F78-4A12-B7C2-421AE6DC30D5}"/>
  </hyperlinks>
  <pageMargins left="0.7" right="0.7" top="0.75" bottom="0.75" header="0.3" footer="0.3"/>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CCC40-D3FC-4B19-AE59-81887DD55E29}">
  <sheetPr codeName="Sheet11">
    <tabColor rgb="FF0070C0"/>
  </sheetPr>
  <dimension ref="A1:NH149"/>
  <sheetViews>
    <sheetView workbookViewId="0">
      <selection sqref="A1:B1"/>
    </sheetView>
  </sheetViews>
  <sheetFormatPr defaultColWidth="9.140625" defaultRowHeight="12.75"/>
  <cols>
    <col min="1" max="1" width="15.140625" bestFit="1" customWidth="1"/>
    <col min="2" max="2" width="24.42578125" bestFit="1" customWidth="1"/>
    <col min="3" max="3" width="5.5703125" customWidth="1"/>
    <col min="4" max="4" width="5.85546875" bestFit="1" customWidth="1"/>
    <col min="5" max="6" width="7.5703125" bestFit="1" customWidth="1"/>
    <col min="7" max="144" width="4.42578125" bestFit="1" customWidth="1"/>
    <col min="145" max="145" width="7.28515625" bestFit="1" customWidth="1"/>
    <col min="146" max="284" width="4.42578125" bestFit="1" customWidth="1"/>
    <col min="285" max="285" width="5" bestFit="1" customWidth="1"/>
    <col min="286" max="369" width="4.42578125" bestFit="1" customWidth="1"/>
    <col min="370" max="370" width="4.42578125" customWidth="1"/>
    <col min="371" max="371" width="4.42578125" bestFit="1" customWidth="1"/>
    <col min="372" max="372" width="104.140625" customWidth="1"/>
  </cols>
  <sheetData>
    <row r="1" spans="1:372" ht="114" customHeight="1">
      <c r="A1" s="378" t="s">
        <v>1261</v>
      </c>
      <c r="B1" s="379" t="s">
        <v>1262</v>
      </c>
      <c r="C1" s="345" t="s">
        <v>888</v>
      </c>
      <c r="D1" s="345" t="s">
        <v>889</v>
      </c>
      <c r="E1" s="349" t="s">
        <v>1131</v>
      </c>
      <c r="F1" s="350" t="s">
        <v>890</v>
      </c>
      <c r="G1" s="400" t="s">
        <v>891</v>
      </c>
      <c r="H1" s="401"/>
      <c r="I1" s="401"/>
      <c r="J1" s="401"/>
      <c r="K1" s="401"/>
      <c r="L1" s="401"/>
      <c r="M1" s="401"/>
      <c r="N1" s="401"/>
      <c r="O1" s="401"/>
      <c r="P1" s="401"/>
      <c r="Q1" s="401"/>
      <c r="R1" s="401"/>
      <c r="S1" s="401"/>
      <c r="T1" s="401"/>
      <c r="U1" s="401"/>
      <c r="V1" s="401"/>
      <c r="W1" s="401"/>
      <c r="X1" s="401"/>
      <c r="Y1" s="401"/>
      <c r="Z1" s="401"/>
      <c r="AA1" s="401"/>
      <c r="AB1" s="401"/>
      <c r="AC1" s="401"/>
      <c r="AD1" s="401"/>
      <c r="AE1" s="401"/>
      <c r="AF1" s="401"/>
      <c r="AG1" s="401"/>
      <c r="AH1" s="401"/>
      <c r="AI1" s="401"/>
      <c r="AJ1" s="401"/>
      <c r="AK1" s="402"/>
      <c r="AL1" s="403" t="s">
        <v>1112</v>
      </c>
      <c r="AM1" s="404"/>
      <c r="AN1" s="404"/>
      <c r="AO1" s="404"/>
      <c r="AP1" s="404"/>
      <c r="AQ1" s="404"/>
      <c r="AR1" s="404"/>
      <c r="AS1" s="404"/>
      <c r="AT1" s="404"/>
      <c r="AU1" s="404"/>
      <c r="AV1" s="404"/>
      <c r="AW1" s="404"/>
      <c r="AX1" s="404"/>
      <c r="AY1" s="404"/>
      <c r="AZ1" s="404"/>
      <c r="BA1" s="404"/>
      <c r="BB1" s="404"/>
      <c r="BC1" s="404"/>
      <c r="BD1" s="404"/>
      <c r="BE1" s="404"/>
      <c r="BF1" s="404"/>
      <c r="BG1" s="404"/>
      <c r="BH1" s="404"/>
      <c r="BI1" s="404"/>
      <c r="BJ1" s="404"/>
      <c r="BK1" s="404"/>
      <c r="BL1" s="404"/>
      <c r="BM1" s="405"/>
      <c r="BN1" s="400" t="s">
        <v>892</v>
      </c>
      <c r="BO1" s="401"/>
      <c r="BP1" s="401"/>
      <c r="BQ1" s="401"/>
      <c r="BR1" s="401"/>
      <c r="BS1" s="401"/>
      <c r="BT1" s="401"/>
      <c r="BU1" s="401"/>
      <c r="BV1" s="401"/>
      <c r="BW1" s="401"/>
      <c r="BX1" s="401"/>
      <c r="BY1" s="401"/>
      <c r="BZ1" s="401"/>
      <c r="CA1" s="401"/>
      <c r="CB1" s="401"/>
      <c r="CC1" s="401"/>
      <c r="CD1" s="401"/>
      <c r="CE1" s="401"/>
      <c r="CF1" s="401"/>
      <c r="CG1" s="401"/>
      <c r="CH1" s="401"/>
      <c r="CI1" s="401"/>
      <c r="CJ1" s="401"/>
      <c r="CK1" s="401"/>
      <c r="CL1" s="401"/>
      <c r="CM1" s="401"/>
      <c r="CN1" s="401"/>
      <c r="CO1" s="401"/>
      <c r="CP1" s="401"/>
      <c r="CQ1" s="401"/>
      <c r="CR1" s="402"/>
      <c r="CS1" s="400" t="s">
        <v>893</v>
      </c>
      <c r="CT1" s="401"/>
      <c r="CU1" s="401"/>
      <c r="CV1" s="401"/>
      <c r="CW1" s="401"/>
      <c r="CX1" s="401"/>
      <c r="CY1" s="401"/>
      <c r="CZ1" s="401"/>
      <c r="DA1" s="401"/>
      <c r="DB1" s="401"/>
      <c r="DC1" s="401"/>
      <c r="DD1" s="401"/>
      <c r="DE1" s="401"/>
      <c r="DF1" s="401"/>
      <c r="DG1" s="401"/>
      <c r="DH1" s="401"/>
      <c r="DI1" s="401"/>
      <c r="DJ1" s="401"/>
      <c r="DK1" s="401"/>
      <c r="DL1" s="401"/>
      <c r="DM1" s="401"/>
      <c r="DN1" s="401"/>
      <c r="DO1" s="401"/>
      <c r="DP1" s="401"/>
      <c r="DQ1" s="401"/>
      <c r="DR1" s="401"/>
      <c r="DS1" s="401"/>
      <c r="DT1" s="401"/>
      <c r="DU1" s="401"/>
      <c r="DV1" s="402"/>
      <c r="DW1" s="400" t="s">
        <v>894</v>
      </c>
      <c r="DX1" s="401"/>
      <c r="DY1" s="401"/>
      <c r="DZ1" s="401"/>
      <c r="EA1" s="401"/>
      <c r="EB1" s="401"/>
      <c r="EC1" s="401"/>
      <c r="ED1" s="401"/>
      <c r="EE1" s="401"/>
      <c r="EF1" s="401"/>
      <c r="EG1" s="401"/>
      <c r="EH1" s="401"/>
      <c r="EI1" s="401"/>
      <c r="EJ1" s="401"/>
      <c r="EK1" s="401"/>
      <c r="EL1" s="401"/>
      <c r="EM1" s="401"/>
      <c r="EN1" s="401"/>
      <c r="EO1" s="401"/>
      <c r="EP1" s="401"/>
      <c r="EQ1" s="401"/>
      <c r="ER1" s="401"/>
      <c r="ES1" s="401"/>
      <c r="ET1" s="401"/>
      <c r="EU1" s="401"/>
      <c r="EV1" s="401"/>
      <c r="EW1" s="401"/>
      <c r="EX1" s="401"/>
      <c r="EY1" s="401"/>
      <c r="EZ1" s="401"/>
      <c r="FA1" s="402"/>
      <c r="FB1" s="400" t="s">
        <v>895</v>
      </c>
      <c r="FC1" s="401"/>
      <c r="FD1" s="401"/>
      <c r="FE1" s="401"/>
      <c r="FF1" s="401"/>
      <c r="FG1" s="401"/>
      <c r="FH1" s="401"/>
      <c r="FI1" s="401"/>
      <c r="FJ1" s="401"/>
      <c r="FK1" s="401"/>
      <c r="FL1" s="401"/>
      <c r="FM1" s="401"/>
      <c r="FN1" s="401"/>
      <c r="FO1" s="401"/>
      <c r="FP1" s="401"/>
      <c r="FQ1" s="401"/>
      <c r="FR1" s="401"/>
      <c r="FS1" s="401"/>
      <c r="FT1" s="401"/>
      <c r="FU1" s="401"/>
      <c r="FV1" s="401"/>
      <c r="FW1" s="401"/>
      <c r="FX1" s="401"/>
      <c r="FY1" s="401"/>
      <c r="FZ1" s="401"/>
      <c r="GA1" s="401"/>
      <c r="GB1" s="401"/>
      <c r="GC1" s="401"/>
      <c r="GD1" s="401"/>
      <c r="GE1" s="402"/>
      <c r="GF1" s="400" t="s">
        <v>896</v>
      </c>
      <c r="GG1" s="401"/>
      <c r="GH1" s="401"/>
      <c r="GI1" s="401"/>
      <c r="GJ1" s="401"/>
      <c r="GK1" s="401"/>
      <c r="GL1" s="401"/>
      <c r="GM1" s="401"/>
      <c r="GN1" s="401"/>
      <c r="GO1" s="401"/>
      <c r="GP1" s="401"/>
      <c r="GQ1" s="401"/>
      <c r="GR1" s="401"/>
      <c r="GS1" s="401"/>
      <c r="GT1" s="401"/>
      <c r="GU1" s="401"/>
      <c r="GV1" s="401"/>
      <c r="GW1" s="401"/>
      <c r="GX1" s="401"/>
      <c r="GY1" s="401"/>
      <c r="GZ1" s="401"/>
      <c r="HA1" s="401"/>
      <c r="HB1" s="401"/>
      <c r="HC1" s="401"/>
      <c r="HD1" s="401"/>
      <c r="HE1" s="401"/>
      <c r="HF1" s="401"/>
      <c r="HG1" s="401"/>
      <c r="HH1" s="401"/>
      <c r="HI1" s="402"/>
      <c r="HJ1" s="400" t="s">
        <v>897</v>
      </c>
      <c r="HK1" s="401"/>
      <c r="HL1" s="401"/>
      <c r="HM1" s="401"/>
      <c r="HN1" s="401"/>
      <c r="HO1" s="401"/>
      <c r="HP1" s="401"/>
      <c r="HQ1" s="401"/>
      <c r="HR1" s="401"/>
      <c r="HS1" s="401"/>
      <c r="HT1" s="401"/>
      <c r="HU1" s="401"/>
      <c r="HV1" s="401"/>
      <c r="HW1" s="401"/>
      <c r="HX1" s="401"/>
      <c r="HY1" s="401"/>
      <c r="HZ1" s="401"/>
      <c r="IA1" s="401"/>
      <c r="IB1" s="401"/>
      <c r="IC1" s="401"/>
      <c r="ID1" s="401"/>
      <c r="IE1" s="401"/>
      <c r="IF1" s="401"/>
      <c r="IG1" s="401"/>
      <c r="IH1" s="401"/>
      <c r="II1" s="401"/>
      <c r="IJ1" s="401"/>
      <c r="IK1" s="401"/>
      <c r="IL1" s="401"/>
      <c r="IM1" s="401"/>
      <c r="IN1" s="401"/>
      <c r="IO1" s="402"/>
      <c r="IP1" s="400" t="s">
        <v>898</v>
      </c>
      <c r="IQ1" s="401"/>
      <c r="IR1" s="401"/>
      <c r="IS1" s="401"/>
      <c r="IT1" s="401"/>
      <c r="IU1" s="401"/>
      <c r="IV1" s="401"/>
      <c r="IW1" s="401"/>
      <c r="IX1" s="401"/>
      <c r="IY1" s="401"/>
      <c r="IZ1" s="401"/>
      <c r="JA1" s="401"/>
      <c r="JB1" s="401"/>
      <c r="JC1" s="401"/>
      <c r="JD1" s="401"/>
      <c r="JE1" s="401"/>
      <c r="JF1" s="401"/>
      <c r="JG1" s="401"/>
      <c r="JH1" s="401"/>
      <c r="JI1" s="401"/>
      <c r="JJ1" s="401"/>
      <c r="JK1" s="401"/>
      <c r="JL1" s="401"/>
      <c r="JM1" s="401"/>
      <c r="JN1" s="401"/>
      <c r="JO1" s="401"/>
      <c r="JP1" s="401"/>
      <c r="JQ1" s="401"/>
      <c r="JR1" s="401"/>
      <c r="JS1" s="402"/>
      <c r="JT1" s="400" t="s">
        <v>899</v>
      </c>
      <c r="JU1" s="401"/>
      <c r="JV1" s="401"/>
      <c r="JW1" s="401"/>
      <c r="JX1" s="401"/>
      <c r="JY1" s="401"/>
      <c r="JZ1" s="401"/>
      <c r="KA1" s="401"/>
      <c r="KB1" s="401"/>
      <c r="KC1" s="401"/>
      <c r="KD1" s="401"/>
      <c r="KE1" s="401"/>
      <c r="KF1" s="401"/>
      <c r="KG1" s="401"/>
      <c r="KH1" s="401"/>
      <c r="KI1" s="401"/>
      <c r="KJ1" s="401"/>
      <c r="KK1" s="401"/>
      <c r="KL1" s="401"/>
      <c r="KM1" s="401"/>
      <c r="KN1" s="401"/>
      <c r="KO1" s="401"/>
      <c r="KP1" s="401"/>
      <c r="KQ1" s="401"/>
      <c r="KR1" s="401"/>
      <c r="KS1" s="401"/>
      <c r="KT1" s="401"/>
      <c r="KU1" s="401"/>
      <c r="KV1" s="401"/>
      <c r="KW1" s="401"/>
      <c r="KX1" s="402"/>
      <c r="KY1" s="400" t="s">
        <v>900</v>
      </c>
      <c r="KZ1" s="401"/>
      <c r="LA1" s="401"/>
      <c r="LB1" s="401"/>
      <c r="LC1" s="401"/>
      <c r="LD1" s="401"/>
      <c r="LE1" s="401"/>
      <c r="LF1" s="401"/>
      <c r="LG1" s="401"/>
      <c r="LH1" s="401"/>
      <c r="LI1" s="401"/>
      <c r="LJ1" s="401"/>
      <c r="LK1" s="401"/>
      <c r="LL1" s="401"/>
      <c r="LM1" s="401"/>
      <c r="LN1" s="401"/>
      <c r="LO1" s="401"/>
      <c r="LP1" s="401"/>
      <c r="LQ1" s="401"/>
      <c r="LR1" s="401"/>
      <c r="LS1" s="401"/>
      <c r="LT1" s="401"/>
      <c r="LU1" s="401"/>
      <c r="LV1" s="401"/>
      <c r="LW1" s="401"/>
      <c r="LX1" s="401"/>
      <c r="LY1" s="401"/>
      <c r="LZ1" s="401"/>
      <c r="MA1" s="401"/>
      <c r="MB1" s="402"/>
      <c r="MC1" s="400" t="s">
        <v>901</v>
      </c>
      <c r="MD1" s="401"/>
      <c r="ME1" s="401"/>
      <c r="MF1" s="401"/>
      <c r="MG1" s="401"/>
      <c r="MH1" s="401"/>
      <c r="MI1" s="401"/>
      <c r="MJ1" s="401"/>
      <c r="MK1" s="401"/>
      <c r="ML1" s="401"/>
      <c r="MM1" s="401"/>
      <c r="MN1" s="401"/>
      <c r="MO1" s="401"/>
      <c r="MP1" s="401"/>
      <c r="MQ1" s="401"/>
      <c r="MR1" s="401"/>
      <c r="MS1" s="401"/>
      <c r="MT1" s="401"/>
      <c r="MU1" s="401"/>
      <c r="MV1" s="401"/>
      <c r="MW1" s="401"/>
      <c r="MX1" s="401"/>
      <c r="MY1" s="401"/>
      <c r="MZ1" s="401"/>
      <c r="NA1" s="401"/>
      <c r="NB1" s="401"/>
      <c r="NC1" s="401"/>
      <c r="ND1" s="401"/>
      <c r="NE1" s="401"/>
      <c r="NF1" s="401"/>
      <c r="NG1" s="402"/>
      <c r="NH1" s="406" t="s">
        <v>902</v>
      </c>
    </row>
    <row r="2" spans="1:372" ht="12.75" customHeight="1">
      <c r="A2" s="377"/>
      <c r="B2" s="341"/>
      <c r="C2" s="380"/>
      <c r="D2" s="342"/>
      <c r="E2" s="343"/>
      <c r="F2" s="347"/>
      <c r="G2" s="407"/>
      <c r="H2" s="407"/>
      <c r="I2" s="407"/>
      <c r="J2" s="407"/>
      <c r="K2" s="407"/>
      <c r="L2" s="408" t="s">
        <v>904</v>
      </c>
      <c r="M2" s="409"/>
      <c r="N2" s="409"/>
      <c r="O2" s="409"/>
      <c r="P2" s="409"/>
      <c r="Q2" s="409"/>
      <c r="R2" s="410"/>
      <c r="S2" s="411" t="s">
        <v>905</v>
      </c>
      <c r="T2" s="412"/>
      <c r="U2" s="412"/>
      <c r="V2" s="412"/>
      <c r="W2" s="412"/>
      <c r="X2" s="412"/>
      <c r="Y2" s="413"/>
      <c r="Z2" s="408" t="s">
        <v>906</v>
      </c>
      <c r="AA2" s="409"/>
      <c r="AB2" s="409"/>
      <c r="AC2" s="409"/>
      <c r="AD2" s="409"/>
      <c r="AE2" s="409"/>
      <c r="AF2" s="410"/>
      <c r="AG2" s="411" t="s">
        <v>907</v>
      </c>
      <c r="AH2" s="412"/>
      <c r="AI2" s="412"/>
      <c r="AJ2" s="412"/>
      <c r="AK2" s="412"/>
      <c r="AL2" s="412"/>
      <c r="AM2" s="413"/>
      <c r="AN2" s="408" t="s">
        <v>908</v>
      </c>
      <c r="AO2" s="409"/>
      <c r="AP2" s="409"/>
      <c r="AQ2" s="409"/>
      <c r="AR2" s="409"/>
      <c r="AS2" s="409"/>
      <c r="AT2" s="410"/>
      <c r="AU2" s="411" t="s">
        <v>909</v>
      </c>
      <c r="AV2" s="412"/>
      <c r="AW2" s="412"/>
      <c r="AX2" s="412"/>
      <c r="AY2" s="412"/>
      <c r="AZ2" s="412"/>
      <c r="BA2" s="413"/>
      <c r="BB2" s="408" t="s">
        <v>910</v>
      </c>
      <c r="BC2" s="409"/>
      <c r="BD2" s="409"/>
      <c r="BE2" s="409"/>
      <c r="BF2" s="409"/>
      <c r="BG2" s="409"/>
      <c r="BH2" s="410"/>
      <c r="BI2" s="411" t="s">
        <v>911</v>
      </c>
      <c r="BJ2" s="412"/>
      <c r="BK2" s="412"/>
      <c r="BL2" s="412"/>
      <c r="BM2" s="412"/>
      <c r="BN2" s="412"/>
      <c r="BO2" s="413"/>
      <c r="BP2" s="408" t="s">
        <v>912</v>
      </c>
      <c r="BQ2" s="409"/>
      <c r="BR2" s="409"/>
      <c r="BS2" s="409"/>
      <c r="BT2" s="409"/>
      <c r="BU2" s="409"/>
      <c r="BV2" s="410"/>
      <c r="BW2" s="411" t="s">
        <v>913</v>
      </c>
      <c r="BX2" s="412"/>
      <c r="BY2" s="412"/>
      <c r="BZ2" s="412"/>
      <c r="CA2" s="412"/>
      <c r="CB2" s="412"/>
      <c r="CC2" s="413"/>
      <c r="CD2" s="408" t="s">
        <v>914</v>
      </c>
      <c r="CE2" s="409"/>
      <c r="CF2" s="409"/>
      <c r="CG2" s="409"/>
      <c r="CH2" s="409"/>
      <c r="CI2" s="409"/>
      <c r="CJ2" s="410"/>
      <c r="CK2" s="411" t="s">
        <v>915</v>
      </c>
      <c r="CL2" s="412"/>
      <c r="CM2" s="412"/>
      <c r="CN2" s="412"/>
      <c r="CO2" s="412"/>
      <c r="CP2" s="412"/>
      <c r="CQ2" s="413"/>
      <c r="CR2" s="408" t="s">
        <v>916</v>
      </c>
      <c r="CS2" s="409"/>
      <c r="CT2" s="409"/>
      <c r="CU2" s="409"/>
      <c r="CV2" s="409"/>
      <c r="CW2" s="409"/>
      <c r="CX2" s="410"/>
      <c r="CY2" s="411" t="s">
        <v>917</v>
      </c>
      <c r="CZ2" s="412"/>
      <c r="DA2" s="412"/>
      <c r="DB2" s="412"/>
      <c r="DC2" s="412"/>
      <c r="DD2" s="412"/>
      <c r="DE2" s="413"/>
      <c r="DF2" s="408" t="s">
        <v>918</v>
      </c>
      <c r="DG2" s="409"/>
      <c r="DH2" s="409"/>
      <c r="DI2" s="409"/>
      <c r="DJ2" s="409"/>
      <c r="DK2" s="409"/>
      <c r="DL2" s="410"/>
      <c r="DM2" s="411" t="s">
        <v>919</v>
      </c>
      <c r="DN2" s="412"/>
      <c r="DO2" s="412"/>
      <c r="DP2" s="412"/>
      <c r="DQ2" s="412"/>
      <c r="DR2" s="412"/>
      <c r="DS2" s="413"/>
      <c r="DT2" s="408" t="s">
        <v>920</v>
      </c>
      <c r="DU2" s="409"/>
      <c r="DV2" s="409"/>
      <c r="DW2" s="409"/>
      <c r="DX2" s="409"/>
      <c r="DY2" s="409"/>
      <c r="DZ2" s="410"/>
      <c r="EA2" s="411" t="s">
        <v>921</v>
      </c>
      <c r="EB2" s="412"/>
      <c r="EC2" s="412"/>
      <c r="ED2" s="412"/>
      <c r="EE2" s="412"/>
      <c r="EF2" s="412"/>
      <c r="EG2" s="413"/>
      <c r="EH2" s="408" t="s">
        <v>922</v>
      </c>
      <c r="EI2" s="409"/>
      <c r="EJ2" s="409"/>
      <c r="EK2" s="409"/>
      <c r="EL2" s="409"/>
      <c r="EM2" s="409"/>
      <c r="EN2" s="410"/>
      <c r="EO2" s="411" t="s">
        <v>923</v>
      </c>
      <c r="EP2" s="412"/>
      <c r="EQ2" s="412"/>
      <c r="ER2" s="412"/>
      <c r="ES2" s="412"/>
      <c r="ET2" s="412"/>
      <c r="EU2" s="413"/>
      <c r="EV2" s="408" t="s">
        <v>924</v>
      </c>
      <c r="EW2" s="409"/>
      <c r="EX2" s="409"/>
      <c r="EY2" s="409"/>
      <c r="EZ2" s="409"/>
      <c r="FA2" s="409"/>
      <c r="FB2" s="410"/>
      <c r="FC2" s="411" t="s">
        <v>925</v>
      </c>
      <c r="FD2" s="412"/>
      <c r="FE2" s="412"/>
      <c r="FF2" s="412"/>
      <c r="FG2" s="412"/>
      <c r="FH2" s="412"/>
      <c r="FI2" s="413"/>
      <c r="FJ2" s="408" t="s">
        <v>926</v>
      </c>
      <c r="FK2" s="409"/>
      <c r="FL2" s="409"/>
      <c r="FM2" s="409"/>
      <c r="FN2" s="409"/>
      <c r="FO2" s="409"/>
      <c r="FP2" s="410"/>
      <c r="FQ2" s="411" t="s">
        <v>927</v>
      </c>
      <c r="FR2" s="412"/>
      <c r="FS2" s="412"/>
      <c r="FT2" s="412"/>
      <c r="FU2" s="412"/>
      <c r="FV2" s="412"/>
      <c r="FW2" s="413"/>
      <c r="FX2" s="408" t="s">
        <v>928</v>
      </c>
      <c r="FY2" s="409"/>
      <c r="FZ2" s="409"/>
      <c r="GA2" s="409"/>
      <c r="GB2" s="409"/>
      <c r="GC2" s="409"/>
      <c r="GD2" s="410"/>
      <c r="GE2" s="411" t="s">
        <v>929</v>
      </c>
      <c r="GF2" s="412"/>
      <c r="GG2" s="412"/>
      <c r="GH2" s="412"/>
      <c r="GI2" s="412"/>
      <c r="GJ2" s="412"/>
      <c r="GK2" s="413"/>
      <c r="GL2" s="408" t="s">
        <v>930</v>
      </c>
      <c r="GM2" s="409"/>
      <c r="GN2" s="409"/>
      <c r="GO2" s="409"/>
      <c r="GP2" s="409"/>
      <c r="GQ2" s="409"/>
      <c r="GR2" s="410"/>
      <c r="GS2" s="411" t="s">
        <v>931</v>
      </c>
      <c r="GT2" s="412"/>
      <c r="GU2" s="412"/>
      <c r="GV2" s="412"/>
      <c r="GW2" s="412"/>
      <c r="GX2" s="412"/>
      <c r="GY2" s="413"/>
      <c r="GZ2" s="408" t="s">
        <v>932</v>
      </c>
      <c r="HA2" s="409"/>
      <c r="HB2" s="409"/>
      <c r="HC2" s="409"/>
      <c r="HD2" s="409"/>
      <c r="HE2" s="409"/>
      <c r="HF2" s="410"/>
      <c r="HG2" s="411" t="s">
        <v>933</v>
      </c>
      <c r="HH2" s="412"/>
      <c r="HI2" s="412"/>
      <c r="HJ2" s="412"/>
      <c r="HK2" s="412"/>
      <c r="HL2" s="412"/>
      <c r="HM2" s="413"/>
      <c r="HN2" s="408" t="s">
        <v>934</v>
      </c>
      <c r="HO2" s="409"/>
      <c r="HP2" s="409"/>
      <c r="HQ2" s="409"/>
      <c r="HR2" s="409"/>
      <c r="HS2" s="409"/>
      <c r="HT2" s="410"/>
      <c r="HU2" s="411" t="s">
        <v>935</v>
      </c>
      <c r="HV2" s="412"/>
      <c r="HW2" s="412"/>
      <c r="HX2" s="412"/>
      <c r="HY2" s="412"/>
      <c r="HZ2" s="412"/>
      <c r="IA2" s="413"/>
      <c r="IB2" s="408" t="s">
        <v>936</v>
      </c>
      <c r="IC2" s="409"/>
      <c r="ID2" s="409"/>
      <c r="IE2" s="409"/>
      <c r="IF2" s="409"/>
      <c r="IG2" s="409"/>
      <c r="IH2" s="410"/>
      <c r="II2" s="411" t="s">
        <v>937</v>
      </c>
      <c r="IJ2" s="412"/>
      <c r="IK2" s="412"/>
      <c r="IL2" s="412"/>
      <c r="IM2" s="412"/>
      <c r="IN2" s="412"/>
      <c r="IO2" s="413"/>
      <c r="IP2" s="408" t="s">
        <v>938</v>
      </c>
      <c r="IQ2" s="409"/>
      <c r="IR2" s="409"/>
      <c r="IS2" s="409"/>
      <c r="IT2" s="409"/>
      <c r="IU2" s="409"/>
      <c r="IV2" s="410"/>
      <c r="IW2" s="411" t="s">
        <v>939</v>
      </c>
      <c r="IX2" s="412"/>
      <c r="IY2" s="412"/>
      <c r="IZ2" s="412"/>
      <c r="JA2" s="412"/>
      <c r="JB2" s="412"/>
      <c r="JC2" s="413"/>
      <c r="JD2" s="408" t="s">
        <v>940</v>
      </c>
      <c r="JE2" s="409"/>
      <c r="JF2" s="409"/>
      <c r="JG2" s="409"/>
      <c r="JH2" s="409"/>
      <c r="JI2" s="409"/>
      <c r="JJ2" s="410"/>
      <c r="JK2" s="411" t="s">
        <v>941</v>
      </c>
      <c r="JL2" s="412"/>
      <c r="JM2" s="412"/>
      <c r="JN2" s="412"/>
      <c r="JO2" s="412"/>
      <c r="JP2" s="412"/>
      <c r="JQ2" s="413"/>
      <c r="JR2" s="408" t="s">
        <v>942</v>
      </c>
      <c r="JS2" s="409"/>
      <c r="JT2" s="409"/>
      <c r="JU2" s="409"/>
      <c r="JV2" s="409"/>
      <c r="JW2" s="409"/>
      <c r="JX2" s="410"/>
      <c r="JY2" s="411" t="s">
        <v>943</v>
      </c>
      <c r="JZ2" s="412"/>
      <c r="KA2" s="412"/>
      <c r="KB2" s="412"/>
      <c r="KC2" s="412"/>
      <c r="KD2" s="412"/>
      <c r="KE2" s="413"/>
      <c r="KF2" s="408" t="s">
        <v>944</v>
      </c>
      <c r="KG2" s="409"/>
      <c r="KH2" s="409"/>
      <c r="KI2" s="409"/>
      <c r="KJ2" s="409"/>
      <c r="KK2" s="409"/>
      <c r="KL2" s="410"/>
      <c r="KM2" s="411" t="s">
        <v>945</v>
      </c>
      <c r="KN2" s="412"/>
      <c r="KO2" s="412"/>
      <c r="KP2" s="412"/>
      <c r="KQ2" s="412"/>
      <c r="KR2" s="412"/>
      <c r="KS2" s="413"/>
      <c r="KT2" s="408" t="s">
        <v>946</v>
      </c>
      <c r="KU2" s="409"/>
      <c r="KV2" s="409"/>
      <c r="KW2" s="409"/>
      <c r="KX2" s="409"/>
      <c r="KY2" s="409"/>
      <c r="KZ2" s="410"/>
      <c r="LA2" s="411" t="s">
        <v>947</v>
      </c>
      <c r="LB2" s="412"/>
      <c r="LC2" s="412"/>
      <c r="LD2" s="412"/>
      <c r="LE2" s="412"/>
      <c r="LF2" s="412"/>
      <c r="LG2" s="413"/>
      <c r="LH2" s="408" t="s">
        <v>948</v>
      </c>
      <c r="LI2" s="409"/>
      <c r="LJ2" s="409"/>
      <c r="LK2" s="409"/>
      <c r="LL2" s="409"/>
      <c r="LM2" s="409"/>
      <c r="LN2" s="410"/>
      <c r="LO2" s="411" t="s">
        <v>949</v>
      </c>
      <c r="LP2" s="412"/>
      <c r="LQ2" s="412"/>
      <c r="LR2" s="412"/>
      <c r="LS2" s="412"/>
      <c r="LT2" s="412"/>
      <c r="LU2" s="413"/>
      <c r="LV2" s="408" t="s">
        <v>950</v>
      </c>
      <c r="LW2" s="409"/>
      <c r="LX2" s="409"/>
      <c r="LY2" s="409"/>
      <c r="LZ2" s="409"/>
      <c r="MA2" s="409"/>
      <c r="MB2" s="410"/>
      <c r="MC2" s="411" t="s">
        <v>951</v>
      </c>
      <c r="MD2" s="412"/>
      <c r="ME2" s="412"/>
      <c r="MF2" s="412"/>
      <c r="MG2" s="412"/>
      <c r="MH2" s="412"/>
      <c r="MI2" s="413"/>
      <c r="MJ2" s="408" t="s">
        <v>952</v>
      </c>
      <c r="MK2" s="409"/>
      <c r="ML2" s="409"/>
      <c r="MM2" s="409"/>
      <c r="MN2" s="409"/>
      <c r="MO2" s="409"/>
      <c r="MP2" s="410"/>
      <c r="MQ2" s="411" t="s">
        <v>953</v>
      </c>
      <c r="MR2" s="412"/>
      <c r="MS2" s="412"/>
      <c r="MT2" s="412"/>
      <c r="MU2" s="412"/>
      <c r="MV2" s="412"/>
      <c r="MW2" s="413"/>
      <c r="MX2" s="408" t="s">
        <v>954</v>
      </c>
      <c r="MY2" s="409"/>
      <c r="MZ2" s="409"/>
      <c r="NA2" s="409"/>
      <c r="NB2" s="409"/>
      <c r="NC2" s="409"/>
      <c r="ND2" s="410"/>
      <c r="NE2" s="411" t="s">
        <v>903</v>
      </c>
      <c r="NF2" s="412"/>
      <c r="NG2" s="413"/>
      <c r="NH2" s="406"/>
    </row>
    <row r="3" spans="1:372" ht="59.1" customHeight="1">
      <c r="A3" s="346" t="s">
        <v>887</v>
      </c>
      <c r="B3" s="341" t="s">
        <v>9</v>
      </c>
      <c r="C3" s="342"/>
      <c r="D3" s="342"/>
      <c r="E3" s="343"/>
      <c r="F3" s="358"/>
      <c r="G3" s="332">
        <v>45658</v>
      </c>
      <c r="H3" s="332">
        <f>G3+1</f>
        <v>45659</v>
      </c>
      <c r="I3" s="332">
        <f t="shared" ref="I3:BT3" si="0">H3+1</f>
        <v>45660</v>
      </c>
      <c r="J3" s="332">
        <f t="shared" si="0"/>
        <v>45661</v>
      </c>
      <c r="K3" s="332">
        <f t="shared" si="0"/>
        <v>45662</v>
      </c>
      <c r="L3" s="332">
        <f t="shared" si="0"/>
        <v>45663</v>
      </c>
      <c r="M3" s="332">
        <f t="shared" si="0"/>
        <v>45664</v>
      </c>
      <c r="N3" s="332">
        <f t="shared" si="0"/>
        <v>45665</v>
      </c>
      <c r="O3" s="332">
        <f t="shared" si="0"/>
        <v>45666</v>
      </c>
      <c r="P3" s="332">
        <f t="shared" si="0"/>
        <v>45667</v>
      </c>
      <c r="Q3" s="332">
        <f t="shared" si="0"/>
        <v>45668</v>
      </c>
      <c r="R3" s="332">
        <f t="shared" si="0"/>
        <v>45669</v>
      </c>
      <c r="S3" s="332">
        <f t="shared" si="0"/>
        <v>45670</v>
      </c>
      <c r="T3" s="332">
        <f t="shared" si="0"/>
        <v>45671</v>
      </c>
      <c r="U3" s="332">
        <f t="shared" si="0"/>
        <v>45672</v>
      </c>
      <c r="V3" s="332">
        <f t="shared" si="0"/>
        <v>45673</v>
      </c>
      <c r="W3" s="332">
        <f t="shared" si="0"/>
        <v>45674</v>
      </c>
      <c r="X3" s="332">
        <f t="shared" si="0"/>
        <v>45675</v>
      </c>
      <c r="Y3" s="332">
        <f t="shared" si="0"/>
        <v>45676</v>
      </c>
      <c r="Z3" s="332">
        <f t="shared" si="0"/>
        <v>45677</v>
      </c>
      <c r="AA3" s="332">
        <f t="shared" si="0"/>
        <v>45678</v>
      </c>
      <c r="AB3" s="332">
        <f t="shared" si="0"/>
        <v>45679</v>
      </c>
      <c r="AC3" s="332">
        <f t="shared" si="0"/>
        <v>45680</v>
      </c>
      <c r="AD3" s="332">
        <f t="shared" si="0"/>
        <v>45681</v>
      </c>
      <c r="AE3" s="332">
        <f t="shared" si="0"/>
        <v>45682</v>
      </c>
      <c r="AF3" s="332">
        <f t="shared" si="0"/>
        <v>45683</v>
      </c>
      <c r="AG3" s="332">
        <f t="shared" si="0"/>
        <v>45684</v>
      </c>
      <c r="AH3" s="332">
        <f t="shared" si="0"/>
        <v>45685</v>
      </c>
      <c r="AI3" s="332">
        <f t="shared" si="0"/>
        <v>45686</v>
      </c>
      <c r="AJ3" s="332">
        <f t="shared" si="0"/>
        <v>45687</v>
      </c>
      <c r="AK3" s="332">
        <f t="shared" si="0"/>
        <v>45688</v>
      </c>
      <c r="AL3" s="332">
        <f t="shared" si="0"/>
        <v>45689</v>
      </c>
      <c r="AM3" s="332">
        <f t="shared" si="0"/>
        <v>45690</v>
      </c>
      <c r="AN3" s="332">
        <f t="shared" si="0"/>
        <v>45691</v>
      </c>
      <c r="AO3" s="332">
        <f t="shared" si="0"/>
        <v>45692</v>
      </c>
      <c r="AP3" s="332">
        <f t="shared" si="0"/>
        <v>45693</v>
      </c>
      <c r="AQ3" s="332">
        <f t="shared" si="0"/>
        <v>45694</v>
      </c>
      <c r="AR3" s="332">
        <f t="shared" si="0"/>
        <v>45695</v>
      </c>
      <c r="AS3" s="332">
        <f t="shared" si="0"/>
        <v>45696</v>
      </c>
      <c r="AT3" s="332">
        <f t="shared" si="0"/>
        <v>45697</v>
      </c>
      <c r="AU3" s="332">
        <f t="shared" si="0"/>
        <v>45698</v>
      </c>
      <c r="AV3" s="332">
        <f t="shared" si="0"/>
        <v>45699</v>
      </c>
      <c r="AW3" s="332">
        <f t="shared" si="0"/>
        <v>45700</v>
      </c>
      <c r="AX3" s="332">
        <f t="shared" si="0"/>
        <v>45701</v>
      </c>
      <c r="AY3" s="332">
        <f t="shared" si="0"/>
        <v>45702</v>
      </c>
      <c r="AZ3" s="332">
        <f t="shared" si="0"/>
        <v>45703</v>
      </c>
      <c r="BA3" s="332">
        <f t="shared" si="0"/>
        <v>45704</v>
      </c>
      <c r="BB3" s="332">
        <f t="shared" si="0"/>
        <v>45705</v>
      </c>
      <c r="BC3" s="332">
        <f t="shared" si="0"/>
        <v>45706</v>
      </c>
      <c r="BD3" s="332">
        <f t="shared" si="0"/>
        <v>45707</v>
      </c>
      <c r="BE3" s="332">
        <f t="shared" si="0"/>
        <v>45708</v>
      </c>
      <c r="BF3" s="332">
        <f t="shared" si="0"/>
        <v>45709</v>
      </c>
      <c r="BG3" s="332">
        <f t="shared" si="0"/>
        <v>45710</v>
      </c>
      <c r="BH3" s="332">
        <f t="shared" si="0"/>
        <v>45711</v>
      </c>
      <c r="BI3" s="332">
        <f t="shared" si="0"/>
        <v>45712</v>
      </c>
      <c r="BJ3" s="332">
        <f t="shared" si="0"/>
        <v>45713</v>
      </c>
      <c r="BK3" s="332">
        <f t="shared" si="0"/>
        <v>45714</v>
      </c>
      <c r="BL3" s="332">
        <f t="shared" si="0"/>
        <v>45715</v>
      </c>
      <c r="BM3" s="332">
        <f t="shared" si="0"/>
        <v>45716</v>
      </c>
      <c r="BN3" s="332">
        <f t="shared" si="0"/>
        <v>45717</v>
      </c>
      <c r="BO3" s="332">
        <f t="shared" si="0"/>
        <v>45718</v>
      </c>
      <c r="BP3" s="332">
        <f t="shared" si="0"/>
        <v>45719</v>
      </c>
      <c r="BQ3" s="332">
        <f t="shared" si="0"/>
        <v>45720</v>
      </c>
      <c r="BR3" s="332">
        <f t="shared" si="0"/>
        <v>45721</v>
      </c>
      <c r="BS3" s="332">
        <f t="shared" si="0"/>
        <v>45722</v>
      </c>
      <c r="BT3" s="332">
        <f t="shared" si="0"/>
        <v>45723</v>
      </c>
      <c r="BU3" s="332">
        <f t="shared" ref="BU3:EF3" si="1">BT3+1</f>
        <v>45724</v>
      </c>
      <c r="BV3" s="332">
        <f t="shared" si="1"/>
        <v>45725</v>
      </c>
      <c r="BW3" s="332">
        <f t="shared" si="1"/>
        <v>45726</v>
      </c>
      <c r="BX3" s="332">
        <f t="shared" si="1"/>
        <v>45727</v>
      </c>
      <c r="BY3" s="332">
        <f t="shared" si="1"/>
        <v>45728</v>
      </c>
      <c r="BZ3" s="332">
        <f t="shared" si="1"/>
        <v>45729</v>
      </c>
      <c r="CA3" s="332">
        <f t="shared" si="1"/>
        <v>45730</v>
      </c>
      <c r="CB3" s="332">
        <f t="shared" si="1"/>
        <v>45731</v>
      </c>
      <c r="CC3" s="332">
        <f t="shared" si="1"/>
        <v>45732</v>
      </c>
      <c r="CD3" s="332">
        <f t="shared" si="1"/>
        <v>45733</v>
      </c>
      <c r="CE3" s="332">
        <f t="shared" si="1"/>
        <v>45734</v>
      </c>
      <c r="CF3" s="332">
        <f t="shared" si="1"/>
        <v>45735</v>
      </c>
      <c r="CG3" s="332">
        <f t="shared" si="1"/>
        <v>45736</v>
      </c>
      <c r="CH3" s="332">
        <f t="shared" si="1"/>
        <v>45737</v>
      </c>
      <c r="CI3" s="332">
        <f t="shared" si="1"/>
        <v>45738</v>
      </c>
      <c r="CJ3" s="332">
        <f t="shared" si="1"/>
        <v>45739</v>
      </c>
      <c r="CK3" s="332">
        <f t="shared" si="1"/>
        <v>45740</v>
      </c>
      <c r="CL3" s="332">
        <f t="shared" si="1"/>
        <v>45741</v>
      </c>
      <c r="CM3" s="332">
        <f t="shared" si="1"/>
        <v>45742</v>
      </c>
      <c r="CN3" s="332">
        <f t="shared" si="1"/>
        <v>45743</v>
      </c>
      <c r="CO3" s="332">
        <f t="shared" si="1"/>
        <v>45744</v>
      </c>
      <c r="CP3" s="332">
        <f t="shared" si="1"/>
        <v>45745</v>
      </c>
      <c r="CQ3" s="332">
        <f t="shared" si="1"/>
        <v>45746</v>
      </c>
      <c r="CR3" s="332">
        <f t="shared" si="1"/>
        <v>45747</v>
      </c>
      <c r="CS3" s="332">
        <f t="shared" si="1"/>
        <v>45748</v>
      </c>
      <c r="CT3" s="332">
        <f t="shared" si="1"/>
        <v>45749</v>
      </c>
      <c r="CU3" s="332">
        <f t="shared" si="1"/>
        <v>45750</v>
      </c>
      <c r="CV3" s="332">
        <f t="shared" si="1"/>
        <v>45751</v>
      </c>
      <c r="CW3" s="332">
        <f t="shared" si="1"/>
        <v>45752</v>
      </c>
      <c r="CX3" s="332">
        <f t="shared" si="1"/>
        <v>45753</v>
      </c>
      <c r="CY3" s="332">
        <f t="shared" si="1"/>
        <v>45754</v>
      </c>
      <c r="CZ3" s="332">
        <f t="shared" si="1"/>
        <v>45755</v>
      </c>
      <c r="DA3" s="332">
        <f t="shared" si="1"/>
        <v>45756</v>
      </c>
      <c r="DB3" s="332">
        <f t="shared" si="1"/>
        <v>45757</v>
      </c>
      <c r="DC3" s="332">
        <f t="shared" si="1"/>
        <v>45758</v>
      </c>
      <c r="DD3" s="332">
        <f t="shared" si="1"/>
        <v>45759</v>
      </c>
      <c r="DE3" s="332">
        <f t="shared" si="1"/>
        <v>45760</v>
      </c>
      <c r="DF3" s="332">
        <f t="shared" si="1"/>
        <v>45761</v>
      </c>
      <c r="DG3" s="332">
        <f t="shared" si="1"/>
        <v>45762</v>
      </c>
      <c r="DH3" s="332">
        <f t="shared" si="1"/>
        <v>45763</v>
      </c>
      <c r="DI3" s="332">
        <f t="shared" si="1"/>
        <v>45764</v>
      </c>
      <c r="DJ3" s="332">
        <f t="shared" si="1"/>
        <v>45765</v>
      </c>
      <c r="DK3" s="332">
        <f t="shared" si="1"/>
        <v>45766</v>
      </c>
      <c r="DL3" s="332">
        <f t="shared" si="1"/>
        <v>45767</v>
      </c>
      <c r="DM3" s="332">
        <f t="shared" si="1"/>
        <v>45768</v>
      </c>
      <c r="DN3" s="332">
        <f t="shared" si="1"/>
        <v>45769</v>
      </c>
      <c r="DO3" s="332">
        <f t="shared" si="1"/>
        <v>45770</v>
      </c>
      <c r="DP3" s="332">
        <f t="shared" si="1"/>
        <v>45771</v>
      </c>
      <c r="DQ3" s="332">
        <f t="shared" si="1"/>
        <v>45772</v>
      </c>
      <c r="DR3" s="332">
        <f t="shared" si="1"/>
        <v>45773</v>
      </c>
      <c r="DS3" s="332">
        <f t="shared" si="1"/>
        <v>45774</v>
      </c>
      <c r="DT3" s="332">
        <f t="shared" si="1"/>
        <v>45775</v>
      </c>
      <c r="DU3" s="332">
        <f t="shared" si="1"/>
        <v>45776</v>
      </c>
      <c r="DV3" s="332">
        <f t="shared" si="1"/>
        <v>45777</v>
      </c>
      <c r="DW3" s="332">
        <f t="shared" si="1"/>
        <v>45778</v>
      </c>
      <c r="DX3" s="332">
        <f t="shared" si="1"/>
        <v>45779</v>
      </c>
      <c r="DY3" s="332">
        <f t="shared" si="1"/>
        <v>45780</v>
      </c>
      <c r="DZ3" s="332">
        <f t="shared" si="1"/>
        <v>45781</v>
      </c>
      <c r="EA3" s="332">
        <f t="shared" si="1"/>
        <v>45782</v>
      </c>
      <c r="EB3" s="332">
        <f t="shared" si="1"/>
        <v>45783</v>
      </c>
      <c r="EC3" s="332">
        <f t="shared" si="1"/>
        <v>45784</v>
      </c>
      <c r="ED3" s="332">
        <f t="shared" si="1"/>
        <v>45785</v>
      </c>
      <c r="EE3" s="332">
        <f t="shared" si="1"/>
        <v>45786</v>
      </c>
      <c r="EF3" s="332">
        <f t="shared" si="1"/>
        <v>45787</v>
      </c>
      <c r="EG3" s="332">
        <f t="shared" ref="EG3:GR3" si="2">EF3+1</f>
        <v>45788</v>
      </c>
      <c r="EH3" s="332">
        <f t="shared" si="2"/>
        <v>45789</v>
      </c>
      <c r="EI3" s="332">
        <f t="shared" si="2"/>
        <v>45790</v>
      </c>
      <c r="EJ3" s="332">
        <f t="shared" si="2"/>
        <v>45791</v>
      </c>
      <c r="EK3" s="332">
        <f t="shared" si="2"/>
        <v>45792</v>
      </c>
      <c r="EL3" s="332">
        <f t="shared" si="2"/>
        <v>45793</v>
      </c>
      <c r="EM3" s="332">
        <f t="shared" si="2"/>
        <v>45794</v>
      </c>
      <c r="EN3" s="332">
        <f t="shared" si="2"/>
        <v>45795</v>
      </c>
      <c r="EO3" s="332">
        <f t="shared" si="2"/>
        <v>45796</v>
      </c>
      <c r="EP3" s="332">
        <f t="shared" si="2"/>
        <v>45797</v>
      </c>
      <c r="EQ3" s="332">
        <f t="shared" si="2"/>
        <v>45798</v>
      </c>
      <c r="ER3" s="332">
        <f t="shared" si="2"/>
        <v>45799</v>
      </c>
      <c r="ES3" s="332">
        <f t="shared" si="2"/>
        <v>45800</v>
      </c>
      <c r="ET3" s="332">
        <f t="shared" si="2"/>
        <v>45801</v>
      </c>
      <c r="EU3" s="332">
        <f t="shared" si="2"/>
        <v>45802</v>
      </c>
      <c r="EV3" s="332">
        <f t="shared" si="2"/>
        <v>45803</v>
      </c>
      <c r="EW3" s="332">
        <f t="shared" si="2"/>
        <v>45804</v>
      </c>
      <c r="EX3" s="332">
        <f t="shared" si="2"/>
        <v>45805</v>
      </c>
      <c r="EY3" s="332">
        <f t="shared" si="2"/>
        <v>45806</v>
      </c>
      <c r="EZ3" s="332">
        <f t="shared" si="2"/>
        <v>45807</v>
      </c>
      <c r="FA3" s="332">
        <f t="shared" si="2"/>
        <v>45808</v>
      </c>
      <c r="FB3" s="332">
        <f t="shared" si="2"/>
        <v>45809</v>
      </c>
      <c r="FC3" s="332">
        <f t="shared" si="2"/>
        <v>45810</v>
      </c>
      <c r="FD3" s="332">
        <f t="shared" si="2"/>
        <v>45811</v>
      </c>
      <c r="FE3" s="332">
        <f t="shared" si="2"/>
        <v>45812</v>
      </c>
      <c r="FF3" s="332">
        <f t="shared" si="2"/>
        <v>45813</v>
      </c>
      <c r="FG3" s="332">
        <f t="shared" si="2"/>
        <v>45814</v>
      </c>
      <c r="FH3" s="332">
        <f t="shared" si="2"/>
        <v>45815</v>
      </c>
      <c r="FI3" s="332">
        <f t="shared" si="2"/>
        <v>45816</v>
      </c>
      <c r="FJ3" s="332">
        <f t="shared" si="2"/>
        <v>45817</v>
      </c>
      <c r="FK3" s="332">
        <f t="shared" si="2"/>
        <v>45818</v>
      </c>
      <c r="FL3" s="332">
        <f t="shared" si="2"/>
        <v>45819</v>
      </c>
      <c r="FM3" s="332">
        <f t="shared" si="2"/>
        <v>45820</v>
      </c>
      <c r="FN3" s="332">
        <f t="shared" si="2"/>
        <v>45821</v>
      </c>
      <c r="FO3" s="332">
        <f t="shared" si="2"/>
        <v>45822</v>
      </c>
      <c r="FP3" s="332">
        <f t="shared" si="2"/>
        <v>45823</v>
      </c>
      <c r="FQ3" s="332">
        <f t="shared" si="2"/>
        <v>45824</v>
      </c>
      <c r="FR3" s="332">
        <f t="shared" si="2"/>
        <v>45825</v>
      </c>
      <c r="FS3" s="332">
        <f t="shared" si="2"/>
        <v>45826</v>
      </c>
      <c r="FT3" s="332">
        <f t="shared" si="2"/>
        <v>45827</v>
      </c>
      <c r="FU3" s="332">
        <f t="shared" si="2"/>
        <v>45828</v>
      </c>
      <c r="FV3" s="332">
        <f t="shared" si="2"/>
        <v>45829</v>
      </c>
      <c r="FW3" s="332">
        <f t="shared" si="2"/>
        <v>45830</v>
      </c>
      <c r="FX3" s="332">
        <f t="shared" si="2"/>
        <v>45831</v>
      </c>
      <c r="FY3" s="332">
        <f t="shared" si="2"/>
        <v>45832</v>
      </c>
      <c r="FZ3" s="332">
        <f t="shared" si="2"/>
        <v>45833</v>
      </c>
      <c r="GA3" s="332">
        <f t="shared" si="2"/>
        <v>45834</v>
      </c>
      <c r="GB3" s="332">
        <f t="shared" si="2"/>
        <v>45835</v>
      </c>
      <c r="GC3" s="332">
        <f t="shared" si="2"/>
        <v>45836</v>
      </c>
      <c r="GD3" s="332">
        <f t="shared" si="2"/>
        <v>45837</v>
      </c>
      <c r="GE3" s="332">
        <f t="shared" si="2"/>
        <v>45838</v>
      </c>
      <c r="GF3" s="332">
        <f t="shared" si="2"/>
        <v>45839</v>
      </c>
      <c r="GG3" s="332">
        <f t="shared" si="2"/>
        <v>45840</v>
      </c>
      <c r="GH3" s="332">
        <f t="shared" si="2"/>
        <v>45841</v>
      </c>
      <c r="GI3" s="332">
        <f t="shared" si="2"/>
        <v>45842</v>
      </c>
      <c r="GJ3" s="332">
        <f t="shared" si="2"/>
        <v>45843</v>
      </c>
      <c r="GK3" s="332">
        <f t="shared" si="2"/>
        <v>45844</v>
      </c>
      <c r="GL3" s="332">
        <f t="shared" si="2"/>
        <v>45845</v>
      </c>
      <c r="GM3" s="332">
        <f t="shared" si="2"/>
        <v>45846</v>
      </c>
      <c r="GN3" s="332">
        <f t="shared" si="2"/>
        <v>45847</v>
      </c>
      <c r="GO3" s="332">
        <f t="shared" si="2"/>
        <v>45848</v>
      </c>
      <c r="GP3" s="332">
        <f t="shared" si="2"/>
        <v>45849</v>
      </c>
      <c r="GQ3" s="332">
        <f t="shared" si="2"/>
        <v>45850</v>
      </c>
      <c r="GR3" s="332">
        <f t="shared" si="2"/>
        <v>45851</v>
      </c>
      <c r="GS3" s="332">
        <f t="shared" ref="GS3:JD3" si="3">GR3+1</f>
        <v>45852</v>
      </c>
      <c r="GT3" s="332">
        <f t="shared" si="3"/>
        <v>45853</v>
      </c>
      <c r="GU3" s="332">
        <f t="shared" si="3"/>
        <v>45854</v>
      </c>
      <c r="GV3" s="332">
        <f t="shared" si="3"/>
        <v>45855</v>
      </c>
      <c r="GW3" s="332">
        <f t="shared" si="3"/>
        <v>45856</v>
      </c>
      <c r="GX3" s="332">
        <f t="shared" si="3"/>
        <v>45857</v>
      </c>
      <c r="GY3" s="332">
        <f t="shared" si="3"/>
        <v>45858</v>
      </c>
      <c r="GZ3" s="332">
        <f t="shared" si="3"/>
        <v>45859</v>
      </c>
      <c r="HA3" s="332">
        <f t="shared" si="3"/>
        <v>45860</v>
      </c>
      <c r="HB3" s="332">
        <f t="shared" si="3"/>
        <v>45861</v>
      </c>
      <c r="HC3" s="332">
        <f t="shared" si="3"/>
        <v>45862</v>
      </c>
      <c r="HD3" s="332">
        <f t="shared" si="3"/>
        <v>45863</v>
      </c>
      <c r="HE3" s="332">
        <f t="shared" si="3"/>
        <v>45864</v>
      </c>
      <c r="HF3" s="332">
        <f t="shared" si="3"/>
        <v>45865</v>
      </c>
      <c r="HG3" s="332">
        <f t="shared" si="3"/>
        <v>45866</v>
      </c>
      <c r="HH3" s="332">
        <f t="shared" si="3"/>
        <v>45867</v>
      </c>
      <c r="HI3" s="332">
        <f t="shared" si="3"/>
        <v>45868</v>
      </c>
      <c r="HJ3" s="332">
        <f t="shared" si="3"/>
        <v>45869</v>
      </c>
      <c r="HK3" s="332">
        <f t="shared" si="3"/>
        <v>45870</v>
      </c>
      <c r="HL3" s="332">
        <f t="shared" si="3"/>
        <v>45871</v>
      </c>
      <c r="HM3" s="332">
        <f t="shared" si="3"/>
        <v>45872</v>
      </c>
      <c r="HN3" s="332">
        <f t="shared" si="3"/>
        <v>45873</v>
      </c>
      <c r="HO3" s="332">
        <f t="shared" si="3"/>
        <v>45874</v>
      </c>
      <c r="HP3" s="332">
        <f t="shared" si="3"/>
        <v>45875</v>
      </c>
      <c r="HQ3" s="332">
        <f t="shared" si="3"/>
        <v>45876</v>
      </c>
      <c r="HR3" s="332">
        <f t="shared" si="3"/>
        <v>45877</v>
      </c>
      <c r="HS3" s="332">
        <f t="shared" si="3"/>
        <v>45878</v>
      </c>
      <c r="HT3" s="332">
        <f t="shared" si="3"/>
        <v>45879</v>
      </c>
      <c r="HU3" s="332">
        <f t="shared" si="3"/>
        <v>45880</v>
      </c>
      <c r="HV3" s="332">
        <f t="shared" si="3"/>
        <v>45881</v>
      </c>
      <c r="HW3" s="332">
        <f t="shared" si="3"/>
        <v>45882</v>
      </c>
      <c r="HX3" s="332">
        <f t="shared" si="3"/>
        <v>45883</v>
      </c>
      <c r="HY3" s="332">
        <f t="shared" si="3"/>
        <v>45884</v>
      </c>
      <c r="HZ3" s="332">
        <f t="shared" si="3"/>
        <v>45885</v>
      </c>
      <c r="IA3" s="332">
        <f t="shared" si="3"/>
        <v>45886</v>
      </c>
      <c r="IB3" s="332">
        <f t="shared" si="3"/>
        <v>45887</v>
      </c>
      <c r="IC3" s="332">
        <f t="shared" si="3"/>
        <v>45888</v>
      </c>
      <c r="ID3" s="332">
        <f t="shared" si="3"/>
        <v>45889</v>
      </c>
      <c r="IE3" s="332">
        <f t="shared" si="3"/>
        <v>45890</v>
      </c>
      <c r="IF3" s="332">
        <f t="shared" si="3"/>
        <v>45891</v>
      </c>
      <c r="IG3" s="332">
        <f t="shared" si="3"/>
        <v>45892</v>
      </c>
      <c r="IH3" s="332">
        <f t="shared" si="3"/>
        <v>45893</v>
      </c>
      <c r="II3" s="332">
        <f t="shared" si="3"/>
        <v>45894</v>
      </c>
      <c r="IJ3" s="332">
        <f t="shared" si="3"/>
        <v>45895</v>
      </c>
      <c r="IK3" s="332">
        <f t="shared" si="3"/>
        <v>45896</v>
      </c>
      <c r="IL3" s="332">
        <f t="shared" si="3"/>
        <v>45897</v>
      </c>
      <c r="IM3" s="332">
        <f t="shared" si="3"/>
        <v>45898</v>
      </c>
      <c r="IN3" s="332">
        <f t="shared" si="3"/>
        <v>45899</v>
      </c>
      <c r="IO3" s="332">
        <f t="shared" si="3"/>
        <v>45900</v>
      </c>
      <c r="IP3" s="332">
        <f t="shared" si="3"/>
        <v>45901</v>
      </c>
      <c r="IQ3" s="332">
        <f t="shared" si="3"/>
        <v>45902</v>
      </c>
      <c r="IR3" s="332">
        <f t="shared" si="3"/>
        <v>45903</v>
      </c>
      <c r="IS3" s="332">
        <f t="shared" si="3"/>
        <v>45904</v>
      </c>
      <c r="IT3" s="332">
        <f t="shared" si="3"/>
        <v>45905</v>
      </c>
      <c r="IU3" s="332">
        <f t="shared" si="3"/>
        <v>45906</v>
      </c>
      <c r="IV3" s="332">
        <f t="shared" si="3"/>
        <v>45907</v>
      </c>
      <c r="IW3" s="332">
        <f t="shared" si="3"/>
        <v>45908</v>
      </c>
      <c r="IX3" s="332">
        <f t="shared" si="3"/>
        <v>45909</v>
      </c>
      <c r="IY3" s="332">
        <f t="shared" si="3"/>
        <v>45910</v>
      </c>
      <c r="IZ3" s="332">
        <f t="shared" si="3"/>
        <v>45911</v>
      </c>
      <c r="JA3" s="332">
        <f t="shared" si="3"/>
        <v>45912</v>
      </c>
      <c r="JB3" s="332">
        <f t="shared" si="3"/>
        <v>45913</v>
      </c>
      <c r="JC3" s="332">
        <f t="shared" si="3"/>
        <v>45914</v>
      </c>
      <c r="JD3" s="332">
        <f t="shared" si="3"/>
        <v>45915</v>
      </c>
      <c r="JE3" s="332">
        <f t="shared" ref="JE3:LP3" si="4">JD3+1</f>
        <v>45916</v>
      </c>
      <c r="JF3" s="332">
        <f t="shared" si="4"/>
        <v>45917</v>
      </c>
      <c r="JG3" s="332">
        <f t="shared" si="4"/>
        <v>45918</v>
      </c>
      <c r="JH3" s="332">
        <f t="shared" si="4"/>
        <v>45919</v>
      </c>
      <c r="JI3" s="332">
        <f t="shared" si="4"/>
        <v>45920</v>
      </c>
      <c r="JJ3" s="332">
        <f t="shared" si="4"/>
        <v>45921</v>
      </c>
      <c r="JK3" s="332">
        <f t="shared" si="4"/>
        <v>45922</v>
      </c>
      <c r="JL3" s="332">
        <f t="shared" si="4"/>
        <v>45923</v>
      </c>
      <c r="JM3" s="332">
        <f t="shared" si="4"/>
        <v>45924</v>
      </c>
      <c r="JN3" s="332">
        <f t="shared" si="4"/>
        <v>45925</v>
      </c>
      <c r="JO3" s="332">
        <f t="shared" si="4"/>
        <v>45926</v>
      </c>
      <c r="JP3" s="332">
        <f t="shared" si="4"/>
        <v>45927</v>
      </c>
      <c r="JQ3" s="332">
        <f t="shared" si="4"/>
        <v>45928</v>
      </c>
      <c r="JR3" s="332">
        <f t="shared" si="4"/>
        <v>45929</v>
      </c>
      <c r="JS3" s="332">
        <f t="shared" si="4"/>
        <v>45930</v>
      </c>
      <c r="JT3" s="332">
        <f t="shared" si="4"/>
        <v>45931</v>
      </c>
      <c r="JU3" s="332">
        <f t="shared" si="4"/>
        <v>45932</v>
      </c>
      <c r="JV3" s="332">
        <f t="shared" si="4"/>
        <v>45933</v>
      </c>
      <c r="JW3" s="332">
        <f t="shared" si="4"/>
        <v>45934</v>
      </c>
      <c r="JX3" s="332">
        <f t="shared" si="4"/>
        <v>45935</v>
      </c>
      <c r="JY3" s="332">
        <f t="shared" si="4"/>
        <v>45936</v>
      </c>
      <c r="JZ3" s="332">
        <f t="shared" si="4"/>
        <v>45937</v>
      </c>
      <c r="KA3" s="332">
        <f t="shared" si="4"/>
        <v>45938</v>
      </c>
      <c r="KB3" s="332">
        <f t="shared" si="4"/>
        <v>45939</v>
      </c>
      <c r="KC3" s="332">
        <f t="shared" si="4"/>
        <v>45940</v>
      </c>
      <c r="KD3" s="332">
        <f t="shared" si="4"/>
        <v>45941</v>
      </c>
      <c r="KE3" s="332">
        <f t="shared" si="4"/>
        <v>45942</v>
      </c>
      <c r="KF3" s="332">
        <f t="shared" si="4"/>
        <v>45943</v>
      </c>
      <c r="KG3" s="332">
        <f t="shared" si="4"/>
        <v>45944</v>
      </c>
      <c r="KH3" s="332">
        <f t="shared" si="4"/>
        <v>45945</v>
      </c>
      <c r="KI3" s="332">
        <f t="shared" si="4"/>
        <v>45946</v>
      </c>
      <c r="KJ3" s="332">
        <f t="shared" si="4"/>
        <v>45947</v>
      </c>
      <c r="KK3" s="332">
        <f t="shared" si="4"/>
        <v>45948</v>
      </c>
      <c r="KL3" s="332">
        <f t="shared" si="4"/>
        <v>45949</v>
      </c>
      <c r="KM3" s="332">
        <f t="shared" si="4"/>
        <v>45950</v>
      </c>
      <c r="KN3" s="332">
        <f t="shared" si="4"/>
        <v>45951</v>
      </c>
      <c r="KO3" s="332">
        <f t="shared" si="4"/>
        <v>45952</v>
      </c>
      <c r="KP3" s="332">
        <f t="shared" si="4"/>
        <v>45953</v>
      </c>
      <c r="KQ3" s="332">
        <f t="shared" si="4"/>
        <v>45954</v>
      </c>
      <c r="KR3" s="332">
        <f t="shared" si="4"/>
        <v>45955</v>
      </c>
      <c r="KS3" s="332">
        <f t="shared" si="4"/>
        <v>45956</v>
      </c>
      <c r="KT3" s="332">
        <f t="shared" si="4"/>
        <v>45957</v>
      </c>
      <c r="KU3" s="332">
        <f t="shared" si="4"/>
        <v>45958</v>
      </c>
      <c r="KV3" s="332">
        <f t="shared" si="4"/>
        <v>45959</v>
      </c>
      <c r="KW3" s="332">
        <f t="shared" si="4"/>
        <v>45960</v>
      </c>
      <c r="KX3" s="332">
        <f t="shared" si="4"/>
        <v>45961</v>
      </c>
      <c r="KY3" s="332">
        <f t="shared" si="4"/>
        <v>45962</v>
      </c>
      <c r="KZ3" s="332">
        <f t="shared" si="4"/>
        <v>45963</v>
      </c>
      <c r="LA3" s="332">
        <f t="shared" si="4"/>
        <v>45964</v>
      </c>
      <c r="LB3" s="332">
        <f t="shared" si="4"/>
        <v>45965</v>
      </c>
      <c r="LC3" s="332">
        <f t="shared" si="4"/>
        <v>45966</v>
      </c>
      <c r="LD3" s="332">
        <f t="shared" si="4"/>
        <v>45967</v>
      </c>
      <c r="LE3" s="332">
        <f t="shared" si="4"/>
        <v>45968</v>
      </c>
      <c r="LF3" s="332">
        <f t="shared" si="4"/>
        <v>45969</v>
      </c>
      <c r="LG3" s="332">
        <f t="shared" si="4"/>
        <v>45970</v>
      </c>
      <c r="LH3" s="332">
        <f t="shared" si="4"/>
        <v>45971</v>
      </c>
      <c r="LI3" s="332">
        <f t="shared" si="4"/>
        <v>45972</v>
      </c>
      <c r="LJ3" s="332">
        <f t="shared" si="4"/>
        <v>45973</v>
      </c>
      <c r="LK3" s="332">
        <f t="shared" si="4"/>
        <v>45974</v>
      </c>
      <c r="LL3" s="332">
        <f t="shared" si="4"/>
        <v>45975</v>
      </c>
      <c r="LM3" s="332">
        <f t="shared" si="4"/>
        <v>45976</v>
      </c>
      <c r="LN3" s="332">
        <f t="shared" si="4"/>
        <v>45977</v>
      </c>
      <c r="LO3" s="332">
        <f t="shared" si="4"/>
        <v>45978</v>
      </c>
      <c r="LP3" s="332">
        <f t="shared" si="4"/>
        <v>45979</v>
      </c>
      <c r="LQ3" s="332">
        <f t="shared" ref="LQ3:NG3" si="5">LP3+1</f>
        <v>45980</v>
      </c>
      <c r="LR3" s="332">
        <f t="shared" si="5"/>
        <v>45981</v>
      </c>
      <c r="LS3" s="332">
        <f t="shared" si="5"/>
        <v>45982</v>
      </c>
      <c r="LT3" s="332">
        <f t="shared" si="5"/>
        <v>45983</v>
      </c>
      <c r="LU3" s="332">
        <f t="shared" si="5"/>
        <v>45984</v>
      </c>
      <c r="LV3" s="332">
        <f t="shared" si="5"/>
        <v>45985</v>
      </c>
      <c r="LW3" s="332">
        <f t="shared" si="5"/>
        <v>45986</v>
      </c>
      <c r="LX3" s="332">
        <f t="shared" si="5"/>
        <v>45987</v>
      </c>
      <c r="LY3" s="332">
        <f t="shared" si="5"/>
        <v>45988</v>
      </c>
      <c r="LZ3" s="332">
        <f t="shared" si="5"/>
        <v>45989</v>
      </c>
      <c r="MA3" s="332">
        <f t="shared" si="5"/>
        <v>45990</v>
      </c>
      <c r="MB3" s="332">
        <f t="shared" si="5"/>
        <v>45991</v>
      </c>
      <c r="MC3" s="332">
        <f t="shared" si="5"/>
        <v>45992</v>
      </c>
      <c r="MD3" s="332">
        <f t="shared" si="5"/>
        <v>45993</v>
      </c>
      <c r="ME3" s="332">
        <f t="shared" si="5"/>
        <v>45994</v>
      </c>
      <c r="MF3" s="332">
        <f t="shared" si="5"/>
        <v>45995</v>
      </c>
      <c r="MG3" s="332">
        <f t="shared" si="5"/>
        <v>45996</v>
      </c>
      <c r="MH3" s="332">
        <f t="shared" si="5"/>
        <v>45997</v>
      </c>
      <c r="MI3" s="332">
        <f t="shared" si="5"/>
        <v>45998</v>
      </c>
      <c r="MJ3" s="332">
        <f t="shared" si="5"/>
        <v>45999</v>
      </c>
      <c r="MK3" s="332">
        <f t="shared" si="5"/>
        <v>46000</v>
      </c>
      <c r="ML3" s="332">
        <f t="shared" si="5"/>
        <v>46001</v>
      </c>
      <c r="MM3" s="332">
        <f t="shared" si="5"/>
        <v>46002</v>
      </c>
      <c r="MN3" s="332">
        <f t="shared" si="5"/>
        <v>46003</v>
      </c>
      <c r="MO3" s="332">
        <f t="shared" si="5"/>
        <v>46004</v>
      </c>
      <c r="MP3" s="332">
        <f t="shared" si="5"/>
        <v>46005</v>
      </c>
      <c r="MQ3" s="332">
        <f t="shared" si="5"/>
        <v>46006</v>
      </c>
      <c r="MR3" s="332">
        <f t="shared" si="5"/>
        <v>46007</v>
      </c>
      <c r="MS3" s="332">
        <f t="shared" si="5"/>
        <v>46008</v>
      </c>
      <c r="MT3" s="332">
        <f t="shared" si="5"/>
        <v>46009</v>
      </c>
      <c r="MU3" s="332">
        <f t="shared" si="5"/>
        <v>46010</v>
      </c>
      <c r="MV3" s="332">
        <f t="shared" si="5"/>
        <v>46011</v>
      </c>
      <c r="MW3" s="332">
        <f t="shared" si="5"/>
        <v>46012</v>
      </c>
      <c r="MX3" s="332">
        <f t="shared" si="5"/>
        <v>46013</v>
      </c>
      <c r="MY3" s="332">
        <f t="shared" si="5"/>
        <v>46014</v>
      </c>
      <c r="MZ3" s="332">
        <f t="shared" si="5"/>
        <v>46015</v>
      </c>
      <c r="NA3" s="332">
        <f t="shared" si="5"/>
        <v>46016</v>
      </c>
      <c r="NB3" s="332">
        <f t="shared" si="5"/>
        <v>46017</v>
      </c>
      <c r="NC3" s="332">
        <f t="shared" si="5"/>
        <v>46018</v>
      </c>
      <c r="ND3" s="332">
        <f t="shared" si="5"/>
        <v>46019</v>
      </c>
      <c r="NE3" s="332">
        <f t="shared" si="5"/>
        <v>46020</v>
      </c>
      <c r="NF3" s="332">
        <f t="shared" si="5"/>
        <v>46021</v>
      </c>
      <c r="NG3" s="332">
        <f t="shared" si="5"/>
        <v>46022</v>
      </c>
      <c r="NH3" s="406"/>
    </row>
    <row r="4" spans="1:372">
      <c r="A4" s="254" t="s">
        <v>955</v>
      </c>
      <c r="B4" s="239" t="s">
        <v>334</v>
      </c>
      <c r="C4" s="240" t="s">
        <v>675</v>
      </c>
      <c r="D4" s="240" t="s">
        <v>997</v>
      </c>
      <c r="E4" s="241">
        <v>0</v>
      </c>
      <c r="F4" s="252">
        <v>0</v>
      </c>
      <c r="G4" s="242"/>
      <c r="H4" s="242"/>
      <c r="I4" s="242"/>
      <c r="J4" s="242"/>
      <c r="K4" s="242"/>
      <c r="L4" s="243"/>
      <c r="M4" s="243"/>
      <c r="N4" s="243"/>
      <c r="O4" s="243"/>
      <c r="P4" s="243"/>
      <c r="Q4" s="243"/>
      <c r="R4" s="243"/>
      <c r="S4" s="242"/>
      <c r="T4" s="242"/>
      <c r="U4" s="242"/>
      <c r="V4" s="242"/>
      <c r="W4" s="242"/>
      <c r="X4" s="242"/>
      <c r="Y4" s="242"/>
      <c r="Z4" s="243"/>
      <c r="AA4" s="243"/>
      <c r="AB4" s="243"/>
      <c r="AC4" s="243"/>
      <c r="AD4" s="243"/>
      <c r="AE4" s="243"/>
      <c r="AF4" s="243"/>
      <c r="AG4" s="242"/>
      <c r="AH4" s="242"/>
      <c r="AI4" s="242"/>
      <c r="AJ4" s="242"/>
      <c r="AK4" s="242"/>
      <c r="AL4" s="242"/>
      <c r="AM4" s="242"/>
      <c r="AN4" s="243"/>
      <c r="AO4" s="243"/>
      <c r="AP4" s="243"/>
      <c r="AQ4" s="243"/>
      <c r="AR4" s="243"/>
      <c r="AS4" s="243"/>
      <c r="AT4" s="243"/>
      <c r="AU4" s="242"/>
      <c r="AV4" s="242"/>
      <c r="AW4" s="242"/>
      <c r="AX4" s="242"/>
      <c r="AY4" s="242"/>
      <c r="AZ4" s="242"/>
      <c r="BA4" s="242"/>
      <c r="BB4" s="243"/>
      <c r="BC4" s="243"/>
      <c r="BD4" s="243"/>
      <c r="BE4" s="243"/>
      <c r="BF4" s="243"/>
      <c r="BG4" s="243"/>
      <c r="BH4" s="243"/>
      <c r="BI4" s="242"/>
      <c r="BJ4" s="242"/>
      <c r="BK4" s="242"/>
      <c r="BL4" s="242"/>
      <c r="BM4" s="242"/>
      <c r="BN4" s="242"/>
      <c r="BO4" s="242"/>
      <c r="BP4" s="243"/>
      <c r="BQ4" s="243"/>
      <c r="BR4" s="243"/>
      <c r="BS4" s="243"/>
      <c r="BT4" s="243"/>
      <c r="BU4" s="243"/>
      <c r="BV4" s="243"/>
      <c r="BW4" s="242"/>
      <c r="BX4" s="242"/>
      <c r="BY4" s="242"/>
      <c r="BZ4" s="242"/>
      <c r="CA4" s="242"/>
      <c r="CB4" s="242"/>
      <c r="CC4" s="242"/>
      <c r="CD4" s="243"/>
      <c r="CE4" s="243"/>
      <c r="CF4" s="243"/>
      <c r="CG4" s="243"/>
      <c r="CH4" s="243"/>
      <c r="CI4" s="243"/>
      <c r="CJ4" s="243"/>
      <c r="CK4" s="242"/>
      <c r="CL4" s="242"/>
      <c r="CM4" s="242"/>
      <c r="CN4" s="242"/>
      <c r="CO4" s="242"/>
      <c r="CP4" s="242"/>
      <c r="CQ4" s="242"/>
      <c r="CR4" s="243"/>
      <c r="CS4" s="243"/>
      <c r="CT4" s="243"/>
      <c r="CU4" s="243"/>
      <c r="CV4" s="243"/>
      <c r="CW4" s="243"/>
      <c r="CX4" s="243"/>
      <c r="CY4" s="242"/>
      <c r="CZ4" s="242"/>
      <c r="DA4" s="242"/>
      <c r="DB4" s="242"/>
      <c r="DC4" s="242"/>
      <c r="DD4" s="242"/>
      <c r="DE4" s="242"/>
      <c r="DF4" s="243"/>
      <c r="DG4" s="243"/>
      <c r="DH4" s="243"/>
      <c r="DI4" s="243"/>
      <c r="DJ4" s="243"/>
      <c r="DK4" s="243"/>
      <c r="DL4" s="243"/>
      <c r="DM4" s="242"/>
      <c r="DN4" s="242"/>
      <c r="DO4" s="242"/>
      <c r="DP4" s="242"/>
      <c r="DQ4" s="242"/>
      <c r="DR4" s="242"/>
      <c r="DS4" s="242"/>
      <c r="DT4" s="243"/>
      <c r="DU4" s="243"/>
      <c r="DV4" s="243"/>
      <c r="DW4" s="243"/>
      <c r="DX4" s="243"/>
      <c r="DY4" s="243"/>
      <c r="DZ4" s="243"/>
      <c r="EA4" s="242"/>
      <c r="EB4" s="242"/>
      <c r="EC4" s="242"/>
      <c r="ED4" s="242"/>
      <c r="EE4" s="242"/>
      <c r="EF4" s="242"/>
      <c r="EG4" s="242"/>
      <c r="EH4" s="243"/>
      <c r="EI4" s="243"/>
      <c r="EJ4" s="243"/>
      <c r="EK4" s="243"/>
      <c r="EL4" s="243"/>
      <c r="EM4" s="243"/>
      <c r="EN4" s="243"/>
      <c r="EO4" s="242"/>
      <c r="EP4" s="242"/>
      <c r="EQ4" s="242"/>
      <c r="ER4" s="242"/>
      <c r="ES4" s="242"/>
      <c r="ET4" s="242"/>
      <c r="EU4" s="242"/>
      <c r="EV4" s="243"/>
      <c r="EW4" s="243"/>
      <c r="EX4" s="243"/>
      <c r="EY4" s="243"/>
      <c r="EZ4" s="243"/>
      <c r="FA4" s="243"/>
      <c r="FB4" s="243"/>
      <c r="FC4" s="242"/>
      <c r="FD4" s="242"/>
      <c r="FE4" s="242"/>
      <c r="FF4" s="242"/>
      <c r="FG4" s="242"/>
      <c r="FH4" s="242"/>
      <c r="FI4" s="242"/>
      <c r="FJ4" s="243"/>
      <c r="FK4" s="243"/>
      <c r="FL4" s="243"/>
      <c r="FM4" s="243"/>
      <c r="FN4" s="243"/>
      <c r="FO4" s="243"/>
      <c r="FP4" s="243"/>
      <c r="FQ4" s="242"/>
      <c r="FR4" s="242"/>
      <c r="FS4" s="242"/>
      <c r="FT4" s="242"/>
      <c r="FU4" s="242"/>
      <c r="FV4" s="242"/>
      <c r="FW4" s="242"/>
      <c r="FX4" s="243"/>
      <c r="FY4" s="243"/>
      <c r="FZ4" s="243"/>
      <c r="GA4" s="243"/>
      <c r="GB4" s="243"/>
      <c r="GC4" s="243"/>
      <c r="GD4" s="243"/>
      <c r="GE4" s="242"/>
      <c r="GF4" s="242"/>
      <c r="GG4" s="242"/>
      <c r="GH4" s="242"/>
      <c r="GI4" s="242"/>
      <c r="GJ4" s="242"/>
      <c r="GK4" s="242"/>
      <c r="GL4" s="243"/>
      <c r="GM4" s="243"/>
      <c r="GN4" s="243"/>
      <c r="GO4" s="243"/>
      <c r="GP4" s="243"/>
      <c r="GQ4" s="243"/>
      <c r="GR4" s="243"/>
      <c r="GS4" s="242"/>
      <c r="GT4" s="242"/>
      <c r="GU4" s="242"/>
      <c r="GV4" s="242"/>
      <c r="GW4" s="242"/>
      <c r="GX4" s="242"/>
      <c r="GY4" s="242"/>
      <c r="GZ4" s="243"/>
      <c r="HA4" s="243"/>
      <c r="HB4" s="243"/>
      <c r="HC4" s="243"/>
      <c r="HD4" s="243"/>
      <c r="HE4" s="243"/>
      <c r="HF4" s="243"/>
      <c r="HG4" s="242"/>
      <c r="HH4" s="242"/>
      <c r="HI4" s="242"/>
      <c r="HJ4" s="242"/>
      <c r="HK4" s="242"/>
      <c r="HL4" s="242"/>
      <c r="HM4" s="242"/>
      <c r="HN4" s="243"/>
      <c r="HO4" s="243"/>
      <c r="HP4" s="243"/>
      <c r="HQ4" s="243"/>
      <c r="HR4" s="243"/>
      <c r="HS4" s="243"/>
      <c r="HT4" s="243"/>
      <c r="HU4" s="242"/>
      <c r="HV4" s="242"/>
      <c r="HW4" s="242"/>
      <c r="HX4" s="242"/>
      <c r="HY4" s="242"/>
      <c r="HZ4" s="242"/>
      <c r="IA4" s="242"/>
      <c r="IB4" s="243"/>
      <c r="IC4" s="243"/>
      <c r="ID4" s="243"/>
      <c r="IE4" s="243"/>
      <c r="IF4" s="243"/>
      <c r="IG4" s="243"/>
      <c r="IH4" s="243"/>
      <c r="II4" s="242"/>
      <c r="IJ4" s="242"/>
      <c r="IK4" s="242"/>
      <c r="IL4" s="242"/>
      <c r="IM4" s="242"/>
      <c r="IN4" s="242"/>
      <c r="IO4" s="242"/>
      <c r="IP4" s="243"/>
      <c r="IQ4" s="243"/>
      <c r="IR4" s="243"/>
      <c r="IS4" s="243"/>
      <c r="IT4" s="243"/>
      <c r="IU4" s="243"/>
      <c r="IV4" s="243"/>
      <c r="IW4" s="242"/>
      <c r="IX4" s="242"/>
      <c r="IY4" s="242"/>
      <c r="IZ4" s="242"/>
      <c r="JA4" s="242"/>
      <c r="JB4" s="242"/>
      <c r="JC4" s="242"/>
      <c r="JD4" s="243"/>
      <c r="JE4" s="243"/>
      <c r="JF4" s="243"/>
      <c r="JG4" s="243"/>
      <c r="JH4" s="243"/>
      <c r="JI4" s="243"/>
      <c r="JJ4" s="243"/>
      <c r="JK4" s="242"/>
      <c r="JL4" s="242"/>
      <c r="JM4" s="242"/>
      <c r="JN4" s="242"/>
      <c r="JO4" s="242"/>
      <c r="JP4" s="242"/>
      <c r="JQ4" s="242"/>
      <c r="JR4" s="243"/>
      <c r="JS4" s="243"/>
      <c r="JT4" s="243"/>
      <c r="JU4" s="243"/>
      <c r="JV4" s="243"/>
      <c r="JW4" s="243"/>
      <c r="JX4" s="243"/>
      <c r="JY4" s="242"/>
      <c r="JZ4" s="242"/>
      <c r="KA4" s="242"/>
      <c r="KB4" s="242"/>
      <c r="KC4" s="242"/>
      <c r="KD4" s="242"/>
      <c r="KE4" s="242"/>
      <c r="KF4" s="243"/>
      <c r="KG4" s="243"/>
      <c r="KH4" s="243"/>
      <c r="KI4" s="243"/>
      <c r="KJ4" s="243"/>
      <c r="KK4" s="243"/>
      <c r="KL4" s="243"/>
      <c r="KM4" s="242"/>
      <c r="KN4" s="242"/>
      <c r="KO4" s="242"/>
      <c r="KP4" s="242"/>
      <c r="KQ4" s="242"/>
      <c r="KR4" s="242"/>
      <c r="KS4" s="242"/>
      <c r="KT4" s="243"/>
      <c r="KU4" s="243"/>
      <c r="KV4" s="243"/>
      <c r="KW4" s="243"/>
      <c r="KX4" s="243"/>
      <c r="KY4" s="243"/>
      <c r="KZ4" s="243"/>
      <c r="LA4" s="242"/>
      <c r="LB4" s="242"/>
      <c r="LC4" s="242"/>
      <c r="LD4" s="242"/>
      <c r="LE4" s="242"/>
      <c r="LF4" s="242"/>
      <c r="LG4" s="242"/>
      <c r="LH4" s="243"/>
      <c r="LI4" s="243"/>
      <c r="LJ4" s="243"/>
      <c r="LK4" s="243"/>
      <c r="LL4" s="243"/>
      <c r="LM4" s="243"/>
      <c r="LN4" s="243"/>
      <c r="LO4" s="242"/>
      <c r="LP4" s="242"/>
      <c r="LQ4" s="242"/>
      <c r="LR4" s="242"/>
      <c r="LS4" s="242"/>
      <c r="LT4" s="242"/>
      <c r="LU4" s="242"/>
      <c r="LV4" s="243"/>
      <c r="LW4" s="243"/>
      <c r="LX4" s="243"/>
      <c r="LY4" s="243"/>
      <c r="LZ4" s="243"/>
      <c r="MA4" s="243"/>
      <c r="MB4" s="243"/>
      <c r="MC4" s="242"/>
      <c r="MD4" s="242"/>
      <c r="ME4" s="242"/>
      <c r="MF4" s="242"/>
      <c r="MG4" s="242"/>
      <c r="MH4" s="242"/>
      <c r="MI4" s="242"/>
      <c r="MJ4" s="243"/>
      <c r="MK4" s="243"/>
      <c r="ML4" s="243"/>
      <c r="MM4" s="243"/>
      <c r="MN4" s="243"/>
      <c r="MO4" s="243"/>
      <c r="MP4" s="243"/>
      <c r="MQ4" s="242"/>
      <c r="MR4" s="242"/>
      <c r="MS4" s="242"/>
      <c r="MT4" s="242"/>
      <c r="MU4" s="242"/>
      <c r="MV4" s="242"/>
      <c r="MW4" s="242"/>
      <c r="MX4" s="243"/>
      <c r="MY4" s="243"/>
      <c r="MZ4" s="243"/>
      <c r="NA4" s="243"/>
      <c r="NB4" s="243"/>
      <c r="NC4" s="243"/>
      <c r="ND4" s="243"/>
      <c r="NE4" s="242"/>
      <c r="NF4" s="242"/>
      <c r="NG4" s="242"/>
      <c r="NH4" s="243"/>
    </row>
    <row r="5" spans="1:372">
      <c r="A5" s="254" t="s">
        <v>955</v>
      </c>
      <c r="B5" s="239" t="s">
        <v>335</v>
      </c>
      <c r="C5" s="240" t="s">
        <v>674</v>
      </c>
      <c r="D5" s="240" t="s">
        <v>982</v>
      </c>
      <c r="E5" s="241">
        <v>0</v>
      </c>
      <c r="F5" s="252">
        <v>0</v>
      </c>
      <c r="G5" s="242"/>
      <c r="H5" s="242"/>
      <c r="I5" s="242"/>
      <c r="J5" s="242"/>
      <c r="K5" s="242"/>
      <c r="L5" s="243"/>
      <c r="M5" s="243"/>
      <c r="N5" s="243"/>
      <c r="O5" s="243"/>
      <c r="P5" s="243"/>
      <c r="Q5" s="243"/>
      <c r="R5" s="243"/>
      <c r="S5" s="242"/>
      <c r="T5" s="242"/>
      <c r="U5" s="242"/>
      <c r="V5" s="242"/>
      <c r="W5" s="242"/>
      <c r="X5" s="242"/>
      <c r="Y5" s="242"/>
      <c r="Z5" s="243"/>
      <c r="AA5" s="243"/>
      <c r="AB5" s="243"/>
      <c r="AC5" s="243"/>
      <c r="AD5" s="243"/>
      <c r="AE5" s="243"/>
      <c r="AF5" s="243"/>
      <c r="AG5" s="242"/>
      <c r="AH5" s="242"/>
      <c r="AI5" s="242"/>
      <c r="AJ5" s="242"/>
      <c r="AK5" s="242"/>
      <c r="AL5" s="242"/>
      <c r="AM5" s="242"/>
      <c r="AN5" s="243"/>
      <c r="AO5" s="243"/>
      <c r="AP5" s="243"/>
      <c r="AQ5" s="243"/>
      <c r="AR5" s="243"/>
      <c r="AS5" s="243"/>
      <c r="AT5" s="243"/>
      <c r="AU5" s="242"/>
      <c r="AV5" s="242"/>
      <c r="AW5" s="242"/>
      <c r="AX5" s="242"/>
      <c r="AY5" s="242"/>
      <c r="AZ5" s="242"/>
      <c r="BA5" s="242"/>
      <c r="BB5" s="243"/>
      <c r="BC5" s="243"/>
      <c r="BD5" s="243"/>
      <c r="BE5" s="243"/>
      <c r="BF5" s="243"/>
      <c r="BG5" s="243"/>
      <c r="BH5" s="243"/>
      <c r="BI5" s="242"/>
      <c r="BJ5" s="242"/>
      <c r="BK5" s="242"/>
      <c r="BL5" s="242"/>
      <c r="BM5" s="242"/>
      <c r="BN5" s="242"/>
      <c r="BO5" s="242"/>
      <c r="BP5" s="243"/>
      <c r="BQ5" s="243"/>
      <c r="BR5" s="243"/>
      <c r="BS5" s="243"/>
      <c r="BT5" s="243"/>
      <c r="BU5" s="243"/>
      <c r="BV5" s="243"/>
      <c r="BW5" s="242"/>
      <c r="BX5" s="242"/>
      <c r="BY5" s="242"/>
      <c r="BZ5" s="242"/>
      <c r="CA5" s="242"/>
      <c r="CB5" s="242"/>
      <c r="CC5" s="242"/>
      <c r="CD5" s="243"/>
      <c r="CE5" s="243"/>
      <c r="CF5" s="243"/>
      <c r="CG5" s="243"/>
      <c r="CH5" s="243"/>
      <c r="CI5" s="243"/>
      <c r="CJ5" s="243"/>
      <c r="CK5" s="242"/>
      <c r="CL5" s="242"/>
      <c r="CM5" s="242"/>
      <c r="CN5" s="242"/>
      <c r="CO5" s="242"/>
      <c r="CP5" s="242"/>
      <c r="CQ5" s="242"/>
      <c r="CR5" s="243"/>
      <c r="CS5" s="243"/>
      <c r="CT5" s="243"/>
      <c r="CU5" s="243"/>
      <c r="CV5" s="243"/>
      <c r="CW5" s="243"/>
      <c r="CX5" s="243"/>
      <c r="CY5" s="242"/>
      <c r="CZ5" s="242"/>
      <c r="DA5" s="242"/>
      <c r="DB5" s="242"/>
      <c r="DC5" s="242"/>
      <c r="DD5" s="242"/>
      <c r="DE5" s="242"/>
      <c r="DF5" s="243"/>
      <c r="DG5" s="243"/>
      <c r="DH5" s="243"/>
      <c r="DI5" s="243"/>
      <c r="DJ5" s="243"/>
      <c r="DK5" s="243"/>
      <c r="DL5" s="243"/>
      <c r="DM5" s="242"/>
      <c r="DN5" s="242"/>
      <c r="DO5" s="242"/>
      <c r="DP5" s="242"/>
      <c r="DQ5" s="242"/>
      <c r="DR5" s="242"/>
      <c r="DS5" s="242"/>
      <c r="DT5" s="243"/>
      <c r="DU5" s="243"/>
      <c r="DV5" s="243"/>
      <c r="DW5" s="243"/>
      <c r="DX5" s="243"/>
      <c r="DY5" s="243"/>
      <c r="DZ5" s="243"/>
      <c r="EA5" s="242"/>
      <c r="EB5" s="242"/>
      <c r="EC5" s="242"/>
      <c r="ED5" s="242"/>
      <c r="EE5" s="242"/>
      <c r="EF5" s="242"/>
      <c r="EG5" s="242"/>
      <c r="EH5" s="243"/>
      <c r="EI5" s="243"/>
      <c r="EJ5" s="243"/>
      <c r="EK5" s="243"/>
      <c r="EL5" s="243"/>
      <c r="EM5" s="243"/>
      <c r="EN5" s="243"/>
      <c r="EO5" s="242"/>
      <c r="EP5" s="242"/>
      <c r="EQ5" s="242"/>
      <c r="ER5" s="242"/>
      <c r="ES5" s="242"/>
      <c r="ET5" s="242"/>
      <c r="EU5" s="242"/>
      <c r="EV5" s="243"/>
      <c r="EW5" s="243"/>
      <c r="EX5" s="243"/>
      <c r="EY5" s="243"/>
      <c r="EZ5" s="243"/>
      <c r="FA5" s="243"/>
      <c r="FB5" s="243"/>
      <c r="FC5" s="242"/>
      <c r="FD5" s="242"/>
      <c r="FE5" s="242"/>
      <c r="FF5" s="242"/>
      <c r="FG5" s="242"/>
      <c r="FH5" s="242"/>
      <c r="FI5" s="242"/>
      <c r="FJ5" s="243"/>
      <c r="FK5" s="243"/>
      <c r="FL5" s="243"/>
      <c r="FM5" s="243"/>
      <c r="FN5" s="243"/>
      <c r="FO5" s="243"/>
      <c r="FP5" s="243"/>
      <c r="FQ5" s="242"/>
      <c r="FR5" s="242"/>
      <c r="FS5" s="242"/>
      <c r="FT5" s="242"/>
      <c r="FU5" s="242"/>
      <c r="FV5" s="242"/>
      <c r="FW5" s="242"/>
      <c r="FX5" s="243"/>
      <c r="FY5" s="243"/>
      <c r="FZ5" s="243"/>
      <c r="GA5" s="243"/>
      <c r="GB5" s="243"/>
      <c r="GC5" s="243"/>
      <c r="GD5" s="243"/>
      <c r="GE5" s="242"/>
      <c r="GF5" s="242"/>
      <c r="GG5" s="242"/>
      <c r="GH5" s="242"/>
      <c r="GI5" s="242"/>
      <c r="GJ5" s="242"/>
      <c r="GK5" s="242"/>
      <c r="GL5" s="243"/>
      <c r="GM5" s="243"/>
      <c r="GN5" s="243"/>
      <c r="GO5" s="243"/>
      <c r="GP5" s="243"/>
      <c r="GQ5" s="243"/>
      <c r="GR5" s="243"/>
      <c r="GS5" s="242"/>
      <c r="GT5" s="242"/>
      <c r="GU5" s="242"/>
      <c r="GV5" s="242"/>
      <c r="GW5" s="242"/>
      <c r="GX5" s="242"/>
      <c r="GY5" s="242"/>
      <c r="GZ5" s="243"/>
      <c r="HA5" s="243"/>
      <c r="HB5" s="243"/>
      <c r="HC5" s="243"/>
      <c r="HD5" s="243"/>
      <c r="HE5" s="243"/>
      <c r="HF5" s="243"/>
      <c r="HG5" s="242"/>
      <c r="HH5" s="242"/>
      <c r="HI5" s="242"/>
      <c r="HJ5" s="242"/>
      <c r="HK5" s="242"/>
      <c r="HL5" s="242"/>
      <c r="HM5" s="242"/>
      <c r="HN5" s="243"/>
      <c r="HO5" s="243"/>
      <c r="HP5" s="243"/>
      <c r="HQ5" s="243"/>
      <c r="HR5" s="243"/>
      <c r="HS5" s="243"/>
      <c r="HT5" s="243"/>
      <c r="HU5" s="242"/>
      <c r="HV5" s="242"/>
      <c r="HW5" s="242"/>
      <c r="HX5" s="242"/>
      <c r="HY5" s="242"/>
      <c r="HZ5" s="242"/>
      <c r="IA5" s="242"/>
      <c r="IB5" s="243"/>
      <c r="IC5" s="243"/>
      <c r="ID5" s="243"/>
      <c r="IE5" s="243"/>
      <c r="IF5" s="243"/>
      <c r="IG5" s="243"/>
      <c r="IH5" s="243"/>
      <c r="II5" s="242"/>
      <c r="IJ5" s="242"/>
      <c r="IK5" s="242"/>
      <c r="IL5" s="242"/>
      <c r="IM5" s="242"/>
      <c r="IN5" s="242"/>
      <c r="IO5" s="242"/>
      <c r="IP5" s="243"/>
      <c r="IQ5" s="243"/>
      <c r="IR5" s="243"/>
      <c r="IS5" s="243"/>
      <c r="IT5" s="243"/>
      <c r="IU5" s="243"/>
      <c r="IV5" s="243"/>
      <c r="IW5" s="242"/>
      <c r="IX5" s="242"/>
      <c r="IY5" s="242"/>
      <c r="IZ5" s="242"/>
      <c r="JA5" s="242"/>
      <c r="JB5" s="242"/>
      <c r="JC5" s="242"/>
      <c r="JD5" s="243"/>
      <c r="JE5" s="243"/>
      <c r="JF5" s="243"/>
      <c r="JG5" s="243"/>
      <c r="JH5" s="243"/>
      <c r="JI5" s="243"/>
      <c r="JJ5" s="243"/>
      <c r="JK5" s="242"/>
      <c r="JL5" s="242"/>
      <c r="JM5" s="242"/>
      <c r="JN5" s="242"/>
      <c r="JO5" s="242"/>
      <c r="JP5" s="242"/>
      <c r="JQ5" s="242"/>
      <c r="JR5" s="243"/>
      <c r="JS5" s="243"/>
      <c r="JT5" s="243"/>
      <c r="JU5" s="243"/>
      <c r="JV5" s="243"/>
      <c r="JW5" s="243"/>
      <c r="JX5" s="243"/>
      <c r="JY5" s="242"/>
      <c r="JZ5" s="242"/>
      <c r="KA5" s="242"/>
      <c r="KB5" s="242"/>
      <c r="KC5" s="242"/>
      <c r="KD5" s="242"/>
      <c r="KE5" s="242"/>
      <c r="KF5" s="243"/>
      <c r="KG5" s="243"/>
      <c r="KH5" s="243"/>
      <c r="KI5" s="243"/>
      <c r="KJ5" s="243"/>
      <c r="KK5" s="243"/>
      <c r="KL5" s="243"/>
      <c r="KM5" s="242"/>
      <c r="KN5" s="242"/>
      <c r="KO5" s="242"/>
      <c r="KP5" s="242"/>
      <c r="KQ5" s="242"/>
      <c r="KR5" s="242"/>
      <c r="KS5" s="242"/>
      <c r="KT5" s="243"/>
      <c r="KU5" s="243"/>
      <c r="KV5" s="243"/>
      <c r="KW5" s="243"/>
      <c r="KX5" s="243"/>
      <c r="KY5" s="243"/>
      <c r="KZ5" s="243"/>
      <c r="LA5" s="242"/>
      <c r="LB5" s="242"/>
      <c r="LC5" s="242"/>
      <c r="LD5" s="242"/>
      <c r="LE5" s="242"/>
      <c r="LF5" s="242"/>
      <c r="LG5" s="242"/>
      <c r="LH5" s="243"/>
      <c r="LI5" s="243"/>
      <c r="LJ5" s="243"/>
      <c r="LK5" s="243"/>
      <c r="LL5" s="243"/>
      <c r="LM5" s="243"/>
      <c r="LN5" s="243"/>
      <c r="LO5" s="242"/>
      <c r="LP5" s="242"/>
      <c r="LQ5" s="242"/>
      <c r="LR5" s="242"/>
      <c r="LS5" s="242"/>
      <c r="LT5" s="242"/>
      <c r="LU5" s="242"/>
      <c r="LV5" s="243"/>
      <c r="LW5" s="243"/>
      <c r="LX5" s="243"/>
      <c r="LY5" s="243"/>
      <c r="LZ5" s="243"/>
      <c r="MA5" s="243"/>
      <c r="MB5" s="243"/>
      <c r="MC5" s="242"/>
      <c r="MD5" s="242"/>
      <c r="ME5" s="242"/>
      <c r="MF5" s="242"/>
      <c r="MG5" s="242"/>
      <c r="MH5" s="242"/>
      <c r="MI5" s="242"/>
      <c r="MJ5" s="243"/>
      <c r="MK5" s="243"/>
      <c r="ML5" s="243"/>
      <c r="MM5" s="243"/>
      <c r="MN5" s="243"/>
      <c r="MO5" s="243"/>
      <c r="MP5" s="243"/>
      <c r="MQ5" s="242"/>
      <c r="MR5" s="242"/>
      <c r="MS5" s="242"/>
      <c r="MT5" s="242"/>
      <c r="MU5" s="242"/>
      <c r="MV5" s="242"/>
      <c r="MW5" s="242"/>
      <c r="MX5" s="243"/>
      <c r="MY5" s="243"/>
      <c r="MZ5" s="243"/>
      <c r="NA5" s="243"/>
      <c r="NB5" s="243"/>
      <c r="NC5" s="243"/>
      <c r="ND5" s="243"/>
      <c r="NE5" s="242"/>
      <c r="NF5" s="242"/>
      <c r="NG5" s="242"/>
      <c r="NH5" s="243"/>
    </row>
    <row r="6" spans="1:372">
      <c r="A6" s="254" t="s">
        <v>955</v>
      </c>
      <c r="B6" s="239" t="s">
        <v>336</v>
      </c>
      <c r="C6" s="240" t="s">
        <v>674</v>
      </c>
      <c r="D6" s="240" t="s">
        <v>982</v>
      </c>
      <c r="E6" s="241">
        <v>0</v>
      </c>
      <c r="F6" s="252">
        <v>0</v>
      </c>
      <c r="G6" s="242"/>
      <c r="H6" s="242"/>
      <c r="I6" s="242"/>
      <c r="J6" s="242"/>
      <c r="K6" s="242"/>
      <c r="L6" s="243"/>
      <c r="M6" s="243"/>
      <c r="N6" s="243"/>
      <c r="O6" s="243"/>
      <c r="P6" s="243"/>
      <c r="Q6" s="243"/>
      <c r="R6" s="243"/>
      <c r="S6" s="242"/>
      <c r="T6" s="242"/>
      <c r="U6" s="242"/>
      <c r="V6" s="242"/>
      <c r="W6" s="242"/>
      <c r="X6" s="242"/>
      <c r="Y6" s="242"/>
      <c r="Z6" s="243"/>
      <c r="AA6" s="243"/>
      <c r="AB6" s="243"/>
      <c r="AC6" s="243"/>
      <c r="AD6" s="243"/>
      <c r="AE6" s="243"/>
      <c r="AF6" s="243"/>
      <c r="AG6" s="242"/>
      <c r="AH6" s="242"/>
      <c r="AI6" s="242"/>
      <c r="AJ6" s="242"/>
      <c r="AK6" s="242"/>
      <c r="AL6" s="242"/>
      <c r="AM6" s="242"/>
      <c r="AN6" s="243"/>
      <c r="AO6" s="243"/>
      <c r="AP6" s="243"/>
      <c r="AQ6" s="243"/>
      <c r="AR6" s="243"/>
      <c r="AS6" s="243"/>
      <c r="AT6" s="243"/>
      <c r="AU6" s="242"/>
      <c r="AV6" s="242"/>
      <c r="AW6" s="242"/>
      <c r="AX6" s="242"/>
      <c r="AY6" s="242"/>
      <c r="AZ6" s="242"/>
      <c r="BA6" s="242"/>
      <c r="BB6" s="243"/>
      <c r="BC6" s="243"/>
      <c r="BD6" s="243"/>
      <c r="BE6" s="243"/>
      <c r="BF6" s="243"/>
      <c r="BG6" s="243"/>
      <c r="BH6" s="243"/>
      <c r="BI6" s="242"/>
      <c r="BJ6" s="242"/>
      <c r="BK6" s="242"/>
      <c r="BL6" s="242"/>
      <c r="BM6" s="242"/>
      <c r="BN6" s="242"/>
      <c r="BO6" s="242"/>
      <c r="BP6" s="243"/>
      <c r="BQ6" s="243"/>
      <c r="BR6" s="243"/>
      <c r="BS6" s="243"/>
      <c r="BT6" s="243"/>
      <c r="BU6" s="243"/>
      <c r="BV6" s="243"/>
      <c r="BW6" s="242"/>
      <c r="BX6" s="242"/>
      <c r="BY6" s="242"/>
      <c r="BZ6" s="242"/>
      <c r="CA6" s="242"/>
      <c r="CB6" s="242"/>
      <c r="CC6" s="242"/>
      <c r="CD6" s="243"/>
      <c r="CE6" s="243"/>
      <c r="CF6" s="243"/>
      <c r="CG6" s="243"/>
      <c r="CH6" s="243"/>
      <c r="CI6" s="243"/>
      <c r="CJ6" s="243"/>
      <c r="CK6" s="242"/>
      <c r="CL6" s="242"/>
      <c r="CM6" s="242"/>
      <c r="CN6" s="242"/>
      <c r="CO6" s="242"/>
      <c r="CP6" s="242"/>
      <c r="CQ6" s="242"/>
      <c r="CR6" s="243"/>
      <c r="CS6" s="243"/>
      <c r="CT6" s="243"/>
      <c r="CU6" s="243"/>
      <c r="CV6" s="243"/>
      <c r="CW6" s="243"/>
      <c r="CX6" s="243"/>
      <c r="CY6" s="242"/>
      <c r="CZ6" s="242"/>
      <c r="DA6" s="242"/>
      <c r="DB6" s="242"/>
      <c r="DC6" s="242"/>
      <c r="DD6" s="242"/>
      <c r="DE6" s="242"/>
      <c r="DF6" s="243"/>
      <c r="DG6" s="243"/>
      <c r="DH6" s="243"/>
      <c r="DI6" s="243"/>
      <c r="DJ6" s="243"/>
      <c r="DK6" s="243"/>
      <c r="DL6" s="243"/>
      <c r="DM6" s="242"/>
      <c r="DN6" s="242"/>
      <c r="DO6" s="242"/>
      <c r="DP6" s="242"/>
      <c r="DQ6" s="242"/>
      <c r="DR6" s="242"/>
      <c r="DS6" s="242"/>
      <c r="DT6" s="243"/>
      <c r="DU6" s="243"/>
      <c r="DV6" s="243"/>
      <c r="DW6" s="243"/>
      <c r="DX6" s="243"/>
      <c r="DY6" s="243"/>
      <c r="DZ6" s="243"/>
      <c r="EA6" s="242"/>
      <c r="EB6" s="242"/>
      <c r="EC6" s="242"/>
      <c r="ED6" s="242"/>
      <c r="EE6" s="242"/>
      <c r="EF6" s="242"/>
      <c r="EG6" s="242"/>
      <c r="EH6" s="243"/>
      <c r="EI6" s="243"/>
      <c r="EJ6" s="243"/>
      <c r="EK6" s="243"/>
      <c r="EL6" s="243"/>
      <c r="EM6" s="243"/>
      <c r="EN6" s="243"/>
      <c r="EO6" s="242"/>
      <c r="EP6" s="242"/>
      <c r="EQ6" s="242"/>
      <c r="ER6" s="242"/>
      <c r="ES6" s="242"/>
      <c r="ET6" s="242"/>
      <c r="EU6" s="242"/>
      <c r="EV6" s="243"/>
      <c r="EW6" s="243"/>
      <c r="EX6" s="243"/>
      <c r="EY6" s="243"/>
      <c r="EZ6" s="243"/>
      <c r="FA6" s="243"/>
      <c r="FB6" s="243"/>
      <c r="FC6" s="242"/>
      <c r="FD6" s="242"/>
      <c r="FE6" s="242"/>
      <c r="FF6" s="242"/>
      <c r="FG6" s="242"/>
      <c r="FH6" s="242"/>
      <c r="FI6" s="242"/>
      <c r="FJ6" s="243"/>
      <c r="FK6" s="243"/>
      <c r="FL6" s="243"/>
      <c r="FM6" s="243"/>
      <c r="FN6" s="243"/>
      <c r="FO6" s="243"/>
      <c r="FP6" s="243"/>
      <c r="FQ6" s="242"/>
      <c r="FR6" s="242"/>
      <c r="FS6" s="242"/>
      <c r="FT6" s="242"/>
      <c r="FU6" s="242"/>
      <c r="FV6" s="242"/>
      <c r="FW6" s="242"/>
      <c r="FX6" s="243"/>
      <c r="FY6" s="243"/>
      <c r="FZ6" s="243"/>
      <c r="GA6" s="243"/>
      <c r="GB6" s="243"/>
      <c r="GC6" s="243"/>
      <c r="GD6" s="243"/>
      <c r="GE6" s="242"/>
      <c r="GF6" s="242"/>
      <c r="GG6" s="242"/>
      <c r="GH6" s="242"/>
      <c r="GI6" s="242"/>
      <c r="GJ6" s="242"/>
      <c r="GK6" s="242"/>
      <c r="GL6" s="243"/>
      <c r="GM6" s="243"/>
      <c r="GN6" s="243"/>
      <c r="GO6" s="243"/>
      <c r="GP6" s="243"/>
      <c r="GQ6" s="243"/>
      <c r="GR6" s="243"/>
      <c r="GS6" s="242"/>
      <c r="GT6" s="242"/>
      <c r="GU6" s="242"/>
      <c r="GV6" s="242"/>
      <c r="GW6" s="242"/>
      <c r="GX6" s="242"/>
      <c r="GY6" s="242"/>
      <c r="GZ6" s="243"/>
      <c r="HA6" s="243"/>
      <c r="HB6" s="243"/>
      <c r="HC6" s="243"/>
      <c r="HD6" s="243"/>
      <c r="HE6" s="243"/>
      <c r="HF6" s="243"/>
      <c r="HG6" s="242"/>
      <c r="HH6" s="242"/>
      <c r="HI6" s="242"/>
      <c r="HJ6" s="242"/>
      <c r="HK6" s="242"/>
      <c r="HL6" s="242"/>
      <c r="HM6" s="242"/>
      <c r="HN6" s="243"/>
      <c r="HO6" s="243"/>
      <c r="HP6" s="243"/>
      <c r="HQ6" s="243"/>
      <c r="HR6" s="243"/>
      <c r="HS6" s="243"/>
      <c r="HT6" s="243"/>
      <c r="HU6" s="242"/>
      <c r="HV6" s="242"/>
      <c r="HW6" s="242"/>
      <c r="HX6" s="242"/>
      <c r="HY6" s="242"/>
      <c r="HZ6" s="242"/>
      <c r="IA6" s="242"/>
      <c r="IB6" s="243"/>
      <c r="IC6" s="243"/>
      <c r="ID6" s="243"/>
      <c r="IE6" s="243"/>
      <c r="IF6" s="243"/>
      <c r="IG6" s="243"/>
      <c r="IH6" s="243"/>
      <c r="II6" s="242"/>
      <c r="IJ6" s="242"/>
      <c r="IK6" s="242"/>
      <c r="IL6" s="242"/>
      <c r="IM6" s="242"/>
      <c r="IN6" s="242"/>
      <c r="IO6" s="242"/>
      <c r="IP6" s="243"/>
      <c r="IQ6" s="243"/>
      <c r="IR6" s="243"/>
      <c r="IS6" s="243"/>
      <c r="IT6" s="243"/>
      <c r="IU6" s="243"/>
      <c r="IV6" s="243"/>
      <c r="IW6" s="242"/>
      <c r="IX6" s="242"/>
      <c r="IY6" s="242"/>
      <c r="IZ6" s="242"/>
      <c r="JA6" s="242"/>
      <c r="JB6" s="242"/>
      <c r="JC6" s="242"/>
      <c r="JD6" s="243"/>
      <c r="JE6" s="243"/>
      <c r="JF6" s="243"/>
      <c r="JG6" s="243"/>
      <c r="JH6" s="243"/>
      <c r="JI6" s="243"/>
      <c r="JJ6" s="243"/>
      <c r="JK6" s="242"/>
      <c r="JL6" s="242"/>
      <c r="JM6" s="242"/>
      <c r="JN6" s="242"/>
      <c r="JO6" s="242"/>
      <c r="JP6" s="242"/>
      <c r="JQ6" s="242"/>
      <c r="JR6" s="243"/>
      <c r="JS6" s="243"/>
      <c r="JT6" s="243"/>
      <c r="JU6" s="243"/>
      <c r="JV6" s="243"/>
      <c r="JW6" s="243"/>
      <c r="JX6" s="243"/>
      <c r="JY6" s="242"/>
      <c r="JZ6" s="242"/>
      <c r="KA6" s="242"/>
      <c r="KB6" s="242"/>
      <c r="KC6" s="242"/>
      <c r="KD6" s="242"/>
      <c r="KE6" s="242"/>
      <c r="KF6" s="243"/>
      <c r="KG6" s="243"/>
      <c r="KH6" s="243"/>
      <c r="KI6" s="243"/>
      <c r="KJ6" s="243"/>
      <c r="KK6" s="243"/>
      <c r="KL6" s="243"/>
      <c r="KM6" s="242"/>
      <c r="KN6" s="242"/>
      <c r="KO6" s="242"/>
      <c r="KP6" s="242"/>
      <c r="KQ6" s="242"/>
      <c r="KR6" s="242"/>
      <c r="KS6" s="242"/>
      <c r="KT6" s="243"/>
      <c r="KU6" s="243"/>
      <c r="KV6" s="243"/>
      <c r="KW6" s="243"/>
      <c r="KX6" s="243"/>
      <c r="KY6" s="243"/>
      <c r="KZ6" s="243"/>
      <c r="LA6" s="242"/>
      <c r="LB6" s="242"/>
      <c r="LC6" s="242"/>
      <c r="LD6" s="242"/>
      <c r="LE6" s="242"/>
      <c r="LF6" s="242"/>
      <c r="LG6" s="242"/>
      <c r="LH6" s="243"/>
      <c r="LI6" s="243"/>
      <c r="LJ6" s="243"/>
      <c r="LK6" s="243"/>
      <c r="LL6" s="243"/>
      <c r="LM6" s="243"/>
      <c r="LN6" s="243"/>
      <c r="LO6" s="242"/>
      <c r="LP6" s="242"/>
      <c r="LQ6" s="242"/>
      <c r="LR6" s="242"/>
      <c r="LS6" s="242"/>
      <c r="LT6" s="242"/>
      <c r="LU6" s="242"/>
      <c r="LV6" s="243"/>
      <c r="LW6" s="243"/>
      <c r="LX6" s="243"/>
      <c r="LY6" s="243"/>
      <c r="LZ6" s="243"/>
      <c r="MA6" s="243"/>
      <c r="MB6" s="243"/>
      <c r="MC6" s="242"/>
      <c r="MD6" s="242"/>
      <c r="ME6" s="242"/>
      <c r="MF6" s="242"/>
      <c r="MG6" s="242"/>
      <c r="MH6" s="242"/>
      <c r="MI6" s="242"/>
      <c r="MJ6" s="243"/>
      <c r="MK6" s="243"/>
      <c r="ML6" s="243"/>
      <c r="MM6" s="243"/>
      <c r="MN6" s="243"/>
      <c r="MO6" s="243"/>
      <c r="MP6" s="243"/>
      <c r="MQ6" s="242"/>
      <c r="MR6" s="242"/>
      <c r="MS6" s="242"/>
      <c r="MT6" s="242"/>
      <c r="MU6" s="242"/>
      <c r="MV6" s="242"/>
      <c r="MW6" s="242"/>
      <c r="MX6" s="243"/>
      <c r="MY6" s="243"/>
      <c r="MZ6" s="243"/>
      <c r="NA6" s="243"/>
      <c r="NB6" s="243"/>
      <c r="NC6" s="243"/>
      <c r="ND6" s="243"/>
      <c r="NE6" s="242"/>
      <c r="NF6" s="242"/>
      <c r="NG6" s="242"/>
      <c r="NH6" s="243"/>
    </row>
    <row r="7" spans="1:372">
      <c r="A7" s="254" t="s">
        <v>955</v>
      </c>
      <c r="B7" s="239" t="s">
        <v>337</v>
      </c>
      <c r="C7" s="240" t="s">
        <v>674</v>
      </c>
      <c r="D7" s="240" t="s">
        <v>982</v>
      </c>
      <c r="E7" s="241">
        <v>0</v>
      </c>
      <c r="F7" s="252">
        <v>0</v>
      </c>
      <c r="G7" s="242"/>
      <c r="H7" s="242"/>
      <c r="I7" s="242"/>
      <c r="J7" s="242"/>
      <c r="K7" s="242"/>
      <c r="L7" s="243"/>
      <c r="M7" s="243"/>
      <c r="N7" s="243"/>
      <c r="O7" s="243"/>
      <c r="P7" s="243"/>
      <c r="Q7" s="243"/>
      <c r="R7" s="243"/>
      <c r="S7" s="242"/>
      <c r="T7" s="242"/>
      <c r="U7" s="242"/>
      <c r="V7" s="242"/>
      <c r="W7" s="242"/>
      <c r="X7" s="242"/>
      <c r="Y7" s="242"/>
      <c r="Z7" s="243"/>
      <c r="AA7" s="243"/>
      <c r="AB7" s="243"/>
      <c r="AC7" s="243"/>
      <c r="AD7" s="243"/>
      <c r="AE7" s="243"/>
      <c r="AF7" s="243"/>
      <c r="AG7" s="242"/>
      <c r="AH7" s="242"/>
      <c r="AI7" s="242"/>
      <c r="AJ7" s="242"/>
      <c r="AK7" s="242"/>
      <c r="AL7" s="242"/>
      <c r="AM7" s="242"/>
      <c r="AN7" s="243"/>
      <c r="AO7" s="243"/>
      <c r="AP7" s="243"/>
      <c r="AQ7" s="243"/>
      <c r="AR7" s="243"/>
      <c r="AS7" s="243"/>
      <c r="AT7" s="243"/>
      <c r="AU7" s="242"/>
      <c r="AV7" s="242"/>
      <c r="AW7" s="242"/>
      <c r="AX7" s="242"/>
      <c r="AY7" s="242"/>
      <c r="AZ7" s="242"/>
      <c r="BA7" s="242"/>
      <c r="BB7" s="243"/>
      <c r="BC7" s="243"/>
      <c r="BD7" s="243"/>
      <c r="BE7" s="243"/>
      <c r="BF7" s="243"/>
      <c r="BG7" s="243"/>
      <c r="BH7" s="243"/>
      <c r="BI7" s="242"/>
      <c r="BJ7" s="242"/>
      <c r="BK7" s="242"/>
      <c r="BL7" s="242"/>
      <c r="BM7" s="242"/>
      <c r="BN7" s="242"/>
      <c r="BO7" s="242"/>
      <c r="BP7" s="243"/>
      <c r="BQ7" s="243"/>
      <c r="BR7" s="243"/>
      <c r="BS7" s="243"/>
      <c r="BT7" s="243"/>
      <c r="BU7" s="243"/>
      <c r="BV7" s="243"/>
      <c r="BW7" s="242"/>
      <c r="BX7" s="242"/>
      <c r="BY7" s="242"/>
      <c r="BZ7" s="242"/>
      <c r="CA7" s="242"/>
      <c r="CB7" s="242"/>
      <c r="CC7" s="242"/>
      <c r="CD7" s="243"/>
      <c r="CE7" s="243"/>
      <c r="CF7" s="243"/>
      <c r="CG7" s="243"/>
      <c r="CH7" s="243"/>
      <c r="CI7" s="243"/>
      <c r="CJ7" s="243"/>
      <c r="CK7" s="242"/>
      <c r="CL7" s="242"/>
      <c r="CM7" s="242"/>
      <c r="CN7" s="242"/>
      <c r="CO7" s="242"/>
      <c r="CP7" s="242"/>
      <c r="CQ7" s="242"/>
      <c r="CR7" s="243"/>
      <c r="CS7" s="243"/>
      <c r="CT7" s="243"/>
      <c r="CU7" s="243"/>
      <c r="CV7" s="243"/>
      <c r="CW7" s="243"/>
      <c r="CX7" s="243"/>
      <c r="CY7" s="242"/>
      <c r="CZ7" s="242"/>
      <c r="DA7" s="242"/>
      <c r="DB7" s="242"/>
      <c r="DC7" s="242"/>
      <c r="DD7" s="242"/>
      <c r="DE7" s="242"/>
      <c r="DF7" s="243"/>
      <c r="DG7" s="243"/>
      <c r="DH7" s="243"/>
      <c r="DI7" s="243"/>
      <c r="DJ7" s="243"/>
      <c r="DK7" s="243"/>
      <c r="DL7" s="243"/>
      <c r="DM7" s="242"/>
      <c r="DN7" s="242"/>
      <c r="DO7" s="242"/>
      <c r="DP7" s="242"/>
      <c r="DQ7" s="242"/>
      <c r="DR7" s="242"/>
      <c r="DS7" s="242"/>
      <c r="DT7" s="243"/>
      <c r="DU7" s="243"/>
      <c r="DV7" s="243"/>
      <c r="DW7" s="243"/>
      <c r="DX7" s="243"/>
      <c r="DY7" s="243"/>
      <c r="DZ7" s="243"/>
      <c r="EA7" s="242"/>
      <c r="EB7" s="242"/>
      <c r="EC7" s="242"/>
      <c r="ED7" s="242"/>
      <c r="EE7" s="242"/>
      <c r="EF7" s="242"/>
      <c r="EG7" s="242"/>
      <c r="EH7" s="243"/>
      <c r="EI7" s="243"/>
      <c r="EJ7" s="243"/>
      <c r="EK7" s="243"/>
      <c r="EL7" s="243"/>
      <c r="EM7" s="243"/>
      <c r="EN7" s="243"/>
      <c r="EO7" s="242"/>
      <c r="EP7" s="242"/>
      <c r="EQ7" s="242"/>
      <c r="ER7" s="242"/>
      <c r="ES7" s="242"/>
      <c r="ET7" s="242"/>
      <c r="EU7" s="242"/>
      <c r="EV7" s="243"/>
      <c r="EW7" s="243"/>
      <c r="EX7" s="243"/>
      <c r="EY7" s="243"/>
      <c r="EZ7" s="243"/>
      <c r="FA7" s="243"/>
      <c r="FB7" s="243"/>
      <c r="FC7" s="242"/>
      <c r="FD7" s="242"/>
      <c r="FE7" s="242"/>
      <c r="FF7" s="242"/>
      <c r="FG7" s="242"/>
      <c r="FH7" s="242"/>
      <c r="FI7" s="242"/>
      <c r="FJ7" s="243"/>
      <c r="FK7" s="243"/>
      <c r="FL7" s="243"/>
      <c r="FM7" s="243"/>
      <c r="FN7" s="243"/>
      <c r="FO7" s="243"/>
      <c r="FP7" s="243"/>
      <c r="FQ7" s="242"/>
      <c r="FR7" s="242"/>
      <c r="FS7" s="242"/>
      <c r="FT7" s="242"/>
      <c r="FU7" s="242"/>
      <c r="FV7" s="242"/>
      <c r="FW7" s="242"/>
      <c r="FX7" s="243"/>
      <c r="FY7" s="243"/>
      <c r="FZ7" s="243"/>
      <c r="GA7" s="243"/>
      <c r="GB7" s="243"/>
      <c r="GC7" s="243"/>
      <c r="GD7" s="243"/>
      <c r="GE7" s="242"/>
      <c r="GF7" s="242"/>
      <c r="GG7" s="242"/>
      <c r="GH7" s="242"/>
      <c r="GI7" s="242"/>
      <c r="GJ7" s="242"/>
      <c r="GK7" s="242"/>
      <c r="GL7" s="243"/>
      <c r="GM7" s="243"/>
      <c r="GN7" s="243"/>
      <c r="GO7" s="243"/>
      <c r="GP7" s="243"/>
      <c r="GQ7" s="243"/>
      <c r="GR7" s="243"/>
      <c r="GS7" s="242"/>
      <c r="GT7" s="242"/>
      <c r="GU7" s="242"/>
      <c r="GV7" s="242"/>
      <c r="GW7" s="242"/>
      <c r="GX7" s="242"/>
      <c r="GY7" s="242"/>
      <c r="GZ7" s="243"/>
      <c r="HA7" s="243"/>
      <c r="HB7" s="243"/>
      <c r="HC7" s="243"/>
      <c r="HD7" s="243"/>
      <c r="HE7" s="243"/>
      <c r="HF7" s="243"/>
      <c r="HG7" s="242"/>
      <c r="HH7" s="242"/>
      <c r="HI7" s="242"/>
      <c r="HJ7" s="242"/>
      <c r="HK7" s="242"/>
      <c r="HL7" s="242"/>
      <c r="HM7" s="242"/>
      <c r="HN7" s="243"/>
      <c r="HO7" s="243"/>
      <c r="HP7" s="243"/>
      <c r="HQ7" s="243"/>
      <c r="HR7" s="243"/>
      <c r="HS7" s="243"/>
      <c r="HT7" s="243"/>
      <c r="HU7" s="242"/>
      <c r="HV7" s="242"/>
      <c r="HW7" s="242"/>
      <c r="HX7" s="242"/>
      <c r="HY7" s="242"/>
      <c r="HZ7" s="242"/>
      <c r="IA7" s="242"/>
      <c r="IB7" s="243"/>
      <c r="IC7" s="243"/>
      <c r="ID7" s="243"/>
      <c r="IE7" s="243"/>
      <c r="IF7" s="243"/>
      <c r="IG7" s="243"/>
      <c r="IH7" s="243"/>
      <c r="II7" s="242"/>
      <c r="IJ7" s="242"/>
      <c r="IK7" s="242"/>
      <c r="IL7" s="242"/>
      <c r="IM7" s="242"/>
      <c r="IN7" s="242"/>
      <c r="IO7" s="242"/>
      <c r="IP7" s="243"/>
      <c r="IQ7" s="243"/>
      <c r="IR7" s="243"/>
      <c r="IS7" s="243"/>
      <c r="IT7" s="243"/>
      <c r="IU7" s="243"/>
      <c r="IV7" s="243"/>
      <c r="IW7" s="242"/>
      <c r="IX7" s="242"/>
      <c r="IY7" s="242"/>
      <c r="IZ7" s="242"/>
      <c r="JA7" s="242"/>
      <c r="JB7" s="242"/>
      <c r="JC7" s="242"/>
      <c r="JD7" s="243"/>
      <c r="JE7" s="243"/>
      <c r="JF7" s="243"/>
      <c r="JG7" s="243"/>
      <c r="JH7" s="243"/>
      <c r="JI7" s="243"/>
      <c r="JJ7" s="243"/>
      <c r="JK7" s="242"/>
      <c r="JL7" s="242"/>
      <c r="JM7" s="242"/>
      <c r="JN7" s="242"/>
      <c r="JO7" s="242"/>
      <c r="JP7" s="242"/>
      <c r="JQ7" s="242"/>
      <c r="JR7" s="243"/>
      <c r="JS7" s="243"/>
      <c r="JT7" s="243"/>
      <c r="JU7" s="243"/>
      <c r="JV7" s="243"/>
      <c r="JW7" s="243"/>
      <c r="JX7" s="243"/>
      <c r="JY7" s="242"/>
      <c r="JZ7" s="242"/>
      <c r="KA7" s="242"/>
      <c r="KB7" s="242"/>
      <c r="KC7" s="242"/>
      <c r="KD7" s="242"/>
      <c r="KE7" s="242"/>
      <c r="KF7" s="243"/>
      <c r="KG7" s="243"/>
      <c r="KH7" s="243"/>
      <c r="KI7" s="243"/>
      <c r="KJ7" s="243"/>
      <c r="KK7" s="243"/>
      <c r="KL7" s="243"/>
      <c r="KM7" s="242"/>
      <c r="KN7" s="242"/>
      <c r="KO7" s="242"/>
      <c r="KP7" s="242"/>
      <c r="KQ7" s="242"/>
      <c r="KR7" s="242"/>
      <c r="KS7" s="242"/>
      <c r="KT7" s="243"/>
      <c r="KU7" s="243"/>
      <c r="KV7" s="243"/>
      <c r="KW7" s="243"/>
      <c r="KX7" s="243"/>
      <c r="KY7" s="243"/>
      <c r="KZ7" s="243"/>
      <c r="LA7" s="242"/>
      <c r="LB7" s="242"/>
      <c r="LC7" s="242"/>
      <c r="LD7" s="242"/>
      <c r="LE7" s="242"/>
      <c r="LF7" s="242"/>
      <c r="LG7" s="242"/>
      <c r="LH7" s="243"/>
      <c r="LI7" s="243"/>
      <c r="LJ7" s="243"/>
      <c r="LK7" s="243"/>
      <c r="LL7" s="243"/>
      <c r="LM7" s="243"/>
      <c r="LN7" s="243"/>
      <c r="LO7" s="242"/>
      <c r="LP7" s="242"/>
      <c r="LQ7" s="242"/>
      <c r="LR7" s="242"/>
      <c r="LS7" s="242"/>
      <c r="LT7" s="242"/>
      <c r="LU7" s="242"/>
      <c r="LV7" s="243"/>
      <c r="LW7" s="243"/>
      <c r="LX7" s="243"/>
      <c r="LY7" s="243"/>
      <c r="LZ7" s="243"/>
      <c r="MA7" s="243"/>
      <c r="MB7" s="243"/>
      <c r="MC7" s="242"/>
      <c r="MD7" s="242"/>
      <c r="ME7" s="242"/>
      <c r="MF7" s="242"/>
      <c r="MG7" s="242"/>
      <c r="MH7" s="242"/>
      <c r="MI7" s="242"/>
      <c r="MJ7" s="243"/>
      <c r="MK7" s="243"/>
      <c r="ML7" s="243"/>
      <c r="MM7" s="243"/>
      <c r="MN7" s="243"/>
      <c r="MO7" s="243"/>
      <c r="MP7" s="243"/>
      <c r="MQ7" s="242"/>
      <c r="MR7" s="242"/>
      <c r="MS7" s="242"/>
      <c r="MT7" s="242"/>
      <c r="MU7" s="242"/>
      <c r="MV7" s="242"/>
      <c r="MW7" s="242"/>
      <c r="MX7" s="243"/>
      <c r="MY7" s="243"/>
      <c r="MZ7" s="243"/>
      <c r="NA7" s="243"/>
      <c r="NB7" s="243"/>
      <c r="NC7" s="243"/>
      <c r="ND7" s="243"/>
      <c r="NE7" s="242"/>
      <c r="NF7" s="242"/>
      <c r="NG7" s="242"/>
      <c r="NH7" s="243"/>
    </row>
    <row r="8" spans="1:372">
      <c r="A8" s="254" t="s">
        <v>955</v>
      </c>
      <c r="B8" s="239" t="s">
        <v>338</v>
      </c>
      <c r="C8" s="240" t="s">
        <v>675</v>
      </c>
      <c r="D8" s="240" t="s">
        <v>997</v>
      </c>
      <c r="E8" s="241">
        <v>0</v>
      </c>
      <c r="F8" s="252">
        <v>0</v>
      </c>
      <c r="G8" s="242"/>
      <c r="H8" s="242"/>
      <c r="I8" s="242"/>
      <c r="J8" s="242"/>
      <c r="K8" s="242"/>
      <c r="L8" s="243"/>
      <c r="M8" s="243"/>
      <c r="N8" s="243"/>
      <c r="O8" s="243"/>
      <c r="P8" s="243"/>
      <c r="Q8" s="243"/>
      <c r="R8" s="243"/>
      <c r="S8" s="242"/>
      <c r="T8" s="242"/>
      <c r="U8" s="242"/>
      <c r="V8" s="242"/>
      <c r="W8" s="242"/>
      <c r="X8" s="242"/>
      <c r="Y8" s="242"/>
      <c r="Z8" s="243"/>
      <c r="AA8" s="243"/>
      <c r="AB8" s="243"/>
      <c r="AC8" s="243"/>
      <c r="AD8" s="243"/>
      <c r="AE8" s="243"/>
      <c r="AF8" s="243"/>
      <c r="AG8" s="242"/>
      <c r="AH8" s="242"/>
      <c r="AI8" s="242"/>
      <c r="AJ8" s="242"/>
      <c r="AK8" s="242"/>
      <c r="AL8" s="242"/>
      <c r="AM8" s="242"/>
      <c r="AN8" s="243"/>
      <c r="AO8" s="243"/>
      <c r="AP8" s="243"/>
      <c r="AQ8" s="243"/>
      <c r="AR8" s="243"/>
      <c r="AS8" s="243"/>
      <c r="AT8" s="243"/>
      <c r="AU8" s="242"/>
      <c r="AV8" s="242"/>
      <c r="AW8" s="242"/>
      <c r="AX8" s="242"/>
      <c r="AY8" s="242"/>
      <c r="AZ8" s="242"/>
      <c r="BA8" s="242"/>
      <c r="BB8" s="243"/>
      <c r="BC8" s="243"/>
      <c r="BD8" s="243"/>
      <c r="BE8" s="243"/>
      <c r="BF8" s="243"/>
      <c r="BG8" s="243"/>
      <c r="BH8" s="243"/>
      <c r="BI8" s="242"/>
      <c r="BJ8" s="242"/>
      <c r="BK8" s="242"/>
      <c r="BL8" s="242"/>
      <c r="BM8" s="242"/>
      <c r="BN8" s="242"/>
      <c r="BO8" s="242"/>
      <c r="BP8" s="243"/>
      <c r="BQ8" s="243"/>
      <c r="BR8" s="243"/>
      <c r="BS8" s="243"/>
      <c r="BT8" s="243"/>
      <c r="BU8" s="243"/>
      <c r="BV8" s="243"/>
      <c r="BW8" s="242"/>
      <c r="BX8" s="242"/>
      <c r="BY8" s="242"/>
      <c r="BZ8" s="242"/>
      <c r="CA8" s="242"/>
      <c r="CB8" s="242"/>
      <c r="CC8" s="242"/>
      <c r="CD8" s="243"/>
      <c r="CE8" s="243"/>
      <c r="CF8" s="243"/>
      <c r="CG8" s="243"/>
      <c r="CH8" s="243"/>
      <c r="CI8" s="243"/>
      <c r="CJ8" s="243"/>
      <c r="CK8" s="242"/>
      <c r="CL8" s="242"/>
      <c r="CM8" s="242"/>
      <c r="CN8" s="242"/>
      <c r="CO8" s="242"/>
      <c r="CP8" s="242"/>
      <c r="CQ8" s="242"/>
      <c r="CR8" s="243"/>
      <c r="CS8" s="243"/>
      <c r="CT8" s="243"/>
      <c r="CU8" s="243"/>
      <c r="CV8" s="243"/>
      <c r="CW8" s="243"/>
      <c r="CX8" s="243"/>
      <c r="CY8" s="242"/>
      <c r="CZ8" s="242"/>
      <c r="DA8" s="242"/>
      <c r="DB8" s="242"/>
      <c r="DC8" s="242"/>
      <c r="DD8" s="242"/>
      <c r="DE8" s="242"/>
      <c r="DF8" s="243"/>
      <c r="DG8" s="243"/>
      <c r="DH8" s="243"/>
      <c r="DI8" s="243"/>
      <c r="DJ8" s="243"/>
      <c r="DK8" s="243"/>
      <c r="DL8" s="243"/>
      <c r="DM8" s="242"/>
      <c r="DN8" s="242"/>
      <c r="DO8" s="242"/>
      <c r="DP8" s="242"/>
      <c r="DQ8" s="242"/>
      <c r="DR8" s="242"/>
      <c r="DS8" s="242"/>
      <c r="DT8" s="243"/>
      <c r="DU8" s="243"/>
      <c r="DV8" s="243"/>
      <c r="DW8" s="243"/>
      <c r="DX8" s="243"/>
      <c r="DY8" s="243"/>
      <c r="DZ8" s="243"/>
      <c r="EA8" s="242"/>
      <c r="EB8" s="242"/>
      <c r="EC8" s="242"/>
      <c r="ED8" s="242"/>
      <c r="EE8" s="242"/>
      <c r="EF8" s="242"/>
      <c r="EG8" s="242"/>
      <c r="EH8" s="243"/>
      <c r="EI8" s="243"/>
      <c r="EJ8" s="243"/>
      <c r="EK8" s="243"/>
      <c r="EL8" s="243"/>
      <c r="EM8" s="243"/>
      <c r="EN8" s="243"/>
      <c r="EO8" s="242"/>
      <c r="EP8" s="242"/>
      <c r="EQ8" s="242"/>
      <c r="ER8" s="242"/>
      <c r="ES8" s="242"/>
      <c r="ET8" s="242"/>
      <c r="EU8" s="242"/>
      <c r="EV8" s="243"/>
      <c r="EW8" s="243"/>
      <c r="EX8" s="243"/>
      <c r="EY8" s="243"/>
      <c r="EZ8" s="243"/>
      <c r="FA8" s="243"/>
      <c r="FB8" s="243"/>
      <c r="FC8" s="242"/>
      <c r="FD8" s="242"/>
      <c r="FE8" s="242"/>
      <c r="FF8" s="242"/>
      <c r="FG8" s="242"/>
      <c r="FH8" s="242"/>
      <c r="FI8" s="242"/>
      <c r="FJ8" s="243"/>
      <c r="FK8" s="243"/>
      <c r="FL8" s="243"/>
      <c r="FM8" s="243"/>
      <c r="FN8" s="243"/>
      <c r="FO8" s="243"/>
      <c r="FP8" s="243"/>
      <c r="FQ8" s="242"/>
      <c r="FR8" s="242"/>
      <c r="FS8" s="242"/>
      <c r="FT8" s="242"/>
      <c r="FU8" s="242"/>
      <c r="FV8" s="242"/>
      <c r="FW8" s="242"/>
      <c r="FX8" s="243"/>
      <c r="FY8" s="243"/>
      <c r="FZ8" s="243"/>
      <c r="GA8" s="243"/>
      <c r="GB8" s="243"/>
      <c r="GC8" s="243"/>
      <c r="GD8" s="243"/>
      <c r="GE8" s="242"/>
      <c r="GF8" s="242"/>
      <c r="GG8" s="242"/>
      <c r="GH8" s="242"/>
      <c r="GI8" s="242"/>
      <c r="GJ8" s="242"/>
      <c r="GK8" s="242"/>
      <c r="GL8" s="243"/>
      <c r="GM8" s="243"/>
      <c r="GN8" s="243"/>
      <c r="GO8" s="243"/>
      <c r="GP8" s="243"/>
      <c r="GQ8" s="243"/>
      <c r="GR8" s="243"/>
      <c r="GS8" s="242"/>
      <c r="GT8" s="242"/>
      <c r="GU8" s="242"/>
      <c r="GV8" s="242"/>
      <c r="GW8" s="242"/>
      <c r="GX8" s="242"/>
      <c r="GY8" s="242"/>
      <c r="GZ8" s="243"/>
      <c r="HA8" s="243"/>
      <c r="HB8" s="243"/>
      <c r="HC8" s="243"/>
      <c r="HD8" s="243"/>
      <c r="HE8" s="243"/>
      <c r="HF8" s="243"/>
      <c r="HG8" s="242"/>
      <c r="HH8" s="242"/>
      <c r="HI8" s="242"/>
      <c r="HJ8" s="242"/>
      <c r="HK8" s="242"/>
      <c r="HL8" s="242"/>
      <c r="HM8" s="242"/>
      <c r="HN8" s="243"/>
      <c r="HO8" s="243"/>
      <c r="HP8" s="243"/>
      <c r="HQ8" s="243"/>
      <c r="HR8" s="243"/>
      <c r="HS8" s="243"/>
      <c r="HT8" s="243"/>
      <c r="HU8" s="242"/>
      <c r="HV8" s="242"/>
      <c r="HW8" s="242"/>
      <c r="HX8" s="242"/>
      <c r="HY8" s="242"/>
      <c r="HZ8" s="242"/>
      <c r="IA8" s="242"/>
      <c r="IB8" s="243"/>
      <c r="IC8" s="243"/>
      <c r="ID8" s="243"/>
      <c r="IE8" s="243"/>
      <c r="IF8" s="243"/>
      <c r="IG8" s="243"/>
      <c r="IH8" s="243"/>
      <c r="II8" s="242"/>
      <c r="IJ8" s="242"/>
      <c r="IK8" s="242"/>
      <c r="IL8" s="242"/>
      <c r="IM8" s="242"/>
      <c r="IN8" s="242"/>
      <c r="IO8" s="242"/>
      <c r="IP8" s="243"/>
      <c r="IQ8" s="243"/>
      <c r="IR8" s="243"/>
      <c r="IS8" s="243"/>
      <c r="IT8" s="243"/>
      <c r="IU8" s="243"/>
      <c r="IV8" s="243"/>
      <c r="IW8" s="242"/>
      <c r="IX8" s="242"/>
      <c r="IY8" s="242"/>
      <c r="IZ8" s="242"/>
      <c r="JA8" s="242"/>
      <c r="JB8" s="242"/>
      <c r="JC8" s="242"/>
      <c r="JD8" s="243"/>
      <c r="JE8" s="243"/>
      <c r="JF8" s="243"/>
      <c r="JG8" s="243"/>
      <c r="JH8" s="243"/>
      <c r="JI8" s="243"/>
      <c r="JJ8" s="243"/>
      <c r="JK8" s="242"/>
      <c r="JL8" s="242"/>
      <c r="JM8" s="242"/>
      <c r="JN8" s="242"/>
      <c r="JO8" s="242"/>
      <c r="JP8" s="242"/>
      <c r="JQ8" s="242"/>
      <c r="JR8" s="243"/>
      <c r="JS8" s="243"/>
      <c r="JT8" s="243"/>
      <c r="JU8" s="243"/>
      <c r="JV8" s="243"/>
      <c r="JW8" s="243"/>
      <c r="JX8" s="243"/>
      <c r="JY8" s="242"/>
      <c r="JZ8" s="242"/>
      <c r="KA8" s="242"/>
      <c r="KB8" s="242"/>
      <c r="KC8" s="242"/>
      <c r="KD8" s="242"/>
      <c r="KE8" s="242"/>
      <c r="KF8" s="243"/>
      <c r="KG8" s="243"/>
      <c r="KH8" s="243"/>
      <c r="KI8" s="243"/>
      <c r="KJ8" s="243"/>
      <c r="KK8" s="243"/>
      <c r="KL8" s="243"/>
      <c r="KM8" s="242"/>
      <c r="KN8" s="242"/>
      <c r="KO8" s="242"/>
      <c r="KP8" s="242"/>
      <c r="KQ8" s="242"/>
      <c r="KR8" s="242"/>
      <c r="KS8" s="242"/>
      <c r="KT8" s="243"/>
      <c r="KU8" s="243"/>
      <c r="KV8" s="243"/>
      <c r="KW8" s="243"/>
      <c r="KX8" s="243"/>
      <c r="KY8" s="243"/>
      <c r="KZ8" s="243"/>
      <c r="LA8" s="242"/>
      <c r="LB8" s="242"/>
      <c r="LC8" s="242"/>
      <c r="LD8" s="242"/>
      <c r="LE8" s="242"/>
      <c r="LF8" s="242"/>
      <c r="LG8" s="242"/>
      <c r="LH8" s="243"/>
      <c r="LI8" s="243"/>
      <c r="LJ8" s="243"/>
      <c r="LK8" s="243"/>
      <c r="LL8" s="243"/>
      <c r="LM8" s="243"/>
      <c r="LN8" s="243"/>
      <c r="LO8" s="242"/>
      <c r="LP8" s="242"/>
      <c r="LQ8" s="242"/>
      <c r="LR8" s="242"/>
      <c r="LS8" s="242"/>
      <c r="LT8" s="242"/>
      <c r="LU8" s="242"/>
      <c r="LV8" s="243"/>
      <c r="LW8" s="243"/>
      <c r="LX8" s="243"/>
      <c r="LY8" s="243"/>
      <c r="LZ8" s="243"/>
      <c r="MA8" s="243"/>
      <c r="MB8" s="243"/>
      <c r="MC8" s="242"/>
      <c r="MD8" s="242"/>
      <c r="ME8" s="242"/>
      <c r="MF8" s="242"/>
      <c r="MG8" s="242"/>
      <c r="MH8" s="242"/>
      <c r="MI8" s="242"/>
      <c r="MJ8" s="243"/>
      <c r="MK8" s="243"/>
      <c r="ML8" s="243"/>
      <c r="MM8" s="243"/>
      <c r="MN8" s="243"/>
      <c r="MO8" s="243"/>
      <c r="MP8" s="243"/>
      <c r="MQ8" s="242"/>
      <c r="MR8" s="242"/>
      <c r="MS8" s="242"/>
      <c r="MT8" s="242"/>
      <c r="MU8" s="242"/>
      <c r="MV8" s="242"/>
      <c r="MW8" s="242"/>
      <c r="MX8" s="243"/>
      <c r="MY8" s="243"/>
      <c r="MZ8" s="243"/>
      <c r="NA8" s="243"/>
      <c r="NB8" s="243"/>
      <c r="NC8" s="243"/>
      <c r="ND8" s="243"/>
      <c r="NE8" s="242"/>
      <c r="NF8" s="242"/>
      <c r="NG8" s="242"/>
      <c r="NH8" s="243"/>
    </row>
    <row r="9" spans="1:372">
      <c r="A9" s="254" t="s">
        <v>956</v>
      </c>
      <c r="B9" s="239" t="s">
        <v>957</v>
      </c>
      <c r="C9" s="240" t="s">
        <v>674</v>
      </c>
      <c r="D9" s="240" t="s">
        <v>982</v>
      </c>
      <c r="E9" s="241">
        <v>977.76</v>
      </c>
      <c r="F9" s="252">
        <v>672</v>
      </c>
      <c r="G9" s="242"/>
      <c r="H9" s="242"/>
      <c r="I9" s="242"/>
      <c r="J9" s="242"/>
      <c r="K9" s="242"/>
      <c r="L9" s="243"/>
      <c r="M9" s="243"/>
      <c r="N9" s="243"/>
      <c r="O9" s="243"/>
      <c r="P9" s="243"/>
      <c r="Q9" s="243"/>
      <c r="R9" s="243"/>
      <c r="S9" s="242"/>
      <c r="T9" s="242"/>
      <c r="U9" s="242"/>
      <c r="V9" s="242"/>
      <c r="W9" s="242"/>
      <c r="X9" s="242"/>
      <c r="Y9" s="242"/>
      <c r="Z9" s="243"/>
      <c r="AA9" s="243"/>
      <c r="AB9" s="243"/>
      <c r="AC9" s="243"/>
      <c r="AD9" s="243"/>
      <c r="AE9" s="243"/>
      <c r="AF9" s="243"/>
      <c r="AG9" s="242"/>
      <c r="AH9" s="242"/>
      <c r="AI9" s="242"/>
      <c r="AJ9" s="242"/>
      <c r="AK9" s="242"/>
      <c r="AL9" s="242"/>
      <c r="AM9" s="242"/>
      <c r="AN9" s="243"/>
      <c r="AO9" s="243"/>
      <c r="AP9" s="243"/>
      <c r="AQ9" s="243"/>
      <c r="AR9" s="243"/>
      <c r="AS9" s="243"/>
      <c r="AT9" s="243"/>
      <c r="AU9" s="242"/>
      <c r="AV9" s="242"/>
      <c r="AW9" s="242"/>
      <c r="AX9" s="242"/>
      <c r="AY9" s="242"/>
      <c r="AZ9" s="242"/>
      <c r="BA9" s="242"/>
      <c r="BB9" s="243"/>
      <c r="BC9" s="243"/>
      <c r="BD9" s="243"/>
      <c r="BE9" s="243"/>
      <c r="BF9" s="243"/>
      <c r="BG9" s="243"/>
      <c r="BH9" s="243"/>
      <c r="BI9" s="242"/>
      <c r="BJ9" s="242"/>
      <c r="BK9" s="242"/>
      <c r="BL9" s="242"/>
      <c r="BM9" s="242"/>
      <c r="BN9" s="242"/>
      <c r="BO9" s="242"/>
      <c r="BP9" s="243"/>
      <c r="BQ9" s="243"/>
      <c r="BR9" s="243"/>
      <c r="BS9" s="243"/>
      <c r="BT9" s="243"/>
      <c r="BU9" s="243"/>
      <c r="BV9" s="243"/>
      <c r="BW9" s="242"/>
      <c r="BX9" s="242"/>
      <c r="BY9" s="242"/>
      <c r="BZ9" s="242"/>
      <c r="CA9" s="242"/>
      <c r="CB9" s="242"/>
      <c r="CC9" s="242"/>
      <c r="CD9" s="243"/>
      <c r="CE9" s="243"/>
      <c r="CF9" s="243"/>
      <c r="CG9" s="243"/>
      <c r="CH9" s="243"/>
      <c r="CI9" s="243"/>
      <c r="CJ9" s="243"/>
      <c r="CK9" s="242"/>
      <c r="CL9" s="242"/>
      <c r="CM9" s="242"/>
      <c r="CN9" s="242"/>
      <c r="CO9" s="242"/>
      <c r="CP9" s="242"/>
      <c r="CQ9" s="242"/>
      <c r="CR9" s="243"/>
      <c r="CS9" s="243"/>
      <c r="CT9" s="243"/>
      <c r="CU9" s="243"/>
      <c r="CV9" s="243"/>
      <c r="CW9" s="243"/>
      <c r="CX9" s="243"/>
      <c r="CY9" s="242"/>
      <c r="CZ9" s="242"/>
      <c r="DA9" s="242"/>
      <c r="DB9" s="242"/>
      <c r="DC9" s="242"/>
      <c r="DD9" s="242"/>
      <c r="DE9" s="242"/>
      <c r="DF9" s="243"/>
      <c r="DG9" s="243"/>
      <c r="DH9" s="243"/>
      <c r="DI9" s="243"/>
      <c r="DJ9" s="243"/>
      <c r="DK9" s="243"/>
      <c r="DL9" s="243"/>
      <c r="DM9" s="242"/>
      <c r="DN9" s="242"/>
      <c r="DO9" s="242"/>
      <c r="DP9" s="242"/>
      <c r="DQ9" s="242"/>
      <c r="DR9" s="242"/>
      <c r="DS9" s="242"/>
      <c r="DT9" s="243"/>
      <c r="DU9" s="243"/>
      <c r="DV9" s="243"/>
      <c r="DW9" s="243"/>
      <c r="DX9" s="243"/>
      <c r="DY9" s="243"/>
      <c r="DZ9" s="243"/>
      <c r="EA9" s="242"/>
      <c r="EB9" s="242"/>
      <c r="EC9" s="242"/>
      <c r="ED9" s="242"/>
      <c r="EE9" s="242"/>
      <c r="EF9" s="242"/>
      <c r="EG9" s="242"/>
      <c r="EH9" s="243"/>
      <c r="EI9" s="243"/>
      <c r="EJ9" s="243"/>
      <c r="EK9" s="243"/>
      <c r="EL9" s="243"/>
      <c r="EM9" s="243"/>
      <c r="EN9" s="243"/>
      <c r="EO9" s="242"/>
      <c r="EP9" s="242"/>
      <c r="EQ9" s="242"/>
      <c r="ER9" s="242"/>
      <c r="ES9" s="242"/>
      <c r="ET9" s="242"/>
      <c r="EU9" s="242"/>
      <c r="EV9" s="243"/>
      <c r="EW9" s="243"/>
      <c r="EX9" s="243"/>
      <c r="EY9" s="243"/>
      <c r="EZ9" s="243"/>
      <c r="FA9" s="243"/>
      <c r="FB9" s="243"/>
      <c r="FC9" s="242"/>
      <c r="FD9" s="242"/>
      <c r="FE9" s="242"/>
      <c r="FF9" s="242"/>
      <c r="FG9" s="242"/>
      <c r="FH9" s="242"/>
      <c r="FI9" s="242"/>
      <c r="FJ9" s="243"/>
      <c r="FK9" s="243"/>
      <c r="FL9" s="243"/>
      <c r="FM9" s="243"/>
      <c r="FN9" s="243"/>
      <c r="FO9" s="243"/>
      <c r="FP9" s="243"/>
      <c r="FQ9" s="242"/>
      <c r="FR9" s="242"/>
      <c r="FS9" s="242"/>
      <c r="FT9" s="242"/>
      <c r="FU9" s="242"/>
      <c r="FV9" s="242"/>
      <c r="FW9" s="242"/>
      <c r="FX9" s="243"/>
      <c r="FY9" s="243"/>
      <c r="FZ9" s="243"/>
      <c r="GA9" s="243"/>
      <c r="GB9" s="243"/>
      <c r="GC9" s="243"/>
      <c r="GD9" s="243"/>
      <c r="GE9" s="242"/>
      <c r="GF9" s="242"/>
      <c r="GG9" s="242"/>
      <c r="GH9" s="242"/>
      <c r="GI9" s="242"/>
      <c r="GJ9" s="242"/>
      <c r="GK9" s="242"/>
      <c r="GL9" s="243"/>
      <c r="GM9" s="243"/>
      <c r="GN9" s="243"/>
      <c r="GO9" s="243"/>
      <c r="GP9" s="243"/>
      <c r="GQ9" s="243"/>
      <c r="GR9" s="243"/>
      <c r="GS9" s="242"/>
      <c r="GT9" s="242"/>
      <c r="GU9" s="242"/>
      <c r="GV9" s="242"/>
      <c r="GW9" s="242"/>
      <c r="GX9" s="242"/>
      <c r="GY9" s="242"/>
      <c r="GZ9" s="243"/>
      <c r="HA9" s="243"/>
      <c r="HB9" s="243"/>
      <c r="HC9" s="243"/>
      <c r="HD9" s="243"/>
      <c r="HE9" s="243"/>
      <c r="HF9" s="243"/>
      <c r="HG9" s="242"/>
      <c r="HH9" s="242"/>
      <c r="HI9" s="242"/>
      <c r="HJ9" s="242"/>
      <c r="HK9" s="242"/>
      <c r="HL9" s="242"/>
      <c r="HM9" s="242"/>
      <c r="HN9" s="243">
        <v>48</v>
      </c>
      <c r="HO9" s="243">
        <v>48</v>
      </c>
      <c r="HP9" s="243">
        <v>48</v>
      </c>
      <c r="HQ9" s="243">
        <v>48</v>
      </c>
      <c r="HR9" s="243">
        <v>48</v>
      </c>
      <c r="HS9" s="243">
        <v>48</v>
      </c>
      <c r="HT9" s="243">
        <v>48</v>
      </c>
      <c r="HU9" s="243"/>
      <c r="HV9" s="243"/>
      <c r="HW9" s="243"/>
      <c r="HX9" s="243"/>
      <c r="HY9" s="243"/>
      <c r="HZ9" s="243"/>
      <c r="IA9" s="243"/>
      <c r="IB9" s="243">
        <v>48</v>
      </c>
      <c r="IC9" s="243">
        <v>48</v>
      </c>
      <c r="ID9" s="243">
        <v>48</v>
      </c>
      <c r="IE9" s="243">
        <v>48</v>
      </c>
      <c r="IF9" s="243">
        <v>48</v>
      </c>
      <c r="IG9" s="243">
        <v>48</v>
      </c>
      <c r="IH9" s="243">
        <v>48</v>
      </c>
      <c r="II9" s="242"/>
      <c r="IJ9" s="242"/>
      <c r="IK9" s="242"/>
      <c r="IL9" s="242"/>
      <c r="IM9" s="242"/>
      <c r="IN9" s="242"/>
      <c r="IO9" s="242"/>
      <c r="IP9" s="243"/>
      <c r="IQ9" s="243"/>
      <c r="IR9" s="243"/>
      <c r="IS9" s="243"/>
      <c r="IT9" s="243"/>
      <c r="IU9" s="243"/>
      <c r="IV9" s="243"/>
      <c r="IW9" s="242"/>
      <c r="IX9" s="242"/>
      <c r="IY9" s="242"/>
      <c r="IZ9" s="242"/>
      <c r="JA9" s="242"/>
      <c r="JB9" s="242"/>
      <c r="JC9" s="242"/>
      <c r="JD9" s="243"/>
      <c r="JE9" s="243"/>
      <c r="JF9" s="243"/>
      <c r="JG9" s="243"/>
      <c r="JH9" s="243"/>
      <c r="JI9" s="243"/>
      <c r="JJ9" s="243"/>
      <c r="JK9" s="242"/>
      <c r="JL9" s="242"/>
      <c r="JM9" s="242"/>
      <c r="JN9" s="242"/>
      <c r="JO9" s="242"/>
      <c r="JP9" s="242"/>
      <c r="JQ9" s="242"/>
      <c r="JR9" s="243"/>
      <c r="JS9" s="243"/>
      <c r="JT9" s="243"/>
      <c r="JU9" s="243"/>
      <c r="JV9" s="243"/>
      <c r="JW9" s="243"/>
      <c r="JX9" s="243"/>
      <c r="JY9" s="242"/>
      <c r="JZ9" s="242"/>
      <c r="KA9" s="242"/>
      <c r="KB9" s="242"/>
      <c r="KC9" s="242"/>
      <c r="KD9" s="242"/>
      <c r="KE9" s="242"/>
      <c r="KF9" s="243"/>
      <c r="KG9" s="243"/>
      <c r="KH9" s="243"/>
      <c r="KI9" s="243"/>
      <c r="KJ9" s="243"/>
      <c r="KK9" s="243"/>
      <c r="KL9" s="243"/>
      <c r="KM9" s="242"/>
      <c r="KN9" s="242"/>
      <c r="KO9" s="242"/>
      <c r="KP9" s="242"/>
      <c r="KQ9" s="242"/>
      <c r="KR9" s="242"/>
      <c r="KS9" s="242"/>
      <c r="KT9" s="243"/>
      <c r="KU9" s="243"/>
      <c r="KV9" s="243"/>
      <c r="KW9" s="243"/>
      <c r="KX9" s="243"/>
      <c r="KY9" s="243"/>
      <c r="KZ9" s="243"/>
      <c r="LA9" s="242"/>
      <c r="LB9" s="242"/>
      <c r="LC9" s="242"/>
      <c r="LD9" s="242"/>
      <c r="LE9" s="242"/>
      <c r="LF9" s="242"/>
      <c r="LG9" s="242"/>
      <c r="LH9" s="243"/>
      <c r="LI9" s="243"/>
      <c r="LJ9" s="243"/>
      <c r="LK9" s="243"/>
      <c r="LL9" s="243"/>
      <c r="LM9" s="243"/>
      <c r="LN9" s="243"/>
      <c r="LO9" s="242"/>
      <c r="LP9" s="242"/>
      <c r="LQ9" s="242"/>
      <c r="LR9" s="242"/>
      <c r="LS9" s="242"/>
      <c r="LT9" s="242"/>
      <c r="LU9" s="242"/>
      <c r="LV9" s="243"/>
      <c r="LW9" s="243"/>
      <c r="LX9" s="243"/>
      <c r="LY9" s="243"/>
      <c r="LZ9" s="243"/>
      <c r="MA9" s="243"/>
      <c r="MB9" s="243"/>
      <c r="MC9" s="242"/>
      <c r="MD9" s="242"/>
      <c r="ME9" s="242"/>
      <c r="MF9" s="242"/>
      <c r="MG9" s="242"/>
      <c r="MH9" s="242"/>
      <c r="MI9" s="242"/>
      <c r="MJ9" s="243"/>
      <c r="MK9" s="243"/>
      <c r="ML9" s="243"/>
      <c r="MM9" s="243"/>
      <c r="MN9" s="243"/>
      <c r="MO9" s="243"/>
      <c r="MP9" s="243"/>
      <c r="MQ9" s="242"/>
      <c r="MR9" s="242"/>
      <c r="MS9" s="242"/>
      <c r="MT9" s="242"/>
      <c r="MU9" s="242"/>
      <c r="MV9" s="242"/>
      <c r="MW9" s="242"/>
      <c r="MX9" s="243"/>
      <c r="MY9" s="243"/>
      <c r="MZ9" s="243"/>
      <c r="NA9" s="243"/>
      <c r="NB9" s="243"/>
      <c r="NC9" s="243"/>
      <c r="ND9" s="243"/>
      <c r="NE9" s="242"/>
      <c r="NF9" s="242"/>
      <c r="NG9" s="242"/>
      <c r="NH9" s="243"/>
    </row>
    <row r="10" spans="1:372">
      <c r="A10" s="254" t="s">
        <v>956</v>
      </c>
      <c r="B10" s="239" t="s">
        <v>958</v>
      </c>
      <c r="C10" s="240" t="s">
        <v>674</v>
      </c>
      <c r="D10" s="240" t="s">
        <v>982</v>
      </c>
      <c r="E10" s="241">
        <v>488.88</v>
      </c>
      <c r="F10" s="252">
        <v>336</v>
      </c>
      <c r="G10" s="242"/>
      <c r="H10" s="242"/>
      <c r="I10" s="242"/>
      <c r="J10" s="242"/>
      <c r="K10" s="242"/>
      <c r="L10" s="243"/>
      <c r="M10" s="243"/>
      <c r="N10" s="243"/>
      <c r="O10" s="243"/>
      <c r="P10" s="243"/>
      <c r="Q10" s="243"/>
      <c r="R10" s="243"/>
      <c r="S10" s="242"/>
      <c r="T10" s="242"/>
      <c r="U10" s="242"/>
      <c r="V10" s="242"/>
      <c r="W10" s="242"/>
      <c r="X10" s="242"/>
      <c r="Y10" s="242"/>
      <c r="Z10" s="243"/>
      <c r="AA10" s="243"/>
      <c r="AB10" s="243"/>
      <c r="AC10" s="243"/>
      <c r="AD10" s="243"/>
      <c r="AE10" s="243"/>
      <c r="AF10" s="243"/>
      <c r="AG10" s="242"/>
      <c r="AH10" s="242"/>
      <c r="AI10" s="242"/>
      <c r="AJ10" s="242"/>
      <c r="AK10" s="242"/>
      <c r="AL10" s="242"/>
      <c r="AM10" s="242"/>
      <c r="AN10" s="243"/>
      <c r="AO10" s="243"/>
      <c r="AP10" s="243"/>
      <c r="AQ10" s="243"/>
      <c r="AR10" s="243"/>
      <c r="AS10" s="243"/>
      <c r="AT10" s="243"/>
      <c r="AU10" s="242"/>
      <c r="AV10" s="242"/>
      <c r="AW10" s="242"/>
      <c r="AX10" s="242"/>
      <c r="AY10" s="242"/>
      <c r="AZ10" s="242"/>
      <c r="BA10" s="242"/>
      <c r="BB10" s="243"/>
      <c r="BC10" s="243"/>
      <c r="BD10" s="243"/>
      <c r="BE10" s="243"/>
      <c r="BF10" s="243"/>
      <c r="BG10" s="243"/>
      <c r="BH10" s="243"/>
      <c r="BI10" s="242"/>
      <c r="BJ10" s="242"/>
      <c r="BK10" s="242"/>
      <c r="BL10" s="242"/>
      <c r="BM10" s="242"/>
      <c r="BN10" s="242"/>
      <c r="BO10" s="242"/>
      <c r="BP10" s="243"/>
      <c r="BQ10" s="243"/>
      <c r="BR10" s="243"/>
      <c r="BS10" s="243"/>
      <c r="BT10" s="243"/>
      <c r="BU10" s="243"/>
      <c r="BV10" s="243"/>
      <c r="BW10" s="242"/>
      <c r="BX10" s="242"/>
      <c r="BY10" s="242"/>
      <c r="BZ10" s="242"/>
      <c r="CA10" s="242"/>
      <c r="CB10" s="242"/>
      <c r="CC10" s="242"/>
      <c r="CD10" s="243"/>
      <c r="CE10" s="243"/>
      <c r="CF10" s="243"/>
      <c r="CG10" s="243"/>
      <c r="CH10" s="243"/>
      <c r="CI10" s="243"/>
      <c r="CJ10" s="243"/>
      <c r="CK10" s="242"/>
      <c r="CL10" s="242"/>
      <c r="CM10" s="242"/>
      <c r="CN10" s="242"/>
      <c r="CO10" s="242"/>
      <c r="CP10" s="242"/>
      <c r="CQ10" s="242"/>
      <c r="CR10" s="243"/>
      <c r="CS10" s="243"/>
      <c r="CT10" s="243"/>
      <c r="CU10" s="243"/>
      <c r="CV10" s="243"/>
      <c r="CW10" s="243"/>
      <c r="CX10" s="243"/>
      <c r="CY10" s="242"/>
      <c r="CZ10" s="242"/>
      <c r="DA10" s="242"/>
      <c r="DB10" s="242"/>
      <c r="DC10" s="242"/>
      <c r="DD10" s="242"/>
      <c r="DE10" s="242"/>
      <c r="DF10" s="243"/>
      <c r="DG10" s="243"/>
      <c r="DH10" s="243"/>
      <c r="DI10" s="243"/>
      <c r="DJ10" s="243"/>
      <c r="DK10" s="243"/>
      <c r="DL10" s="243"/>
      <c r="DM10" s="242"/>
      <c r="DN10" s="242"/>
      <c r="DO10" s="242"/>
      <c r="DP10" s="242"/>
      <c r="DQ10" s="242"/>
      <c r="DR10" s="242"/>
      <c r="DS10" s="242"/>
      <c r="DT10" s="243"/>
      <c r="DU10" s="243"/>
      <c r="DV10" s="243"/>
      <c r="DW10" s="243"/>
      <c r="DX10" s="243"/>
      <c r="DY10" s="243"/>
      <c r="DZ10" s="243"/>
      <c r="EA10" s="242"/>
      <c r="EB10" s="242"/>
      <c r="EC10" s="242"/>
      <c r="ED10" s="242"/>
      <c r="EE10" s="242"/>
      <c r="EF10" s="242"/>
      <c r="EG10" s="242"/>
      <c r="EH10" s="243"/>
      <c r="EI10" s="243"/>
      <c r="EJ10" s="243"/>
      <c r="EK10" s="243"/>
      <c r="EL10" s="243"/>
      <c r="EM10" s="243"/>
      <c r="EN10" s="243"/>
      <c r="EO10" s="242"/>
      <c r="EP10" s="242"/>
      <c r="EQ10" s="242"/>
      <c r="ER10" s="242"/>
      <c r="ES10" s="242"/>
      <c r="ET10" s="242"/>
      <c r="EU10" s="242"/>
      <c r="EV10" s="243"/>
      <c r="EW10" s="243"/>
      <c r="EX10" s="243"/>
      <c r="EY10" s="243"/>
      <c r="EZ10" s="243"/>
      <c r="FA10" s="243"/>
      <c r="FB10" s="243"/>
      <c r="FC10" s="242"/>
      <c r="FD10" s="242"/>
      <c r="FE10" s="242"/>
      <c r="FF10" s="242"/>
      <c r="FG10" s="242"/>
      <c r="FH10" s="242"/>
      <c r="FI10" s="242"/>
      <c r="FJ10" s="243"/>
      <c r="FK10" s="243"/>
      <c r="FL10" s="243"/>
      <c r="FM10" s="243"/>
      <c r="FN10" s="243"/>
      <c r="FO10" s="243"/>
      <c r="FP10" s="243"/>
      <c r="FQ10" s="242"/>
      <c r="FR10" s="242"/>
      <c r="FS10" s="242"/>
      <c r="FT10" s="242"/>
      <c r="FU10" s="242"/>
      <c r="FV10" s="242"/>
      <c r="FW10" s="242"/>
      <c r="FX10" s="243"/>
      <c r="FY10" s="243"/>
      <c r="FZ10" s="243"/>
      <c r="GA10" s="243"/>
      <c r="GB10" s="243"/>
      <c r="GC10" s="243"/>
      <c r="GD10" s="243"/>
      <c r="GE10" s="242"/>
      <c r="GF10" s="242"/>
      <c r="GG10" s="242"/>
      <c r="GH10" s="242"/>
      <c r="GI10" s="242"/>
      <c r="GJ10" s="242"/>
      <c r="GK10" s="242"/>
      <c r="GL10" s="243"/>
      <c r="GM10" s="243"/>
      <c r="GN10" s="243"/>
      <c r="GO10" s="243"/>
      <c r="GP10" s="243"/>
      <c r="GQ10" s="243"/>
      <c r="GR10" s="243"/>
      <c r="GS10" s="242"/>
      <c r="GT10" s="242"/>
      <c r="GU10" s="242"/>
      <c r="GV10" s="242"/>
      <c r="GW10" s="242"/>
      <c r="GX10" s="242"/>
      <c r="GY10" s="242"/>
      <c r="GZ10" s="243"/>
      <c r="HA10" s="243"/>
      <c r="HB10" s="243"/>
      <c r="HC10" s="243"/>
      <c r="HD10" s="243"/>
      <c r="HE10" s="243"/>
      <c r="HF10" s="243"/>
      <c r="HG10" s="242"/>
      <c r="HH10" s="242"/>
      <c r="HI10" s="242"/>
      <c r="HJ10" s="242"/>
      <c r="HK10" s="242"/>
      <c r="HL10" s="242"/>
      <c r="HM10" s="242"/>
      <c r="HN10" s="243">
        <v>24</v>
      </c>
      <c r="HO10" s="243">
        <v>24</v>
      </c>
      <c r="HP10" s="243">
        <v>24</v>
      </c>
      <c r="HQ10" s="243">
        <v>24</v>
      </c>
      <c r="HR10" s="243">
        <v>24</v>
      </c>
      <c r="HS10" s="243">
        <v>24</v>
      </c>
      <c r="HT10" s="243">
        <v>24</v>
      </c>
      <c r="HU10" s="243"/>
      <c r="HV10" s="243"/>
      <c r="HW10" s="243"/>
      <c r="HX10" s="243"/>
      <c r="HY10" s="243"/>
      <c r="HZ10" s="243"/>
      <c r="IA10" s="243"/>
      <c r="IB10" s="243">
        <v>24</v>
      </c>
      <c r="IC10" s="243">
        <v>24</v>
      </c>
      <c r="ID10" s="243">
        <v>24</v>
      </c>
      <c r="IE10" s="243">
        <v>24</v>
      </c>
      <c r="IF10" s="243">
        <v>24</v>
      </c>
      <c r="IG10" s="243">
        <v>24</v>
      </c>
      <c r="IH10" s="243">
        <v>24</v>
      </c>
      <c r="II10" s="242"/>
      <c r="IJ10" s="242"/>
      <c r="IK10" s="242"/>
      <c r="IL10" s="242"/>
      <c r="IM10" s="242"/>
      <c r="IN10" s="242"/>
      <c r="IO10" s="242"/>
      <c r="IP10" s="243"/>
      <c r="IQ10" s="243"/>
      <c r="IR10" s="243"/>
      <c r="IS10" s="243"/>
      <c r="IT10" s="243"/>
      <c r="IU10" s="243"/>
      <c r="IV10" s="243"/>
      <c r="IW10" s="242"/>
      <c r="IX10" s="242"/>
      <c r="IY10" s="242"/>
      <c r="IZ10" s="242"/>
      <c r="JA10" s="242"/>
      <c r="JB10" s="242"/>
      <c r="JC10" s="242"/>
      <c r="JD10" s="243"/>
      <c r="JE10" s="243"/>
      <c r="JF10" s="243"/>
      <c r="JG10" s="243"/>
      <c r="JH10" s="243"/>
      <c r="JI10" s="243"/>
      <c r="JJ10" s="243"/>
      <c r="JK10" s="242"/>
      <c r="JL10" s="242"/>
      <c r="JM10" s="242"/>
      <c r="JN10" s="242"/>
      <c r="JO10" s="242"/>
      <c r="JP10" s="242"/>
      <c r="JQ10" s="242"/>
      <c r="JR10" s="243"/>
      <c r="JS10" s="243"/>
      <c r="JT10" s="243"/>
      <c r="JU10" s="243"/>
      <c r="JV10" s="243"/>
      <c r="JW10" s="243"/>
      <c r="JX10" s="243"/>
      <c r="JY10" s="242"/>
      <c r="JZ10" s="242"/>
      <c r="KA10" s="242"/>
      <c r="KB10" s="242"/>
      <c r="KC10" s="242"/>
      <c r="KD10" s="242"/>
      <c r="KE10" s="242"/>
      <c r="KF10" s="243"/>
      <c r="KG10" s="243"/>
      <c r="KH10" s="243"/>
      <c r="KI10" s="243"/>
      <c r="KJ10" s="243"/>
      <c r="KK10" s="243"/>
      <c r="KL10" s="243"/>
      <c r="KM10" s="242"/>
      <c r="KN10" s="242"/>
      <c r="KO10" s="242"/>
      <c r="KP10" s="242"/>
      <c r="KQ10" s="242"/>
      <c r="KR10" s="242"/>
      <c r="KS10" s="242"/>
      <c r="KT10" s="243"/>
      <c r="KU10" s="243"/>
      <c r="KV10" s="243"/>
      <c r="KW10" s="243"/>
      <c r="KX10" s="243"/>
      <c r="KY10" s="243"/>
      <c r="KZ10" s="243"/>
      <c r="LA10" s="242"/>
      <c r="LB10" s="242"/>
      <c r="LC10" s="242"/>
      <c r="LD10" s="242"/>
      <c r="LE10" s="242"/>
      <c r="LF10" s="242"/>
      <c r="LG10" s="242"/>
      <c r="LH10" s="243"/>
      <c r="LI10" s="243"/>
      <c r="LJ10" s="243"/>
      <c r="LK10" s="243"/>
      <c r="LL10" s="243"/>
      <c r="LM10" s="243"/>
      <c r="LN10" s="243"/>
      <c r="LO10" s="242"/>
      <c r="LP10" s="242"/>
      <c r="LQ10" s="242"/>
      <c r="LR10" s="242"/>
      <c r="LS10" s="242"/>
      <c r="LT10" s="242"/>
      <c r="LU10" s="242"/>
      <c r="LV10" s="243"/>
      <c r="LW10" s="243"/>
      <c r="LX10" s="243"/>
      <c r="LY10" s="243"/>
      <c r="LZ10" s="243"/>
      <c r="MA10" s="243"/>
      <c r="MB10" s="243"/>
      <c r="MC10" s="242"/>
      <c r="MD10" s="242"/>
      <c r="ME10" s="242"/>
      <c r="MF10" s="242"/>
      <c r="MG10" s="242"/>
      <c r="MH10" s="242"/>
      <c r="MI10" s="242"/>
      <c r="MJ10" s="243"/>
      <c r="MK10" s="243"/>
      <c r="ML10" s="243"/>
      <c r="MM10" s="243"/>
      <c r="MN10" s="243"/>
      <c r="MO10" s="243"/>
      <c r="MP10" s="243"/>
      <c r="MQ10" s="242"/>
      <c r="MR10" s="242"/>
      <c r="MS10" s="242"/>
      <c r="MT10" s="242"/>
      <c r="MU10" s="242"/>
      <c r="MV10" s="242"/>
      <c r="MW10" s="242"/>
      <c r="MX10" s="243"/>
      <c r="MY10" s="243"/>
      <c r="MZ10" s="243"/>
      <c r="NA10" s="243"/>
      <c r="NB10" s="243"/>
      <c r="NC10" s="243"/>
      <c r="ND10" s="243"/>
      <c r="NE10" s="242"/>
      <c r="NF10" s="242"/>
      <c r="NG10" s="242"/>
      <c r="NH10" s="243"/>
    </row>
    <row r="11" spans="1:372">
      <c r="A11" s="254" t="s">
        <v>956</v>
      </c>
      <c r="B11" s="239" t="s">
        <v>959</v>
      </c>
      <c r="C11" s="240" t="s">
        <v>674</v>
      </c>
      <c r="D11" s="240" t="s">
        <v>982</v>
      </c>
      <c r="E11" s="241">
        <v>488.88</v>
      </c>
      <c r="F11" s="252">
        <v>336</v>
      </c>
      <c r="G11" s="242"/>
      <c r="H11" s="242"/>
      <c r="I11" s="242"/>
      <c r="J11" s="242"/>
      <c r="K11" s="242"/>
      <c r="L11" s="243"/>
      <c r="M11" s="243"/>
      <c r="N11" s="243"/>
      <c r="O11" s="243"/>
      <c r="P11" s="243"/>
      <c r="Q11" s="243"/>
      <c r="R11" s="243"/>
      <c r="S11" s="242"/>
      <c r="T11" s="242"/>
      <c r="U11" s="242"/>
      <c r="V11" s="242"/>
      <c r="W11" s="242"/>
      <c r="X11" s="242"/>
      <c r="Y11" s="242"/>
      <c r="Z11" s="243"/>
      <c r="AA11" s="243"/>
      <c r="AB11" s="243"/>
      <c r="AC11" s="243"/>
      <c r="AD11" s="243"/>
      <c r="AE11" s="243"/>
      <c r="AF11" s="243"/>
      <c r="AG11" s="242"/>
      <c r="AH11" s="242"/>
      <c r="AI11" s="242"/>
      <c r="AJ11" s="242"/>
      <c r="AK11" s="242"/>
      <c r="AL11" s="242"/>
      <c r="AM11" s="242"/>
      <c r="AN11" s="243"/>
      <c r="AO11" s="243"/>
      <c r="AP11" s="243"/>
      <c r="AQ11" s="243"/>
      <c r="AR11" s="243"/>
      <c r="AS11" s="243"/>
      <c r="AT11" s="243"/>
      <c r="AU11" s="242"/>
      <c r="AV11" s="242"/>
      <c r="AW11" s="242"/>
      <c r="AX11" s="242"/>
      <c r="AY11" s="242"/>
      <c r="AZ11" s="242"/>
      <c r="BA11" s="242"/>
      <c r="BB11" s="243"/>
      <c r="BC11" s="243"/>
      <c r="BD11" s="243"/>
      <c r="BE11" s="243"/>
      <c r="BF11" s="243"/>
      <c r="BG11" s="243"/>
      <c r="BH11" s="243"/>
      <c r="BI11" s="242"/>
      <c r="BJ11" s="242"/>
      <c r="BK11" s="242"/>
      <c r="BL11" s="242"/>
      <c r="BM11" s="242"/>
      <c r="BN11" s="242"/>
      <c r="BO11" s="242"/>
      <c r="BP11" s="243"/>
      <c r="BQ11" s="243"/>
      <c r="BR11" s="243"/>
      <c r="BS11" s="243"/>
      <c r="BT11" s="243"/>
      <c r="BU11" s="243"/>
      <c r="BV11" s="243"/>
      <c r="BW11" s="242"/>
      <c r="BX11" s="242"/>
      <c r="BY11" s="242"/>
      <c r="BZ11" s="242"/>
      <c r="CA11" s="242"/>
      <c r="CB11" s="242"/>
      <c r="CC11" s="242"/>
      <c r="CD11" s="243"/>
      <c r="CE11" s="243"/>
      <c r="CF11" s="243"/>
      <c r="CG11" s="243"/>
      <c r="CH11" s="243"/>
      <c r="CI11" s="243"/>
      <c r="CJ11" s="243"/>
      <c r="CK11" s="242"/>
      <c r="CL11" s="242"/>
      <c r="CM11" s="242"/>
      <c r="CN11" s="242"/>
      <c r="CO11" s="242"/>
      <c r="CP11" s="242"/>
      <c r="CQ11" s="242"/>
      <c r="CR11" s="243"/>
      <c r="CS11" s="243"/>
      <c r="CT11" s="243"/>
      <c r="CU11" s="243"/>
      <c r="CV11" s="243"/>
      <c r="CW11" s="243"/>
      <c r="CX11" s="243"/>
      <c r="CY11" s="242"/>
      <c r="CZ11" s="242"/>
      <c r="DA11" s="242"/>
      <c r="DB11" s="242"/>
      <c r="DC11" s="242"/>
      <c r="DD11" s="242"/>
      <c r="DE11" s="242"/>
      <c r="DF11" s="243"/>
      <c r="DG11" s="243"/>
      <c r="DH11" s="243"/>
      <c r="DI11" s="243"/>
      <c r="DJ11" s="243"/>
      <c r="DK11" s="243"/>
      <c r="DL11" s="243"/>
      <c r="DM11" s="242"/>
      <c r="DN11" s="242"/>
      <c r="DO11" s="242"/>
      <c r="DP11" s="242"/>
      <c r="DQ11" s="242"/>
      <c r="DR11" s="242"/>
      <c r="DS11" s="242"/>
      <c r="DT11" s="243"/>
      <c r="DU11" s="243"/>
      <c r="DV11" s="243"/>
      <c r="DW11" s="243"/>
      <c r="DX11" s="243"/>
      <c r="DY11" s="243"/>
      <c r="DZ11" s="243"/>
      <c r="EA11" s="242"/>
      <c r="EB11" s="242"/>
      <c r="EC11" s="242"/>
      <c r="ED11" s="242"/>
      <c r="EE11" s="242"/>
      <c r="EF11" s="242"/>
      <c r="EG11" s="242"/>
      <c r="EH11" s="243"/>
      <c r="EI11" s="243"/>
      <c r="EJ11" s="243"/>
      <c r="EK11" s="243"/>
      <c r="EL11" s="243"/>
      <c r="EM11" s="243"/>
      <c r="EN11" s="243"/>
      <c r="EO11" s="242"/>
      <c r="EP11" s="242"/>
      <c r="EQ11" s="242"/>
      <c r="ER11" s="242"/>
      <c r="ES11" s="242"/>
      <c r="ET11" s="242"/>
      <c r="EU11" s="242"/>
      <c r="EV11" s="243"/>
      <c r="EW11" s="243"/>
      <c r="EX11" s="243"/>
      <c r="EY11" s="243"/>
      <c r="EZ11" s="243"/>
      <c r="FA11" s="243"/>
      <c r="FB11" s="243"/>
      <c r="FC11" s="242"/>
      <c r="FD11" s="242"/>
      <c r="FE11" s="242"/>
      <c r="FF11" s="242"/>
      <c r="FG11" s="242"/>
      <c r="FH11" s="242"/>
      <c r="FI11" s="242"/>
      <c r="FJ11" s="243"/>
      <c r="FK11" s="243"/>
      <c r="FL11" s="243"/>
      <c r="FM11" s="243"/>
      <c r="FN11" s="243"/>
      <c r="FO11" s="243"/>
      <c r="FP11" s="243"/>
      <c r="FQ11" s="242"/>
      <c r="FR11" s="242"/>
      <c r="FS11" s="242"/>
      <c r="FT11" s="242"/>
      <c r="FU11" s="242"/>
      <c r="FV11" s="242"/>
      <c r="FW11" s="242"/>
      <c r="FX11" s="243"/>
      <c r="FY11" s="243"/>
      <c r="FZ11" s="243"/>
      <c r="GA11" s="243"/>
      <c r="GB11" s="243"/>
      <c r="GC11" s="243"/>
      <c r="GD11" s="243"/>
      <c r="GE11" s="242"/>
      <c r="GF11" s="242"/>
      <c r="GG11" s="242"/>
      <c r="GH11" s="242"/>
      <c r="GI11" s="242"/>
      <c r="GJ11" s="242"/>
      <c r="GK11" s="242"/>
      <c r="GL11" s="243"/>
      <c r="GM11" s="243"/>
      <c r="GN11" s="243"/>
      <c r="GO11" s="243"/>
      <c r="GP11" s="243"/>
      <c r="GQ11" s="243"/>
      <c r="GR11" s="243"/>
      <c r="GS11" s="242"/>
      <c r="GT11" s="242"/>
      <c r="GU11" s="242"/>
      <c r="GV11" s="242"/>
      <c r="GW11" s="242"/>
      <c r="GX11" s="242"/>
      <c r="GY11" s="242"/>
      <c r="GZ11" s="243"/>
      <c r="HA11" s="243"/>
      <c r="HB11" s="243"/>
      <c r="HC11" s="243"/>
      <c r="HD11" s="243"/>
      <c r="HE11" s="243"/>
      <c r="HF11" s="243"/>
      <c r="HG11" s="242"/>
      <c r="HH11" s="242"/>
      <c r="HI11" s="242"/>
      <c r="HJ11" s="242"/>
      <c r="HK11" s="242"/>
      <c r="HL11" s="242"/>
      <c r="HM11" s="242"/>
      <c r="HN11" s="243">
        <v>24</v>
      </c>
      <c r="HO11" s="243">
        <v>24</v>
      </c>
      <c r="HP11" s="243">
        <v>24</v>
      </c>
      <c r="HQ11" s="243">
        <v>24</v>
      </c>
      <c r="HR11" s="243">
        <v>24</v>
      </c>
      <c r="HS11" s="243">
        <v>24</v>
      </c>
      <c r="HT11" s="243">
        <v>24</v>
      </c>
      <c r="HU11" s="243"/>
      <c r="HV11" s="243"/>
      <c r="HW11" s="243"/>
      <c r="HX11" s="243"/>
      <c r="HY11" s="243"/>
      <c r="HZ11" s="243"/>
      <c r="IA11" s="243"/>
      <c r="IB11" s="243">
        <v>24</v>
      </c>
      <c r="IC11" s="243">
        <v>24</v>
      </c>
      <c r="ID11" s="243">
        <v>24</v>
      </c>
      <c r="IE11" s="243">
        <v>24</v>
      </c>
      <c r="IF11" s="243">
        <v>24</v>
      </c>
      <c r="IG11" s="243">
        <v>24</v>
      </c>
      <c r="IH11" s="243">
        <v>24</v>
      </c>
      <c r="II11" s="242"/>
      <c r="IJ11" s="242"/>
      <c r="IK11" s="242"/>
      <c r="IL11" s="242"/>
      <c r="IM11" s="242"/>
      <c r="IN11" s="242"/>
      <c r="IO11" s="242"/>
      <c r="IP11" s="243"/>
      <c r="IQ11" s="243"/>
      <c r="IR11" s="243"/>
      <c r="IS11" s="243"/>
      <c r="IT11" s="243"/>
      <c r="IU11" s="243"/>
      <c r="IV11" s="243"/>
      <c r="IW11" s="242"/>
      <c r="IX11" s="242"/>
      <c r="IY11" s="242"/>
      <c r="IZ11" s="242"/>
      <c r="JA11" s="242"/>
      <c r="JB11" s="242"/>
      <c r="JC11" s="242"/>
      <c r="JD11" s="243"/>
      <c r="JE11" s="243"/>
      <c r="JF11" s="243"/>
      <c r="JG11" s="243"/>
      <c r="JH11" s="243"/>
      <c r="JI11" s="243"/>
      <c r="JJ11" s="243"/>
      <c r="JK11" s="242"/>
      <c r="JL11" s="242"/>
      <c r="JM11" s="242"/>
      <c r="JN11" s="242"/>
      <c r="JO11" s="242"/>
      <c r="JP11" s="242"/>
      <c r="JQ11" s="242"/>
      <c r="JR11" s="243"/>
      <c r="JS11" s="243"/>
      <c r="JT11" s="243"/>
      <c r="JU11" s="243"/>
      <c r="JV11" s="243"/>
      <c r="JW11" s="243"/>
      <c r="JX11" s="243"/>
      <c r="JY11" s="242"/>
      <c r="JZ11" s="242"/>
      <c r="KA11" s="242"/>
      <c r="KB11" s="242"/>
      <c r="KC11" s="242"/>
      <c r="KD11" s="242"/>
      <c r="KE11" s="242"/>
      <c r="KF11" s="243"/>
      <c r="KG11" s="243"/>
      <c r="KH11" s="243"/>
      <c r="KI11" s="243"/>
      <c r="KJ11" s="243"/>
      <c r="KK11" s="243"/>
      <c r="KL11" s="243"/>
      <c r="KM11" s="242"/>
      <c r="KN11" s="242"/>
      <c r="KO11" s="242"/>
      <c r="KP11" s="242"/>
      <c r="KQ11" s="242"/>
      <c r="KR11" s="242"/>
      <c r="KS11" s="242"/>
      <c r="KT11" s="243"/>
      <c r="KU11" s="243"/>
      <c r="KV11" s="243"/>
      <c r="KW11" s="243"/>
      <c r="KX11" s="243"/>
      <c r="KY11" s="243"/>
      <c r="KZ11" s="243"/>
      <c r="LA11" s="242"/>
      <c r="LB11" s="242"/>
      <c r="LC11" s="242"/>
      <c r="LD11" s="242"/>
      <c r="LE11" s="242"/>
      <c r="LF11" s="242"/>
      <c r="LG11" s="242"/>
      <c r="LH11" s="243"/>
      <c r="LI11" s="243"/>
      <c r="LJ11" s="243"/>
      <c r="LK11" s="243"/>
      <c r="LL11" s="243"/>
      <c r="LM11" s="243"/>
      <c r="LN11" s="243"/>
      <c r="LO11" s="242"/>
      <c r="LP11" s="242"/>
      <c r="LQ11" s="242"/>
      <c r="LR11" s="242"/>
      <c r="LS11" s="242"/>
      <c r="LT11" s="242"/>
      <c r="LU11" s="242"/>
      <c r="LV11" s="243"/>
      <c r="LW11" s="243"/>
      <c r="LX11" s="243"/>
      <c r="LY11" s="243"/>
      <c r="LZ11" s="243"/>
      <c r="MA11" s="243"/>
      <c r="MB11" s="243"/>
      <c r="MC11" s="242"/>
      <c r="MD11" s="242"/>
      <c r="ME11" s="242"/>
      <c r="MF11" s="242"/>
      <c r="MG11" s="242"/>
      <c r="MH11" s="242"/>
      <c r="MI11" s="242"/>
      <c r="MJ11" s="243"/>
      <c r="MK11" s="243"/>
      <c r="ML11" s="243"/>
      <c r="MM11" s="243"/>
      <c r="MN11" s="243"/>
      <c r="MO11" s="243"/>
      <c r="MP11" s="243"/>
      <c r="MQ11" s="242"/>
      <c r="MR11" s="242"/>
      <c r="MS11" s="242"/>
      <c r="MT11" s="242"/>
      <c r="MU11" s="242"/>
      <c r="MV11" s="242"/>
      <c r="MW11" s="242"/>
      <c r="MX11" s="243"/>
      <c r="MY11" s="243"/>
      <c r="MZ11" s="243"/>
      <c r="NA11" s="243"/>
      <c r="NB11" s="243"/>
      <c r="NC11" s="243"/>
      <c r="ND11" s="243"/>
      <c r="NE11" s="242"/>
      <c r="NF11" s="242"/>
      <c r="NG11" s="242"/>
      <c r="NH11" s="243"/>
    </row>
    <row r="12" spans="1:372">
      <c r="A12" s="254" t="s">
        <v>956</v>
      </c>
      <c r="B12" s="239" t="s">
        <v>960</v>
      </c>
      <c r="C12" s="240" t="s">
        <v>674</v>
      </c>
      <c r="D12" s="240" t="s">
        <v>982</v>
      </c>
      <c r="E12" s="241">
        <v>473.76</v>
      </c>
      <c r="F12" s="252">
        <v>336</v>
      </c>
      <c r="G12" s="242"/>
      <c r="H12" s="242"/>
      <c r="I12" s="242"/>
      <c r="J12" s="242"/>
      <c r="K12" s="242"/>
      <c r="L12" s="243"/>
      <c r="M12" s="243"/>
      <c r="N12" s="243"/>
      <c r="O12" s="243"/>
      <c r="P12" s="243"/>
      <c r="Q12" s="243"/>
      <c r="R12" s="243"/>
      <c r="S12" s="242"/>
      <c r="T12" s="242"/>
      <c r="U12" s="242"/>
      <c r="V12" s="242"/>
      <c r="W12" s="242"/>
      <c r="X12" s="242"/>
      <c r="Y12" s="242"/>
      <c r="Z12" s="243"/>
      <c r="AA12" s="243"/>
      <c r="AB12" s="243"/>
      <c r="AC12" s="243"/>
      <c r="AD12" s="243"/>
      <c r="AE12" s="243"/>
      <c r="AF12" s="243"/>
      <c r="AG12" s="242"/>
      <c r="AH12" s="242"/>
      <c r="AI12" s="242"/>
      <c r="AJ12" s="242"/>
      <c r="AK12" s="242"/>
      <c r="AL12" s="242"/>
      <c r="AM12" s="242"/>
      <c r="AN12" s="243"/>
      <c r="AO12" s="243"/>
      <c r="AP12" s="243"/>
      <c r="AQ12" s="243"/>
      <c r="AR12" s="243"/>
      <c r="AS12" s="243"/>
      <c r="AT12" s="243"/>
      <c r="AU12" s="242"/>
      <c r="AV12" s="242"/>
      <c r="AW12" s="242"/>
      <c r="AX12" s="242"/>
      <c r="AY12" s="242"/>
      <c r="AZ12" s="242"/>
      <c r="BA12" s="242"/>
      <c r="BB12" s="243"/>
      <c r="BC12" s="243"/>
      <c r="BD12" s="243"/>
      <c r="BE12" s="243"/>
      <c r="BF12" s="243"/>
      <c r="BG12" s="243"/>
      <c r="BH12" s="243"/>
      <c r="BI12" s="242"/>
      <c r="BJ12" s="242"/>
      <c r="BK12" s="242"/>
      <c r="BL12" s="242"/>
      <c r="BM12" s="242"/>
      <c r="BN12" s="242"/>
      <c r="BO12" s="242"/>
      <c r="BP12" s="243"/>
      <c r="BQ12" s="243"/>
      <c r="BR12" s="243"/>
      <c r="BS12" s="243"/>
      <c r="BT12" s="243"/>
      <c r="BU12" s="243"/>
      <c r="BV12" s="243"/>
      <c r="BW12" s="242"/>
      <c r="BX12" s="242"/>
      <c r="BY12" s="242"/>
      <c r="BZ12" s="242"/>
      <c r="CA12" s="242"/>
      <c r="CB12" s="242"/>
      <c r="CC12" s="242"/>
      <c r="CD12" s="243"/>
      <c r="CE12" s="243"/>
      <c r="CF12" s="243"/>
      <c r="CG12" s="243"/>
      <c r="CH12" s="243"/>
      <c r="CI12" s="243"/>
      <c r="CJ12" s="243"/>
      <c r="CK12" s="242"/>
      <c r="CL12" s="242"/>
      <c r="CM12" s="242"/>
      <c r="CN12" s="242"/>
      <c r="CO12" s="242"/>
      <c r="CP12" s="242"/>
      <c r="CQ12" s="242"/>
      <c r="CR12" s="243"/>
      <c r="CS12" s="243"/>
      <c r="CT12" s="243"/>
      <c r="CU12" s="243"/>
      <c r="CV12" s="243"/>
      <c r="CW12" s="243"/>
      <c r="CX12" s="243"/>
      <c r="CY12" s="242"/>
      <c r="CZ12" s="242"/>
      <c r="DA12" s="242"/>
      <c r="DB12" s="242"/>
      <c r="DC12" s="242"/>
      <c r="DD12" s="242"/>
      <c r="DE12" s="242"/>
      <c r="DF12" s="243"/>
      <c r="DG12" s="243"/>
      <c r="DH12" s="243"/>
      <c r="DI12" s="243"/>
      <c r="DJ12" s="243"/>
      <c r="DK12" s="243"/>
      <c r="DL12" s="243"/>
      <c r="DM12" s="242"/>
      <c r="DN12" s="242"/>
      <c r="DO12" s="242"/>
      <c r="DP12" s="242"/>
      <c r="DQ12" s="242"/>
      <c r="DR12" s="242"/>
      <c r="DS12" s="242"/>
      <c r="DT12" s="243"/>
      <c r="DU12" s="243"/>
      <c r="DV12" s="243"/>
      <c r="DW12" s="243"/>
      <c r="DX12" s="243"/>
      <c r="DY12" s="243"/>
      <c r="DZ12" s="243"/>
      <c r="EA12" s="242"/>
      <c r="EB12" s="242"/>
      <c r="EC12" s="242"/>
      <c r="ED12" s="242"/>
      <c r="EE12" s="242"/>
      <c r="EF12" s="242"/>
      <c r="EG12" s="242"/>
      <c r="EH12" s="243"/>
      <c r="EI12" s="243"/>
      <c r="EJ12" s="243"/>
      <c r="EK12" s="243"/>
      <c r="EL12" s="243"/>
      <c r="EM12" s="243"/>
      <c r="EN12" s="243"/>
      <c r="EO12" s="242"/>
      <c r="EP12" s="242"/>
      <c r="EQ12" s="242"/>
      <c r="ER12" s="242"/>
      <c r="ES12" s="242"/>
      <c r="ET12" s="242"/>
      <c r="EU12" s="242"/>
      <c r="EV12" s="243"/>
      <c r="EW12" s="243"/>
      <c r="EX12" s="243"/>
      <c r="EY12" s="243"/>
      <c r="EZ12" s="243"/>
      <c r="FA12" s="243"/>
      <c r="FB12" s="243"/>
      <c r="FC12" s="242"/>
      <c r="FD12" s="242"/>
      <c r="FE12" s="242"/>
      <c r="FF12" s="242"/>
      <c r="FG12" s="242"/>
      <c r="FH12" s="242"/>
      <c r="FI12" s="242"/>
      <c r="FJ12" s="243"/>
      <c r="FK12" s="243"/>
      <c r="FL12" s="243"/>
      <c r="FM12" s="243"/>
      <c r="FN12" s="243"/>
      <c r="FO12" s="243"/>
      <c r="FP12" s="243"/>
      <c r="FQ12" s="242"/>
      <c r="FR12" s="242"/>
      <c r="FS12" s="242"/>
      <c r="FT12" s="242"/>
      <c r="FU12" s="242"/>
      <c r="FV12" s="242"/>
      <c r="FW12" s="242"/>
      <c r="FX12" s="243"/>
      <c r="FY12" s="243"/>
      <c r="FZ12" s="243"/>
      <c r="GA12" s="243"/>
      <c r="GB12" s="243"/>
      <c r="GC12" s="243"/>
      <c r="GD12" s="243"/>
      <c r="GE12" s="242"/>
      <c r="GF12" s="242"/>
      <c r="GG12" s="242"/>
      <c r="GH12" s="242"/>
      <c r="GI12" s="242"/>
      <c r="GJ12" s="242"/>
      <c r="GK12" s="242"/>
      <c r="GL12" s="243"/>
      <c r="GM12" s="243"/>
      <c r="GN12" s="243"/>
      <c r="GO12" s="243"/>
      <c r="GP12" s="243"/>
      <c r="GQ12" s="243"/>
      <c r="GR12" s="243"/>
      <c r="GS12" s="242"/>
      <c r="GT12" s="242"/>
      <c r="GU12" s="242"/>
      <c r="GV12" s="242"/>
      <c r="GW12" s="242"/>
      <c r="GX12" s="242"/>
      <c r="GY12" s="242"/>
      <c r="GZ12" s="243"/>
      <c r="HA12" s="243"/>
      <c r="HB12" s="243"/>
      <c r="HC12" s="243"/>
      <c r="HD12" s="243"/>
      <c r="HE12" s="243"/>
      <c r="HF12" s="243"/>
      <c r="HG12" s="242"/>
      <c r="HH12" s="242"/>
      <c r="HI12" s="242"/>
      <c r="HJ12" s="242"/>
      <c r="HK12" s="242"/>
      <c r="HL12" s="242"/>
      <c r="HM12" s="242"/>
      <c r="HN12" s="243">
        <v>24</v>
      </c>
      <c r="HO12" s="243">
        <v>24</v>
      </c>
      <c r="HP12" s="243">
        <v>24</v>
      </c>
      <c r="HQ12" s="243">
        <v>24</v>
      </c>
      <c r="HR12" s="243">
        <v>24</v>
      </c>
      <c r="HS12" s="243">
        <v>24</v>
      </c>
      <c r="HT12" s="243">
        <v>24</v>
      </c>
      <c r="HU12" s="243"/>
      <c r="HV12" s="243"/>
      <c r="HW12" s="243"/>
      <c r="HX12" s="243"/>
      <c r="HY12" s="243"/>
      <c r="HZ12" s="243"/>
      <c r="IA12" s="243"/>
      <c r="IB12" s="243">
        <v>24</v>
      </c>
      <c r="IC12" s="243">
        <v>24</v>
      </c>
      <c r="ID12" s="243">
        <v>24</v>
      </c>
      <c r="IE12" s="243">
        <v>24</v>
      </c>
      <c r="IF12" s="243">
        <v>24</v>
      </c>
      <c r="IG12" s="243">
        <v>24</v>
      </c>
      <c r="IH12" s="243">
        <v>24</v>
      </c>
      <c r="II12" s="242"/>
      <c r="IJ12" s="242"/>
      <c r="IK12" s="242"/>
      <c r="IL12" s="242"/>
      <c r="IM12" s="242"/>
      <c r="IN12" s="242"/>
      <c r="IO12" s="242"/>
      <c r="IP12" s="243"/>
      <c r="IQ12" s="243"/>
      <c r="IR12" s="243"/>
      <c r="IS12" s="243"/>
      <c r="IT12" s="243"/>
      <c r="IU12" s="243"/>
      <c r="IV12" s="243"/>
      <c r="IW12" s="242"/>
      <c r="IX12" s="242"/>
      <c r="IY12" s="242"/>
      <c r="IZ12" s="242"/>
      <c r="JA12" s="242"/>
      <c r="JB12" s="242"/>
      <c r="JC12" s="242"/>
      <c r="JD12" s="243"/>
      <c r="JE12" s="243"/>
      <c r="JF12" s="243"/>
      <c r="JG12" s="243"/>
      <c r="JH12" s="243"/>
      <c r="JI12" s="243"/>
      <c r="JJ12" s="243"/>
      <c r="JK12" s="242"/>
      <c r="JL12" s="242"/>
      <c r="JM12" s="242"/>
      <c r="JN12" s="242"/>
      <c r="JO12" s="242"/>
      <c r="JP12" s="242"/>
      <c r="JQ12" s="242"/>
      <c r="JR12" s="243"/>
      <c r="JS12" s="243"/>
      <c r="JT12" s="243"/>
      <c r="JU12" s="243"/>
      <c r="JV12" s="243"/>
      <c r="JW12" s="243"/>
      <c r="JX12" s="243"/>
      <c r="JY12" s="242"/>
      <c r="JZ12" s="242"/>
      <c r="KA12" s="242"/>
      <c r="KB12" s="242"/>
      <c r="KC12" s="242"/>
      <c r="KD12" s="242"/>
      <c r="KE12" s="242"/>
      <c r="KF12" s="243"/>
      <c r="KG12" s="243"/>
      <c r="KH12" s="243"/>
      <c r="KI12" s="243"/>
      <c r="KJ12" s="243"/>
      <c r="KK12" s="243"/>
      <c r="KL12" s="243"/>
      <c r="KM12" s="242"/>
      <c r="KN12" s="242"/>
      <c r="KO12" s="242"/>
      <c r="KP12" s="242"/>
      <c r="KQ12" s="242"/>
      <c r="KR12" s="242"/>
      <c r="KS12" s="242"/>
      <c r="KT12" s="243"/>
      <c r="KU12" s="243"/>
      <c r="KV12" s="243"/>
      <c r="KW12" s="243"/>
      <c r="KX12" s="243"/>
      <c r="KY12" s="243"/>
      <c r="KZ12" s="243"/>
      <c r="LA12" s="242"/>
      <c r="LB12" s="242"/>
      <c r="LC12" s="242"/>
      <c r="LD12" s="242"/>
      <c r="LE12" s="242"/>
      <c r="LF12" s="242"/>
      <c r="LG12" s="242"/>
      <c r="LH12" s="243"/>
      <c r="LI12" s="243"/>
      <c r="LJ12" s="243"/>
      <c r="LK12" s="243"/>
      <c r="LL12" s="243"/>
      <c r="LM12" s="243"/>
      <c r="LN12" s="243"/>
      <c r="LO12" s="242"/>
      <c r="LP12" s="242"/>
      <c r="LQ12" s="242"/>
      <c r="LR12" s="242"/>
      <c r="LS12" s="242"/>
      <c r="LT12" s="242"/>
      <c r="LU12" s="242"/>
      <c r="LV12" s="243"/>
      <c r="LW12" s="243"/>
      <c r="LX12" s="243"/>
      <c r="LY12" s="243"/>
      <c r="LZ12" s="243"/>
      <c r="MA12" s="243"/>
      <c r="MB12" s="243"/>
      <c r="MC12" s="242"/>
      <c r="MD12" s="242"/>
      <c r="ME12" s="242"/>
      <c r="MF12" s="242"/>
      <c r="MG12" s="242"/>
      <c r="MH12" s="242"/>
      <c r="MI12" s="242"/>
      <c r="MJ12" s="243"/>
      <c r="MK12" s="243"/>
      <c r="ML12" s="243"/>
      <c r="MM12" s="243"/>
      <c r="MN12" s="243"/>
      <c r="MO12" s="243"/>
      <c r="MP12" s="243"/>
      <c r="MQ12" s="242"/>
      <c r="MR12" s="242"/>
      <c r="MS12" s="242"/>
      <c r="MT12" s="242"/>
      <c r="MU12" s="242"/>
      <c r="MV12" s="242"/>
      <c r="MW12" s="242"/>
      <c r="MX12" s="243"/>
      <c r="MY12" s="243"/>
      <c r="MZ12" s="243"/>
      <c r="NA12" s="243"/>
      <c r="NB12" s="243"/>
      <c r="NC12" s="243"/>
      <c r="ND12" s="243"/>
      <c r="NE12" s="242"/>
      <c r="NF12" s="242"/>
      <c r="NG12" s="242"/>
      <c r="NH12" s="243"/>
    </row>
    <row r="13" spans="1:372">
      <c r="A13" s="254" t="s">
        <v>956</v>
      </c>
      <c r="B13" s="239" t="s">
        <v>961</v>
      </c>
      <c r="C13" s="240" t="s">
        <v>674</v>
      </c>
      <c r="D13" s="240" t="s">
        <v>982</v>
      </c>
      <c r="E13" s="241">
        <v>473.76</v>
      </c>
      <c r="F13" s="252">
        <v>336</v>
      </c>
      <c r="G13" s="242"/>
      <c r="H13" s="242"/>
      <c r="I13" s="242"/>
      <c r="J13" s="242"/>
      <c r="K13" s="242"/>
      <c r="L13" s="243"/>
      <c r="M13" s="243"/>
      <c r="N13" s="243"/>
      <c r="O13" s="243"/>
      <c r="P13" s="243"/>
      <c r="Q13" s="243"/>
      <c r="R13" s="243"/>
      <c r="S13" s="242"/>
      <c r="T13" s="242"/>
      <c r="U13" s="242"/>
      <c r="V13" s="242"/>
      <c r="W13" s="242"/>
      <c r="X13" s="242"/>
      <c r="Y13" s="242"/>
      <c r="Z13" s="243"/>
      <c r="AA13" s="243"/>
      <c r="AB13" s="243"/>
      <c r="AC13" s="243"/>
      <c r="AD13" s="243"/>
      <c r="AE13" s="243"/>
      <c r="AF13" s="243"/>
      <c r="AG13" s="242"/>
      <c r="AH13" s="242"/>
      <c r="AI13" s="242"/>
      <c r="AJ13" s="242"/>
      <c r="AK13" s="242"/>
      <c r="AL13" s="242"/>
      <c r="AM13" s="242"/>
      <c r="AN13" s="243"/>
      <c r="AO13" s="243"/>
      <c r="AP13" s="243"/>
      <c r="AQ13" s="243"/>
      <c r="AR13" s="243"/>
      <c r="AS13" s="243"/>
      <c r="AT13" s="243"/>
      <c r="AU13" s="242"/>
      <c r="AV13" s="242"/>
      <c r="AW13" s="242"/>
      <c r="AX13" s="242"/>
      <c r="AY13" s="242"/>
      <c r="AZ13" s="242"/>
      <c r="BA13" s="242"/>
      <c r="BB13" s="243"/>
      <c r="BC13" s="243"/>
      <c r="BD13" s="243"/>
      <c r="BE13" s="243"/>
      <c r="BF13" s="243"/>
      <c r="BG13" s="243"/>
      <c r="BH13" s="243"/>
      <c r="BI13" s="242"/>
      <c r="BJ13" s="242"/>
      <c r="BK13" s="242"/>
      <c r="BL13" s="242"/>
      <c r="BM13" s="242"/>
      <c r="BN13" s="242"/>
      <c r="BO13" s="242"/>
      <c r="BP13" s="243"/>
      <c r="BQ13" s="243"/>
      <c r="BR13" s="243"/>
      <c r="BS13" s="243"/>
      <c r="BT13" s="243"/>
      <c r="BU13" s="243"/>
      <c r="BV13" s="243"/>
      <c r="BW13" s="242"/>
      <c r="BX13" s="242"/>
      <c r="BY13" s="242"/>
      <c r="BZ13" s="242"/>
      <c r="CA13" s="242"/>
      <c r="CB13" s="242"/>
      <c r="CC13" s="242"/>
      <c r="CD13" s="243"/>
      <c r="CE13" s="243"/>
      <c r="CF13" s="243"/>
      <c r="CG13" s="243"/>
      <c r="CH13" s="243"/>
      <c r="CI13" s="243"/>
      <c r="CJ13" s="243"/>
      <c r="CK13" s="242"/>
      <c r="CL13" s="242"/>
      <c r="CM13" s="242"/>
      <c r="CN13" s="242"/>
      <c r="CO13" s="242"/>
      <c r="CP13" s="242"/>
      <c r="CQ13" s="242"/>
      <c r="CR13" s="243"/>
      <c r="CS13" s="243"/>
      <c r="CT13" s="243"/>
      <c r="CU13" s="243"/>
      <c r="CV13" s="243"/>
      <c r="CW13" s="243"/>
      <c r="CX13" s="243"/>
      <c r="CY13" s="242"/>
      <c r="CZ13" s="242"/>
      <c r="DA13" s="242"/>
      <c r="DB13" s="242"/>
      <c r="DC13" s="242"/>
      <c r="DD13" s="242"/>
      <c r="DE13" s="242"/>
      <c r="DF13" s="243"/>
      <c r="DG13" s="243"/>
      <c r="DH13" s="243"/>
      <c r="DI13" s="243"/>
      <c r="DJ13" s="243"/>
      <c r="DK13" s="243"/>
      <c r="DL13" s="243"/>
      <c r="DM13" s="242"/>
      <c r="DN13" s="242"/>
      <c r="DO13" s="242"/>
      <c r="DP13" s="242"/>
      <c r="DQ13" s="242"/>
      <c r="DR13" s="242"/>
      <c r="DS13" s="242"/>
      <c r="DT13" s="243"/>
      <c r="DU13" s="243"/>
      <c r="DV13" s="243"/>
      <c r="DW13" s="243"/>
      <c r="DX13" s="243"/>
      <c r="DY13" s="243"/>
      <c r="DZ13" s="243"/>
      <c r="EA13" s="242"/>
      <c r="EB13" s="242"/>
      <c r="EC13" s="242"/>
      <c r="ED13" s="242"/>
      <c r="EE13" s="242"/>
      <c r="EF13" s="242"/>
      <c r="EG13" s="242"/>
      <c r="EH13" s="243"/>
      <c r="EI13" s="243"/>
      <c r="EJ13" s="243"/>
      <c r="EK13" s="243"/>
      <c r="EL13" s="243"/>
      <c r="EM13" s="243"/>
      <c r="EN13" s="243"/>
      <c r="EO13" s="242"/>
      <c r="EP13" s="242"/>
      <c r="EQ13" s="242"/>
      <c r="ER13" s="242"/>
      <c r="ES13" s="242"/>
      <c r="ET13" s="242"/>
      <c r="EU13" s="242"/>
      <c r="EV13" s="243"/>
      <c r="EW13" s="243"/>
      <c r="EX13" s="243"/>
      <c r="EY13" s="243"/>
      <c r="EZ13" s="243"/>
      <c r="FA13" s="243"/>
      <c r="FB13" s="243"/>
      <c r="FC13" s="242"/>
      <c r="FD13" s="242"/>
      <c r="FE13" s="242"/>
      <c r="FF13" s="242"/>
      <c r="FG13" s="242"/>
      <c r="FH13" s="242"/>
      <c r="FI13" s="242"/>
      <c r="FJ13" s="243"/>
      <c r="FK13" s="243"/>
      <c r="FL13" s="243"/>
      <c r="FM13" s="243"/>
      <c r="FN13" s="243"/>
      <c r="FO13" s="243"/>
      <c r="FP13" s="243"/>
      <c r="FQ13" s="242"/>
      <c r="FR13" s="242"/>
      <c r="FS13" s="242"/>
      <c r="FT13" s="242"/>
      <c r="FU13" s="242"/>
      <c r="FV13" s="242"/>
      <c r="FW13" s="242"/>
      <c r="FX13" s="243"/>
      <c r="FY13" s="243"/>
      <c r="FZ13" s="243"/>
      <c r="GA13" s="243"/>
      <c r="GB13" s="243"/>
      <c r="GC13" s="243"/>
      <c r="GD13" s="243"/>
      <c r="GE13" s="242"/>
      <c r="GF13" s="242"/>
      <c r="GG13" s="242"/>
      <c r="GH13" s="242"/>
      <c r="GI13" s="242"/>
      <c r="GJ13" s="242"/>
      <c r="GK13" s="242"/>
      <c r="GL13" s="243"/>
      <c r="GM13" s="243"/>
      <c r="GN13" s="243"/>
      <c r="GO13" s="243"/>
      <c r="GP13" s="243"/>
      <c r="GQ13" s="243"/>
      <c r="GR13" s="243"/>
      <c r="GS13" s="242"/>
      <c r="GT13" s="242"/>
      <c r="GU13" s="242"/>
      <c r="GV13" s="242"/>
      <c r="GW13" s="242"/>
      <c r="GX13" s="242"/>
      <c r="GY13" s="242"/>
      <c r="GZ13" s="243"/>
      <c r="HA13" s="243"/>
      <c r="HB13" s="243"/>
      <c r="HC13" s="243"/>
      <c r="HD13" s="243"/>
      <c r="HE13" s="243"/>
      <c r="HF13" s="243"/>
      <c r="HG13" s="242"/>
      <c r="HH13" s="242"/>
      <c r="HI13" s="242"/>
      <c r="HJ13" s="242"/>
      <c r="HK13" s="242"/>
      <c r="HL13" s="242"/>
      <c r="HM13" s="242"/>
      <c r="HN13" s="243">
        <v>24</v>
      </c>
      <c r="HO13" s="243">
        <v>24</v>
      </c>
      <c r="HP13" s="243">
        <v>24</v>
      </c>
      <c r="HQ13" s="243">
        <v>24</v>
      </c>
      <c r="HR13" s="243">
        <v>24</v>
      </c>
      <c r="HS13" s="243">
        <v>24</v>
      </c>
      <c r="HT13" s="243">
        <v>24</v>
      </c>
      <c r="HU13" s="243"/>
      <c r="HV13" s="243"/>
      <c r="HW13" s="243"/>
      <c r="HX13" s="243"/>
      <c r="HY13" s="243"/>
      <c r="HZ13" s="243"/>
      <c r="IA13" s="243"/>
      <c r="IB13" s="243">
        <v>24</v>
      </c>
      <c r="IC13" s="243">
        <v>24</v>
      </c>
      <c r="ID13" s="243">
        <v>24</v>
      </c>
      <c r="IE13" s="243">
        <v>24</v>
      </c>
      <c r="IF13" s="243">
        <v>24</v>
      </c>
      <c r="IG13" s="243">
        <v>24</v>
      </c>
      <c r="IH13" s="243">
        <v>24</v>
      </c>
      <c r="II13" s="242"/>
      <c r="IJ13" s="242"/>
      <c r="IK13" s="242"/>
      <c r="IL13" s="242"/>
      <c r="IM13" s="242"/>
      <c r="IN13" s="242"/>
      <c r="IO13" s="242"/>
      <c r="IP13" s="243"/>
      <c r="IQ13" s="243"/>
      <c r="IR13" s="243"/>
      <c r="IS13" s="243"/>
      <c r="IT13" s="243"/>
      <c r="IU13" s="243"/>
      <c r="IV13" s="243"/>
      <c r="IW13" s="242"/>
      <c r="IX13" s="242"/>
      <c r="IY13" s="242"/>
      <c r="IZ13" s="242"/>
      <c r="JA13" s="242"/>
      <c r="JB13" s="242"/>
      <c r="JC13" s="242"/>
      <c r="JD13" s="243"/>
      <c r="JE13" s="243"/>
      <c r="JF13" s="243"/>
      <c r="JG13" s="243"/>
      <c r="JH13" s="243"/>
      <c r="JI13" s="243"/>
      <c r="JJ13" s="243"/>
      <c r="JK13" s="242"/>
      <c r="JL13" s="242"/>
      <c r="JM13" s="242"/>
      <c r="JN13" s="242"/>
      <c r="JO13" s="242"/>
      <c r="JP13" s="242"/>
      <c r="JQ13" s="242"/>
      <c r="JR13" s="243"/>
      <c r="JS13" s="243"/>
      <c r="JT13" s="243"/>
      <c r="JU13" s="243"/>
      <c r="JV13" s="243"/>
      <c r="JW13" s="243"/>
      <c r="JX13" s="243"/>
      <c r="JY13" s="242"/>
      <c r="JZ13" s="242"/>
      <c r="KA13" s="242"/>
      <c r="KB13" s="242"/>
      <c r="KC13" s="242"/>
      <c r="KD13" s="242"/>
      <c r="KE13" s="242"/>
      <c r="KF13" s="243"/>
      <c r="KG13" s="243"/>
      <c r="KH13" s="243"/>
      <c r="KI13" s="243"/>
      <c r="KJ13" s="243"/>
      <c r="KK13" s="243"/>
      <c r="KL13" s="243"/>
      <c r="KM13" s="242"/>
      <c r="KN13" s="242"/>
      <c r="KO13" s="242"/>
      <c r="KP13" s="242"/>
      <c r="KQ13" s="242"/>
      <c r="KR13" s="242"/>
      <c r="KS13" s="242"/>
      <c r="KT13" s="243"/>
      <c r="KU13" s="243"/>
      <c r="KV13" s="243"/>
      <c r="KW13" s="243"/>
      <c r="KX13" s="243"/>
      <c r="KY13" s="243"/>
      <c r="KZ13" s="243"/>
      <c r="LA13" s="242"/>
      <c r="LB13" s="242"/>
      <c r="LC13" s="242"/>
      <c r="LD13" s="242"/>
      <c r="LE13" s="242"/>
      <c r="LF13" s="242"/>
      <c r="LG13" s="242"/>
      <c r="LH13" s="243"/>
      <c r="LI13" s="243"/>
      <c r="LJ13" s="243"/>
      <c r="LK13" s="243"/>
      <c r="LL13" s="243"/>
      <c r="LM13" s="243"/>
      <c r="LN13" s="243"/>
      <c r="LO13" s="242"/>
      <c r="LP13" s="242"/>
      <c r="LQ13" s="242"/>
      <c r="LR13" s="242"/>
      <c r="LS13" s="242"/>
      <c r="LT13" s="242"/>
      <c r="LU13" s="242"/>
      <c r="LV13" s="243"/>
      <c r="LW13" s="243"/>
      <c r="LX13" s="243"/>
      <c r="LY13" s="243"/>
      <c r="LZ13" s="243"/>
      <c r="MA13" s="243"/>
      <c r="MB13" s="243"/>
      <c r="MC13" s="242"/>
      <c r="MD13" s="242"/>
      <c r="ME13" s="242"/>
      <c r="MF13" s="242"/>
      <c r="MG13" s="242"/>
      <c r="MH13" s="242"/>
      <c r="MI13" s="242"/>
      <c r="MJ13" s="243"/>
      <c r="MK13" s="243"/>
      <c r="ML13" s="243"/>
      <c r="MM13" s="243"/>
      <c r="MN13" s="243"/>
      <c r="MO13" s="243"/>
      <c r="MP13" s="243"/>
      <c r="MQ13" s="242"/>
      <c r="MR13" s="242"/>
      <c r="MS13" s="242"/>
      <c r="MT13" s="242"/>
      <c r="MU13" s="242"/>
      <c r="MV13" s="242"/>
      <c r="MW13" s="242"/>
      <c r="MX13" s="243"/>
      <c r="MY13" s="243"/>
      <c r="MZ13" s="243"/>
      <c r="NA13" s="243"/>
      <c r="NB13" s="243"/>
      <c r="NC13" s="243"/>
      <c r="ND13" s="243"/>
      <c r="NE13" s="242"/>
      <c r="NF13" s="242"/>
      <c r="NG13" s="242"/>
      <c r="NH13" s="243"/>
    </row>
    <row r="14" spans="1:372">
      <c r="A14" s="254" t="s">
        <v>956</v>
      </c>
      <c r="B14" s="239" t="s">
        <v>1257</v>
      </c>
      <c r="C14" s="240" t="s">
        <v>674</v>
      </c>
      <c r="D14" s="240" t="s">
        <v>982</v>
      </c>
      <c r="E14" s="241">
        <v>473.76</v>
      </c>
      <c r="F14" s="252">
        <v>336</v>
      </c>
      <c r="G14" s="242"/>
      <c r="H14" s="242"/>
      <c r="I14" s="242"/>
      <c r="J14" s="242"/>
      <c r="K14" s="242"/>
      <c r="L14" s="243"/>
      <c r="M14" s="243"/>
      <c r="N14" s="243"/>
      <c r="O14" s="243"/>
      <c r="P14" s="243"/>
      <c r="Q14" s="243"/>
      <c r="R14" s="243"/>
      <c r="S14" s="242"/>
      <c r="T14" s="242"/>
      <c r="U14" s="242"/>
      <c r="V14" s="242"/>
      <c r="W14" s="242"/>
      <c r="X14" s="242"/>
      <c r="Y14" s="242"/>
      <c r="Z14" s="243"/>
      <c r="AA14" s="243"/>
      <c r="AB14" s="243"/>
      <c r="AC14" s="243"/>
      <c r="AD14" s="243"/>
      <c r="AE14" s="243"/>
      <c r="AF14" s="243"/>
      <c r="AG14" s="242"/>
      <c r="AH14" s="242"/>
      <c r="AI14" s="242"/>
      <c r="AJ14" s="242"/>
      <c r="AK14" s="242"/>
      <c r="AL14" s="242"/>
      <c r="AM14" s="242"/>
      <c r="AN14" s="243"/>
      <c r="AO14" s="243"/>
      <c r="AP14" s="243"/>
      <c r="AQ14" s="243"/>
      <c r="AR14" s="243"/>
      <c r="AS14" s="243"/>
      <c r="AT14" s="243"/>
      <c r="AU14" s="242"/>
      <c r="AV14" s="242"/>
      <c r="AW14" s="242"/>
      <c r="AX14" s="242"/>
      <c r="AY14" s="242"/>
      <c r="AZ14" s="242"/>
      <c r="BA14" s="242"/>
      <c r="BB14" s="243"/>
      <c r="BC14" s="243"/>
      <c r="BD14" s="243"/>
      <c r="BE14" s="243"/>
      <c r="BF14" s="243"/>
      <c r="BG14" s="243"/>
      <c r="BH14" s="243"/>
      <c r="BI14" s="242"/>
      <c r="BJ14" s="242"/>
      <c r="BK14" s="242"/>
      <c r="BL14" s="242"/>
      <c r="BM14" s="242"/>
      <c r="BN14" s="242"/>
      <c r="BO14" s="242"/>
      <c r="BP14" s="243"/>
      <c r="BQ14" s="243"/>
      <c r="BR14" s="243"/>
      <c r="BS14" s="243"/>
      <c r="BT14" s="243"/>
      <c r="BU14" s="243"/>
      <c r="BV14" s="243"/>
      <c r="BW14" s="242"/>
      <c r="BX14" s="242"/>
      <c r="BY14" s="242"/>
      <c r="BZ14" s="242"/>
      <c r="CA14" s="242"/>
      <c r="CB14" s="242"/>
      <c r="CC14" s="242"/>
      <c r="CD14" s="243"/>
      <c r="CE14" s="243"/>
      <c r="CF14" s="243"/>
      <c r="CG14" s="243"/>
      <c r="CH14" s="243"/>
      <c r="CI14" s="243"/>
      <c r="CJ14" s="243"/>
      <c r="CK14" s="242"/>
      <c r="CL14" s="242"/>
      <c r="CM14" s="242"/>
      <c r="CN14" s="242"/>
      <c r="CO14" s="242"/>
      <c r="CP14" s="242"/>
      <c r="CQ14" s="242"/>
      <c r="CR14" s="243"/>
      <c r="CS14" s="243"/>
      <c r="CT14" s="243"/>
      <c r="CU14" s="243"/>
      <c r="CV14" s="243"/>
      <c r="CW14" s="243"/>
      <c r="CX14" s="243"/>
      <c r="CY14" s="242"/>
      <c r="CZ14" s="242"/>
      <c r="DA14" s="242"/>
      <c r="DB14" s="242"/>
      <c r="DC14" s="242"/>
      <c r="DD14" s="242"/>
      <c r="DE14" s="242"/>
      <c r="DF14" s="243"/>
      <c r="DG14" s="243"/>
      <c r="DH14" s="243"/>
      <c r="DI14" s="243"/>
      <c r="DJ14" s="243"/>
      <c r="DK14" s="243"/>
      <c r="DL14" s="243"/>
      <c r="DM14" s="242"/>
      <c r="DN14" s="242"/>
      <c r="DO14" s="242"/>
      <c r="DP14" s="242"/>
      <c r="DQ14" s="242"/>
      <c r="DR14" s="242"/>
      <c r="DS14" s="242"/>
      <c r="DT14" s="243"/>
      <c r="DU14" s="243"/>
      <c r="DV14" s="243"/>
      <c r="DW14" s="243"/>
      <c r="DX14" s="243"/>
      <c r="DY14" s="243"/>
      <c r="DZ14" s="243"/>
      <c r="EA14" s="242"/>
      <c r="EB14" s="242"/>
      <c r="EC14" s="242"/>
      <c r="ED14" s="242"/>
      <c r="EE14" s="242"/>
      <c r="EF14" s="242"/>
      <c r="EG14" s="242"/>
      <c r="EH14" s="243"/>
      <c r="EI14" s="243"/>
      <c r="EJ14" s="243"/>
      <c r="EK14" s="243"/>
      <c r="EL14" s="243"/>
      <c r="EM14" s="243"/>
      <c r="EN14" s="243"/>
      <c r="EO14" s="242"/>
      <c r="EP14" s="242"/>
      <c r="EQ14" s="242"/>
      <c r="ER14" s="242"/>
      <c r="ES14" s="242"/>
      <c r="ET14" s="242"/>
      <c r="EU14" s="242"/>
      <c r="EV14" s="243"/>
      <c r="EW14" s="243"/>
      <c r="EX14" s="243"/>
      <c r="EY14" s="243"/>
      <c r="EZ14" s="243"/>
      <c r="FA14" s="243"/>
      <c r="FB14" s="243"/>
      <c r="FC14" s="242"/>
      <c r="FD14" s="242"/>
      <c r="FE14" s="242"/>
      <c r="FF14" s="242"/>
      <c r="FG14" s="242"/>
      <c r="FH14" s="242"/>
      <c r="FI14" s="242"/>
      <c r="FJ14" s="243"/>
      <c r="FK14" s="243"/>
      <c r="FL14" s="243"/>
      <c r="FM14" s="243"/>
      <c r="FN14" s="243"/>
      <c r="FO14" s="243"/>
      <c r="FP14" s="243"/>
      <c r="FQ14" s="242"/>
      <c r="FR14" s="242"/>
      <c r="FS14" s="242"/>
      <c r="FT14" s="242"/>
      <c r="FU14" s="242"/>
      <c r="FV14" s="242"/>
      <c r="FW14" s="242"/>
      <c r="FX14" s="243"/>
      <c r="FY14" s="243"/>
      <c r="FZ14" s="243"/>
      <c r="GA14" s="243"/>
      <c r="GB14" s="243"/>
      <c r="GC14" s="243"/>
      <c r="GD14" s="243"/>
      <c r="GE14" s="242"/>
      <c r="GF14" s="242"/>
      <c r="GG14" s="242"/>
      <c r="GH14" s="242"/>
      <c r="GI14" s="242"/>
      <c r="GJ14" s="242"/>
      <c r="GK14" s="242"/>
      <c r="GL14" s="243"/>
      <c r="GM14" s="243"/>
      <c r="GN14" s="243"/>
      <c r="GO14" s="243"/>
      <c r="GP14" s="243"/>
      <c r="GQ14" s="243"/>
      <c r="GR14" s="243"/>
      <c r="GS14" s="242"/>
      <c r="GT14" s="242"/>
      <c r="GU14" s="242"/>
      <c r="GV14" s="242"/>
      <c r="GW14" s="242"/>
      <c r="GX14" s="242"/>
      <c r="GY14" s="242"/>
      <c r="GZ14" s="243"/>
      <c r="HA14" s="243"/>
      <c r="HB14" s="243"/>
      <c r="HC14" s="243"/>
      <c r="HD14" s="243"/>
      <c r="HE14" s="243"/>
      <c r="HF14" s="243"/>
      <c r="HG14" s="242"/>
      <c r="HH14" s="242"/>
      <c r="HI14" s="242"/>
      <c r="HJ14" s="242"/>
      <c r="HK14" s="242"/>
      <c r="HL14" s="242"/>
      <c r="HM14" s="242"/>
      <c r="HN14" s="243">
        <v>24</v>
      </c>
      <c r="HO14" s="243">
        <v>24</v>
      </c>
      <c r="HP14" s="243">
        <v>24</v>
      </c>
      <c r="HQ14" s="243">
        <v>24</v>
      </c>
      <c r="HR14" s="243">
        <v>24</v>
      </c>
      <c r="HS14" s="243">
        <v>24</v>
      </c>
      <c r="HT14" s="243">
        <v>24</v>
      </c>
      <c r="HU14" s="243"/>
      <c r="HV14" s="243"/>
      <c r="HW14" s="243"/>
      <c r="HX14" s="243"/>
      <c r="HY14" s="243"/>
      <c r="HZ14" s="243"/>
      <c r="IA14" s="243"/>
      <c r="IB14" s="243">
        <v>24</v>
      </c>
      <c r="IC14" s="243">
        <v>24</v>
      </c>
      <c r="ID14" s="243">
        <v>24</v>
      </c>
      <c r="IE14" s="243">
        <v>24</v>
      </c>
      <c r="IF14" s="243">
        <v>24</v>
      </c>
      <c r="IG14" s="243">
        <v>24</v>
      </c>
      <c r="IH14" s="243">
        <v>24</v>
      </c>
      <c r="II14" s="242"/>
      <c r="IJ14" s="242"/>
      <c r="IK14" s="242"/>
      <c r="IL14" s="242"/>
      <c r="IM14" s="242"/>
      <c r="IN14" s="242"/>
      <c r="IO14" s="242"/>
      <c r="IP14" s="243"/>
      <c r="IQ14" s="243"/>
      <c r="IR14" s="243"/>
      <c r="IS14" s="243"/>
      <c r="IT14" s="243"/>
      <c r="IU14" s="243"/>
      <c r="IV14" s="243"/>
      <c r="IW14" s="242"/>
      <c r="IX14" s="242"/>
      <c r="IY14" s="242"/>
      <c r="IZ14" s="242"/>
      <c r="JA14" s="242"/>
      <c r="JB14" s="242"/>
      <c r="JC14" s="242"/>
      <c r="JD14" s="243"/>
      <c r="JE14" s="243"/>
      <c r="JF14" s="243"/>
      <c r="JG14" s="243"/>
      <c r="JH14" s="243"/>
      <c r="JI14" s="243"/>
      <c r="JJ14" s="243"/>
      <c r="JK14" s="242"/>
      <c r="JL14" s="242"/>
      <c r="JM14" s="242"/>
      <c r="JN14" s="242"/>
      <c r="JO14" s="242"/>
      <c r="JP14" s="242"/>
      <c r="JQ14" s="242"/>
      <c r="JR14" s="243"/>
      <c r="JS14" s="243"/>
      <c r="JT14" s="243"/>
      <c r="JU14" s="243"/>
      <c r="JV14" s="243"/>
      <c r="JW14" s="243"/>
      <c r="JX14" s="243"/>
      <c r="JY14" s="242"/>
      <c r="JZ14" s="242"/>
      <c r="KA14" s="242"/>
      <c r="KB14" s="242"/>
      <c r="KC14" s="242"/>
      <c r="KD14" s="242"/>
      <c r="KE14" s="242"/>
      <c r="KF14" s="243"/>
      <c r="KG14" s="243"/>
      <c r="KH14" s="243"/>
      <c r="KI14" s="243"/>
      <c r="KJ14" s="243"/>
      <c r="KK14" s="243"/>
      <c r="KL14" s="243"/>
      <c r="KM14" s="242"/>
      <c r="KN14" s="242"/>
      <c r="KO14" s="242"/>
      <c r="KP14" s="242"/>
      <c r="KQ14" s="242"/>
      <c r="KR14" s="242"/>
      <c r="KS14" s="242"/>
      <c r="KT14" s="243"/>
      <c r="KU14" s="243"/>
      <c r="KV14" s="243"/>
      <c r="KW14" s="243"/>
      <c r="KX14" s="243"/>
      <c r="KY14" s="243"/>
      <c r="KZ14" s="243"/>
      <c r="LA14" s="242"/>
      <c r="LB14" s="242"/>
      <c r="LC14" s="242"/>
      <c r="LD14" s="242"/>
      <c r="LE14" s="242"/>
      <c r="LF14" s="242"/>
      <c r="LG14" s="242"/>
      <c r="LH14" s="243"/>
      <c r="LI14" s="243"/>
      <c r="LJ14" s="243"/>
      <c r="LK14" s="243"/>
      <c r="LL14" s="243"/>
      <c r="LM14" s="243"/>
      <c r="LN14" s="243"/>
      <c r="LO14" s="242"/>
      <c r="LP14" s="242"/>
      <c r="LQ14" s="242"/>
      <c r="LR14" s="242"/>
      <c r="LS14" s="242"/>
      <c r="LT14" s="242"/>
      <c r="LU14" s="242"/>
      <c r="LV14" s="243"/>
      <c r="LW14" s="243"/>
      <c r="LX14" s="243"/>
      <c r="LY14" s="243"/>
      <c r="LZ14" s="243"/>
      <c r="MA14" s="243"/>
      <c r="MB14" s="243"/>
      <c r="MC14" s="242"/>
      <c r="MD14" s="242"/>
      <c r="ME14" s="242"/>
      <c r="MF14" s="242"/>
      <c r="MG14" s="242"/>
      <c r="MH14" s="242"/>
      <c r="MI14" s="242"/>
      <c r="MJ14" s="243"/>
      <c r="MK14" s="243"/>
      <c r="ML14" s="243"/>
      <c r="MM14" s="243"/>
      <c r="MN14" s="243"/>
      <c r="MO14" s="243"/>
      <c r="MP14" s="243"/>
      <c r="MQ14" s="242"/>
      <c r="MR14" s="242"/>
      <c r="MS14" s="242"/>
      <c r="MT14" s="242"/>
      <c r="MU14" s="242"/>
      <c r="MV14" s="242"/>
      <c r="MW14" s="242"/>
      <c r="MX14" s="243"/>
      <c r="MY14" s="243"/>
      <c r="MZ14" s="243"/>
      <c r="NA14" s="243"/>
      <c r="NB14" s="243"/>
      <c r="NC14" s="243"/>
      <c r="ND14" s="243"/>
      <c r="NE14" s="242"/>
      <c r="NF14" s="242"/>
      <c r="NG14" s="242"/>
      <c r="NH14" s="243"/>
    </row>
    <row r="15" spans="1:372">
      <c r="A15" s="254" t="s">
        <v>956</v>
      </c>
      <c r="B15" s="239" t="s">
        <v>962</v>
      </c>
      <c r="C15" s="240" t="s">
        <v>674</v>
      </c>
      <c r="D15" s="240" t="s">
        <v>982</v>
      </c>
      <c r="E15" s="241">
        <v>977.76</v>
      </c>
      <c r="F15" s="252">
        <v>672</v>
      </c>
      <c r="G15" s="242"/>
      <c r="H15" s="242"/>
      <c r="I15" s="242"/>
      <c r="J15" s="242"/>
      <c r="K15" s="242"/>
      <c r="L15" s="243"/>
      <c r="M15" s="243"/>
      <c r="N15" s="243"/>
      <c r="O15" s="243"/>
      <c r="P15" s="243"/>
      <c r="Q15" s="243"/>
      <c r="R15" s="243"/>
      <c r="S15" s="242"/>
      <c r="T15" s="242"/>
      <c r="U15" s="242"/>
      <c r="V15" s="242"/>
      <c r="W15" s="242"/>
      <c r="X15" s="242"/>
      <c r="Y15" s="242"/>
      <c r="Z15" s="243"/>
      <c r="AA15" s="243"/>
      <c r="AB15" s="243"/>
      <c r="AC15" s="243"/>
      <c r="AD15" s="243"/>
      <c r="AE15" s="243"/>
      <c r="AF15" s="243"/>
      <c r="AG15" s="242"/>
      <c r="AH15" s="242"/>
      <c r="AI15" s="242"/>
      <c r="AJ15" s="242"/>
      <c r="AK15" s="242"/>
      <c r="AL15" s="242"/>
      <c r="AM15" s="242"/>
      <c r="AN15" s="243"/>
      <c r="AO15" s="243"/>
      <c r="AP15" s="243"/>
      <c r="AQ15" s="243"/>
      <c r="AR15" s="243"/>
      <c r="AS15" s="243"/>
      <c r="AT15" s="243"/>
      <c r="AU15" s="242"/>
      <c r="AV15" s="242"/>
      <c r="AW15" s="242"/>
      <c r="AX15" s="242"/>
      <c r="AY15" s="242"/>
      <c r="AZ15" s="242"/>
      <c r="BA15" s="242"/>
      <c r="BB15" s="243"/>
      <c r="BC15" s="243"/>
      <c r="BD15" s="243"/>
      <c r="BE15" s="243"/>
      <c r="BF15" s="243"/>
      <c r="BG15" s="243"/>
      <c r="BH15" s="243"/>
      <c r="BI15" s="242"/>
      <c r="BJ15" s="242"/>
      <c r="BK15" s="242"/>
      <c r="BL15" s="242"/>
      <c r="BM15" s="242"/>
      <c r="BN15" s="242"/>
      <c r="BO15" s="242"/>
      <c r="BP15" s="243"/>
      <c r="BQ15" s="243"/>
      <c r="BR15" s="243"/>
      <c r="BS15" s="243"/>
      <c r="BT15" s="243"/>
      <c r="BU15" s="243"/>
      <c r="BV15" s="243"/>
      <c r="BW15" s="242"/>
      <c r="BX15" s="242"/>
      <c r="BY15" s="242"/>
      <c r="BZ15" s="242"/>
      <c r="CA15" s="242"/>
      <c r="CB15" s="242"/>
      <c r="CC15" s="242"/>
      <c r="CD15" s="243"/>
      <c r="CE15" s="243"/>
      <c r="CF15" s="243"/>
      <c r="CG15" s="243"/>
      <c r="CH15" s="243"/>
      <c r="CI15" s="243"/>
      <c r="CJ15" s="243"/>
      <c r="CK15" s="242"/>
      <c r="CL15" s="242"/>
      <c r="CM15" s="242"/>
      <c r="CN15" s="242"/>
      <c r="CO15" s="242"/>
      <c r="CP15" s="242"/>
      <c r="CQ15" s="242"/>
      <c r="CR15" s="243"/>
      <c r="CS15" s="243"/>
      <c r="CT15" s="243"/>
      <c r="CU15" s="243"/>
      <c r="CV15" s="243"/>
      <c r="CW15" s="243"/>
      <c r="CX15" s="243"/>
      <c r="CY15" s="242"/>
      <c r="CZ15" s="242"/>
      <c r="DA15" s="242"/>
      <c r="DB15" s="242"/>
      <c r="DC15" s="242"/>
      <c r="DD15" s="242"/>
      <c r="DE15" s="242"/>
      <c r="DF15" s="243"/>
      <c r="DG15" s="243"/>
      <c r="DH15" s="243"/>
      <c r="DI15" s="243"/>
      <c r="DJ15" s="243"/>
      <c r="DK15" s="243"/>
      <c r="DL15" s="243"/>
      <c r="DM15" s="242"/>
      <c r="DN15" s="242"/>
      <c r="DO15" s="242"/>
      <c r="DP15" s="242"/>
      <c r="DQ15" s="242"/>
      <c r="DR15" s="242"/>
      <c r="DS15" s="242"/>
      <c r="DT15" s="243"/>
      <c r="DU15" s="243"/>
      <c r="DV15" s="243"/>
      <c r="DW15" s="243"/>
      <c r="DX15" s="243"/>
      <c r="DY15" s="243"/>
      <c r="DZ15" s="243"/>
      <c r="EA15" s="242"/>
      <c r="EB15" s="242"/>
      <c r="EC15" s="242"/>
      <c r="ED15" s="242"/>
      <c r="EE15" s="242"/>
      <c r="EF15" s="242"/>
      <c r="EG15" s="242"/>
      <c r="EH15" s="243"/>
      <c r="EI15" s="243"/>
      <c r="EJ15" s="243"/>
      <c r="EK15" s="243"/>
      <c r="EL15" s="243"/>
      <c r="EM15" s="243"/>
      <c r="EN15" s="243"/>
      <c r="EO15" s="242"/>
      <c r="EP15" s="242"/>
      <c r="EQ15" s="242"/>
      <c r="ER15" s="242"/>
      <c r="ES15" s="242"/>
      <c r="ET15" s="242"/>
      <c r="EU15" s="242"/>
      <c r="EV15" s="243"/>
      <c r="EW15" s="243"/>
      <c r="EX15" s="243"/>
      <c r="EY15" s="243"/>
      <c r="EZ15" s="243"/>
      <c r="FA15" s="243"/>
      <c r="FB15" s="243"/>
      <c r="FC15" s="242"/>
      <c r="FD15" s="242"/>
      <c r="FE15" s="242"/>
      <c r="FF15" s="242"/>
      <c r="FG15" s="242"/>
      <c r="FH15" s="242"/>
      <c r="FI15" s="242"/>
      <c r="FJ15" s="243"/>
      <c r="FK15" s="243"/>
      <c r="FL15" s="243"/>
      <c r="FM15" s="243"/>
      <c r="FN15" s="243"/>
      <c r="FO15" s="243"/>
      <c r="FP15" s="243"/>
      <c r="FQ15" s="242"/>
      <c r="FR15" s="242"/>
      <c r="FS15" s="242"/>
      <c r="FT15" s="242"/>
      <c r="FU15" s="242"/>
      <c r="FV15" s="242"/>
      <c r="FW15" s="242"/>
      <c r="FX15" s="243"/>
      <c r="FY15" s="243"/>
      <c r="FZ15" s="243"/>
      <c r="GA15" s="243"/>
      <c r="GB15" s="243"/>
      <c r="GC15" s="243"/>
      <c r="GD15" s="243"/>
      <c r="GE15" s="242"/>
      <c r="GF15" s="242"/>
      <c r="GG15" s="242"/>
      <c r="GH15" s="242"/>
      <c r="GI15" s="242"/>
      <c r="GJ15" s="242"/>
      <c r="GK15" s="242"/>
      <c r="GL15" s="243"/>
      <c r="GM15" s="243"/>
      <c r="GN15" s="243"/>
      <c r="GO15" s="243"/>
      <c r="GP15" s="243"/>
      <c r="GQ15" s="243"/>
      <c r="GR15" s="243"/>
      <c r="GS15" s="242"/>
      <c r="GT15" s="242"/>
      <c r="GU15" s="242"/>
      <c r="GV15" s="242"/>
      <c r="GW15" s="242"/>
      <c r="GX15" s="242"/>
      <c r="GY15" s="242"/>
      <c r="GZ15" s="243"/>
      <c r="HA15" s="243"/>
      <c r="HB15" s="243"/>
      <c r="HC15" s="243"/>
      <c r="HD15" s="243"/>
      <c r="HE15" s="243"/>
      <c r="HF15" s="243"/>
      <c r="HG15" s="242"/>
      <c r="HH15" s="242"/>
      <c r="HI15" s="242"/>
      <c r="HJ15" s="242"/>
      <c r="HK15" s="242"/>
      <c r="HL15" s="242"/>
      <c r="HM15" s="242"/>
      <c r="HN15" s="243">
        <v>48</v>
      </c>
      <c r="HO15" s="243">
        <v>48</v>
      </c>
      <c r="HP15" s="243">
        <v>48</v>
      </c>
      <c r="HQ15" s="243">
        <v>48</v>
      </c>
      <c r="HR15" s="243">
        <v>48</v>
      </c>
      <c r="HS15" s="243">
        <v>48</v>
      </c>
      <c r="HT15" s="243">
        <v>48</v>
      </c>
      <c r="HU15" s="243"/>
      <c r="HV15" s="243"/>
      <c r="HW15" s="243"/>
      <c r="HX15" s="243"/>
      <c r="HY15" s="243"/>
      <c r="HZ15" s="243"/>
      <c r="IA15" s="243"/>
      <c r="IB15" s="243">
        <v>48</v>
      </c>
      <c r="IC15" s="243">
        <v>48</v>
      </c>
      <c r="ID15" s="243">
        <v>48</v>
      </c>
      <c r="IE15" s="243">
        <v>48</v>
      </c>
      <c r="IF15" s="243">
        <v>48</v>
      </c>
      <c r="IG15" s="243">
        <v>48</v>
      </c>
      <c r="IH15" s="243">
        <v>48</v>
      </c>
      <c r="II15" s="242"/>
      <c r="IJ15" s="242"/>
      <c r="IK15" s="242"/>
      <c r="IL15" s="242"/>
      <c r="IM15" s="242"/>
      <c r="IN15" s="242"/>
      <c r="IO15" s="242"/>
      <c r="IP15" s="243"/>
      <c r="IQ15" s="243"/>
      <c r="IR15" s="243"/>
      <c r="IS15" s="243"/>
      <c r="IT15" s="243"/>
      <c r="IU15" s="243"/>
      <c r="IV15" s="243"/>
      <c r="IW15" s="242"/>
      <c r="IX15" s="242"/>
      <c r="IY15" s="242"/>
      <c r="IZ15" s="242"/>
      <c r="JA15" s="242"/>
      <c r="JB15" s="242"/>
      <c r="JC15" s="242"/>
      <c r="JD15" s="243"/>
      <c r="JE15" s="243"/>
      <c r="JF15" s="243"/>
      <c r="JG15" s="243"/>
      <c r="JH15" s="243"/>
      <c r="JI15" s="243"/>
      <c r="JJ15" s="243"/>
      <c r="JK15" s="242"/>
      <c r="JL15" s="242"/>
      <c r="JM15" s="242"/>
      <c r="JN15" s="242"/>
      <c r="JO15" s="242"/>
      <c r="JP15" s="242"/>
      <c r="JQ15" s="242"/>
      <c r="JR15" s="243"/>
      <c r="JS15" s="243"/>
      <c r="JT15" s="243"/>
      <c r="JU15" s="243"/>
      <c r="JV15" s="243"/>
      <c r="JW15" s="243"/>
      <c r="JX15" s="243"/>
      <c r="JY15" s="242"/>
      <c r="JZ15" s="242"/>
      <c r="KA15" s="242"/>
      <c r="KB15" s="242"/>
      <c r="KC15" s="242"/>
      <c r="KD15" s="242"/>
      <c r="KE15" s="242"/>
      <c r="KF15" s="243"/>
      <c r="KG15" s="243"/>
      <c r="KH15" s="243"/>
      <c r="KI15" s="243"/>
      <c r="KJ15" s="243"/>
      <c r="KK15" s="243"/>
      <c r="KL15" s="243"/>
      <c r="KM15" s="242"/>
      <c r="KN15" s="242"/>
      <c r="KO15" s="242"/>
      <c r="KP15" s="242"/>
      <c r="KQ15" s="242"/>
      <c r="KR15" s="242"/>
      <c r="KS15" s="242"/>
      <c r="KT15" s="243"/>
      <c r="KU15" s="243"/>
      <c r="KV15" s="243"/>
      <c r="KW15" s="243"/>
      <c r="KX15" s="243"/>
      <c r="KY15" s="243"/>
      <c r="KZ15" s="243"/>
      <c r="LA15" s="242"/>
      <c r="LB15" s="242"/>
      <c r="LC15" s="242"/>
      <c r="LD15" s="242"/>
      <c r="LE15" s="242"/>
      <c r="LF15" s="242"/>
      <c r="LG15" s="242"/>
      <c r="LH15" s="243"/>
      <c r="LI15" s="243"/>
      <c r="LJ15" s="243"/>
      <c r="LK15" s="243"/>
      <c r="LL15" s="243"/>
      <c r="LM15" s="243"/>
      <c r="LN15" s="243"/>
      <c r="LO15" s="242"/>
      <c r="LP15" s="242"/>
      <c r="LQ15" s="242"/>
      <c r="LR15" s="242"/>
      <c r="LS15" s="242"/>
      <c r="LT15" s="242"/>
      <c r="LU15" s="242"/>
      <c r="LV15" s="243"/>
      <c r="LW15" s="243"/>
      <c r="LX15" s="243"/>
      <c r="LY15" s="243"/>
      <c r="LZ15" s="243"/>
      <c r="MA15" s="243"/>
      <c r="MB15" s="243"/>
      <c r="MC15" s="242"/>
      <c r="MD15" s="242"/>
      <c r="ME15" s="242"/>
      <c r="MF15" s="242"/>
      <c r="MG15" s="242"/>
      <c r="MH15" s="242"/>
      <c r="MI15" s="242"/>
      <c r="MJ15" s="243"/>
      <c r="MK15" s="243"/>
      <c r="ML15" s="243"/>
      <c r="MM15" s="243"/>
      <c r="MN15" s="243"/>
      <c r="MO15" s="243"/>
      <c r="MP15" s="243"/>
      <c r="MQ15" s="242"/>
      <c r="MR15" s="242"/>
      <c r="MS15" s="242"/>
      <c r="MT15" s="242"/>
      <c r="MU15" s="242"/>
      <c r="MV15" s="242"/>
      <c r="MW15" s="242"/>
      <c r="MX15" s="243"/>
      <c r="MY15" s="243"/>
      <c r="MZ15" s="243"/>
      <c r="NA15" s="243"/>
      <c r="NB15" s="243"/>
      <c r="NC15" s="243"/>
      <c r="ND15" s="243"/>
      <c r="NE15" s="242"/>
      <c r="NF15" s="242"/>
      <c r="NG15" s="242"/>
      <c r="NH15" s="243"/>
    </row>
    <row r="16" spans="1:372">
      <c r="A16" s="254" t="s">
        <v>956</v>
      </c>
      <c r="B16" s="239" t="s">
        <v>963</v>
      </c>
      <c r="C16" s="240" t="s">
        <v>674</v>
      </c>
      <c r="D16" s="240" t="s">
        <v>982</v>
      </c>
      <c r="E16" s="241">
        <v>488.88</v>
      </c>
      <c r="F16" s="252">
        <v>336</v>
      </c>
      <c r="G16" s="242"/>
      <c r="H16" s="242"/>
      <c r="I16" s="242"/>
      <c r="J16" s="242"/>
      <c r="K16" s="242"/>
      <c r="L16" s="243"/>
      <c r="M16" s="243"/>
      <c r="N16" s="243"/>
      <c r="O16" s="243"/>
      <c r="P16" s="243"/>
      <c r="Q16" s="243"/>
      <c r="R16" s="243"/>
      <c r="S16" s="242"/>
      <c r="T16" s="242"/>
      <c r="U16" s="242"/>
      <c r="V16" s="242"/>
      <c r="W16" s="242"/>
      <c r="X16" s="242"/>
      <c r="Y16" s="242"/>
      <c r="Z16" s="243"/>
      <c r="AA16" s="243"/>
      <c r="AB16" s="243"/>
      <c r="AC16" s="243"/>
      <c r="AD16" s="243"/>
      <c r="AE16" s="243"/>
      <c r="AF16" s="243"/>
      <c r="AG16" s="242"/>
      <c r="AH16" s="242"/>
      <c r="AI16" s="242"/>
      <c r="AJ16" s="242"/>
      <c r="AK16" s="242"/>
      <c r="AL16" s="242"/>
      <c r="AM16" s="242"/>
      <c r="AN16" s="243"/>
      <c r="AO16" s="243"/>
      <c r="AP16" s="243"/>
      <c r="AQ16" s="243"/>
      <c r="AR16" s="243"/>
      <c r="AS16" s="243"/>
      <c r="AT16" s="243"/>
      <c r="AU16" s="242"/>
      <c r="AV16" s="242"/>
      <c r="AW16" s="242"/>
      <c r="AX16" s="242"/>
      <c r="AY16" s="242"/>
      <c r="AZ16" s="242"/>
      <c r="BA16" s="242"/>
      <c r="BB16" s="243"/>
      <c r="BC16" s="243"/>
      <c r="BD16" s="243"/>
      <c r="BE16" s="243"/>
      <c r="BF16" s="243"/>
      <c r="BG16" s="243"/>
      <c r="BH16" s="243"/>
      <c r="BI16" s="242"/>
      <c r="BJ16" s="242"/>
      <c r="BK16" s="242"/>
      <c r="BL16" s="242"/>
      <c r="BM16" s="242"/>
      <c r="BN16" s="242"/>
      <c r="BO16" s="242"/>
      <c r="BP16" s="243"/>
      <c r="BQ16" s="243"/>
      <c r="BR16" s="243"/>
      <c r="BS16" s="243"/>
      <c r="BT16" s="243"/>
      <c r="BU16" s="243"/>
      <c r="BV16" s="243"/>
      <c r="BW16" s="242"/>
      <c r="BX16" s="242"/>
      <c r="BY16" s="242"/>
      <c r="BZ16" s="242"/>
      <c r="CA16" s="242"/>
      <c r="CB16" s="242"/>
      <c r="CC16" s="242"/>
      <c r="CD16" s="243"/>
      <c r="CE16" s="243"/>
      <c r="CF16" s="243"/>
      <c r="CG16" s="243"/>
      <c r="CH16" s="243"/>
      <c r="CI16" s="243"/>
      <c r="CJ16" s="243"/>
      <c r="CK16" s="242"/>
      <c r="CL16" s="242"/>
      <c r="CM16" s="242"/>
      <c r="CN16" s="242"/>
      <c r="CO16" s="242"/>
      <c r="CP16" s="242"/>
      <c r="CQ16" s="242"/>
      <c r="CR16" s="243"/>
      <c r="CS16" s="243"/>
      <c r="CT16" s="243"/>
      <c r="CU16" s="243"/>
      <c r="CV16" s="243"/>
      <c r="CW16" s="243"/>
      <c r="CX16" s="243"/>
      <c r="CY16" s="242"/>
      <c r="CZ16" s="242"/>
      <c r="DA16" s="242"/>
      <c r="DB16" s="242"/>
      <c r="DC16" s="242"/>
      <c r="DD16" s="242"/>
      <c r="DE16" s="242"/>
      <c r="DF16" s="243"/>
      <c r="DG16" s="243"/>
      <c r="DH16" s="243"/>
      <c r="DI16" s="243"/>
      <c r="DJ16" s="243"/>
      <c r="DK16" s="243"/>
      <c r="DL16" s="243"/>
      <c r="DM16" s="242"/>
      <c r="DN16" s="242"/>
      <c r="DO16" s="242"/>
      <c r="DP16" s="242"/>
      <c r="DQ16" s="242"/>
      <c r="DR16" s="242"/>
      <c r="DS16" s="242"/>
      <c r="DT16" s="243"/>
      <c r="DU16" s="243"/>
      <c r="DV16" s="243"/>
      <c r="DW16" s="243"/>
      <c r="DX16" s="243"/>
      <c r="DY16" s="243"/>
      <c r="DZ16" s="243"/>
      <c r="EA16" s="242"/>
      <c r="EB16" s="242"/>
      <c r="EC16" s="242"/>
      <c r="ED16" s="242"/>
      <c r="EE16" s="242"/>
      <c r="EF16" s="242"/>
      <c r="EG16" s="242"/>
      <c r="EH16" s="243"/>
      <c r="EI16" s="243"/>
      <c r="EJ16" s="243"/>
      <c r="EK16" s="243"/>
      <c r="EL16" s="243"/>
      <c r="EM16" s="243"/>
      <c r="EN16" s="243"/>
      <c r="EO16" s="242"/>
      <c r="EP16" s="242"/>
      <c r="EQ16" s="242"/>
      <c r="ER16" s="242"/>
      <c r="ES16" s="242"/>
      <c r="ET16" s="242"/>
      <c r="EU16" s="242"/>
      <c r="EV16" s="243"/>
      <c r="EW16" s="243"/>
      <c r="EX16" s="243"/>
      <c r="EY16" s="243"/>
      <c r="EZ16" s="243"/>
      <c r="FA16" s="243"/>
      <c r="FB16" s="243"/>
      <c r="FC16" s="242"/>
      <c r="FD16" s="242"/>
      <c r="FE16" s="242"/>
      <c r="FF16" s="242"/>
      <c r="FG16" s="242"/>
      <c r="FH16" s="242"/>
      <c r="FI16" s="242"/>
      <c r="FJ16" s="243"/>
      <c r="FK16" s="243"/>
      <c r="FL16" s="243"/>
      <c r="FM16" s="243"/>
      <c r="FN16" s="243"/>
      <c r="FO16" s="243"/>
      <c r="FP16" s="243"/>
      <c r="FQ16" s="242"/>
      <c r="FR16" s="242"/>
      <c r="FS16" s="242"/>
      <c r="FT16" s="242"/>
      <c r="FU16" s="242"/>
      <c r="FV16" s="242"/>
      <c r="FW16" s="242"/>
      <c r="FX16" s="243"/>
      <c r="FY16" s="243"/>
      <c r="FZ16" s="243"/>
      <c r="GA16" s="243"/>
      <c r="GB16" s="243"/>
      <c r="GC16" s="243"/>
      <c r="GD16" s="243"/>
      <c r="GE16" s="242"/>
      <c r="GF16" s="242"/>
      <c r="GG16" s="242"/>
      <c r="GH16" s="242"/>
      <c r="GI16" s="242"/>
      <c r="GJ16" s="242"/>
      <c r="GK16" s="242"/>
      <c r="GL16" s="243"/>
      <c r="GM16" s="243"/>
      <c r="GN16" s="243"/>
      <c r="GO16" s="243"/>
      <c r="GP16" s="243"/>
      <c r="GQ16" s="243"/>
      <c r="GR16" s="243"/>
      <c r="GS16" s="242"/>
      <c r="GT16" s="242"/>
      <c r="GU16" s="242"/>
      <c r="GV16" s="242"/>
      <c r="GW16" s="242"/>
      <c r="GX16" s="242"/>
      <c r="GY16" s="242"/>
      <c r="GZ16" s="243"/>
      <c r="HA16" s="243"/>
      <c r="HB16" s="243"/>
      <c r="HC16" s="243"/>
      <c r="HD16" s="243"/>
      <c r="HE16" s="243"/>
      <c r="HF16" s="243"/>
      <c r="HG16" s="242"/>
      <c r="HH16" s="242"/>
      <c r="HI16" s="242"/>
      <c r="HJ16" s="242"/>
      <c r="HK16" s="242"/>
      <c r="HL16" s="242"/>
      <c r="HM16" s="242"/>
      <c r="HN16" s="243">
        <v>24</v>
      </c>
      <c r="HO16" s="243">
        <v>24</v>
      </c>
      <c r="HP16" s="243">
        <v>24</v>
      </c>
      <c r="HQ16" s="243">
        <v>24</v>
      </c>
      <c r="HR16" s="243">
        <v>24</v>
      </c>
      <c r="HS16" s="243">
        <v>24</v>
      </c>
      <c r="HT16" s="243">
        <v>24</v>
      </c>
      <c r="HU16" s="243"/>
      <c r="HV16" s="243"/>
      <c r="HW16" s="243"/>
      <c r="HX16" s="243"/>
      <c r="HY16" s="243"/>
      <c r="HZ16" s="243"/>
      <c r="IA16" s="243"/>
      <c r="IB16" s="243">
        <v>24</v>
      </c>
      <c r="IC16" s="243">
        <v>24</v>
      </c>
      <c r="ID16" s="243">
        <v>24</v>
      </c>
      <c r="IE16" s="243">
        <v>24</v>
      </c>
      <c r="IF16" s="243">
        <v>24</v>
      </c>
      <c r="IG16" s="243">
        <v>24</v>
      </c>
      <c r="IH16" s="243">
        <v>24</v>
      </c>
      <c r="II16" s="242"/>
      <c r="IJ16" s="242"/>
      <c r="IK16" s="242"/>
      <c r="IL16" s="242"/>
      <c r="IM16" s="242"/>
      <c r="IN16" s="242"/>
      <c r="IO16" s="242"/>
      <c r="IP16" s="243"/>
      <c r="IQ16" s="243"/>
      <c r="IR16" s="243"/>
      <c r="IS16" s="243"/>
      <c r="IT16" s="243"/>
      <c r="IU16" s="243"/>
      <c r="IV16" s="243"/>
      <c r="IW16" s="242"/>
      <c r="IX16" s="242"/>
      <c r="IY16" s="242"/>
      <c r="IZ16" s="242"/>
      <c r="JA16" s="242"/>
      <c r="JB16" s="242"/>
      <c r="JC16" s="242"/>
      <c r="JD16" s="243"/>
      <c r="JE16" s="243"/>
      <c r="JF16" s="243"/>
      <c r="JG16" s="243"/>
      <c r="JH16" s="243"/>
      <c r="JI16" s="243"/>
      <c r="JJ16" s="243"/>
      <c r="JK16" s="242"/>
      <c r="JL16" s="242"/>
      <c r="JM16" s="242"/>
      <c r="JN16" s="242"/>
      <c r="JO16" s="242"/>
      <c r="JP16" s="242"/>
      <c r="JQ16" s="242"/>
      <c r="JR16" s="243"/>
      <c r="JS16" s="243"/>
      <c r="JT16" s="243"/>
      <c r="JU16" s="243"/>
      <c r="JV16" s="243"/>
      <c r="JW16" s="243"/>
      <c r="JX16" s="243"/>
      <c r="JY16" s="242"/>
      <c r="JZ16" s="242"/>
      <c r="KA16" s="242"/>
      <c r="KB16" s="242"/>
      <c r="KC16" s="242"/>
      <c r="KD16" s="242"/>
      <c r="KE16" s="242"/>
      <c r="KF16" s="243"/>
      <c r="KG16" s="243"/>
      <c r="KH16" s="243"/>
      <c r="KI16" s="243"/>
      <c r="KJ16" s="243"/>
      <c r="KK16" s="243"/>
      <c r="KL16" s="243"/>
      <c r="KM16" s="242"/>
      <c r="KN16" s="242"/>
      <c r="KO16" s="242"/>
      <c r="KP16" s="242"/>
      <c r="KQ16" s="242"/>
      <c r="KR16" s="242"/>
      <c r="KS16" s="242"/>
      <c r="KT16" s="243"/>
      <c r="KU16" s="243"/>
      <c r="KV16" s="243"/>
      <c r="KW16" s="243"/>
      <c r="KX16" s="243"/>
      <c r="KY16" s="243"/>
      <c r="KZ16" s="243"/>
      <c r="LA16" s="242"/>
      <c r="LB16" s="242"/>
      <c r="LC16" s="242"/>
      <c r="LD16" s="242"/>
      <c r="LE16" s="242"/>
      <c r="LF16" s="242"/>
      <c r="LG16" s="242"/>
      <c r="LH16" s="243"/>
      <c r="LI16" s="243"/>
      <c r="LJ16" s="243"/>
      <c r="LK16" s="243"/>
      <c r="LL16" s="243"/>
      <c r="LM16" s="243"/>
      <c r="LN16" s="243"/>
      <c r="LO16" s="242"/>
      <c r="LP16" s="242"/>
      <c r="LQ16" s="242"/>
      <c r="LR16" s="242"/>
      <c r="LS16" s="242"/>
      <c r="LT16" s="242"/>
      <c r="LU16" s="242"/>
      <c r="LV16" s="243"/>
      <c r="LW16" s="243"/>
      <c r="LX16" s="243"/>
      <c r="LY16" s="243"/>
      <c r="LZ16" s="243"/>
      <c r="MA16" s="243"/>
      <c r="MB16" s="243"/>
      <c r="MC16" s="242"/>
      <c r="MD16" s="242"/>
      <c r="ME16" s="242"/>
      <c r="MF16" s="242"/>
      <c r="MG16" s="242"/>
      <c r="MH16" s="242"/>
      <c r="MI16" s="242"/>
      <c r="MJ16" s="243"/>
      <c r="MK16" s="243"/>
      <c r="ML16" s="243"/>
      <c r="MM16" s="243"/>
      <c r="MN16" s="243"/>
      <c r="MO16" s="243"/>
      <c r="MP16" s="243"/>
      <c r="MQ16" s="242"/>
      <c r="MR16" s="242"/>
      <c r="MS16" s="242"/>
      <c r="MT16" s="242"/>
      <c r="MU16" s="242"/>
      <c r="MV16" s="242"/>
      <c r="MW16" s="242"/>
      <c r="MX16" s="243"/>
      <c r="MY16" s="243"/>
      <c r="MZ16" s="243"/>
      <c r="NA16" s="243"/>
      <c r="NB16" s="243"/>
      <c r="NC16" s="243"/>
      <c r="ND16" s="243"/>
      <c r="NE16" s="242"/>
      <c r="NF16" s="242"/>
      <c r="NG16" s="242"/>
      <c r="NH16" s="243"/>
    </row>
    <row r="17" spans="1:372">
      <c r="A17" s="254" t="s">
        <v>964</v>
      </c>
      <c r="B17" s="239" t="s">
        <v>27</v>
      </c>
      <c r="C17" s="240" t="s">
        <v>675</v>
      </c>
      <c r="D17" s="240" t="s">
        <v>997</v>
      </c>
      <c r="E17" s="241">
        <v>234.23074999943714</v>
      </c>
      <c r="F17" s="252">
        <v>0</v>
      </c>
      <c r="G17" s="242"/>
      <c r="H17" s="242"/>
      <c r="I17" s="242"/>
      <c r="J17" s="242"/>
      <c r="K17" s="242"/>
      <c r="L17" s="243"/>
      <c r="M17" s="243"/>
      <c r="N17" s="243"/>
      <c r="O17" s="243"/>
      <c r="P17" s="243"/>
      <c r="Q17" s="243"/>
      <c r="R17" s="243"/>
      <c r="S17" s="242"/>
      <c r="T17" s="242"/>
      <c r="U17" s="242"/>
      <c r="V17" s="242"/>
      <c r="W17" s="242"/>
      <c r="X17" s="242"/>
      <c r="Y17" s="242"/>
      <c r="Z17" s="243"/>
      <c r="AA17" s="243"/>
      <c r="AB17" s="243"/>
      <c r="AC17" s="243"/>
      <c r="AD17" s="243"/>
      <c r="AE17" s="243"/>
      <c r="AF17" s="243"/>
      <c r="AG17" s="242"/>
      <c r="AH17" s="242"/>
      <c r="AI17" s="242"/>
      <c r="AJ17" s="242"/>
      <c r="AK17" s="242"/>
      <c r="AL17" s="242"/>
      <c r="AM17" s="242"/>
      <c r="AN17" s="243"/>
      <c r="AO17" s="243"/>
      <c r="AP17" s="243"/>
      <c r="AQ17" s="243"/>
      <c r="AR17" s="243"/>
      <c r="AS17" s="243"/>
      <c r="AT17" s="243"/>
      <c r="AU17" s="242"/>
      <c r="AV17" s="242"/>
      <c r="AW17" s="242"/>
      <c r="AX17" s="242"/>
      <c r="AY17" s="242"/>
      <c r="AZ17" s="242"/>
      <c r="BA17" s="242"/>
      <c r="BB17" s="243"/>
      <c r="BC17" s="243"/>
      <c r="BD17" s="243"/>
      <c r="BE17" s="243"/>
      <c r="BF17" s="243"/>
      <c r="BG17" s="243"/>
      <c r="BH17" s="243"/>
      <c r="BI17" s="242"/>
      <c r="BJ17" s="242"/>
      <c r="BK17" s="242"/>
      <c r="BL17" s="242"/>
      <c r="BM17" s="242"/>
      <c r="BN17" s="242"/>
      <c r="BO17" s="242"/>
      <c r="BP17" s="243"/>
      <c r="BQ17" s="243"/>
      <c r="BR17" s="243"/>
      <c r="BS17" s="243"/>
      <c r="BT17" s="243"/>
      <c r="BU17" s="243"/>
      <c r="BV17" s="243"/>
      <c r="BW17" s="242"/>
      <c r="BX17" s="242"/>
      <c r="BY17" s="242"/>
      <c r="BZ17" s="242"/>
      <c r="CA17" s="242"/>
      <c r="CB17" s="242"/>
      <c r="CC17" s="242"/>
      <c r="CD17" s="243"/>
      <c r="CE17" s="243"/>
      <c r="CF17" s="243"/>
      <c r="CG17" s="243"/>
      <c r="CH17" s="243"/>
      <c r="CI17" s="243"/>
      <c r="CJ17" s="243"/>
      <c r="CK17" s="242"/>
      <c r="CL17" s="242"/>
      <c r="CM17" s="242"/>
      <c r="CN17" s="242"/>
      <c r="CO17" s="242"/>
      <c r="CP17" s="242"/>
      <c r="CQ17" s="242"/>
      <c r="CR17" s="243"/>
      <c r="CS17" s="243"/>
      <c r="CT17" s="243"/>
      <c r="CU17" s="243"/>
      <c r="CV17" s="243"/>
      <c r="CW17" s="243"/>
      <c r="CX17" s="243"/>
      <c r="CY17" s="242"/>
      <c r="CZ17" s="242"/>
      <c r="DA17" s="242"/>
      <c r="DB17" s="242"/>
      <c r="DC17" s="242"/>
      <c r="DD17" s="242"/>
      <c r="DE17" s="242"/>
      <c r="DF17" s="243"/>
      <c r="DG17" s="243"/>
      <c r="DH17" s="243"/>
      <c r="DI17" s="243"/>
      <c r="DJ17" s="243"/>
      <c r="DK17" s="243"/>
      <c r="DL17" s="243"/>
      <c r="DM17" s="242"/>
      <c r="DN17" s="242"/>
      <c r="DO17" s="242"/>
      <c r="DP17" s="242"/>
      <c r="DQ17" s="242"/>
      <c r="DR17" s="242"/>
      <c r="DS17" s="242"/>
      <c r="DT17" s="243"/>
      <c r="DU17" s="243"/>
      <c r="DV17" s="243"/>
      <c r="DW17" s="243"/>
      <c r="DX17" s="243"/>
      <c r="DY17" s="243"/>
      <c r="DZ17" s="243"/>
      <c r="EA17" s="242"/>
      <c r="EB17" s="242"/>
      <c r="EC17" s="242"/>
      <c r="ED17" s="242"/>
      <c r="EE17" s="242"/>
      <c r="EF17" s="242"/>
      <c r="EG17" s="242"/>
      <c r="EH17" s="243"/>
      <c r="EI17" s="243"/>
      <c r="EJ17" s="243"/>
      <c r="EK17" s="243"/>
      <c r="EL17" s="243"/>
      <c r="EM17" s="243"/>
      <c r="EN17" s="243"/>
      <c r="EO17" s="242"/>
      <c r="EP17" s="242"/>
      <c r="EQ17" s="242"/>
      <c r="ER17" s="242"/>
      <c r="ES17" s="242"/>
      <c r="ET17" s="242"/>
      <c r="EU17" s="242"/>
      <c r="EV17" s="243"/>
      <c r="EW17" s="243"/>
      <c r="EX17" s="243"/>
      <c r="EY17" s="243"/>
      <c r="EZ17" s="243"/>
      <c r="FA17" s="243"/>
      <c r="FB17" s="243"/>
      <c r="FC17" s="242"/>
      <c r="FD17" s="242"/>
      <c r="FE17" s="242"/>
      <c r="FF17" s="242"/>
      <c r="FG17" s="242"/>
      <c r="FH17" s="242"/>
      <c r="FI17" s="242"/>
      <c r="FJ17" s="243"/>
      <c r="FK17" s="243"/>
      <c r="FL17" s="243"/>
      <c r="FM17" s="243"/>
      <c r="FN17" s="243"/>
      <c r="FO17" s="243"/>
      <c r="FP17" s="243"/>
      <c r="FQ17" s="242"/>
      <c r="FR17" s="242"/>
      <c r="FS17" s="242"/>
      <c r="FT17" s="242"/>
      <c r="FU17" s="242"/>
      <c r="FV17" s="242"/>
      <c r="FW17" s="242"/>
      <c r="FX17" s="243"/>
      <c r="FY17" s="243"/>
      <c r="FZ17" s="243"/>
      <c r="GA17" s="243"/>
      <c r="GB17" s="243"/>
      <c r="GC17" s="243"/>
      <c r="GD17" s="243"/>
      <c r="GE17" s="242"/>
      <c r="GF17" s="242"/>
      <c r="GG17" s="242"/>
      <c r="GH17" s="242"/>
      <c r="GI17" s="242"/>
      <c r="GJ17" s="242"/>
      <c r="GK17" s="242"/>
      <c r="GL17" s="243"/>
      <c r="GM17" s="243"/>
      <c r="GN17" s="243"/>
      <c r="GO17" s="243"/>
      <c r="GP17" s="243"/>
      <c r="GQ17" s="243"/>
      <c r="GR17" s="243"/>
      <c r="GS17" s="242"/>
      <c r="GT17" s="242"/>
      <c r="GU17" s="242"/>
      <c r="GV17" s="242"/>
      <c r="GW17" s="242"/>
      <c r="GX17" s="242"/>
      <c r="GY17" s="242"/>
      <c r="GZ17" s="243"/>
      <c r="HA17" s="243"/>
      <c r="HB17" s="243"/>
      <c r="HC17" s="243"/>
      <c r="HD17" s="243"/>
      <c r="HE17" s="243"/>
      <c r="HF17" s="243"/>
      <c r="HG17" s="242"/>
      <c r="HH17" s="242"/>
      <c r="HI17" s="242"/>
      <c r="HJ17" s="242"/>
      <c r="HK17" s="242"/>
      <c r="HL17" s="242"/>
      <c r="HM17" s="242"/>
      <c r="HN17" s="243"/>
      <c r="HO17" s="243"/>
      <c r="HP17" s="243"/>
      <c r="HQ17" s="243"/>
      <c r="HR17" s="243"/>
      <c r="HS17" s="243"/>
      <c r="HT17" s="243"/>
      <c r="HU17" s="242"/>
      <c r="HV17" s="242"/>
      <c r="HW17" s="242"/>
      <c r="HX17" s="242"/>
      <c r="HY17" s="242"/>
      <c r="HZ17" s="242"/>
      <c r="IA17" s="242"/>
      <c r="IB17" s="243"/>
      <c r="IC17" s="243"/>
      <c r="ID17" s="243"/>
      <c r="IE17" s="243"/>
      <c r="IF17" s="243"/>
      <c r="IG17" s="243"/>
      <c r="IH17" s="243"/>
      <c r="II17" s="242"/>
      <c r="IJ17" s="242"/>
      <c r="IK17" s="242"/>
      <c r="IL17" s="242"/>
      <c r="IM17" s="242"/>
      <c r="IN17" s="242"/>
      <c r="IO17" s="242"/>
      <c r="IP17" s="243"/>
      <c r="IQ17" s="243"/>
      <c r="IR17" s="243"/>
      <c r="IS17" s="243"/>
      <c r="IT17" s="243"/>
      <c r="IU17" s="243"/>
      <c r="IV17" s="243"/>
      <c r="IW17" s="242"/>
      <c r="IX17" s="242"/>
      <c r="IY17" s="242"/>
      <c r="IZ17" s="242"/>
      <c r="JA17" s="242"/>
      <c r="JB17" s="242"/>
      <c r="JC17" s="242"/>
      <c r="JD17" s="243"/>
      <c r="JE17" s="243"/>
      <c r="JF17" s="243"/>
      <c r="JG17" s="243"/>
      <c r="JH17" s="243"/>
      <c r="JI17" s="243"/>
      <c r="JJ17" s="243"/>
      <c r="JK17" s="242"/>
      <c r="JL17" s="242"/>
      <c r="JM17" s="242"/>
      <c r="JN17" s="242"/>
      <c r="JO17" s="242"/>
      <c r="JP17" s="242"/>
      <c r="JQ17" s="242"/>
      <c r="JR17" s="243"/>
      <c r="JS17" s="243"/>
      <c r="JT17" s="243"/>
      <c r="JU17" s="243"/>
      <c r="JV17" s="243"/>
      <c r="JW17" s="243"/>
      <c r="JX17" s="243"/>
      <c r="JY17" s="242"/>
      <c r="JZ17" s="242"/>
      <c r="KA17" s="242"/>
      <c r="KB17" s="242"/>
      <c r="KC17" s="242"/>
      <c r="KD17" s="242"/>
      <c r="KE17" s="242"/>
      <c r="KF17" s="243"/>
      <c r="KG17" s="243"/>
      <c r="KH17" s="243"/>
      <c r="KI17" s="243"/>
      <c r="KJ17" s="243"/>
      <c r="KK17" s="243"/>
      <c r="KL17" s="243"/>
      <c r="KM17" s="242"/>
      <c r="KN17" s="242"/>
      <c r="KO17" s="242"/>
      <c r="KP17" s="242"/>
      <c r="KQ17" s="242"/>
      <c r="KR17" s="242"/>
      <c r="KS17" s="242"/>
      <c r="KT17" s="243"/>
      <c r="KU17" s="243"/>
      <c r="KV17" s="243"/>
      <c r="KW17" s="243"/>
      <c r="KX17" s="243"/>
      <c r="KY17" s="243"/>
      <c r="KZ17" s="243"/>
      <c r="LA17" s="242"/>
      <c r="LB17" s="242"/>
      <c r="LC17" s="242"/>
      <c r="LD17" s="242"/>
      <c r="LE17" s="242"/>
      <c r="LF17" s="242"/>
      <c r="LG17" s="242"/>
      <c r="LH17" s="243"/>
      <c r="LI17" s="243"/>
      <c r="LJ17" s="243"/>
      <c r="LK17" s="243"/>
      <c r="LL17" s="243"/>
      <c r="LM17" s="243"/>
      <c r="LN17" s="243"/>
      <c r="LO17" s="242"/>
      <c r="LP17" s="242"/>
      <c r="LQ17" s="242"/>
      <c r="LR17" s="242"/>
      <c r="LS17" s="242"/>
      <c r="LT17" s="242"/>
      <c r="LU17" s="242"/>
      <c r="LV17" s="243"/>
      <c r="LW17" s="243"/>
      <c r="LX17" s="243"/>
      <c r="LY17" s="243"/>
      <c r="LZ17" s="243"/>
      <c r="MA17" s="243"/>
      <c r="MB17" s="243"/>
      <c r="MC17" s="242"/>
      <c r="MD17" s="242"/>
      <c r="ME17" s="242"/>
      <c r="MF17" s="242"/>
      <c r="MG17" s="242"/>
      <c r="MH17" s="242"/>
      <c r="MI17" s="242"/>
      <c r="MJ17" s="243"/>
      <c r="MK17" s="243"/>
      <c r="ML17" s="243"/>
      <c r="MM17" s="243"/>
      <c r="MN17" s="243"/>
      <c r="MO17" s="243"/>
      <c r="MP17" s="243"/>
      <c r="MQ17" s="242"/>
      <c r="MR17" s="242"/>
      <c r="MS17" s="242"/>
      <c r="MT17" s="242"/>
      <c r="MU17" s="242"/>
      <c r="MV17" s="242"/>
      <c r="MW17" s="242"/>
      <c r="MX17" s="243"/>
      <c r="MY17" s="243"/>
      <c r="MZ17" s="243"/>
      <c r="NA17" s="243"/>
      <c r="NB17" s="243"/>
      <c r="NC17" s="243"/>
      <c r="ND17" s="243"/>
      <c r="NE17" s="242"/>
      <c r="NF17" s="242"/>
      <c r="NG17" s="242"/>
      <c r="NH17" s="243" t="s">
        <v>1132</v>
      </c>
    </row>
    <row r="18" spans="1:372">
      <c r="A18" s="254" t="s">
        <v>964</v>
      </c>
      <c r="B18" s="239" t="s">
        <v>28</v>
      </c>
      <c r="C18" s="240" t="s">
        <v>675</v>
      </c>
      <c r="D18" s="240" t="s">
        <v>997</v>
      </c>
      <c r="E18" s="241">
        <v>212.74629442165894</v>
      </c>
      <c r="F18" s="252">
        <v>0</v>
      </c>
      <c r="G18" s="242"/>
      <c r="H18" s="242"/>
      <c r="I18" s="242"/>
      <c r="J18" s="242"/>
      <c r="K18" s="242"/>
      <c r="L18" s="243"/>
      <c r="M18" s="243"/>
      <c r="N18" s="243"/>
      <c r="O18" s="243"/>
      <c r="P18" s="243"/>
      <c r="Q18" s="243"/>
      <c r="R18" s="243"/>
      <c r="S18" s="242"/>
      <c r="T18" s="242"/>
      <c r="U18" s="242"/>
      <c r="V18" s="242"/>
      <c r="W18" s="242"/>
      <c r="X18" s="242"/>
      <c r="Y18" s="242"/>
      <c r="Z18" s="243"/>
      <c r="AA18" s="243"/>
      <c r="AB18" s="243"/>
      <c r="AC18" s="243"/>
      <c r="AD18" s="243"/>
      <c r="AE18" s="243"/>
      <c r="AF18" s="243"/>
      <c r="AG18" s="242"/>
      <c r="AH18" s="242"/>
      <c r="AI18" s="242"/>
      <c r="AJ18" s="242"/>
      <c r="AK18" s="242"/>
      <c r="AL18" s="242"/>
      <c r="AM18" s="242"/>
      <c r="AN18" s="243"/>
      <c r="AO18" s="243"/>
      <c r="AP18" s="243"/>
      <c r="AQ18" s="243"/>
      <c r="AR18" s="243"/>
      <c r="AS18" s="243"/>
      <c r="AT18" s="243"/>
      <c r="AU18" s="242"/>
      <c r="AV18" s="242"/>
      <c r="AW18" s="242"/>
      <c r="AX18" s="242"/>
      <c r="AY18" s="242"/>
      <c r="AZ18" s="242"/>
      <c r="BA18" s="242"/>
      <c r="BB18" s="243"/>
      <c r="BC18" s="243"/>
      <c r="BD18" s="243"/>
      <c r="BE18" s="243"/>
      <c r="BF18" s="243"/>
      <c r="BG18" s="243"/>
      <c r="BH18" s="243"/>
      <c r="BI18" s="242"/>
      <c r="BJ18" s="242"/>
      <c r="BK18" s="242"/>
      <c r="BL18" s="242"/>
      <c r="BM18" s="242"/>
      <c r="BN18" s="242"/>
      <c r="BO18" s="242"/>
      <c r="BP18" s="243"/>
      <c r="BQ18" s="243"/>
      <c r="BR18" s="243"/>
      <c r="BS18" s="243"/>
      <c r="BT18" s="243"/>
      <c r="BU18" s="243"/>
      <c r="BV18" s="243"/>
      <c r="BW18" s="242"/>
      <c r="BX18" s="242"/>
      <c r="BY18" s="242"/>
      <c r="BZ18" s="242"/>
      <c r="CA18" s="242"/>
      <c r="CB18" s="242"/>
      <c r="CC18" s="242"/>
      <c r="CD18" s="243"/>
      <c r="CE18" s="243"/>
      <c r="CF18" s="243"/>
      <c r="CG18" s="243"/>
      <c r="CH18" s="243"/>
      <c r="CI18" s="243"/>
      <c r="CJ18" s="243"/>
      <c r="CK18" s="242"/>
      <c r="CL18" s="242"/>
      <c r="CM18" s="242"/>
      <c r="CN18" s="242"/>
      <c r="CO18" s="242"/>
      <c r="CP18" s="242"/>
      <c r="CQ18" s="242"/>
      <c r="CR18" s="243"/>
      <c r="CS18" s="243"/>
      <c r="CT18" s="243"/>
      <c r="CU18" s="243"/>
      <c r="CV18" s="243"/>
      <c r="CW18" s="243"/>
      <c r="CX18" s="243"/>
      <c r="CY18" s="242"/>
      <c r="CZ18" s="242"/>
      <c r="DA18" s="242"/>
      <c r="DB18" s="242"/>
      <c r="DC18" s="242"/>
      <c r="DD18" s="242"/>
      <c r="DE18" s="242"/>
      <c r="DF18" s="243"/>
      <c r="DG18" s="243"/>
      <c r="DH18" s="243"/>
      <c r="DI18" s="243"/>
      <c r="DJ18" s="243"/>
      <c r="DK18" s="243"/>
      <c r="DL18" s="243"/>
      <c r="DM18" s="242"/>
      <c r="DN18" s="242"/>
      <c r="DO18" s="242"/>
      <c r="DP18" s="242"/>
      <c r="DQ18" s="242"/>
      <c r="DR18" s="242"/>
      <c r="DS18" s="242"/>
      <c r="DT18" s="243"/>
      <c r="DU18" s="243"/>
      <c r="DV18" s="243"/>
      <c r="DW18" s="243"/>
      <c r="DX18" s="243"/>
      <c r="DY18" s="243"/>
      <c r="DZ18" s="243"/>
      <c r="EA18" s="242"/>
      <c r="EB18" s="242"/>
      <c r="EC18" s="242"/>
      <c r="ED18" s="242"/>
      <c r="EE18" s="242"/>
      <c r="EF18" s="242"/>
      <c r="EG18" s="242"/>
      <c r="EH18" s="243"/>
      <c r="EI18" s="243"/>
      <c r="EJ18" s="243"/>
      <c r="EK18" s="243"/>
      <c r="EL18" s="243"/>
      <c r="EM18" s="243"/>
      <c r="EN18" s="243"/>
      <c r="EO18" s="242"/>
      <c r="EP18" s="242"/>
      <c r="EQ18" s="242"/>
      <c r="ER18" s="242"/>
      <c r="ES18" s="242"/>
      <c r="ET18" s="242"/>
      <c r="EU18" s="242"/>
      <c r="EV18" s="243"/>
      <c r="EW18" s="243"/>
      <c r="EX18" s="243"/>
      <c r="EY18" s="243"/>
      <c r="EZ18" s="243"/>
      <c r="FA18" s="243"/>
      <c r="FB18" s="243"/>
      <c r="FC18" s="242"/>
      <c r="FD18" s="242"/>
      <c r="FE18" s="242"/>
      <c r="FF18" s="242"/>
      <c r="FG18" s="242"/>
      <c r="FH18" s="242"/>
      <c r="FI18" s="242"/>
      <c r="FJ18" s="243"/>
      <c r="FK18" s="243"/>
      <c r="FL18" s="243"/>
      <c r="FM18" s="243"/>
      <c r="FN18" s="243"/>
      <c r="FO18" s="243"/>
      <c r="FP18" s="243"/>
      <c r="FQ18" s="242"/>
      <c r="FR18" s="242"/>
      <c r="FS18" s="242"/>
      <c r="FT18" s="242"/>
      <c r="FU18" s="242"/>
      <c r="FV18" s="242"/>
      <c r="FW18" s="242"/>
      <c r="FX18" s="243"/>
      <c r="FY18" s="243"/>
      <c r="FZ18" s="243"/>
      <c r="GA18" s="243"/>
      <c r="GB18" s="243"/>
      <c r="GC18" s="243"/>
      <c r="GD18" s="243"/>
      <c r="GE18" s="242"/>
      <c r="GF18" s="242"/>
      <c r="GG18" s="242"/>
      <c r="GH18" s="242"/>
      <c r="GI18" s="242"/>
      <c r="GJ18" s="242"/>
      <c r="GK18" s="242"/>
      <c r="GL18" s="243"/>
      <c r="GM18" s="243"/>
      <c r="GN18" s="243"/>
      <c r="GO18" s="243"/>
      <c r="GP18" s="243"/>
      <c r="GQ18" s="243"/>
      <c r="GR18" s="243"/>
      <c r="GS18" s="242"/>
      <c r="GT18" s="242"/>
      <c r="GU18" s="242"/>
      <c r="GV18" s="242"/>
      <c r="GW18" s="242"/>
      <c r="GX18" s="242"/>
      <c r="GY18" s="242"/>
      <c r="GZ18" s="243"/>
      <c r="HA18" s="243"/>
      <c r="HB18" s="243"/>
      <c r="HC18" s="243"/>
      <c r="HD18" s="243"/>
      <c r="HE18" s="243"/>
      <c r="HF18" s="243"/>
      <c r="HG18" s="242"/>
      <c r="HH18" s="242"/>
      <c r="HI18" s="242"/>
      <c r="HJ18" s="242"/>
      <c r="HK18" s="242"/>
      <c r="HL18" s="242"/>
      <c r="HM18" s="242"/>
      <c r="HN18" s="243"/>
      <c r="HO18" s="243"/>
      <c r="HP18" s="243"/>
      <c r="HQ18" s="243"/>
      <c r="HR18" s="243"/>
      <c r="HS18" s="243"/>
      <c r="HT18" s="243"/>
      <c r="HU18" s="242"/>
      <c r="HV18" s="242"/>
      <c r="HW18" s="242"/>
      <c r="HX18" s="242"/>
      <c r="HY18" s="242"/>
      <c r="HZ18" s="242"/>
      <c r="IA18" s="242"/>
      <c r="IB18" s="243"/>
      <c r="IC18" s="243"/>
      <c r="ID18" s="243"/>
      <c r="IE18" s="243"/>
      <c r="IF18" s="243"/>
      <c r="IG18" s="243"/>
      <c r="IH18" s="243"/>
      <c r="II18" s="242"/>
      <c r="IJ18" s="242"/>
      <c r="IK18" s="242"/>
      <c r="IL18" s="242"/>
      <c r="IM18" s="242"/>
      <c r="IN18" s="242"/>
      <c r="IO18" s="242"/>
      <c r="IP18" s="243"/>
      <c r="IQ18" s="243"/>
      <c r="IR18" s="243"/>
      <c r="IS18" s="243"/>
      <c r="IT18" s="243"/>
      <c r="IU18" s="243"/>
      <c r="IV18" s="243"/>
      <c r="IW18" s="242"/>
      <c r="IX18" s="242"/>
      <c r="IY18" s="242"/>
      <c r="IZ18" s="242"/>
      <c r="JA18" s="242"/>
      <c r="JB18" s="242"/>
      <c r="JC18" s="242"/>
      <c r="JD18" s="243"/>
      <c r="JE18" s="243"/>
      <c r="JF18" s="243"/>
      <c r="JG18" s="243"/>
      <c r="JH18" s="243"/>
      <c r="JI18" s="243"/>
      <c r="JJ18" s="243"/>
      <c r="JK18" s="242"/>
      <c r="JL18" s="242"/>
      <c r="JM18" s="242"/>
      <c r="JN18" s="242"/>
      <c r="JO18" s="242"/>
      <c r="JP18" s="242"/>
      <c r="JQ18" s="242"/>
      <c r="JR18" s="243"/>
      <c r="JS18" s="243"/>
      <c r="JT18" s="243"/>
      <c r="JU18" s="243"/>
      <c r="JV18" s="243"/>
      <c r="JW18" s="243"/>
      <c r="JX18" s="243"/>
      <c r="JY18" s="242"/>
      <c r="JZ18" s="242"/>
      <c r="KA18" s="242"/>
      <c r="KB18" s="242"/>
      <c r="KC18" s="242"/>
      <c r="KD18" s="242"/>
      <c r="KE18" s="242"/>
      <c r="KF18" s="243"/>
      <c r="KG18" s="243"/>
      <c r="KH18" s="243"/>
      <c r="KI18" s="243"/>
      <c r="KJ18" s="243"/>
      <c r="KK18" s="243"/>
      <c r="KL18" s="243"/>
      <c r="KM18" s="242"/>
      <c r="KN18" s="242"/>
      <c r="KO18" s="242"/>
      <c r="KP18" s="242"/>
      <c r="KQ18" s="242"/>
      <c r="KR18" s="242"/>
      <c r="KS18" s="242"/>
      <c r="KT18" s="243"/>
      <c r="KU18" s="243"/>
      <c r="KV18" s="243"/>
      <c r="KW18" s="243"/>
      <c r="KX18" s="243"/>
      <c r="KY18" s="243"/>
      <c r="KZ18" s="243"/>
      <c r="LA18" s="242"/>
      <c r="LB18" s="242"/>
      <c r="LC18" s="242"/>
      <c r="LD18" s="242"/>
      <c r="LE18" s="242"/>
      <c r="LF18" s="242"/>
      <c r="LG18" s="242"/>
      <c r="LH18" s="243"/>
      <c r="LI18" s="243"/>
      <c r="LJ18" s="243"/>
      <c r="LK18" s="243"/>
      <c r="LL18" s="243"/>
      <c r="LM18" s="243"/>
      <c r="LN18" s="243"/>
      <c r="LO18" s="242"/>
      <c r="LP18" s="242"/>
      <c r="LQ18" s="242"/>
      <c r="LR18" s="242"/>
      <c r="LS18" s="242"/>
      <c r="LT18" s="242"/>
      <c r="LU18" s="242"/>
      <c r="LV18" s="243"/>
      <c r="LW18" s="243"/>
      <c r="LX18" s="243"/>
      <c r="LY18" s="243"/>
      <c r="LZ18" s="243"/>
      <c r="MA18" s="243"/>
      <c r="MB18" s="243"/>
      <c r="MC18" s="242"/>
      <c r="MD18" s="242"/>
      <c r="ME18" s="242"/>
      <c r="MF18" s="242"/>
      <c r="MG18" s="242"/>
      <c r="MH18" s="242"/>
      <c r="MI18" s="242"/>
      <c r="MJ18" s="243"/>
      <c r="MK18" s="243"/>
      <c r="ML18" s="243"/>
      <c r="MM18" s="243"/>
      <c r="MN18" s="243"/>
      <c r="MO18" s="243"/>
      <c r="MP18" s="243"/>
      <c r="MQ18" s="242"/>
      <c r="MR18" s="242"/>
      <c r="MS18" s="242"/>
      <c r="MT18" s="242"/>
      <c r="MU18" s="242"/>
      <c r="MV18" s="242"/>
      <c r="MW18" s="242"/>
      <c r="MX18" s="243"/>
      <c r="MY18" s="243"/>
      <c r="MZ18" s="243"/>
      <c r="NA18" s="243"/>
      <c r="NB18" s="243"/>
      <c r="NC18" s="243"/>
      <c r="ND18" s="243"/>
      <c r="NE18" s="242"/>
      <c r="NF18" s="242"/>
      <c r="NG18" s="242"/>
      <c r="NH18" s="243" t="s">
        <v>1132</v>
      </c>
    </row>
    <row r="19" spans="1:372">
      <c r="A19" s="254" t="s">
        <v>964</v>
      </c>
      <c r="B19" s="239" t="s">
        <v>24</v>
      </c>
      <c r="C19" s="240" t="s">
        <v>675</v>
      </c>
      <c r="D19" s="240" t="s">
        <v>997</v>
      </c>
      <c r="E19" s="241">
        <v>120.46922221121572</v>
      </c>
      <c r="F19" s="252">
        <v>0</v>
      </c>
      <c r="G19" s="242"/>
      <c r="H19" s="242"/>
      <c r="I19" s="242"/>
      <c r="J19" s="242"/>
      <c r="K19" s="242"/>
      <c r="L19" s="243"/>
      <c r="M19" s="243"/>
      <c r="N19" s="243"/>
      <c r="O19" s="243"/>
      <c r="P19" s="243"/>
      <c r="Q19" s="243"/>
      <c r="R19" s="243"/>
      <c r="S19" s="242"/>
      <c r="T19" s="242"/>
      <c r="U19" s="242"/>
      <c r="V19" s="242"/>
      <c r="W19" s="242"/>
      <c r="X19" s="242"/>
      <c r="Y19" s="242"/>
      <c r="Z19" s="243"/>
      <c r="AA19" s="243"/>
      <c r="AB19" s="243"/>
      <c r="AC19" s="243"/>
      <c r="AD19" s="243"/>
      <c r="AE19" s="243"/>
      <c r="AF19" s="243"/>
      <c r="AG19" s="242"/>
      <c r="AH19" s="242"/>
      <c r="AI19" s="242"/>
      <c r="AJ19" s="242"/>
      <c r="AK19" s="242"/>
      <c r="AL19" s="242"/>
      <c r="AM19" s="242"/>
      <c r="AN19" s="243"/>
      <c r="AO19" s="243"/>
      <c r="AP19" s="243"/>
      <c r="AQ19" s="243"/>
      <c r="AR19" s="243"/>
      <c r="AS19" s="243"/>
      <c r="AT19" s="243"/>
      <c r="AU19" s="242"/>
      <c r="AV19" s="242"/>
      <c r="AW19" s="242"/>
      <c r="AX19" s="242"/>
      <c r="AY19" s="242"/>
      <c r="AZ19" s="242"/>
      <c r="BA19" s="242"/>
      <c r="BB19" s="243"/>
      <c r="BC19" s="243"/>
      <c r="BD19" s="243"/>
      <c r="BE19" s="243"/>
      <c r="BF19" s="243"/>
      <c r="BG19" s="243"/>
      <c r="BH19" s="243"/>
      <c r="BI19" s="242"/>
      <c r="BJ19" s="242"/>
      <c r="BK19" s="242"/>
      <c r="BL19" s="242"/>
      <c r="BM19" s="242"/>
      <c r="BN19" s="242"/>
      <c r="BO19" s="242"/>
      <c r="BP19" s="243"/>
      <c r="BQ19" s="243"/>
      <c r="BR19" s="243"/>
      <c r="BS19" s="243"/>
      <c r="BT19" s="243"/>
      <c r="BU19" s="243"/>
      <c r="BV19" s="243"/>
      <c r="BW19" s="242"/>
      <c r="BX19" s="242"/>
      <c r="BY19" s="242"/>
      <c r="BZ19" s="242"/>
      <c r="CA19" s="242"/>
      <c r="CB19" s="242"/>
      <c r="CC19" s="242"/>
      <c r="CD19" s="243"/>
      <c r="CE19" s="243"/>
      <c r="CF19" s="243"/>
      <c r="CG19" s="243"/>
      <c r="CH19" s="243"/>
      <c r="CI19" s="243"/>
      <c r="CJ19" s="243"/>
      <c r="CK19" s="242"/>
      <c r="CL19" s="242"/>
      <c r="CM19" s="242"/>
      <c r="CN19" s="242"/>
      <c r="CO19" s="242"/>
      <c r="CP19" s="242"/>
      <c r="CQ19" s="242"/>
      <c r="CR19" s="243"/>
      <c r="CS19" s="243"/>
      <c r="CT19" s="243"/>
      <c r="CU19" s="243"/>
      <c r="CV19" s="243"/>
      <c r="CW19" s="243"/>
      <c r="CX19" s="243"/>
      <c r="CY19" s="242"/>
      <c r="CZ19" s="242"/>
      <c r="DA19" s="242"/>
      <c r="DB19" s="242"/>
      <c r="DC19" s="242"/>
      <c r="DD19" s="242"/>
      <c r="DE19" s="242"/>
      <c r="DF19" s="243"/>
      <c r="DG19" s="243"/>
      <c r="DH19" s="243"/>
      <c r="DI19" s="243"/>
      <c r="DJ19" s="243"/>
      <c r="DK19" s="243"/>
      <c r="DL19" s="243"/>
      <c r="DM19" s="242"/>
      <c r="DN19" s="242"/>
      <c r="DO19" s="242"/>
      <c r="DP19" s="242"/>
      <c r="DQ19" s="242"/>
      <c r="DR19" s="242"/>
      <c r="DS19" s="242"/>
      <c r="DT19" s="243"/>
      <c r="DU19" s="243"/>
      <c r="DV19" s="243"/>
      <c r="DW19" s="243"/>
      <c r="DX19" s="243"/>
      <c r="DY19" s="243"/>
      <c r="DZ19" s="243"/>
      <c r="EA19" s="242"/>
      <c r="EB19" s="242"/>
      <c r="EC19" s="242"/>
      <c r="ED19" s="242"/>
      <c r="EE19" s="242"/>
      <c r="EF19" s="242"/>
      <c r="EG19" s="242"/>
      <c r="EH19" s="243"/>
      <c r="EI19" s="243"/>
      <c r="EJ19" s="243"/>
      <c r="EK19" s="243"/>
      <c r="EL19" s="243"/>
      <c r="EM19" s="243"/>
      <c r="EN19" s="243"/>
      <c r="EO19" s="242"/>
      <c r="EP19" s="242"/>
      <c r="EQ19" s="242"/>
      <c r="ER19" s="242"/>
      <c r="ES19" s="242"/>
      <c r="ET19" s="242"/>
      <c r="EU19" s="242"/>
      <c r="EV19" s="243"/>
      <c r="EW19" s="243"/>
      <c r="EX19" s="243"/>
      <c r="EY19" s="243"/>
      <c r="EZ19" s="243"/>
      <c r="FA19" s="243"/>
      <c r="FB19" s="243"/>
      <c r="FC19" s="242"/>
      <c r="FD19" s="242"/>
      <c r="FE19" s="242"/>
      <c r="FF19" s="242"/>
      <c r="FG19" s="242"/>
      <c r="FH19" s="242"/>
      <c r="FI19" s="242"/>
      <c r="FJ19" s="243"/>
      <c r="FK19" s="243"/>
      <c r="FL19" s="243"/>
      <c r="FM19" s="243"/>
      <c r="FN19" s="243"/>
      <c r="FO19" s="243"/>
      <c r="FP19" s="243"/>
      <c r="FQ19" s="242"/>
      <c r="FR19" s="242"/>
      <c r="FS19" s="242"/>
      <c r="FT19" s="242"/>
      <c r="FU19" s="242"/>
      <c r="FV19" s="242"/>
      <c r="FW19" s="242"/>
      <c r="FX19" s="243"/>
      <c r="FY19" s="243"/>
      <c r="FZ19" s="243"/>
      <c r="GA19" s="243"/>
      <c r="GB19" s="243"/>
      <c r="GC19" s="243"/>
      <c r="GD19" s="243"/>
      <c r="GE19" s="242"/>
      <c r="GF19" s="242"/>
      <c r="GG19" s="242"/>
      <c r="GH19" s="242"/>
      <c r="GI19" s="242"/>
      <c r="GJ19" s="242"/>
      <c r="GK19" s="242"/>
      <c r="GL19" s="243"/>
      <c r="GM19" s="243"/>
      <c r="GN19" s="243"/>
      <c r="GO19" s="243"/>
      <c r="GP19" s="243"/>
      <c r="GQ19" s="243"/>
      <c r="GR19" s="243"/>
      <c r="GS19" s="242"/>
      <c r="GT19" s="242"/>
      <c r="GU19" s="242"/>
      <c r="GV19" s="242"/>
      <c r="GW19" s="242"/>
      <c r="GX19" s="242"/>
      <c r="GY19" s="242"/>
      <c r="GZ19" s="243"/>
      <c r="HA19" s="243"/>
      <c r="HB19" s="243"/>
      <c r="HC19" s="243"/>
      <c r="HD19" s="243"/>
      <c r="HE19" s="243"/>
      <c r="HF19" s="243"/>
      <c r="HG19" s="242"/>
      <c r="HH19" s="242"/>
      <c r="HI19" s="242"/>
      <c r="HJ19" s="242"/>
      <c r="HK19" s="242"/>
      <c r="HL19" s="242"/>
      <c r="HM19" s="242"/>
      <c r="HN19" s="243"/>
      <c r="HO19" s="243"/>
      <c r="HP19" s="243"/>
      <c r="HQ19" s="243"/>
      <c r="HR19" s="243"/>
      <c r="HS19" s="243"/>
      <c r="HT19" s="243"/>
      <c r="HU19" s="242"/>
      <c r="HV19" s="242"/>
      <c r="HW19" s="242"/>
      <c r="HX19" s="242"/>
      <c r="HY19" s="242"/>
      <c r="HZ19" s="242"/>
      <c r="IA19" s="242"/>
      <c r="IB19" s="243"/>
      <c r="IC19" s="243"/>
      <c r="ID19" s="243"/>
      <c r="IE19" s="243"/>
      <c r="IF19" s="243"/>
      <c r="IG19" s="243"/>
      <c r="IH19" s="243"/>
      <c r="II19" s="242"/>
      <c r="IJ19" s="242"/>
      <c r="IK19" s="242"/>
      <c r="IL19" s="242"/>
      <c r="IM19" s="242"/>
      <c r="IN19" s="242"/>
      <c r="IO19" s="242"/>
      <c r="IP19" s="243"/>
      <c r="IQ19" s="243"/>
      <c r="IR19" s="243"/>
      <c r="IS19" s="243"/>
      <c r="IT19" s="243"/>
      <c r="IU19" s="243"/>
      <c r="IV19" s="243"/>
      <c r="IW19" s="242"/>
      <c r="IX19" s="242"/>
      <c r="IY19" s="242"/>
      <c r="IZ19" s="242"/>
      <c r="JA19" s="242"/>
      <c r="JB19" s="242"/>
      <c r="JC19" s="242"/>
      <c r="JD19" s="243"/>
      <c r="JE19" s="243"/>
      <c r="JF19" s="243"/>
      <c r="JG19" s="243"/>
      <c r="JH19" s="243"/>
      <c r="JI19" s="243"/>
      <c r="JJ19" s="243"/>
      <c r="JK19" s="242"/>
      <c r="JL19" s="242"/>
      <c r="JM19" s="242"/>
      <c r="JN19" s="242"/>
      <c r="JO19" s="242"/>
      <c r="JP19" s="242"/>
      <c r="JQ19" s="242"/>
      <c r="JR19" s="243"/>
      <c r="JS19" s="243"/>
      <c r="JT19" s="243"/>
      <c r="JU19" s="243"/>
      <c r="JV19" s="243"/>
      <c r="JW19" s="243"/>
      <c r="JX19" s="243"/>
      <c r="JY19" s="242"/>
      <c r="JZ19" s="242"/>
      <c r="KA19" s="242"/>
      <c r="KB19" s="242"/>
      <c r="KC19" s="242"/>
      <c r="KD19" s="242"/>
      <c r="KE19" s="242"/>
      <c r="KF19" s="243"/>
      <c r="KG19" s="243"/>
      <c r="KH19" s="243"/>
      <c r="KI19" s="243"/>
      <c r="KJ19" s="243"/>
      <c r="KK19" s="243"/>
      <c r="KL19" s="243"/>
      <c r="KM19" s="242"/>
      <c r="KN19" s="242"/>
      <c r="KO19" s="242"/>
      <c r="KP19" s="242"/>
      <c r="KQ19" s="242"/>
      <c r="KR19" s="242"/>
      <c r="KS19" s="242"/>
      <c r="KT19" s="243"/>
      <c r="KU19" s="243"/>
      <c r="KV19" s="243"/>
      <c r="KW19" s="243"/>
      <c r="KX19" s="243"/>
      <c r="KY19" s="243"/>
      <c r="KZ19" s="243"/>
      <c r="LA19" s="242"/>
      <c r="LB19" s="242"/>
      <c r="LC19" s="242"/>
      <c r="LD19" s="242"/>
      <c r="LE19" s="242"/>
      <c r="LF19" s="242"/>
      <c r="LG19" s="242"/>
      <c r="LH19" s="243"/>
      <c r="LI19" s="243"/>
      <c r="LJ19" s="243"/>
      <c r="LK19" s="243"/>
      <c r="LL19" s="243"/>
      <c r="LM19" s="243"/>
      <c r="LN19" s="243"/>
      <c r="LO19" s="242"/>
      <c r="LP19" s="242"/>
      <c r="LQ19" s="242"/>
      <c r="LR19" s="242"/>
      <c r="LS19" s="242"/>
      <c r="LT19" s="242"/>
      <c r="LU19" s="242"/>
      <c r="LV19" s="243"/>
      <c r="LW19" s="243"/>
      <c r="LX19" s="243"/>
      <c r="LY19" s="243"/>
      <c r="LZ19" s="243"/>
      <c r="MA19" s="243"/>
      <c r="MB19" s="243"/>
      <c r="MC19" s="242"/>
      <c r="MD19" s="242"/>
      <c r="ME19" s="242"/>
      <c r="MF19" s="242"/>
      <c r="MG19" s="242"/>
      <c r="MH19" s="242"/>
      <c r="MI19" s="242"/>
      <c r="MJ19" s="243"/>
      <c r="MK19" s="243"/>
      <c r="ML19" s="243"/>
      <c r="MM19" s="243"/>
      <c r="MN19" s="243"/>
      <c r="MO19" s="243"/>
      <c r="MP19" s="243"/>
      <c r="MQ19" s="242"/>
      <c r="MR19" s="242"/>
      <c r="MS19" s="242"/>
      <c r="MT19" s="242"/>
      <c r="MU19" s="242"/>
      <c r="MV19" s="242"/>
      <c r="MW19" s="242"/>
      <c r="MX19" s="243"/>
      <c r="MY19" s="243"/>
      <c r="MZ19" s="243"/>
      <c r="NA19" s="243"/>
      <c r="NB19" s="243"/>
      <c r="NC19" s="243"/>
      <c r="ND19" s="243"/>
      <c r="NE19" s="242"/>
      <c r="NF19" s="242"/>
      <c r="NG19" s="242"/>
      <c r="NH19" s="243" t="s">
        <v>1132</v>
      </c>
    </row>
    <row r="20" spans="1:372">
      <c r="A20" s="254" t="s">
        <v>964</v>
      </c>
      <c r="B20" s="239" t="s">
        <v>25</v>
      </c>
      <c r="C20" s="240" t="s">
        <v>675</v>
      </c>
      <c r="D20" s="240" t="s">
        <v>997</v>
      </c>
      <c r="E20" s="241">
        <v>118.79999999988121</v>
      </c>
      <c r="F20" s="252">
        <v>0</v>
      </c>
      <c r="G20" s="242"/>
      <c r="H20" s="242"/>
      <c r="I20" s="242"/>
      <c r="J20" s="242"/>
      <c r="K20" s="242"/>
      <c r="L20" s="243"/>
      <c r="M20" s="243"/>
      <c r="N20" s="243"/>
      <c r="O20" s="243"/>
      <c r="P20" s="243"/>
      <c r="Q20" s="243"/>
      <c r="R20" s="243"/>
      <c r="S20" s="242"/>
      <c r="T20" s="242"/>
      <c r="U20" s="242"/>
      <c r="V20" s="242"/>
      <c r="W20" s="242"/>
      <c r="X20" s="242"/>
      <c r="Y20" s="242"/>
      <c r="Z20" s="243"/>
      <c r="AA20" s="243"/>
      <c r="AB20" s="243"/>
      <c r="AC20" s="243"/>
      <c r="AD20" s="243"/>
      <c r="AE20" s="243"/>
      <c r="AF20" s="243"/>
      <c r="AG20" s="242"/>
      <c r="AH20" s="242"/>
      <c r="AI20" s="242"/>
      <c r="AJ20" s="242"/>
      <c r="AK20" s="242"/>
      <c r="AL20" s="242"/>
      <c r="AM20" s="242"/>
      <c r="AN20" s="243"/>
      <c r="AO20" s="243"/>
      <c r="AP20" s="243"/>
      <c r="AQ20" s="243"/>
      <c r="AR20" s="243"/>
      <c r="AS20" s="243"/>
      <c r="AT20" s="243"/>
      <c r="AU20" s="242"/>
      <c r="AV20" s="242"/>
      <c r="AW20" s="242"/>
      <c r="AX20" s="242"/>
      <c r="AY20" s="242"/>
      <c r="AZ20" s="242"/>
      <c r="BA20" s="242"/>
      <c r="BB20" s="243"/>
      <c r="BC20" s="243"/>
      <c r="BD20" s="243"/>
      <c r="BE20" s="243"/>
      <c r="BF20" s="243"/>
      <c r="BG20" s="243"/>
      <c r="BH20" s="243"/>
      <c r="BI20" s="242"/>
      <c r="BJ20" s="242"/>
      <c r="BK20" s="242"/>
      <c r="BL20" s="242"/>
      <c r="BM20" s="242"/>
      <c r="BN20" s="242"/>
      <c r="BO20" s="242"/>
      <c r="BP20" s="243"/>
      <c r="BQ20" s="243"/>
      <c r="BR20" s="243"/>
      <c r="BS20" s="243"/>
      <c r="BT20" s="243"/>
      <c r="BU20" s="243"/>
      <c r="BV20" s="243"/>
      <c r="BW20" s="242"/>
      <c r="BX20" s="242"/>
      <c r="BY20" s="242"/>
      <c r="BZ20" s="242"/>
      <c r="CA20" s="242"/>
      <c r="CB20" s="242"/>
      <c r="CC20" s="242"/>
      <c r="CD20" s="243"/>
      <c r="CE20" s="243"/>
      <c r="CF20" s="243"/>
      <c r="CG20" s="243"/>
      <c r="CH20" s="243"/>
      <c r="CI20" s="243"/>
      <c r="CJ20" s="243"/>
      <c r="CK20" s="242"/>
      <c r="CL20" s="242"/>
      <c r="CM20" s="242"/>
      <c r="CN20" s="242"/>
      <c r="CO20" s="242"/>
      <c r="CP20" s="242"/>
      <c r="CQ20" s="242"/>
      <c r="CR20" s="243"/>
      <c r="CS20" s="243"/>
      <c r="CT20" s="243"/>
      <c r="CU20" s="243"/>
      <c r="CV20" s="243"/>
      <c r="CW20" s="243"/>
      <c r="CX20" s="243"/>
      <c r="CY20" s="242"/>
      <c r="CZ20" s="242"/>
      <c r="DA20" s="242"/>
      <c r="DB20" s="242"/>
      <c r="DC20" s="242"/>
      <c r="DD20" s="242"/>
      <c r="DE20" s="242"/>
      <c r="DF20" s="243"/>
      <c r="DG20" s="243"/>
      <c r="DH20" s="243"/>
      <c r="DI20" s="243"/>
      <c r="DJ20" s="243"/>
      <c r="DK20" s="243"/>
      <c r="DL20" s="243"/>
      <c r="DM20" s="242"/>
      <c r="DN20" s="242"/>
      <c r="DO20" s="242"/>
      <c r="DP20" s="242"/>
      <c r="DQ20" s="242"/>
      <c r="DR20" s="242"/>
      <c r="DS20" s="242"/>
      <c r="DT20" s="243"/>
      <c r="DU20" s="243"/>
      <c r="DV20" s="243"/>
      <c r="DW20" s="243"/>
      <c r="DX20" s="243"/>
      <c r="DY20" s="243"/>
      <c r="DZ20" s="243"/>
      <c r="EA20" s="242"/>
      <c r="EB20" s="242"/>
      <c r="EC20" s="242"/>
      <c r="ED20" s="242"/>
      <c r="EE20" s="242"/>
      <c r="EF20" s="242"/>
      <c r="EG20" s="242"/>
      <c r="EH20" s="243"/>
      <c r="EI20" s="243"/>
      <c r="EJ20" s="243"/>
      <c r="EK20" s="243"/>
      <c r="EL20" s="243"/>
      <c r="EM20" s="243"/>
      <c r="EN20" s="243"/>
      <c r="EO20" s="242"/>
      <c r="EP20" s="242"/>
      <c r="EQ20" s="242"/>
      <c r="ER20" s="242"/>
      <c r="ES20" s="242"/>
      <c r="ET20" s="242"/>
      <c r="EU20" s="242"/>
      <c r="EV20" s="243"/>
      <c r="EW20" s="243"/>
      <c r="EX20" s="243"/>
      <c r="EY20" s="243"/>
      <c r="EZ20" s="243"/>
      <c r="FA20" s="243"/>
      <c r="FB20" s="243"/>
      <c r="FC20" s="242"/>
      <c r="FD20" s="242"/>
      <c r="FE20" s="242"/>
      <c r="FF20" s="242"/>
      <c r="FG20" s="242"/>
      <c r="FH20" s="242"/>
      <c r="FI20" s="242"/>
      <c r="FJ20" s="243"/>
      <c r="FK20" s="243"/>
      <c r="FL20" s="243"/>
      <c r="FM20" s="243"/>
      <c r="FN20" s="243"/>
      <c r="FO20" s="243"/>
      <c r="FP20" s="243"/>
      <c r="FQ20" s="242"/>
      <c r="FR20" s="242"/>
      <c r="FS20" s="242"/>
      <c r="FT20" s="242"/>
      <c r="FU20" s="242"/>
      <c r="FV20" s="242"/>
      <c r="FW20" s="242"/>
      <c r="FX20" s="243"/>
      <c r="FY20" s="243"/>
      <c r="FZ20" s="243"/>
      <c r="GA20" s="243"/>
      <c r="GB20" s="243"/>
      <c r="GC20" s="243"/>
      <c r="GD20" s="243"/>
      <c r="GE20" s="242"/>
      <c r="GF20" s="242"/>
      <c r="GG20" s="242"/>
      <c r="GH20" s="242"/>
      <c r="GI20" s="242"/>
      <c r="GJ20" s="242"/>
      <c r="GK20" s="242"/>
      <c r="GL20" s="243"/>
      <c r="GM20" s="243"/>
      <c r="GN20" s="243"/>
      <c r="GO20" s="243"/>
      <c r="GP20" s="243"/>
      <c r="GQ20" s="243"/>
      <c r="GR20" s="243"/>
      <c r="GS20" s="242"/>
      <c r="GT20" s="242"/>
      <c r="GU20" s="242"/>
      <c r="GV20" s="242"/>
      <c r="GW20" s="242"/>
      <c r="GX20" s="242"/>
      <c r="GY20" s="242"/>
      <c r="GZ20" s="243"/>
      <c r="HA20" s="243"/>
      <c r="HB20" s="243"/>
      <c r="HC20" s="243"/>
      <c r="HD20" s="243"/>
      <c r="HE20" s="243"/>
      <c r="HF20" s="243"/>
      <c r="HG20" s="242"/>
      <c r="HH20" s="242"/>
      <c r="HI20" s="242"/>
      <c r="HJ20" s="242"/>
      <c r="HK20" s="242"/>
      <c r="HL20" s="242"/>
      <c r="HM20" s="242"/>
      <c r="HN20" s="243"/>
      <c r="HO20" s="243"/>
      <c r="HP20" s="243"/>
      <c r="HQ20" s="243"/>
      <c r="HR20" s="243"/>
      <c r="HS20" s="243"/>
      <c r="HT20" s="243"/>
      <c r="HU20" s="242"/>
      <c r="HV20" s="242"/>
      <c r="HW20" s="242"/>
      <c r="HX20" s="242"/>
      <c r="HY20" s="242"/>
      <c r="HZ20" s="242"/>
      <c r="IA20" s="242"/>
      <c r="IB20" s="243"/>
      <c r="IC20" s="243"/>
      <c r="ID20" s="243"/>
      <c r="IE20" s="243"/>
      <c r="IF20" s="243"/>
      <c r="IG20" s="243"/>
      <c r="IH20" s="243"/>
      <c r="II20" s="242"/>
      <c r="IJ20" s="242"/>
      <c r="IK20" s="242"/>
      <c r="IL20" s="242"/>
      <c r="IM20" s="242"/>
      <c r="IN20" s="242"/>
      <c r="IO20" s="242"/>
      <c r="IP20" s="243"/>
      <c r="IQ20" s="243"/>
      <c r="IR20" s="243"/>
      <c r="IS20" s="243"/>
      <c r="IT20" s="243"/>
      <c r="IU20" s="243"/>
      <c r="IV20" s="243"/>
      <c r="IW20" s="242"/>
      <c r="IX20" s="242"/>
      <c r="IY20" s="242"/>
      <c r="IZ20" s="242"/>
      <c r="JA20" s="242"/>
      <c r="JB20" s="242"/>
      <c r="JC20" s="242"/>
      <c r="JD20" s="243"/>
      <c r="JE20" s="243"/>
      <c r="JF20" s="243"/>
      <c r="JG20" s="243"/>
      <c r="JH20" s="243"/>
      <c r="JI20" s="243"/>
      <c r="JJ20" s="243"/>
      <c r="JK20" s="242"/>
      <c r="JL20" s="242"/>
      <c r="JM20" s="242"/>
      <c r="JN20" s="242"/>
      <c r="JO20" s="242"/>
      <c r="JP20" s="242"/>
      <c r="JQ20" s="242"/>
      <c r="JR20" s="243"/>
      <c r="JS20" s="243"/>
      <c r="JT20" s="243"/>
      <c r="JU20" s="243"/>
      <c r="JV20" s="243"/>
      <c r="JW20" s="243"/>
      <c r="JX20" s="243"/>
      <c r="JY20" s="242"/>
      <c r="JZ20" s="242"/>
      <c r="KA20" s="242"/>
      <c r="KB20" s="242"/>
      <c r="KC20" s="242"/>
      <c r="KD20" s="242"/>
      <c r="KE20" s="242"/>
      <c r="KF20" s="243"/>
      <c r="KG20" s="243"/>
      <c r="KH20" s="243"/>
      <c r="KI20" s="243"/>
      <c r="KJ20" s="243"/>
      <c r="KK20" s="243"/>
      <c r="KL20" s="243"/>
      <c r="KM20" s="242"/>
      <c r="KN20" s="242"/>
      <c r="KO20" s="242"/>
      <c r="KP20" s="242"/>
      <c r="KQ20" s="242"/>
      <c r="KR20" s="242"/>
      <c r="KS20" s="242"/>
      <c r="KT20" s="243"/>
      <c r="KU20" s="243"/>
      <c r="KV20" s="243"/>
      <c r="KW20" s="243"/>
      <c r="KX20" s="243"/>
      <c r="KY20" s="243"/>
      <c r="KZ20" s="243"/>
      <c r="LA20" s="242"/>
      <c r="LB20" s="242"/>
      <c r="LC20" s="242"/>
      <c r="LD20" s="242"/>
      <c r="LE20" s="242"/>
      <c r="LF20" s="242"/>
      <c r="LG20" s="242"/>
      <c r="LH20" s="243"/>
      <c r="LI20" s="243"/>
      <c r="LJ20" s="243"/>
      <c r="LK20" s="243"/>
      <c r="LL20" s="243"/>
      <c r="LM20" s="243"/>
      <c r="LN20" s="243"/>
      <c r="LO20" s="242"/>
      <c r="LP20" s="242"/>
      <c r="LQ20" s="242"/>
      <c r="LR20" s="242"/>
      <c r="LS20" s="242"/>
      <c r="LT20" s="242"/>
      <c r="LU20" s="242"/>
      <c r="LV20" s="243"/>
      <c r="LW20" s="243"/>
      <c r="LX20" s="243"/>
      <c r="LY20" s="243"/>
      <c r="LZ20" s="243"/>
      <c r="MA20" s="243"/>
      <c r="MB20" s="243"/>
      <c r="MC20" s="242"/>
      <c r="MD20" s="242"/>
      <c r="ME20" s="242"/>
      <c r="MF20" s="242"/>
      <c r="MG20" s="242"/>
      <c r="MH20" s="242"/>
      <c r="MI20" s="242"/>
      <c r="MJ20" s="243"/>
      <c r="MK20" s="243"/>
      <c r="ML20" s="243"/>
      <c r="MM20" s="243"/>
      <c r="MN20" s="243"/>
      <c r="MO20" s="243"/>
      <c r="MP20" s="243"/>
      <c r="MQ20" s="242"/>
      <c r="MR20" s="242"/>
      <c r="MS20" s="242"/>
      <c r="MT20" s="242"/>
      <c r="MU20" s="242"/>
      <c r="MV20" s="242"/>
      <c r="MW20" s="242"/>
      <c r="MX20" s="243"/>
      <c r="MY20" s="243"/>
      <c r="MZ20" s="243"/>
      <c r="NA20" s="243"/>
      <c r="NB20" s="243"/>
      <c r="NC20" s="243"/>
      <c r="ND20" s="243"/>
      <c r="NE20" s="242"/>
      <c r="NF20" s="242"/>
      <c r="NG20" s="242"/>
      <c r="NH20" s="243" t="s">
        <v>1132</v>
      </c>
    </row>
    <row r="21" spans="1:372">
      <c r="A21" s="254" t="s">
        <v>964</v>
      </c>
      <c r="B21" s="239" t="s">
        <v>26</v>
      </c>
      <c r="C21" s="240" t="s">
        <v>675</v>
      </c>
      <c r="D21" s="240" t="s">
        <v>997</v>
      </c>
      <c r="E21" s="241">
        <v>120.8080499833812</v>
      </c>
      <c r="F21" s="252">
        <v>0</v>
      </c>
      <c r="G21" s="242"/>
      <c r="H21" s="242"/>
      <c r="I21" s="242"/>
      <c r="J21" s="242"/>
      <c r="K21" s="242"/>
      <c r="L21" s="243"/>
      <c r="M21" s="243"/>
      <c r="N21" s="243"/>
      <c r="O21" s="243"/>
      <c r="P21" s="243"/>
      <c r="Q21" s="243"/>
      <c r="R21" s="243"/>
      <c r="S21" s="242"/>
      <c r="T21" s="242"/>
      <c r="U21" s="242"/>
      <c r="V21" s="242"/>
      <c r="W21" s="242"/>
      <c r="X21" s="242"/>
      <c r="Y21" s="242"/>
      <c r="Z21" s="243"/>
      <c r="AA21" s="243"/>
      <c r="AB21" s="243"/>
      <c r="AC21" s="243"/>
      <c r="AD21" s="243"/>
      <c r="AE21" s="243"/>
      <c r="AF21" s="243"/>
      <c r="AG21" s="242"/>
      <c r="AH21" s="242"/>
      <c r="AI21" s="242"/>
      <c r="AJ21" s="242"/>
      <c r="AK21" s="242"/>
      <c r="AL21" s="242"/>
      <c r="AM21" s="242"/>
      <c r="AN21" s="243"/>
      <c r="AO21" s="243"/>
      <c r="AP21" s="243"/>
      <c r="AQ21" s="243"/>
      <c r="AR21" s="243"/>
      <c r="AS21" s="243"/>
      <c r="AT21" s="243"/>
      <c r="AU21" s="242"/>
      <c r="AV21" s="242"/>
      <c r="AW21" s="242"/>
      <c r="AX21" s="242"/>
      <c r="AY21" s="242"/>
      <c r="AZ21" s="242"/>
      <c r="BA21" s="242"/>
      <c r="BB21" s="243"/>
      <c r="BC21" s="243"/>
      <c r="BD21" s="243"/>
      <c r="BE21" s="243"/>
      <c r="BF21" s="243"/>
      <c r="BG21" s="243"/>
      <c r="BH21" s="243"/>
      <c r="BI21" s="242"/>
      <c r="BJ21" s="242"/>
      <c r="BK21" s="242"/>
      <c r="BL21" s="242"/>
      <c r="BM21" s="242"/>
      <c r="BN21" s="242"/>
      <c r="BO21" s="242"/>
      <c r="BP21" s="243"/>
      <c r="BQ21" s="243"/>
      <c r="BR21" s="243"/>
      <c r="BS21" s="243"/>
      <c r="BT21" s="243"/>
      <c r="BU21" s="243"/>
      <c r="BV21" s="243"/>
      <c r="BW21" s="242"/>
      <c r="BX21" s="242"/>
      <c r="BY21" s="242"/>
      <c r="BZ21" s="242"/>
      <c r="CA21" s="242"/>
      <c r="CB21" s="242"/>
      <c r="CC21" s="242"/>
      <c r="CD21" s="243"/>
      <c r="CE21" s="243"/>
      <c r="CF21" s="243"/>
      <c r="CG21" s="243"/>
      <c r="CH21" s="243"/>
      <c r="CI21" s="243"/>
      <c r="CJ21" s="243"/>
      <c r="CK21" s="242"/>
      <c r="CL21" s="242"/>
      <c r="CM21" s="242"/>
      <c r="CN21" s="242"/>
      <c r="CO21" s="242"/>
      <c r="CP21" s="242"/>
      <c r="CQ21" s="242"/>
      <c r="CR21" s="243"/>
      <c r="CS21" s="243"/>
      <c r="CT21" s="243"/>
      <c r="CU21" s="243"/>
      <c r="CV21" s="243"/>
      <c r="CW21" s="243"/>
      <c r="CX21" s="243"/>
      <c r="CY21" s="242"/>
      <c r="CZ21" s="242"/>
      <c r="DA21" s="242"/>
      <c r="DB21" s="242"/>
      <c r="DC21" s="242"/>
      <c r="DD21" s="242"/>
      <c r="DE21" s="242"/>
      <c r="DF21" s="243"/>
      <c r="DG21" s="243"/>
      <c r="DH21" s="243"/>
      <c r="DI21" s="243"/>
      <c r="DJ21" s="243"/>
      <c r="DK21" s="243"/>
      <c r="DL21" s="243"/>
      <c r="DM21" s="242"/>
      <c r="DN21" s="242"/>
      <c r="DO21" s="242"/>
      <c r="DP21" s="242"/>
      <c r="DQ21" s="242"/>
      <c r="DR21" s="242"/>
      <c r="DS21" s="242"/>
      <c r="DT21" s="243"/>
      <c r="DU21" s="243"/>
      <c r="DV21" s="243"/>
      <c r="DW21" s="243"/>
      <c r="DX21" s="243"/>
      <c r="DY21" s="243"/>
      <c r="DZ21" s="243"/>
      <c r="EA21" s="242"/>
      <c r="EB21" s="242"/>
      <c r="EC21" s="242"/>
      <c r="ED21" s="242"/>
      <c r="EE21" s="242"/>
      <c r="EF21" s="242"/>
      <c r="EG21" s="242"/>
      <c r="EH21" s="243"/>
      <c r="EI21" s="243"/>
      <c r="EJ21" s="243"/>
      <c r="EK21" s="243"/>
      <c r="EL21" s="243"/>
      <c r="EM21" s="243"/>
      <c r="EN21" s="243"/>
      <c r="EO21" s="242"/>
      <c r="EP21" s="242"/>
      <c r="EQ21" s="242"/>
      <c r="ER21" s="242"/>
      <c r="ES21" s="242"/>
      <c r="ET21" s="242"/>
      <c r="EU21" s="242"/>
      <c r="EV21" s="243"/>
      <c r="EW21" s="243"/>
      <c r="EX21" s="243"/>
      <c r="EY21" s="243"/>
      <c r="EZ21" s="243"/>
      <c r="FA21" s="243"/>
      <c r="FB21" s="243"/>
      <c r="FC21" s="242"/>
      <c r="FD21" s="242"/>
      <c r="FE21" s="242"/>
      <c r="FF21" s="242"/>
      <c r="FG21" s="242"/>
      <c r="FH21" s="242"/>
      <c r="FI21" s="242"/>
      <c r="FJ21" s="243"/>
      <c r="FK21" s="243"/>
      <c r="FL21" s="243"/>
      <c r="FM21" s="243"/>
      <c r="FN21" s="243"/>
      <c r="FO21" s="243"/>
      <c r="FP21" s="243"/>
      <c r="FQ21" s="242"/>
      <c r="FR21" s="242"/>
      <c r="FS21" s="242"/>
      <c r="FT21" s="242"/>
      <c r="FU21" s="242"/>
      <c r="FV21" s="242"/>
      <c r="FW21" s="242"/>
      <c r="FX21" s="243"/>
      <c r="FY21" s="243"/>
      <c r="FZ21" s="243"/>
      <c r="GA21" s="243"/>
      <c r="GB21" s="243"/>
      <c r="GC21" s="243"/>
      <c r="GD21" s="243"/>
      <c r="GE21" s="242"/>
      <c r="GF21" s="242"/>
      <c r="GG21" s="242"/>
      <c r="GH21" s="242"/>
      <c r="GI21" s="242"/>
      <c r="GJ21" s="242"/>
      <c r="GK21" s="242"/>
      <c r="GL21" s="243"/>
      <c r="GM21" s="243"/>
      <c r="GN21" s="243"/>
      <c r="GO21" s="243"/>
      <c r="GP21" s="243"/>
      <c r="GQ21" s="243"/>
      <c r="GR21" s="243"/>
      <c r="GS21" s="242"/>
      <c r="GT21" s="242"/>
      <c r="GU21" s="242"/>
      <c r="GV21" s="242"/>
      <c r="GW21" s="242"/>
      <c r="GX21" s="242"/>
      <c r="GY21" s="242"/>
      <c r="GZ21" s="243"/>
      <c r="HA21" s="243"/>
      <c r="HB21" s="243"/>
      <c r="HC21" s="243"/>
      <c r="HD21" s="243"/>
      <c r="HE21" s="243"/>
      <c r="HF21" s="243"/>
      <c r="HG21" s="242"/>
      <c r="HH21" s="242"/>
      <c r="HI21" s="242"/>
      <c r="HJ21" s="242"/>
      <c r="HK21" s="242"/>
      <c r="HL21" s="242"/>
      <c r="HM21" s="242"/>
      <c r="HN21" s="243"/>
      <c r="HO21" s="243"/>
      <c r="HP21" s="243"/>
      <c r="HQ21" s="243"/>
      <c r="HR21" s="243"/>
      <c r="HS21" s="243"/>
      <c r="HT21" s="243"/>
      <c r="HU21" s="242"/>
      <c r="HV21" s="242"/>
      <c r="HW21" s="242"/>
      <c r="HX21" s="242"/>
      <c r="HY21" s="242"/>
      <c r="HZ21" s="242"/>
      <c r="IA21" s="242"/>
      <c r="IB21" s="243"/>
      <c r="IC21" s="243"/>
      <c r="ID21" s="243"/>
      <c r="IE21" s="243"/>
      <c r="IF21" s="243"/>
      <c r="IG21" s="243"/>
      <c r="IH21" s="243"/>
      <c r="II21" s="242"/>
      <c r="IJ21" s="242"/>
      <c r="IK21" s="242"/>
      <c r="IL21" s="242"/>
      <c r="IM21" s="242"/>
      <c r="IN21" s="242"/>
      <c r="IO21" s="242"/>
      <c r="IP21" s="243"/>
      <c r="IQ21" s="243"/>
      <c r="IR21" s="243"/>
      <c r="IS21" s="243"/>
      <c r="IT21" s="243"/>
      <c r="IU21" s="243"/>
      <c r="IV21" s="243"/>
      <c r="IW21" s="242"/>
      <c r="IX21" s="242"/>
      <c r="IY21" s="242"/>
      <c r="IZ21" s="242"/>
      <c r="JA21" s="242"/>
      <c r="JB21" s="242"/>
      <c r="JC21" s="242"/>
      <c r="JD21" s="243"/>
      <c r="JE21" s="243"/>
      <c r="JF21" s="243"/>
      <c r="JG21" s="243"/>
      <c r="JH21" s="243"/>
      <c r="JI21" s="243"/>
      <c r="JJ21" s="243"/>
      <c r="JK21" s="242"/>
      <c r="JL21" s="242"/>
      <c r="JM21" s="242"/>
      <c r="JN21" s="242"/>
      <c r="JO21" s="242"/>
      <c r="JP21" s="242"/>
      <c r="JQ21" s="242"/>
      <c r="JR21" s="243"/>
      <c r="JS21" s="243"/>
      <c r="JT21" s="243"/>
      <c r="JU21" s="243"/>
      <c r="JV21" s="243"/>
      <c r="JW21" s="243"/>
      <c r="JX21" s="243"/>
      <c r="JY21" s="242"/>
      <c r="JZ21" s="242"/>
      <c r="KA21" s="242"/>
      <c r="KB21" s="242"/>
      <c r="KC21" s="242"/>
      <c r="KD21" s="242"/>
      <c r="KE21" s="242"/>
      <c r="KF21" s="243"/>
      <c r="KG21" s="243"/>
      <c r="KH21" s="243"/>
      <c r="KI21" s="243"/>
      <c r="KJ21" s="243"/>
      <c r="KK21" s="243"/>
      <c r="KL21" s="243"/>
      <c r="KM21" s="242"/>
      <c r="KN21" s="242"/>
      <c r="KO21" s="242"/>
      <c r="KP21" s="242"/>
      <c r="KQ21" s="242"/>
      <c r="KR21" s="242"/>
      <c r="KS21" s="242"/>
      <c r="KT21" s="243"/>
      <c r="KU21" s="243"/>
      <c r="KV21" s="243"/>
      <c r="KW21" s="243"/>
      <c r="KX21" s="243"/>
      <c r="KY21" s="243"/>
      <c r="KZ21" s="243"/>
      <c r="LA21" s="242"/>
      <c r="LB21" s="242"/>
      <c r="LC21" s="242"/>
      <c r="LD21" s="242"/>
      <c r="LE21" s="242"/>
      <c r="LF21" s="242"/>
      <c r="LG21" s="242"/>
      <c r="LH21" s="243"/>
      <c r="LI21" s="243"/>
      <c r="LJ21" s="243"/>
      <c r="LK21" s="243"/>
      <c r="LL21" s="243"/>
      <c r="LM21" s="243"/>
      <c r="LN21" s="243"/>
      <c r="LO21" s="242"/>
      <c r="LP21" s="242"/>
      <c r="LQ21" s="242"/>
      <c r="LR21" s="242"/>
      <c r="LS21" s="242"/>
      <c r="LT21" s="242"/>
      <c r="LU21" s="242"/>
      <c r="LV21" s="243"/>
      <c r="LW21" s="243"/>
      <c r="LX21" s="243"/>
      <c r="LY21" s="243"/>
      <c r="LZ21" s="243"/>
      <c r="MA21" s="243"/>
      <c r="MB21" s="243"/>
      <c r="MC21" s="242"/>
      <c r="MD21" s="242"/>
      <c r="ME21" s="242"/>
      <c r="MF21" s="242"/>
      <c r="MG21" s="242"/>
      <c r="MH21" s="242"/>
      <c r="MI21" s="242"/>
      <c r="MJ21" s="243"/>
      <c r="MK21" s="243"/>
      <c r="ML21" s="243"/>
      <c r="MM21" s="243"/>
      <c r="MN21" s="243"/>
      <c r="MO21" s="243"/>
      <c r="MP21" s="243"/>
      <c r="MQ21" s="242"/>
      <c r="MR21" s="242"/>
      <c r="MS21" s="242"/>
      <c r="MT21" s="242"/>
      <c r="MU21" s="242"/>
      <c r="MV21" s="242"/>
      <c r="MW21" s="242"/>
      <c r="MX21" s="243"/>
      <c r="MY21" s="243"/>
      <c r="MZ21" s="243"/>
      <c r="NA21" s="243"/>
      <c r="NB21" s="243"/>
      <c r="NC21" s="243"/>
      <c r="ND21" s="243"/>
      <c r="NE21" s="242"/>
      <c r="NF21" s="242"/>
      <c r="NG21" s="242"/>
      <c r="NH21" s="243" t="s">
        <v>1132</v>
      </c>
    </row>
    <row r="22" spans="1:372">
      <c r="A22" s="254" t="s">
        <v>965</v>
      </c>
      <c r="B22" s="239" t="s">
        <v>21</v>
      </c>
      <c r="C22" s="240" t="s">
        <v>675</v>
      </c>
      <c r="D22" s="240" t="s">
        <v>982</v>
      </c>
      <c r="E22" s="241">
        <v>129.19052775074076</v>
      </c>
      <c r="F22" s="252">
        <v>96</v>
      </c>
      <c r="G22" s="242"/>
      <c r="H22" s="242"/>
      <c r="I22" s="242"/>
      <c r="J22" s="242"/>
      <c r="K22" s="242"/>
      <c r="L22" s="243"/>
      <c r="M22" s="243"/>
      <c r="N22" s="243"/>
      <c r="O22" s="243"/>
      <c r="P22" s="243"/>
      <c r="Q22" s="243"/>
      <c r="R22" s="243"/>
      <c r="S22" s="242"/>
      <c r="T22" s="242"/>
      <c r="U22" s="242"/>
      <c r="V22" s="242"/>
      <c r="W22" s="242"/>
      <c r="X22" s="242"/>
      <c r="Y22" s="242"/>
      <c r="Z22" s="243"/>
      <c r="AA22" s="243"/>
      <c r="AB22" s="243"/>
      <c r="AC22" s="243"/>
      <c r="AD22" s="243"/>
      <c r="AE22" s="243"/>
      <c r="AF22" s="243"/>
      <c r="AG22" s="242"/>
      <c r="AH22" s="242"/>
      <c r="AI22" s="242"/>
      <c r="AJ22" s="242"/>
      <c r="AK22" s="242"/>
      <c r="AL22" s="242"/>
      <c r="AM22" s="242"/>
      <c r="AN22" s="243"/>
      <c r="AO22" s="243"/>
      <c r="AP22" s="243"/>
      <c r="AQ22" s="243"/>
      <c r="AR22" s="243"/>
      <c r="AS22" s="243"/>
      <c r="AT22" s="243"/>
      <c r="AU22" s="242"/>
      <c r="AV22" s="242"/>
      <c r="AW22" s="242"/>
      <c r="AX22" s="242"/>
      <c r="AY22" s="242"/>
      <c r="AZ22" s="242"/>
      <c r="BA22" s="242"/>
      <c r="BB22" s="243"/>
      <c r="BC22" s="243"/>
      <c r="BD22" s="243"/>
      <c r="BE22" s="243"/>
      <c r="BF22" s="243"/>
      <c r="BG22" s="243"/>
      <c r="BH22" s="243"/>
      <c r="BI22" s="242"/>
      <c r="BJ22" s="242"/>
      <c r="BK22" s="242"/>
      <c r="BL22" s="242"/>
      <c r="BM22" s="242"/>
      <c r="BN22" s="242"/>
      <c r="BO22" s="242"/>
      <c r="BP22" s="243"/>
      <c r="BQ22" s="243"/>
      <c r="BR22" s="243"/>
      <c r="BS22" s="243"/>
      <c r="BT22" s="243"/>
      <c r="BU22" s="243"/>
      <c r="BV22" s="243"/>
      <c r="BW22" s="242"/>
      <c r="BX22" s="242"/>
      <c r="BY22" s="242"/>
      <c r="BZ22" s="242"/>
      <c r="CA22" s="242"/>
      <c r="CB22" s="242"/>
      <c r="CC22" s="242"/>
      <c r="CD22" s="243"/>
      <c r="CE22" s="243"/>
      <c r="CF22" s="243"/>
      <c r="CG22" s="243"/>
      <c r="CH22" s="243"/>
      <c r="CI22" s="243"/>
      <c r="CJ22" s="243"/>
      <c r="CK22" s="242"/>
      <c r="CL22" s="242"/>
      <c r="CM22" s="242"/>
      <c r="CN22" s="242"/>
      <c r="CO22" s="242"/>
      <c r="CP22" s="242"/>
      <c r="CQ22" s="242"/>
      <c r="CR22" s="243"/>
      <c r="CS22" s="243"/>
      <c r="CT22" s="243"/>
      <c r="CU22" s="243"/>
      <c r="CV22" s="243"/>
      <c r="CW22" s="243"/>
      <c r="CX22" s="243"/>
      <c r="CY22" s="242"/>
      <c r="CZ22" s="242"/>
      <c r="DA22" s="242"/>
      <c r="DB22" s="242"/>
      <c r="DC22" s="242"/>
      <c r="DD22" s="242"/>
      <c r="DE22" s="242"/>
      <c r="DF22" s="243"/>
      <c r="DG22" s="243"/>
      <c r="DH22" s="243"/>
      <c r="DI22" s="243"/>
      <c r="DJ22" s="243"/>
      <c r="DK22" s="243"/>
      <c r="DL22" s="243"/>
      <c r="DM22" s="242"/>
      <c r="DN22" s="242"/>
      <c r="DO22" s="242"/>
      <c r="DP22" s="242"/>
      <c r="DQ22" s="242"/>
      <c r="DR22" s="242"/>
      <c r="DS22" s="242"/>
      <c r="DT22" s="243"/>
      <c r="DU22" s="243"/>
      <c r="DV22" s="243"/>
      <c r="DW22" s="243"/>
      <c r="DX22" s="243"/>
      <c r="DY22" s="243"/>
      <c r="DZ22" s="243"/>
      <c r="EA22" s="242"/>
      <c r="EB22" s="242"/>
      <c r="EC22" s="242"/>
      <c r="ED22" s="242"/>
      <c r="EE22" s="242"/>
      <c r="EF22" s="242"/>
      <c r="EG22" s="242"/>
      <c r="EH22" s="243"/>
      <c r="EI22" s="243"/>
      <c r="EJ22" s="243"/>
      <c r="EK22" s="243"/>
      <c r="EL22" s="243"/>
      <c r="EM22" s="243"/>
      <c r="EN22" s="243"/>
      <c r="EO22" s="242"/>
      <c r="EP22" s="242"/>
      <c r="EQ22" s="242"/>
      <c r="ER22" s="242"/>
      <c r="ES22" s="242"/>
      <c r="ET22" s="242"/>
      <c r="EU22" s="242"/>
      <c r="EV22" s="243"/>
      <c r="EW22" s="243"/>
      <c r="EX22" s="243"/>
      <c r="EY22" s="243"/>
      <c r="EZ22" s="243"/>
      <c r="FA22" s="243"/>
      <c r="FB22" s="243"/>
      <c r="FC22" s="242"/>
      <c r="FD22" s="242"/>
      <c r="FE22" s="242"/>
      <c r="FF22" s="242"/>
      <c r="FG22" s="242"/>
      <c r="FH22" s="242"/>
      <c r="FI22" s="242"/>
      <c r="FJ22" s="243"/>
      <c r="FK22" s="243"/>
      <c r="FL22" s="243"/>
      <c r="FM22" s="243"/>
      <c r="FN22" s="243"/>
      <c r="FO22" s="243"/>
      <c r="FP22" s="243"/>
      <c r="FQ22" s="242"/>
      <c r="FR22" s="242"/>
      <c r="FS22" s="242"/>
      <c r="FT22" s="242"/>
      <c r="FU22" s="242"/>
      <c r="FV22" s="242"/>
      <c r="FW22" s="242"/>
      <c r="FX22" s="243"/>
      <c r="FY22" s="243"/>
      <c r="FZ22" s="243"/>
      <c r="GA22" s="243"/>
      <c r="GB22" s="243"/>
      <c r="GC22" s="243"/>
      <c r="GD22" s="243"/>
      <c r="GE22" s="242"/>
      <c r="GF22" s="242"/>
      <c r="GG22" s="242"/>
      <c r="GH22" s="242"/>
      <c r="GI22" s="242"/>
      <c r="GJ22" s="242"/>
      <c r="GK22" s="242"/>
      <c r="GL22" s="243"/>
      <c r="GM22" s="243"/>
      <c r="GN22" s="243"/>
      <c r="GO22" s="243"/>
      <c r="GP22" s="243"/>
      <c r="GQ22" s="243"/>
      <c r="GR22" s="243"/>
      <c r="GS22" s="242"/>
      <c r="GT22" s="242"/>
      <c r="GU22" s="242"/>
      <c r="GV22" s="242"/>
      <c r="GW22" s="242"/>
      <c r="GX22" s="242"/>
      <c r="GY22" s="242"/>
      <c r="GZ22" s="243"/>
      <c r="HA22" s="243"/>
      <c r="HB22" s="243"/>
      <c r="HC22" s="243"/>
      <c r="HD22" s="243"/>
      <c r="HE22" s="243"/>
      <c r="HF22" s="243"/>
      <c r="HG22" s="242"/>
      <c r="HH22" s="242"/>
      <c r="HI22" s="242"/>
      <c r="HJ22" s="242"/>
      <c r="HK22" s="242"/>
      <c r="HL22" s="242"/>
      <c r="HM22" s="242"/>
      <c r="HN22" s="243"/>
      <c r="HO22" s="243"/>
      <c r="HP22" s="243"/>
      <c r="HQ22" s="243"/>
      <c r="HR22" s="243"/>
      <c r="HS22" s="243"/>
      <c r="HT22" s="243"/>
      <c r="HU22" s="242"/>
      <c r="HV22" s="242"/>
      <c r="HW22" s="242"/>
      <c r="HX22" s="242"/>
      <c r="HY22" s="242"/>
      <c r="HZ22" s="242"/>
      <c r="IA22" s="242"/>
      <c r="IB22" s="243"/>
      <c r="IC22" s="243"/>
      <c r="ID22" s="243"/>
      <c r="IE22" s="243"/>
      <c r="IF22" s="243"/>
      <c r="IG22" s="243"/>
      <c r="IH22" s="243"/>
      <c r="II22" s="242"/>
      <c r="IJ22" s="242"/>
      <c r="IK22" s="242"/>
      <c r="IL22" s="242"/>
      <c r="IM22" s="242"/>
      <c r="IN22" s="242"/>
      <c r="IO22" s="242"/>
      <c r="IP22" s="243"/>
      <c r="IQ22" s="243"/>
      <c r="IR22" s="243"/>
      <c r="IS22" s="243"/>
      <c r="IT22" s="243"/>
      <c r="IU22" s="243"/>
      <c r="IV22" s="243"/>
      <c r="IW22" s="242"/>
      <c r="IX22" s="242"/>
      <c r="IY22" s="242"/>
      <c r="IZ22" s="242"/>
      <c r="JA22" s="242"/>
      <c r="JB22" s="242"/>
      <c r="JC22" s="242"/>
      <c r="JD22" s="243"/>
      <c r="JE22" s="243"/>
      <c r="JF22" s="243"/>
      <c r="JG22" s="243"/>
      <c r="JH22" s="243"/>
      <c r="JI22" s="243"/>
      <c r="JJ22" s="243"/>
      <c r="JK22" s="242"/>
      <c r="JL22" s="242"/>
      <c r="JM22" s="242"/>
      <c r="JN22" s="242"/>
      <c r="JO22" s="242"/>
      <c r="JP22" s="242"/>
      <c r="JQ22" s="242"/>
      <c r="JR22" s="243"/>
      <c r="JS22" s="243"/>
      <c r="JT22" s="243"/>
      <c r="JU22" s="243"/>
      <c r="JV22" s="243"/>
      <c r="JW22" s="243"/>
      <c r="JX22" s="243"/>
      <c r="JY22" s="242"/>
      <c r="JZ22" s="242"/>
      <c r="KA22" s="242"/>
      <c r="KB22" s="242"/>
      <c r="KC22" s="242"/>
      <c r="KD22" s="242"/>
      <c r="KE22" s="242"/>
      <c r="KF22" s="243"/>
      <c r="KG22" s="243"/>
      <c r="KH22" s="243"/>
      <c r="KI22" s="243"/>
      <c r="KJ22" s="243"/>
      <c r="KK22" s="243"/>
      <c r="KL22" s="243"/>
      <c r="KM22" s="242"/>
      <c r="KN22" s="242"/>
      <c r="KO22" s="242"/>
      <c r="KP22" s="242"/>
      <c r="KQ22" s="242"/>
      <c r="KR22" s="242"/>
      <c r="KS22" s="242"/>
      <c r="KT22" s="243"/>
      <c r="KU22" s="243"/>
      <c r="KV22" s="243"/>
      <c r="KW22" s="243"/>
      <c r="KX22" s="243"/>
      <c r="KY22" s="243"/>
      <c r="KZ22" s="243"/>
      <c r="LA22" s="242"/>
      <c r="LB22" s="242"/>
      <c r="LC22" s="242"/>
      <c r="LD22" s="242"/>
      <c r="LE22" s="242"/>
      <c r="LF22" s="242"/>
      <c r="LG22" s="242"/>
      <c r="LH22" s="243"/>
      <c r="LI22" s="243"/>
      <c r="LJ22" s="243"/>
      <c r="LK22" s="243"/>
      <c r="LL22" s="243"/>
      <c r="LM22" s="243"/>
      <c r="LN22" s="243"/>
      <c r="LO22" s="242"/>
      <c r="LP22" s="242"/>
      <c r="LQ22" s="242"/>
      <c r="LR22" s="242"/>
      <c r="LS22" s="242"/>
      <c r="LT22" s="242"/>
      <c r="LU22" s="242"/>
      <c r="LV22" s="243">
        <v>24</v>
      </c>
      <c r="LW22" s="243">
        <v>24</v>
      </c>
      <c r="LX22" s="243">
        <v>24</v>
      </c>
      <c r="LY22" s="243">
        <v>24</v>
      </c>
      <c r="LZ22" s="243"/>
      <c r="MA22" s="243"/>
      <c r="MB22" s="243"/>
      <c r="MC22" s="242"/>
      <c r="MD22" s="242"/>
      <c r="ME22" s="242"/>
      <c r="MF22" s="242"/>
      <c r="MG22" s="242"/>
      <c r="MH22" s="242"/>
      <c r="MI22" s="242"/>
      <c r="MJ22" s="243"/>
      <c r="MK22" s="243"/>
      <c r="ML22" s="243"/>
      <c r="MM22" s="243"/>
      <c r="MN22" s="243"/>
      <c r="MO22" s="243"/>
      <c r="MP22" s="243"/>
      <c r="MQ22" s="242"/>
      <c r="MR22" s="242"/>
      <c r="MS22" s="242"/>
      <c r="MT22" s="242"/>
      <c r="MU22" s="242"/>
      <c r="MV22" s="242"/>
      <c r="MW22" s="242"/>
      <c r="MX22" s="243"/>
      <c r="MY22" s="243"/>
      <c r="MZ22" s="243"/>
      <c r="NA22" s="243"/>
      <c r="NB22" s="243"/>
      <c r="NC22" s="243"/>
      <c r="ND22" s="243"/>
      <c r="NE22" s="242"/>
      <c r="NF22" s="242"/>
      <c r="NG22" s="242"/>
      <c r="NH22" s="243"/>
    </row>
    <row r="23" spans="1:372">
      <c r="A23" s="254" t="s">
        <v>965</v>
      </c>
      <c r="B23" s="239" t="s">
        <v>22</v>
      </c>
      <c r="C23" s="240" t="s">
        <v>675</v>
      </c>
      <c r="D23" s="240" t="s">
        <v>982</v>
      </c>
      <c r="E23" s="241">
        <v>127.80073331679623</v>
      </c>
      <c r="F23" s="252">
        <v>96</v>
      </c>
      <c r="G23" s="242"/>
      <c r="H23" s="242"/>
      <c r="I23" s="242"/>
      <c r="J23" s="242"/>
      <c r="K23" s="242"/>
      <c r="L23" s="243"/>
      <c r="M23" s="243"/>
      <c r="N23" s="243"/>
      <c r="O23" s="243"/>
      <c r="P23" s="243"/>
      <c r="Q23" s="243"/>
      <c r="R23" s="243"/>
      <c r="S23" s="242"/>
      <c r="T23" s="242"/>
      <c r="U23" s="242"/>
      <c r="V23" s="242"/>
      <c r="W23" s="242"/>
      <c r="X23" s="242"/>
      <c r="Y23" s="242"/>
      <c r="Z23" s="243"/>
      <c r="AA23" s="243"/>
      <c r="AB23" s="243"/>
      <c r="AC23" s="243"/>
      <c r="AD23" s="243"/>
      <c r="AE23" s="243"/>
      <c r="AF23" s="243"/>
      <c r="AG23" s="242"/>
      <c r="AH23" s="242"/>
      <c r="AI23" s="242"/>
      <c r="AJ23" s="242"/>
      <c r="AK23" s="242"/>
      <c r="AL23" s="242"/>
      <c r="AM23" s="242"/>
      <c r="AN23" s="243"/>
      <c r="AO23" s="243"/>
      <c r="AP23" s="243"/>
      <c r="AQ23" s="243"/>
      <c r="AR23" s="243"/>
      <c r="AS23" s="243"/>
      <c r="AT23" s="243"/>
      <c r="AU23" s="242"/>
      <c r="AV23" s="242"/>
      <c r="AW23" s="242"/>
      <c r="AX23" s="242"/>
      <c r="AY23" s="242"/>
      <c r="AZ23" s="242"/>
      <c r="BA23" s="242"/>
      <c r="BB23" s="243"/>
      <c r="BC23" s="243"/>
      <c r="BD23" s="243"/>
      <c r="BE23" s="243"/>
      <c r="BF23" s="243"/>
      <c r="BG23" s="243"/>
      <c r="BH23" s="243"/>
      <c r="BI23" s="242"/>
      <c r="BJ23" s="242"/>
      <c r="BK23" s="242"/>
      <c r="BL23" s="242"/>
      <c r="BM23" s="242"/>
      <c r="BN23" s="242"/>
      <c r="BO23" s="242"/>
      <c r="BP23" s="243"/>
      <c r="BQ23" s="243"/>
      <c r="BR23" s="243"/>
      <c r="BS23" s="243"/>
      <c r="BT23" s="243"/>
      <c r="BU23" s="243"/>
      <c r="BV23" s="243"/>
      <c r="BW23" s="242"/>
      <c r="BX23" s="242"/>
      <c r="BY23" s="242"/>
      <c r="BZ23" s="242"/>
      <c r="CA23" s="242"/>
      <c r="CB23" s="242"/>
      <c r="CC23" s="242"/>
      <c r="CD23" s="243"/>
      <c r="CE23" s="243"/>
      <c r="CF23" s="243"/>
      <c r="CG23" s="243"/>
      <c r="CH23" s="243"/>
      <c r="CI23" s="243"/>
      <c r="CJ23" s="243"/>
      <c r="CK23" s="242"/>
      <c r="CL23" s="242"/>
      <c r="CM23" s="242"/>
      <c r="CN23" s="242"/>
      <c r="CO23" s="242"/>
      <c r="CP23" s="242"/>
      <c r="CQ23" s="242"/>
      <c r="CR23" s="243"/>
      <c r="CS23" s="243"/>
      <c r="CT23" s="243"/>
      <c r="CU23" s="243"/>
      <c r="CV23" s="243"/>
      <c r="CW23" s="243"/>
      <c r="CX23" s="243"/>
      <c r="CY23" s="242"/>
      <c r="CZ23" s="242"/>
      <c r="DA23" s="242"/>
      <c r="DB23" s="242"/>
      <c r="DC23" s="242"/>
      <c r="DD23" s="242"/>
      <c r="DE23" s="242"/>
      <c r="DF23" s="243"/>
      <c r="DG23" s="243"/>
      <c r="DH23" s="243"/>
      <c r="DI23" s="243"/>
      <c r="DJ23" s="243"/>
      <c r="DK23" s="243"/>
      <c r="DL23" s="243"/>
      <c r="DM23" s="242"/>
      <c r="DN23" s="242"/>
      <c r="DO23" s="242"/>
      <c r="DP23" s="242"/>
      <c r="DQ23" s="242"/>
      <c r="DR23" s="242"/>
      <c r="DS23" s="242"/>
      <c r="DT23" s="243"/>
      <c r="DU23" s="243"/>
      <c r="DV23" s="243"/>
      <c r="DW23" s="243"/>
      <c r="DX23" s="243"/>
      <c r="DY23" s="243"/>
      <c r="DZ23" s="243"/>
      <c r="EA23" s="242"/>
      <c r="EB23" s="242"/>
      <c r="EC23" s="242"/>
      <c r="ED23" s="242"/>
      <c r="EE23" s="242"/>
      <c r="EF23" s="242"/>
      <c r="EG23" s="242"/>
      <c r="EH23" s="243"/>
      <c r="EI23" s="243"/>
      <c r="EJ23" s="243"/>
      <c r="EK23" s="243"/>
      <c r="EL23" s="243"/>
      <c r="EM23" s="243"/>
      <c r="EN23" s="243"/>
      <c r="EO23" s="242"/>
      <c r="EP23" s="242"/>
      <c r="EQ23" s="242"/>
      <c r="ER23" s="242"/>
      <c r="ES23" s="242"/>
      <c r="ET23" s="242"/>
      <c r="EU23" s="242"/>
      <c r="EV23" s="243"/>
      <c r="EW23" s="243"/>
      <c r="EX23" s="243"/>
      <c r="EY23" s="243"/>
      <c r="EZ23" s="243"/>
      <c r="FA23" s="243"/>
      <c r="FB23" s="243"/>
      <c r="FC23" s="242"/>
      <c r="FD23" s="242"/>
      <c r="FE23" s="242"/>
      <c r="FF23" s="242"/>
      <c r="FG23" s="242"/>
      <c r="FH23" s="242"/>
      <c r="FI23" s="242"/>
      <c r="FJ23" s="243"/>
      <c r="FK23" s="243"/>
      <c r="FL23" s="243"/>
      <c r="FM23" s="243"/>
      <c r="FN23" s="243"/>
      <c r="FO23" s="243"/>
      <c r="FP23" s="243"/>
      <c r="FQ23" s="242"/>
      <c r="FR23" s="242"/>
      <c r="FS23" s="242"/>
      <c r="FT23" s="242"/>
      <c r="FU23" s="242"/>
      <c r="FV23" s="242"/>
      <c r="FW23" s="242"/>
      <c r="FX23" s="243"/>
      <c r="FY23" s="243"/>
      <c r="FZ23" s="243"/>
      <c r="GA23" s="243"/>
      <c r="GB23" s="243"/>
      <c r="GC23" s="243"/>
      <c r="GD23" s="243"/>
      <c r="GE23" s="242"/>
      <c r="GF23" s="242"/>
      <c r="GG23" s="242"/>
      <c r="GH23" s="242"/>
      <c r="GI23" s="242"/>
      <c r="GJ23" s="242"/>
      <c r="GK23" s="242"/>
      <c r="GL23" s="243"/>
      <c r="GM23" s="243"/>
      <c r="GN23" s="243"/>
      <c r="GO23" s="243"/>
      <c r="GP23" s="243"/>
      <c r="GQ23" s="243"/>
      <c r="GR23" s="243"/>
      <c r="GS23" s="242"/>
      <c r="GT23" s="242"/>
      <c r="GU23" s="242"/>
      <c r="GV23" s="242"/>
      <c r="GW23" s="242"/>
      <c r="GX23" s="242"/>
      <c r="GY23" s="242"/>
      <c r="GZ23" s="243"/>
      <c r="HA23" s="243"/>
      <c r="HB23" s="243"/>
      <c r="HC23" s="243"/>
      <c r="HD23" s="243"/>
      <c r="HE23" s="243"/>
      <c r="HF23" s="243"/>
      <c r="HG23" s="242"/>
      <c r="HH23" s="242"/>
      <c r="HI23" s="242"/>
      <c r="HJ23" s="242"/>
      <c r="HK23" s="242"/>
      <c r="HL23" s="242"/>
      <c r="HM23" s="242"/>
      <c r="HN23" s="243"/>
      <c r="HO23" s="243"/>
      <c r="HP23" s="243"/>
      <c r="HQ23" s="243"/>
      <c r="HR23" s="243"/>
      <c r="HS23" s="243"/>
      <c r="HT23" s="243"/>
      <c r="HU23" s="242"/>
      <c r="HV23" s="242"/>
      <c r="HW23" s="242"/>
      <c r="HX23" s="242"/>
      <c r="HY23" s="242"/>
      <c r="HZ23" s="242"/>
      <c r="IA23" s="242"/>
      <c r="IB23" s="243"/>
      <c r="IC23" s="243"/>
      <c r="ID23" s="243"/>
      <c r="IE23" s="243"/>
      <c r="IF23" s="243"/>
      <c r="IG23" s="243"/>
      <c r="IH23" s="243"/>
      <c r="II23" s="242"/>
      <c r="IJ23" s="242"/>
      <c r="IK23" s="242"/>
      <c r="IL23" s="242"/>
      <c r="IM23" s="242"/>
      <c r="IN23" s="242"/>
      <c r="IO23" s="242"/>
      <c r="IP23" s="243"/>
      <c r="IQ23" s="243"/>
      <c r="IR23" s="243"/>
      <c r="IS23" s="243"/>
      <c r="IT23" s="243"/>
      <c r="IU23" s="243"/>
      <c r="IV23" s="243"/>
      <c r="IW23" s="242"/>
      <c r="IX23" s="242"/>
      <c r="IY23" s="242"/>
      <c r="IZ23" s="242"/>
      <c r="JA23" s="242"/>
      <c r="JB23" s="242"/>
      <c r="JC23" s="242"/>
      <c r="JD23" s="243"/>
      <c r="JE23" s="243"/>
      <c r="JF23" s="243"/>
      <c r="JG23" s="243"/>
      <c r="JH23" s="243"/>
      <c r="JI23" s="243"/>
      <c r="JJ23" s="243"/>
      <c r="JK23" s="242"/>
      <c r="JL23" s="242"/>
      <c r="JM23" s="242"/>
      <c r="JN23" s="242"/>
      <c r="JO23" s="242"/>
      <c r="JP23" s="242"/>
      <c r="JQ23" s="242"/>
      <c r="JR23" s="243"/>
      <c r="JS23" s="243"/>
      <c r="JT23" s="243"/>
      <c r="JU23" s="243"/>
      <c r="JV23" s="243"/>
      <c r="JW23" s="243"/>
      <c r="JX23" s="243"/>
      <c r="JY23" s="242"/>
      <c r="JZ23" s="242"/>
      <c r="KA23" s="242"/>
      <c r="KB23" s="242"/>
      <c r="KC23" s="242"/>
      <c r="KD23" s="242"/>
      <c r="KE23" s="242"/>
      <c r="KF23" s="243"/>
      <c r="KG23" s="243"/>
      <c r="KH23" s="243"/>
      <c r="KI23" s="243"/>
      <c r="KJ23" s="243"/>
      <c r="KK23" s="243"/>
      <c r="KL23" s="243"/>
      <c r="KM23" s="242"/>
      <c r="KN23" s="242"/>
      <c r="KO23" s="242"/>
      <c r="KP23" s="242"/>
      <c r="KQ23" s="242"/>
      <c r="KR23" s="242"/>
      <c r="KS23" s="242"/>
      <c r="KT23" s="243"/>
      <c r="KU23" s="243"/>
      <c r="KV23" s="243"/>
      <c r="KW23" s="243"/>
      <c r="KX23" s="243"/>
      <c r="KY23" s="243"/>
      <c r="KZ23" s="243"/>
      <c r="LA23" s="242"/>
      <c r="LB23" s="242"/>
      <c r="LC23" s="242"/>
      <c r="LD23" s="242"/>
      <c r="LE23" s="242"/>
      <c r="LF23" s="242"/>
      <c r="LG23" s="242"/>
      <c r="LH23" s="243"/>
      <c r="LI23" s="243"/>
      <c r="LJ23" s="243"/>
      <c r="LK23" s="243"/>
      <c r="LL23" s="243"/>
      <c r="LM23" s="243"/>
      <c r="LN23" s="243"/>
      <c r="LO23" s="242"/>
      <c r="LP23" s="242"/>
      <c r="LQ23" s="242"/>
      <c r="LR23" s="242"/>
      <c r="LS23" s="242"/>
      <c r="LT23" s="242"/>
      <c r="LU23" s="242"/>
      <c r="LV23" s="243">
        <v>24</v>
      </c>
      <c r="LW23" s="243">
        <v>24</v>
      </c>
      <c r="LX23" s="243">
        <v>24</v>
      </c>
      <c r="LY23" s="243">
        <v>24</v>
      </c>
      <c r="LZ23" s="243"/>
      <c r="MA23" s="243"/>
      <c r="MB23" s="243"/>
      <c r="MC23" s="242"/>
      <c r="MD23" s="242"/>
      <c r="ME23" s="242"/>
      <c r="MF23" s="242"/>
      <c r="MG23" s="242"/>
      <c r="MH23" s="242"/>
      <c r="MI23" s="242"/>
      <c r="MJ23" s="243"/>
      <c r="MK23" s="243"/>
      <c r="ML23" s="243"/>
      <c r="MM23" s="243"/>
      <c r="MN23" s="243"/>
      <c r="MO23" s="243"/>
      <c r="MP23" s="243"/>
      <c r="MQ23" s="242"/>
      <c r="MR23" s="242"/>
      <c r="MS23" s="242"/>
      <c r="MT23" s="242"/>
      <c r="MU23" s="242"/>
      <c r="MV23" s="242"/>
      <c r="MW23" s="242"/>
      <c r="MX23" s="243"/>
      <c r="MY23" s="243"/>
      <c r="MZ23" s="243"/>
      <c r="NA23" s="243"/>
      <c r="NB23" s="243"/>
      <c r="NC23" s="243"/>
      <c r="ND23" s="243"/>
      <c r="NE23" s="242"/>
      <c r="NF23" s="242"/>
      <c r="NG23" s="242"/>
      <c r="NH23" s="243"/>
    </row>
    <row r="24" spans="1:372" ht="25.5">
      <c r="A24" s="254" t="s">
        <v>966</v>
      </c>
      <c r="B24" s="239" t="s">
        <v>47</v>
      </c>
      <c r="C24" s="240" t="s">
        <v>674</v>
      </c>
      <c r="D24" s="240" t="s">
        <v>997</v>
      </c>
      <c r="E24" s="241">
        <v>714.86529998069966</v>
      </c>
      <c r="F24" s="252">
        <v>744</v>
      </c>
      <c r="G24" s="242"/>
      <c r="H24" s="242"/>
      <c r="I24" s="242"/>
      <c r="J24" s="242"/>
      <c r="K24" s="242"/>
      <c r="L24" s="243"/>
      <c r="M24" s="243"/>
      <c r="N24" s="243"/>
      <c r="O24" s="243"/>
      <c r="P24" s="243"/>
      <c r="Q24" s="243"/>
      <c r="R24" s="243"/>
      <c r="S24" s="242"/>
      <c r="T24" s="242"/>
      <c r="U24" s="242"/>
      <c r="V24" s="242"/>
      <c r="W24" s="242"/>
      <c r="X24" s="242"/>
      <c r="Y24" s="242"/>
      <c r="Z24" s="243"/>
      <c r="AA24" s="243"/>
      <c r="AB24" s="243"/>
      <c r="AC24" s="243"/>
      <c r="AD24" s="243"/>
      <c r="AE24" s="243"/>
      <c r="AF24" s="243"/>
      <c r="AG24" s="242"/>
      <c r="AH24" s="242"/>
      <c r="AI24" s="242"/>
      <c r="AJ24" s="242"/>
      <c r="AK24" s="242"/>
      <c r="AL24" s="242"/>
      <c r="AM24" s="242"/>
      <c r="AN24" s="243"/>
      <c r="AO24" s="243"/>
      <c r="AP24" s="243"/>
      <c r="AQ24" s="243"/>
      <c r="AR24" s="243"/>
      <c r="AS24" s="243"/>
      <c r="AT24" s="243"/>
      <c r="AU24" s="242"/>
      <c r="AV24" s="242"/>
      <c r="AW24" s="242"/>
      <c r="AX24" s="242"/>
      <c r="AY24" s="242"/>
      <c r="AZ24" s="242"/>
      <c r="BA24" s="242"/>
      <c r="BB24" s="243"/>
      <c r="BC24" s="243"/>
      <c r="BD24" s="243"/>
      <c r="BE24" s="243"/>
      <c r="BF24" s="243"/>
      <c r="BG24" s="243"/>
      <c r="BH24" s="243"/>
      <c r="BI24" s="242"/>
      <c r="BJ24" s="242"/>
      <c r="BK24" s="242"/>
      <c r="BL24" s="242"/>
      <c r="BM24" s="242"/>
      <c r="BN24" s="242"/>
      <c r="BO24" s="242"/>
      <c r="BP24" s="243"/>
      <c r="BQ24" s="243"/>
      <c r="BR24" s="243"/>
      <c r="BS24" s="243"/>
      <c r="BT24" s="243"/>
      <c r="BU24" s="243"/>
      <c r="BV24" s="243"/>
      <c r="BW24" s="242"/>
      <c r="BX24" s="242"/>
      <c r="BY24" s="242"/>
      <c r="BZ24" s="242"/>
      <c r="CA24" s="242"/>
      <c r="CB24" s="242"/>
      <c r="CC24" s="242"/>
      <c r="CD24" s="243"/>
      <c r="CE24" s="243"/>
      <c r="CF24" s="243"/>
      <c r="CG24" s="243"/>
      <c r="CH24" s="243"/>
      <c r="CI24" s="243"/>
      <c r="CJ24" s="243"/>
      <c r="CK24" s="242"/>
      <c r="CL24" s="242"/>
      <c r="CM24" s="242"/>
      <c r="CN24" s="242"/>
      <c r="CO24" s="242"/>
      <c r="CP24" s="242"/>
      <c r="CQ24" s="242"/>
      <c r="CR24" s="243"/>
      <c r="CS24" s="243"/>
      <c r="CT24" s="243"/>
      <c r="CU24" s="243"/>
      <c r="CV24" s="243"/>
      <c r="CW24" s="243"/>
      <c r="CX24" s="243"/>
      <c r="CY24" s="242"/>
      <c r="CZ24" s="242"/>
      <c r="DA24" s="242"/>
      <c r="DB24" s="242"/>
      <c r="DC24" s="242"/>
      <c r="DD24" s="242"/>
      <c r="DE24" s="242"/>
      <c r="DF24" s="243"/>
      <c r="DG24" s="243"/>
      <c r="DH24" s="243"/>
      <c r="DI24" s="243"/>
      <c r="DJ24" s="243"/>
      <c r="DK24" s="243"/>
      <c r="DL24" s="243"/>
      <c r="DM24" s="242"/>
      <c r="DN24" s="242"/>
      <c r="DO24" s="242"/>
      <c r="DP24" s="242"/>
      <c r="DQ24" s="242"/>
      <c r="DR24" s="242"/>
      <c r="DS24" s="242"/>
      <c r="DT24" s="243"/>
      <c r="DU24" s="243"/>
      <c r="DV24" s="243"/>
      <c r="DW24" s="243"/>
      <c r="DX24" s="243"/>
      <c r="DY24" s="243"/>
      <c r="DZ24" s="243"/>
      <c r="EA24" s="242"/>
      <c r="EB24" s="242"/>
      <c r="EC24" s="242"/>
      <c r="ED24" s="242"/>
      <c r="EE24" s="242"/>
      <c r="EF24" s="242"/>
      <c r="EG24" s="242"/>
      <c r="EH24" s="243"/>
      <c r="EI24" s="243"/>
      <c r="EJ24" s="243"/>
      <c r="EK24" s="243"/>
      <c r="EL24" s="243"/>
      <c r="EM24" s="243"/>
      <c r="EN24" s="243"/>
      <c r="EO24" s="242"/>
      <c r="EP24" s="242"/>
      <c r="EQ24" s="242"/>
      <c r="ER24" s="242"/>
      <c r="ES24" s="242"/>
      <c r="ET24" s="242"/>
      <c r="EU24" s="242"/>
      <c r="EV24" s="243"/>
      <c r="EW24" s="243"/>
      <c r="EX24" s="243"/>
      <c r="EY24" s="243"/>
      <c r="EZ24" s="243"/>
      <c r="FA24" s="243"/>
      <c r="FB24" s="243"/>
      <c r="FC24" s="242"/>
      <c r="FD24" s="242"/>
      <c r="FE24" s="242"/>
      <c r="FF24" s="242"/>
      <c r="FG24" s="242"/>
      <c r="FH24" s="242"/>
      <c r="FI24" s="242"/>
      <c r="FJ24" s="243"/>
      <c r="FK24" s="243"/>
      <c r="FL24" s="243"/>
      <c r="FM24" s="243"/>
      <c r="FN24" s="243"/>
      <c r="FO24" s="243"/>
      <c r="FP24" s="243"/>
      <c r="FQ24" s="242"/>
      <c r="FR24" s="242"/>
      <c r="FS24" s="242"/>
      <c r="FT24" s="242"/>
      <c r="FU24" s="242"/>
      <c r="FV24" s="242"/>
      <c r="FW24" s="242"/>
      <c r="FX24" s="243"/>
      <c r="FY24" s="243"/>
      <c r="FZ24" s="243"/>
      <c r="GA24" s="243"/>
      <c r="GB24" s="243"/>
      <c r="GC24" s="243"/>
      <c r="GD24" s="243"/>
      <c r="GE24" s="242"/>
      <c r="GF24" s="242"/>
      <c r="GG24" s="242"/>
      <c r="GH24" s="242"/>
      <c r="GI24" s="242"/>
      <c r="GJ24" s="242"/>
      <c r="GK24" s="242"/>
      <c r="GL24" s="243"/>
      <c r="GM24" s="243"/>
      <c r="GN24" s="243"/>
      <c r="GO24" s="243"/>
      <c r="GP24" s="243"/>
      <c r="GQ24" s="243"/>
      <c r="GR24" s="243"/>
      <c r="GS24" s="242"/>
      <c r="GT24" s="242"/>
      <c r="GU24" s="242"/>
      <c r="GV24" s="242"/>
      <c r="GW24" s="242"/>
      <c r="GX24" s="242"/>
      <c r="GY24" s="242"/>
      <c r="GZ24" s="243"/>
      <c r="HA24" s="243"/>
      <c r="HB24" s="243"/>
      <c r="HC24" s="243"/>
      <c r="HD24" s="243"/>
      <c r="HE24" s="243"/>
      <c r="HF24" s="243"/>
      <c r="HG24" s="242"/>
      <c r="HH24" s="242"/>
      <c r="HI24" s="242"/>
      <c r="HJ24" s="242"/>
      <c r="HK24" s="242"/>
      <c r="HL24" s="242"/>
      <c r="HM24" s="242"/>
      <c r="HN24" s="243"/>
      <c r="HO24" s="243"/>
      <c r="HP24" s="243"/>
      <c r="HQ24" s="243"/>
      <c r="HR24" s="243"/>
      <c r="HS24" s="243"/>
      <c r="HT24" s="243"/>
      <c r="HU24" s="242"/>
      <c r="HV24" s="242"/>
      <c r="HW24" s="242"/>
      <c r="HX24" s="242"/>
      <c r="HY24" s="242"/>
      <c r="HZ24" s="242"/>
      <c r="IA24" s="242"/>
      <c r="IB24" s="243"/>
      <c r="IC24" s="243"/>
      <c r="ID24" s="243"/>
      <c r="IE24" s="243"/>
      <c r="IF24" s="243"/>
      <c r="IG24" s="243"/>
      <c r="IH24" s="243"/>
      <c r="II24" s="242"/>
      <c r="IJ24" s="242"/>
      <c r="IK24" s="242"/>
      <c r="IL24" s="242"/>
      <c r="IM24" s="242"/>
      <c r="IN24" s="242"/>
      <c r="IO24" s="242"/>
      <c r="IP24" s="243"/>
      <c r="IQ24" s="243"/>
      <c r="IR24" s="243"/>
      <c r="IS24" s="243"/>
      <c r="IT24" s="243"/>
      <c r="IU24" s="243"/>
      <c r="IV24" s="243"/>
      <c r="IW24" s="242"/>
      <c r="IX24" s="242"/>
      <c r="IY24" s="242"/>
      <c r="IZ24" s="242"/>
      <c r="JA24" s="242"/>
      <c r="JB24" s="242"/>
      <c r="JC24" s="242"/>
      <c r="JD24" s="243"/>
      <c r="JE24" s="243"/>
      <c r="JF24" s="243"/>
      <c r="JG24" s="243"/>
      <c r="JH24" s="243"/>
      <c r="JI24" s="243"/>
      <c r="JJ24" s="243"/>
      <c r="JK24" s="242"/>
      <c r="JL24" s="242"/>
      <c r="JM24" s="242"/>
      <c r="JN24" s="242"/>
      <c r="JO24" s="242"/>
      <c r="JP24" s="242"/>
      <c r="JQ24" s="242"/>
      <c r="JR24" s="243"/>
      <c r="JS24" s="243"/>
      <c r="JT24" s="243"/>
      <c r="JU24" s="243"/>
      <c r="JV24" s="243"/>
      <c r="JW24" s="243"/>
      <c r="JX24" s="243"/>
      <c r="JY24" s="242"/>
      <c r="JZ24" s="242"/>
      <c r="KA24" s="242"/>
      <c r="KB24" s="242"/>
      <c r="KC24" s="242"/>
      <c r="KD24" s="242"/>
      <c r="KE24" s="242"/>
      <c r="KF24" s="243"/>
      <c r="KG24" s="243"/>
      <c r="KH24" s="243"/>
      <c r="KI24" s="243"/>
      <c r="KJ24" s="243"/>
      <c r="KK24" s="243"/>
      <c r="KL24" s="243"/>
      <c r="KM24" s="242"/>
      <c r="KN24" s="242"/>
      <c r="KO24" s="242"/>
      <c r="KP24" s="242"/>
      <c r="KQ24" s="242"/>
      <c r="KR24" s="242"/>
      <c r="KS24" s="242"/>
      <c r="KT24" s="243"/>
      <c r="KU24" s="243"/>
      <c r="KV24" s="243">
        <v>24</v>
      </c>
      <c r="KW24" s="243">
        <v>24</v>
      </c>
      <c r="KX24" s="243">
        <v>24</v>
      </c>
      <c r="KY24" s="243">
        <v>24</v>
      </c>
      <c r="KZ24" s="243">
        <v>24</v>
      </c>
      <c r="LA24" s="242">
        <v>24</v>
      </c>
      <c r="LB24" s="242">
        <v>24</v>
      </c>
      <c r="LC24" s="242">
        <v>24</v>
      </c>
      <c r="LD24" s="242">
        <v>24</v>
      </c>
      <c r="LE24" s="242">
        <v>24</v>
      </c>
      <c r="LF24" s="242">
        <v>24</v>
      </c>
      <c r="LG24" s="242">
        <v>24</v>
      </c>
      <c r="LH24" s="243">
        <v>24</v>
      </c>
      <c r="LI24" s="243">
        <v>24</v>
      </c>
      <c r="LJ24" s="243">
        <v>24</v>
      </c>
      <c r="LK24" s="243">
        <v>24</v>
      </c>
      <c r="LL24" s="243">
        <v>24</v>
      </c>
      <c r="LM24" s="243">
        <v>24</v>
      </c>
      <c r="LN24" s="243">
        <v>24</v>
      </c>
      <c r="LO24" s="242">
        <v>24</v>
      </c>
      <c r="LP24" s="242">
        <v>24</v>
      </c>
      <c r="LQ24" s="242">
        <v>24</v>
      </c>
      <c r="LR24" s="242">
        <v>24</v>
      </c>
      <c r="LS24" s="242">
        <v>24</v>
      </c>
      <c r="LT24" s="242">
        <v>24</v>
      </c>
      <c r="LU24" s="242">
        <v>24</v>
      </c>
      <c r="LV24" s="243">
        <v>24</v>
      </c>
      <c r="LW24" s="243">
        <v>24</v>
      </c>
      <c r="LX24" s="243">
        <v>24</v>
      </c>
      <c r="LY24" s="243">
        <v>24</v>
      </c>
      <c r="LZ24" s="243">
        <v>24</v>
      </c>
      <c r="MA24" s="243"/>
      <c r="MB24" s="243"/>
      <c r="MC24" s="242"/>
      <c r="MD24" s="242"/>
      <c r="ME24" s="242"/>
      <c r="MF24" s="242"/>
      <c r="MG24" s="242"/>
      <c r="MH24" s="242"/>
      <c r="MI24" s="242"/>
      <c r="MJ24" s="243"/>
      <c r="MK24" s="243"/>
      <c r="ML24" s="243"/>
      <c r="MM24" s="243"/>
      <c r="MN24" s="243"/>
      <c r="MO24" s="243"/>
      <c r="MP24" s="243"/>
      <c r="MQ24" s="242"/>
      <c r="MR24" s="242"/>
      <c r="MS24" s="242"/>
      <c r="MT24" s="242"/>
      <c r="MU24" s="242"/>
      <c r="MV24" s="242"/>
      <c r="MW24" s="242"/>
      <c r="MX24" s="243"/>
      <c r="MY24" s="243"/>
      <c r="MZ24" s="243"/>
      <c r="NA24" s="243"/>
      <c r="NB24" s="243"/>
      <c r="NC24" s="243"/>
      <c r="ND24" s="243"/>
      <c r="NE24" s="242"/>
      <c r="NF24" s="242"/>
      <c r="NG24" s="242"/>
      <c r="NH24" s="253" t="s">
        <v>1133</v>
      </c>
    </row>
    <row r="25" spans="1:372" ht="25.5">
      <c r="A25" s="254" t="s">
        <v>966</v>
      </c>
      <c r="B25" s="239" t="s">
        <v>48</v>
      </c>
      <c r="C25" s="240" t="s">
        <v>674</v>
      </c>
      <c r="D25" s="240" t="s">
        <v>997</v>
      </c>
      <c r="E25" s="241">
        <v>582.53105554457375</v>
      </c>
      <c r="F25" s="252">
        <v>744</v>
      </c>
      <c r="G25" s="242"/>
      <c r="H25" s="242"/>
      <c r="I25" s="242"/>
      <c r="J25" s="242"/>
      <c r="K25" s="242"/>
      <c r="L25" s="243"/>
      <c r="M25" s="243"/>
      <c r="N25" s="243"/>
      <c r="O25" s="243"/>
      <c r="P25" s="243"/>
      <c r="Q25" s="243"/>
      <c r="R25" s="243"/>
      <c r="S25" s="242"/>
      <c r="T25" s="242"/>
      <c r="U25" s="242"/>
      <c r="V25" s="242"/>
      <c r="W25" s="242"/>
      <c r="X25" s="242"/>
      <c r="Y25" s="242"/>
      <c r="Z25" s="243"/>
      <c r="AA25" s="243"/>
      <c r="AB25" s="243"/>
      <c r="AC25" s="243"/>
      <c r="AD25" s="243"/>
      <c r="AE25" s="243"/>
      <c r="AF25" s="243"/>
      <c r="AG25" s="242"/>
      <c r="AH25" s="242"/>
      <c r="AI25" s="242"/>
      <c r="AJ25" s="242"/>
      <c r="AK25" s="242"/>
      <c r="AL25" s="242"/>
      <c r="AM25" s="242"/>
      <c r="AN25" s="243"/>
      <c r="AO25" s="243"/>
      <c r="AP25" s="243"/>
      <c r="AQ25" s="243"/>
      <c r="AR25" s="243"/>
      <c r="AS25" s="243"/>
      <c r="AT25" s="243"/>
      <c r="AU25" s="242"/>
      <c r="AV25" s="242"/>
      <c r="AW25" s="242"/>
      <c r="AX25" s="242"/>
      <c r="AY25" s="242"/>
      <c r="AZ25" s="242"/>
      <c r="BA25" s="242"/>
      <c r="BB25" s="243"/>
      <c r="BC25" s="243"/>
      <c r="BD25" s="243"/>
      <c r="BE25" s="243"/>
      <c r="BF25" s="243"/>
      <c r="BG25" s="243"/>
      <c r="BH25" s="243"/>
      <c r="BI25" s="242"/>
      <c r="BJ25" s="242"/>
      <c r="BK25" s="242"/>
      <c r="BL25" s="242"/>
      <c r="BM25" s="242"/>
      <c r="BN25" s="242"/>
      <c r="BO25" s="242"/>
      <c r="BP25" s="243"/>
      <c r="BQ25" s="243"/>
      <c r="BR25" s="243"/>
      <c r="BS25" s="243"/>
      <c r="BT25" s="243"/>
      <c r="BU25" s="243"/>
      <c r="BV25" s="243"/>
      <c r="BW25" s="242"/>
      <c r="BX25" s="242"/>
      <c r="BY25" s="242"/>
      <c r="BZ25" s="242"/>
      <c r="CA25" s="242"/>
      <c r="CB25" s="242"/>
      <c r="CC25" s="242"/>
      <c r="CD25" s="243"/>
      <c r="CE25" s="243"/>
      <c r="CF25" s="243"/>
      <c r="CG25" s="243"/>
      <c r="CH25" s="243"/>
      <c r="CI25" s="243"/>
      <c r="CJ25" s="243"/>
      <c r="CK25" s="242"/>
      <c r="CL25" s="242"/>
      <c r="CM25" s="242"/>
      <c r="CN25" s="242"/>
      <c r="CO25" s="242"/>
      <c r="CP25" s="242"/>
      <c r="CQ25" s="242"/>
      <c r="CR25" s="243"/>
      <c r="CS25" s="243"/>
      <c r="CT25" s="243"/>
      <c r="CU25" s="243"/>
      <c r="CV25" s="243"/>
      <c r="CW25" s="243"/>
      <c r="CX25" s="243"/>
      <c r="CY25" s="242"/>
      <c r="CZ25" s="242"/>
      <c r="DA25" s="242"/>
      <c r="DB25" s="242"/>
      <c r="DC25" s="242"/>
      <c r="DD25" s="242"/>
      <c r="DE25" s="242"/>
      <c r="DF25" s="243"/>
      <c r="DG25" s="243"/>
      <c r="DH25" s="243"/>
      <c r="DI25" s="243"/>
      <c r="DJ25" s="243"/>
      <c r="DK25" s="243"/>
      <c r="DL25" s="243"/>
      <c r="DM25" s="242"/>
      <c r="DN25" s="242"/>
      <c r="DO25" s="242"/>
      <c r="DP25" s="242"/>
      <c r="DQ25" s="242"/>
      <c r="DR25" s="242"/>
      <c r="DS25" s="242"/>
      <c r="DT25" s="243"/>
      <c r="DU25" s="243"/>
      <c r="DV25" s="243"/>
      <c r="DW25" s="243"/>
      <c r="DX25" s="243"/>
      <c r="DY25" s="243"/>
      <c r="DZ25" s="243"/>
      <c r="EA25" s="242"/>
      <c r="EB25" s="242"/>
      <c r="EC25" s="242"/>
      <c r="ED25" s="242"/>
      <c r="EE25" s="242"/>
      <c r="EF25" s="242"/>
      <c r="EG25" s="242"/>
      <c r="EH25" s="243"/>
      <c r="EI25" s="243"/>
      <c r="EJ25" s="243"/>
      <c r="EK25" s="243"/>
      <c r="EL25" s="243"/>
      <c r="EM25" s="243"/>
      <c r="EN25" s="243"/>
      <c r="EO25" s="242"/>
      <c r="EP25" s="242"/>
      <c r="EQ25" s="242"/>
      <c r="ER25" s="242"/>
      <c r="ES25" s="242"/>
      <c r="ET25" s="242"/>
      <c r="EU25" s="242"/>
      <c r="EV25" s="243"/>
      <c r="EW25" s="243"/>
      <c r="EX25" s="243"/>
      <c r="EY25" s="243"/>
      <c r="EZ25" s="243"/>
      <c r="FA25" s="243"/>
      <c r="FB25" s="243"/>
      <c r="FC25" s="242"/>
      <c r="FD25" s="242"/>
      <c r="FE25" s="242"/>
      <c r="FF25" s="242"/>
      <c r="FG25" s="242"/>
      <c r="FH25" s="242"/>
      <c r="FI25" s="242"/>
      <c r="FJ25" s="243"/>
      <c r="FK25" s="243"/>
      <c r="FL25" s="243"/>
      <c r="FM25" s="243"/>
      <c r="FN25" s="243"/>
      <c r="FO25" s="243"/>
      <c r="FP25" s="243"/>
      <c r="FQ25" s="242"/>
      <c r="FR25" s="242"/>
      <c r="FS25" s="242"/>
      <c r="FT25" s="242"/>
      <c r="FU25" s="242"/>
      <c r="FV25" s="242"/>
      <c r="FW25" s="242"/>
      <c r="FX25" s="243"/>
      <c r="FY25" s="243"/>
      <c r="FZ25" s="243"/>
      <c r="GA25" s="243"/>
      <c r="GB25" s="243"/>
      <c r="GC25" s="243"/>
      <c r="GD25" s="243"/>
      <c r="GE25" s="242"/>
      <c r="GF25" s="242"/>
      <c r="GG25" s="242"/>
      <c r="GH25" s="242"/>
      <c r="GI25" s="242"/>
      <c r="GJ25" s="242"/>
      <c r="GK25" s="242"/>
      <c r="GL25" s="243"/>
      <c r="GM25" s="243"/>
      <c r="GN25" s="243"/>
      <c r="GO25" s="243"/>
      <c r="GP25" s="243"/>
      <c r="GQ25" s="243"/>
      <c r="GR25" s="243"/>
      <c r="GS25" s="242"/>
      <c r="GT25" s="242"/>
      <c r="GU25" s="242"/>
      <c r="GV25" s="242"/>
      <c r="GW25" s="242"/>
      <c r="GX25" s="242"/>
      <c r="GY25" s="242"/>
      <c r="GZ25" s="243"/>
      <c r="HA25" s="243"/>
      <c r="HB25" s="243"/>
      <c r="HC25" s="243"/>
      <c r="HD25" s="243"/>
      <c r="HE25" s="243"/>
      <c r="HF25" s="243"/>
      <c r="HG25" s="242"/>
      <c r="HH25" s="242"/>
      <c r="HI25" s="242"/>
      <c r="HJ25" s="242"/>
      <c r="HK25" s="242"/>
      <c r="HL25" s="242"/>
      <c r="HM25" s="242"/>
      <c r="HN25" s="243"/>
      <c r="HO25" s="243"/>
      <c r="HP25" s="243"/>
      <c r="HQ25" s="243"/>
      <c r="HR25" s="243"/>
      <c r="HS25" s="243"/>
      <c r="HT25" s="243"/>
      <c r="HU25" s="242"/>
      <c r="HV25" s="242"/>
      <c r="HW25" s="242"/>
      <c r="HX25" s="242"/>
      <c r="HY25" s="242"/>
      <c r="HZ25" s="242"/>
      <c r="IA25" s="242"/>
      <c r="IB25" s="243"/>
      <c r="IC25" s="243"/>
      <c r="ID25" s="243"/>
      <c r="IE25" s="243"/>
      <c r="IF25" s="243"/>
      <c r="IG25" s="243"/>
      <c r="IH25" s="243"/>
      <c r="II25" s="242"/>
      <c r="IJ25" s="242"/>
      <c r="IK25" s="242"/>
      <c r="IL25" s="242"/>
      <c r="IM25" s="242"/>
      <c r="IN25" s="242"/>
      <c r="IO25" s="242"/>
      <c r="IP25" s="243"/>
      <c r="IQ25" s="243"/>
      <c r="IR25" s="243"/>
      <c r="IS25" s="243"/>
      <c r="IT25" s="243"/>
      <c r="IU25" s="243"/>
      <c r="IV25" s="243"/>
      <c r="IW25" s="242"/>
      <c r="IX25" s="242"/>
      <c r="IY25" s="242"/>
      <c r="IZ25" s="242"/>
      <c r="JA25" s="242"/>
      <c r="JB25" s="242"/>
      <c r="JC25" s="242"/>
      <c r="JD25" s="243"/>
      <c r="JE25" s="243"/>
      <c r="JF25" s="243"/>
      <c r="JG25" s="243"/>
      <c r="JH25" s="243"/>
      <c r="JI25" s="243"/>
      <c r="JJ25" s="243"/>
      <c r="JK25" s="242"/>
      <c r="JL25" s="242"/>
      <c r="JM25" s="242"/>
      <c r="JN25" s="242"/>
      <c r="JO25" s="242"/>
      <c r="JP25" s="242"/>
      <c r="JQ25" s="242"/>
      <c r="JR25" s="243"/>
      <c r="JS25" s="243"/>
      <c r="JT25" s="243"/>
      <c r="JU25" s="243"/>
      <c r="JV25" s="243"/>
      <c r="JW25" s="243"/>
      <c r="JX25" s="243"/>
      <c r="JY25" s="242"/>
      <c r="JZ25" s="242"/>
      <c r="KA25" s="242"/>
      <c r="KB25" s="242"/>
      <c r="KC25" s="242"/>
      <c r="KD25" s="242"/>
      <c r="KE25" s="242"/>
      <c r="KF25" s="243"/>
      <c r="KG25" s="243"/>
      <c r="KH25" s="243"/>
      <c r="KI25" s="243"/>
      <c r="KJ25" s="243"/>
      <c r="KK25" s="243"/>
      <c r="KL25" s="243"/>
      <c r="KM25" s="242"/>
      <c r="KN25" s="242"/>
      <c r="KO25" s="242"/>
      <c r="KP25" s="242"/>
      <c r="KQ25" s="242"/>
      <c r="KR25" s="242"/>
      <c r="KS25" s="242"/>
      <c r="KT25" s="243"/>
      <c r="KU25" s="243"/>
      <c r="KV25" s="243">
        <v>24</v>
      </c>
      <c r="KW25" s="243">
        <v>24</v>
      </c>
      <c r="KX25" s="243">
        <v>24</v>
      </c>
      <c r="KY25" s="243">
        <v>24</v>
      </c>
      <c r="KZ25" s="243">
        <v>24</v>
      </c>
      <c r="LA25" s="242">
        <v>24</v>
      </c>
      <c r="LB25" s="242">
        <v>24</v>
      </c>
      <c r="LC25" s="242">
        <v>24</v>
      </c>
      <c r="LD25" s="242">
        <v>24</v>
      </c>
      <c r="LE25" s="242">
        <v>24</v>
      </c>
      <c r="LF25" s="242">
        <v>24</v>
      </c>
      <c r="LG25" s="242">
        <v>24</v>
      </c>
      <c r="LH25" s="243">
        <v>24</v>
      </c>
      <c r="LI25" s="243">
        <v>24</v>
      </c>
      <c r="LJ25" s="243">
        <v>24</v>
      </c>
      <c r="LK25" s="243">
        <v>24</v>
      </c>
      <c r="LL25" s="243">
        <v>24</v>
      </c>
      <c r="LM25" s="243">
        <v>24</v>
      </c>
      <c r="LN25" s="243">
        <v>24</v>
      </c>
      <c r="LO25" s="242">
        <v>24</v>
      </c>
      <c r="LP25" s="242">
        <v>24</v>
      </c>
      <c r="LQ25" s="242">
        <v>24</v>
      </c>
      <c r="LR25" s="242">
        <v>24</v>
      </c>
      <c r="LS25" s="242">
        <v>24</v>
      </c>
      <c r="LT25" s="242">
        <v>24</v>
      </c>
      <c r="LU25" s="242">
        <v>24</v>
      </c>
      <c r="LV25" s="243">
        <v>24</v>
      </c>
      <c r="LW25" s="243">
        <v>24</v>
      </c>
      <c r="LX25" s="243">
        <v>24</v>
      </c>
      <c r="LY25" s="243">
        <v>24</v>
      </c>
      <c r="LZ25" s="243">
        <v>24</v>
      </c>
      <c r="MA25" s="243"/>
      <c r="MB25" s="243"/>
      <c r="MC25" s="242"/>
      <c r="MD25" s="242"/>
      <c r="ME25" s="242"/>
      <c r="MF25" s="242"/>
      <c r="MG25" s="242"/>
      <c r="MH25" s="242"/>
      <c r="MI25" s="242"/>
      <c r="MJ25" s="243"/>
      <c r="MK25" s="243"/>
      <c r="ML25" s="243"/>
      <c r="MM25" s="243"/>
      <c r="MN25" s="243"/>
      <c r="MO25" s="243"/>
      <c r="MP25" s="243"/>
      <c r="MQ25" s="242"/>
      <c r="MR25" s="242"/>
      <c r="MS25" s="242"/>
      <c r="MT25" s="242"/>
      <c r="MU25" s="242"/>
      <c r="MV25" s="242"/>
      <c r="MW25" s="242"/>
      <c r="MX25" s="243"/>
      <c r="MY25" s="243"/>
      <c r="MZ25" s="243"/>
      <c r="NA25" s="243"/>
      <c r="NB25" s="243"/>
      <c r="NC25" s="243"/>
      <c r="ND25" s="243"/>
      <c r="NE25" s="242"/>
      <c r="NF25" s="242"/>
      <c r="NG25" s="242"/>
      <c r="NH25" s="253" t="s">
        <v>1133</v>
      </c>
    </row>
    <row r="26" spans="1:372">
      <c r="A26" s="254" t="s">
        <v>966</v>
      </c>
      <c r="B26" s="239" t="s">
        <v>357</v>
      </c>
      <c r="C26" s="240" t="s">
        <v>674</v>
      </c>
      <c r="D26" s="240" t="s">
        <v>997</v>
      </c>
      <c r="E26" s="241">
        <v>216.70133330140973</v>
      </c>
      <c r="F26" s="252">
        <v>672</v>
      </c>
      <c r="G26" s="242"/>
      <c r="H26" s="242"/>
      <c r="I26" s="242"/>
      <c r="J26" s="242"/>
      <c r="K26" s="242"/>
      <c r="L26" s="243"/>
      <c r="M26" s="243"/>
      <c r="N26" s="243"/>
      <c r="O26" s="243"/>
      <c r="P26" s="243"/>
      <c r="Q26" s="243"/>
      <c r="R26" s="243"/>
      <c r="S26" s="242"/>
      <c r="T26" s="242"/>
      <c r="U26" s="242"/>
      <c r="V26" s="242"/>
      <c r="W26" s="242"/>
      <c r="X26" s="242"/>
      <c r="Y26" s="242"/>
      <c r="Z26" s="243"/>
      <c r="AA26" s="243"/>
      <c r="AB26" s="243"/>
      <c r="AC26" s="243"/>
      <c r="AD26" s="243"/>
      <c r="AE26" s="243"/>
      <c r="AF26" s="243"/>
      <c r="AG26" s="242"/>
      <c r="AH26" s="242"/>
      <c r="AI26" s="242"/>
      <c r="AJ26" s="242"/>
      <c r="AK26" s="242"/>
      <c r="AL26" s="242"/>
      <c r="AM26" s="242"/>
      <c r="AN26" s="243"/>
      <c r="AO26" s="243"/>
      <c r="AP26" s="243"/>
      <c r="AQ26" s="243"/>
      <c r="AR26" s="243"/>
      <c r="AS26" s="243"/>
      <c r="AT26" s="243"/>
      <c r="AU26" s="242"/>
      <c r="AV26" s="242"/>
      <c r="AW26" s="242"/>
      <c r="AX26" s="242"/>
      <c r="AY26" s="242"/>
      <c r="AZ26" s="242"/>
      <c r="BA26" s="242"/>
      <c r="BB26" s="243"/>
      <c r="BC26" s="243"/>
      <c r="BD26" s="243"/>
      <c r="BE26" s="243"/>
      <c r="BF26" s="243"/>
      <c r="BG26" s="243"/>
      <c r="BH26" s="243"/>
      <c r="BI26" s="242"/>
      <c r="BJ26" s="242"/>
      <c r="BK26" s="242"/>
      <c r="BL26" s="242"/>
      <c r="BM26" s="242"/>
      <c r="BN26" s="242"/>
      <c r="BO26" s="242"/>
      <c r="BP26" s="243"/>
      <c r="BQ26" s="243"/>
      <c r="BR26" s="243"/>
      <c r="BS26" s="243"/>
      <c r="BT26" s="243"/>
      <c r="BU26" s="243"/>
      <c r="BV26" s="243"/>
      <c r="BW26" s="242"/>
      <c r="BX26" s="242"/>
      <c r="BY26" s="242"/>
      <c r="BZ26" s="242"/>
      <c r="CA26" s="242"/>
      <c r="CB26" s="242"/>
      <c r="CC26" s="242"/>
      <c r="CD26" s="243"/>
      <c r="CE26" s="243"/>
      <c r="CF26" s="243"/>
      <c r="CG26" s="243"/>
      <c r="CH26" s="243"/>
      <c r="CI26" s="243"/>
      <c r="CJ26" s="243"/>
      <c r="CK26" s="242"/>
      <c r="CL26" s="242"/>
      <c r="CM26" s="242"/>
      <c r="CN26" s="242"/>
      <c r="CO26" s="242"/>
      <c r="CP26" s="242"/>
      <c r="CQ26" s="242"/>
      <c r="CR26" s="243"/>
      <c r="CS26" s="243"/>
      <c r="CT26" s="243"/>
      <c r="CU26" s="243"/>
      <c r="CV26" s="243"/>
      <c r="CW26" s="243"/>
      <c r="CX26" s="243"/>
      <c r="CY26" s="242"/>
      <c r="CZ26" s="242"/>
      <c r="DA26" s="242"/>
      <c r="DB26" s="242"/>
      <c r="DC26" s="242"/>
      <c r="DD26" s="242"/>
      <c r="DE26" s="242"/>
      <c r="DF26" s="243"/>
      <c r="DG26" s="243"/>
      <c r="DH26" s="243"/>
      <c r="DI26" s="243"/>
      <c r="DJ26" s="243"/>
      <c r="DK26" s="243"/>
      <c r="DL26" s="243"/>
      <c r="DM26" s="242"/>
      <c r="DN26" s="242"/>
      <c r="DO26" s="242"/>
      <c r="DP26" s="242"/>
      <c r="DQ26" s="242"/>
      <c r="DR26" s="242"/>
      <c r="DS26" s="242"/>
      <c r="DT26" s="243"/>
      <c r="DU26" s="243"/>
      <c r="DV26" s="243"/>
      <c r="DW26" s="243"/>
      <c r="DX26" s="243"/>
      <c r="DY26" s="243"/>
      <c r="DZ26" s="243"/>
      <c r="EA26" s="242"/>
      <c r="EB26" s="242"/>
      <c r="EC26" s="242"/>
      <c r="ED26" s="242"/>
      <c r="EE26" s="242"/>
      <c r="EF26" s="242"/>
      <c r="EG26" s="242"/>
      <c r="EH26" s="243"/>
      <c r="EI26" s="243"/>
      <c r="EJ26" s="243"/>
      <c r="EK26" s="243"/>
      <c r="EL26" s="243"/>
      <c r="EM26" s="243"/>
      <c r="EN26" s="243"/>
      <c r="EO26" s="242"/>
      <c r="EP26" s="242"/>
      <c r="EQ26" s="242"/>
      <c r="ER26" s="242"/>
      <c r="ES26" s="242"/>
      <c r="ET26" s="242"/>
      <c r="EU26" s="242"/>
      <c r="EV26" s="243"/>
      <c r="EW26" s="243"/>
      <c r="EX26" s="243"/>
      <c r="EY26" s="243"/>
      <c r="EZ26" s="243"/>
      <c r="FA26" s="243"/>
      <c r="FB26" s="243"/>
      <c r="FC26" s="242"/>
      <c r="FD26" s="242"/>
      <c r="FE26" s="242"/>
      <c r="FF26" s="242"/>
      <c r="FG26" s="242"/>
      <c r="FH26" s="242"/>
      <c r="FI26" s="242"/>
      <c r="FJ26" s="243"/>
      <c r="FK26" s="243"/>
      <c r="FL26" s="243"/>
      <c r="FM26" s="243"/>
      <c r="FN26" s="243"/>
      <c r="FO26" s="243"/>
      <c r="FP26" s="243"/>
      <c r="FQ26" s="242"/>
      <c r="FR26" s="242"/>
      <c r="FS26" s="242"/>
      <c r="FT26" s="242"/>
      <c r="FU26" s="242"/>
      <c r="FV26" s="242"/>
      <c r="FW26" s="242"/>
      <c r="FX26" s="243"/>
      <c r="FY26" s="243"/>
      <c r="FZ26" s="243"/>
      <c r="GA26" s="243"/>
      <c r="GB26" s="243"/>
      <c r="GC26" s="243"/>
      <c r="GD26" s="243"/>
      <c r="GE26" s="242"/>
      <c r="GF26" s="242"/>
      <c r="GG26" s="242"/>
      <c r="GH26" s="242"/>
      <c r="GI26" s="242"/>
      <c r="GJ26" s="242"/>
      <c r="GK26" s="242"/>
      <c r="GL26" s="243"/>
      <c r="GM26" s="243"/>
      <c r="GN26" s="243"/>
      <c r="GO26" s="243"/>
      <c r="GP26" s="243"/>
      <c r="GQ26" s="243"/>
      <c r="GR26" s="243"/>
      <c r="GS26" s="242"/>
      <c r="GT26" s="242"/>
      <c r="GU26" s="242"/>
      <c r="GV26" s="242"/>
      <c r="GW26" s="242"/>
      <c r="GX26" s="242"/>
      <c r="GY26" s="242"/>
      <c r="GZ26" s="243"/>
      <c r="HA26" s="243"/>
      <c r="HB26" s="243"/>
      <c r="HC26" s="243"/>
      <c r="HD26" s="243"/>
      <c r="HE26" s="243"/>
      <c r="HF26" s="243"/>
      <c r="HG26" s="242"/>
      <c r="HH26" s="242"/>
      <c r="HI26" s="242"/>
      <c r="HJ26" s="242"/>
      <c r="HK26" s="242"/>
      <c r="HL26" s="242"/>
      <c r="HM26" s="242"/>
      <c r="HN26" s="243"/>
      <c r="HO26" s="243"/>
      <c r="HP26" s="243"/>
      <c r="HQ26" s="243"/>
      <c r="HR26" s="243"/>
      <c r="HS26" s="243"/>
      <c r="HT26" s="243"/>
      <c r="HU26" s="242"/>
      <c r="HV26" s="242"/>
      <c r="HW26" s="242"/>
      <c r="HX26" s="242"/>
      <c r="HY26" s="242"/>
      <c r="HZ26" s="242"/>
      <c r="IA26" s="242"/>
      <c r="IB26" s="243"/>
      <c r="IC26" s="243"/>
      <c r="ID26" s="243"/>
      <c r="IE26" s="243"/>
      <c r="IF26" s="243"/>
      <c r="IG26" s="243"/>
      <c r="IH26" s="243"/>
      <c r="II26" s="242"/>
      <c r="IJ26" s="242"/>
      <c r="IK26" s="242"/>
      <c r="IL26" s="242"/>
      <c r="IM26" s="242"/>
      <c r="IN26" s="242"/>
      <c r="IO26" s="242"/>
      <c r="IP26" s="243"/>
      <c r="IQ26" s="243"/>
      <c r="IR26" s="243"/>
      <c r="IS26" s="243"/>
      <c r="IT26" s="243"/>
      <c r="IU26" s="243"/>
      <c r="IV26" s="243"/>
      <c r="IW26" s="242"/>
      <c r="IX26" s="242"/>
      <c r="IY26" s="242"/>
      <c r="IZ26" s="242"/>
      <c r="JA26" s="242"/>
      <c r="JB26" s="242"/>
      <c r="JC26" s="242"/>
      <c r="JD26" s="243"/>
      <c r="JE26" s="243"/>
      <c r="JF26" s="243"/>
      <c r="JG26" s="243"/>
      <c r="JH26" s="243"/>
      <c r="JI26" s="243"/>
      <c r="JJ26" s="243"/>
      <c r="JK26" s="242"/>
      <c r="JL26" s="242"/>
      <c r="JM26" s="242"/>
      <c r="JN26" s="242"/>
      <c r="JO26" s="242"/>
      <c r="JP26" s="242"/>
      <c r="JQ26" s="242"/>
      <c r="JR26" s="243"/>
      <c r="JS26" s="243"/>
      <c r="JT26" s="243"/>
      <c r="JU26" s="243"/>
      <c r="JV26" s="243"/>
      <c r="JW26" s="243"/>
      <c r="JX26" s="243"/>
      <c r="JY26" s="242"/>
      <c r="JZ26" s="242"/>
      <c r="KA26" s="242"/>
      <c r="KB26" s="242"/>
      <c r="KC26" s="242"/>
      <c r="KD26" s="242"/>
      <c r="KE26" s="242"/>
      <c r="KF26" s="243"/>
      <c r="KG26" s="243"/>
      <c r="KH26" s="243"/>
      <c r="KI26" s="243"/>
      <c r="KJ26" s="243"/>
      <c r="KK26" s="243"/>
      <c r="KL26" s="243"/>
      <c r="KM26" s="242"/>
      <c r="KN26" s="242"/>
      <c r="KO26" s="242"/>
      <c r="KP26" s="242"/>
      <c r="KQ26" s="242"/>
      <c r="KR26" s="242"/>
      <c r="KS26" s="242"/>
      <c r="KT26" s="243"/>
      <c r="KU26" s="243"/>
      <c r="KV26" s="243"/>
      <c r="KW26" s="243"/>
      <c r="KX26" s="243"/>
      <c r="KY26" s="243">
        <v>24</v>
      </c>
      <c r="KZ26" s="243">
        <v>24</v>
      </c>
      <c r="LA26" s="242">
        <v>24</v>
      </c>
      <c r="LB26" s="242">
        <v>24</v>
      </c>
      <c r="LC26" s="242">
        <v>24</v>
      </c>
      <c r="LD26" s="242">
        <v>24</v>
      </c>
      <c r="LE26" s="242">
        <v>24</v>
      </c>
      <c r="LF26" s="242">
        <v>24</v>
      </c>
      <c r="LG26" s="242">
        <v>24</v>
      </c>
      <c r="LH26" s="243">
        <v>24</v>
      </c>
      <c r="LI26" s="243">
        <v>24</v>
      </c>
      <c r="LJ26" s="243">
        <v>24</v>
      </c>
      <c r="LK26" s="243">
        <v>24</v>
      </c>
      <c r="LL26" s="243">
        <v>24</v>
      </c>
      <c r="LM26" s="243">
        <v>24</v>
      </c>
      <c r="LN26" s="243">
        <v>24</v>
      </c>
      <c r="LO26" s="242">
        <v>24</v>
      </c>
      <c r="LP26" s="242">
        <v>24</v>
      </c>
      <c r="LQ26" s="242">
        <v>24</v>
      </c>
      <c r="LR26" s="242">
        <v>24</v>
      </c>
      <c r="LS26" s="242">
        <v>24</v>
      </c>
      <c r="LT26" s="242">
        <v>24</v>
      </c>
      <c r="LU26" s="242">
        <v>24</v>
      </c>
      <c r="LV26" s="243">
        <v>24</v>
      </c>
      <c r="LW26" s="243">
        <v>24</v>
      </c>
      <c r="LX26" s="243">
        <v>24</v>
      </c>
      <c r="LY26" s="243">
        <v>24</v>
      </c>
      <c r="LZ26" s="243">
        <v>24</v>
      </c>
      <c r="MA26" s="243"/>
      <c r="MB26" s="243"/>
      <c r="MC26" s="242"/>
      <c r="MD26" s="242"/>
      <c r="ME26" s="242"/>
      <c r="MF26" s="242"/>
      <c r="MG26" s="242"/>
      <c r="MH26" s="242"/>
      <c r="MI26" s="242"/>
      <c r="MJ26" s="243"/>
      <c r="MK26" s="243"/>
      <c r="ML26" s="243"/>
      <c r="MM26" s="243"/>
      <c r="MN26" s="243"/>
      <c r="MO26" s="243"/>
      <c r="MP26" s="243"/>
      <c r="MQ26" s="242"/>
      <c r="MR26" s="242"/>
      <c r="MS26" s="242"/>
      <c r="MT26" s="242"/>
      <c r="MU26" s="242"/>
      <c r="MV26" s="242"/>
      <c r="MW26" s="242"/>
      <c r="MX26" s="243"/>
      <c r="MY26" s="243"/>
      <c r="MZ26" s="243"/>
      <c r="NA26" s="243"/>
      <c r="NB26" s="243"/>
      <c r="NC26" s="243"/>
      <c r="ND26" s="243"/>
      <c r="NE26" s="242"/>
      <c r="NF26" s="242"/>
      <c r="NG26" s="242"/>
      <c r="NH26" s="243"/>
    </row>
    <row r="27" spans="1:372">
      <c r="A27" s="254" t="s">
        <v>967</v>
      </c>
      <c r="B27" s="239" t="s">
        <v>32</v>
      </c>
      <c r="C27" s="240" t="s">
        <v>674</v>
      </c>
      <c r="D27" s="240" t="s">
        <v>997</v>
      </c>
      <c r="E27" s="241">
        <v>264.82019443265443</v>
      </c>
      <c r="F27" s="252">
        <v>144</v>
      </c>
      <c r="G27" s="242"/>
      <c r="H27" s="242"/>
      <c r="I27" s="242"/>
      <c r="J27" s="242"/>
      <c r="K27" s="242"/>
      <c r="L27" s="243"/>
      <c r="M27" s="243"/>
      <c r="N27" s="243"/>
      <c r="O27" s="243"/>
      <c r="P27" s="243"/>
      <c r="Q27" s="243"/>
      <c r="R27" s="243"/>
      <c r="S27" s="242"/>
      <c r="T27" s="242"/>
      <c r="U27" s="242"/>
      <c r="V27" s="242"/>
      <c r="W27" s="242"/>
      <c r="X27" s="242"/>
      <c r="Y27" s="242"/>
      <c r="Z27" s="243"/>
      <c r="AA27" s="243"/>
      <c r="AB27" s="243"/>
      <c r="AC27" s="243"/>
      <c r="AD27" s="243"/>
      <c r="AE27" s="243"/>
      <c r="AF27" s="243"/>
      <c r="AG27" s="242"/>
      <c r="AH27" s="242"/>
      <c r="AI27" s="242"/>
      <c r="AJ27" s="242"/>
      <c r="AK27" s="242"/>
      <c r="AL27" s="242"/>
      <c r="AM27" s="242"/>
      <c r="AN27" s="243"/>
      <c r="AO27" s="243"/>
      <c r="AP27" s="243"/>
      <c r="AQ27" s="243"/>
      <c r="AR27" s="243"/>
      <c r="AS27" s="243"/>
      <c r="AT27" s="243"/>
      <c r="AU27" s="242"/>
      <c r="AV27" s="242"/>
      <c r="AW27" s="242"/>
      <c r="AX27" s="242"/>
      <c r="AY27" s="242"/>
      <c r="AZ27" s="242"/>
      <c r="BA27" s="242"/>
      <c r="BB27" s="243"/>
      <c r="BC27" s="243"/>
      <c r="BD27" s="243"/>
      <c r="BE27" s="243"/>
      <c r="BF27" s="243"/>
      <c r="BG27" s="243"/>
      <c r="BH27" s="243"/>
      <c r="BI27" s="242"/>
      <c r="BJ27" s="242"/>
      <c r="BK27" s="242"/>
      <c r="BL27" s="242"/>
      <c r="BM27" s="242"/>
      <c r="BN27" s="242"/>
      <c r="BO27" s="242"/>
      <c r="BP27" s="243"/>
      <c r="BQ27" s="243"/>
      <c r="BR27" s="243"/>
      <c r="BS27" s="243"/>
      <c r="BT27" s="243"/>
      <c r="BU27" s="243"/>
      <c r="BV27" s="243"/>
      <c r="BW27" s="242"/>
      <c r="BX27" s="242"/>
      <c r="BY27" s="242"/>
      <c r="BZ27" s="242"/>
      <c r="CA27" s="242"/>
      <c r="CB27" s="242"/>
      <c r="CC27" s="242"/>
      <c r="CD27" s="243"/>
      <c r="CE27" s="243"/>
      <c r="CF27" s="243"/>
      <c r="CG27" s="243"/>
      <c r="CH27" s="243"/>
      <c r="CI27" s="243"/>
      <c r="CJ27" s="243"/>
      <c r="CK27" s="242"/>
      <c r="CL27" s="242"/>
      <c r="CM27" s="242"/>
      <c r="CN27" s="242"/>
      <c r="CO27" s="242"/>
      <c r="CP27" s="242"/>
      <c r="CQ27" s="242"/>
      <c r="CR27" s="243"/>
      <c r="CS27" s="243"/>
      <c r="CT27" s="243"/>
      <c r="CU27" s="243"/>
      <c r="CV27" s="243"/>
      <c r="CW27" s="243"/>
      <c r="CX27" s="243"/>
      <c r="CY27" s="242"/>
      <c r="CZ27" s="242"/>
      <c r="DA27" s="242"/>
      <c r="DB27" s="242"/>
      <c r="DC27" s="242"/>
      <c r="DD27" s="242"/>
      <c r="DE27" s="242"/>
      <c r="DF27" s="243"/>
      <c r="DG27" s="243"/>
      <c r="DH27" s="243"/>
      <c r="DI27" s="243"/>
      <c r="DJ27" s="243"/>
      <c r="DK27" s="243"/>
      <c r="DL27" s="243"/>
      <c r="DM27" s="242"/>
      <c r="DN27" s="242"/>
      <c r="DO27" s="242"/>
      <c r="DP27" s="242"/>
      <c r="DQ27" s="242"/>
      <c r="DR27" s="242"/>
      <c r="DS27" s="242"/>
      <c r="DT27" s="243"/>
      <c r="DU27" s="243"/>
      <c r="DV27" s="243"/>
      <c r="DW27" s="243"/>
      <c r="DX27" s="243"/>
      <c r="DY27" s="243"/>
      <c r="DZ27" s="243"/>
      <c r="EA27" s="242"/>
      <c r="EB27" s="242"/>
      <c r="EC27" s="242"/>
      <c r="ED27" s="242"/>
      <c r="EE27" s="242"/>
      <c r="EF27" s="242"/>
      <c r="EG27" s="242"/>
      <c r="EH27" s="243"/>
      <c r="EI27" s="243"/>
      <c r="EJ27" s="243"/>
      <c r="EK27" s="243"/>
      <c r="EL27" s="243"/>
      <c r="EM27" s="243"/>
      <c r="EN27" s="243"/>
      <c r="EO27" s="242"/>
      <c r="EP27" s="242"/>
      <c r="EQ27" s="242"/>
      <c r="ER27" s="242"/>
      <c r="ES27" s="242"/>
      <c r="ET27" s="242"/>
      <c r="EU27" s="242"/>
      <c r="EV27" s="243"/>
      <c r="EW27" s="243"/>
      <c r="EX27" s="243"/>
      <c r="EY27" s="243"/>
      <c r="EZ27" s="243"/>
      <c r="FA27" s="243"/>
      <c r="FB27" s="243"/>
      <c r="FC27" s="242"/>
      <c r="FD27" s="242"/>
      <c r="FE27" s="242"/>
      <c r="FF27" s="242"/>
      <c r="FG27" s="242"/>
      <c r="FH27" s="242"/>
      <c r="FI27" s="242"/>
      <c r="FJ27" s="243"/>
      <c r="FK27" s="243"/>
      <c r="FL27" s="243"/>
      <c r="FM27" s="243"/>
      <c r="FN27" s="243"/>
      <c r="FO27" s="243"/>
      <c r="FP27" s="243"/>
      <c r="FQ27" s="242"/>
      <c r="FR27" s="242"/>
      <c r="FS27" s="242"/>
      <c r="FT27" s="242"/>
      <c r="FU27" s="242"/>
      <c r="FV27" s="242"/>
      <c r="FW27" s="242"/>
      <c r="FX27" s="243"/>
      <c r="FY27" s="243"/>
      <c r="FZ27" s="243"/>
      <c r="GA27" s="243"/>
      <c r="GB27" s="243"/>
      <c r="GC27" s="243"/>
      <c r="GD27" s="243"/>
      <c r="GE27" s="242"/>
      <c r="GF27" s="242"/>
      <c r="GG27" s="242"/>
      <c r="GH27" s="242"/>
      <c r="GI27" s="242"/>
      <c r="GJ27" s="242"/>
      <c r="GK27" s="242"/>
      <c r="GL27" s="243"/>
      <c r="GM27" s="243"/>
      <c r="GN27" s="243"/>
      <c r="GO27" s="243"/>
      <c r="GP27" s="243"/>
      <c r="GQ27" s="243"/>
      <c r="GR27" s="243"/>
      <c r="GS27" s="242"/>
      <c r="GT27" s="242"/>
      <c r="GU27" s="242"/>
      <c r="GV27" s="242"/>
      <c r="GW27" s="242"/>
      <c r="GX27" s="242"/>
      <c r="GY27" s="242"/>
      <c r="GZ27" s="243"/>
      <c r="HA27" s="243"/>
      <c r="HB27" s="243"/>
      <c r="HC27" s="243"/>
      <c r="HD27" s="243"/>
      <c r="HE27" s="243"/>
      <c r="HF27" s="243"/>
      <c r="HG27" s="242"/>
      <c r="HH27" s="242"/>
      <c r="HI27" s="242"/>
      <c r="HJ27" s="242"/>
      <c r="HK27" s="242"/>
      <c r="HL27" s="242"/>
      <c r="HM27" s="242"/>
      <c r="HN27" s="243"/>
      <c r="HO27" s="243"/>
      <c r="HP27" s="243"/>
      <c r="HQ27" s="243"/>
      <c r="HR27" s="243"/>
      <c r="HS27" s="243"/>
      <c r="HT27" s="243"/>
      <c r="HU27" s="242"/>
      <c r="HV27" s="242"/>
      <c r="HW27" s="242"/>
      <c r="HX27" s="242"/>
      <c r="HY27" s="242"/>
      <c r="HZ27" s="242"/>
      <c r="IA27" s="242"/>
      <c r="IB27" s="243"/>
      <c r="IC27" s="243"/>
      <c r="ID27" s="243"/>
      <c r="IE27" s="243"/>
      <c r="IF27" s="243"/>
      <c r="IG27" s="243"/>
      <c r="IH27" s="243"/>
      <c r="II27" s="242"/>
      <c r="IJ27" s="242"/>
      <c r="IK27" s="242"/>
      <c r="IL27" s="242"/>
      <c r="IM27" s="242"/>
      <c r="IN27" s="242"/>
      <c r="IO27" s="242"/>
      <c r="IP27" s="243"/>
      <c r="IQ27" s="243"/>
      <c r="IR27" s="243"/>
      <c r="IS27" s="243"/>
      <c r="IT27" s="243"/>
      <c r="IU27" s="243"/>
      <c r="IV27" s="243"/>
      <c r="IW27" s="242"/>
      <c r="IX27" s="242"/>
      <c r="IY27" s="242"/>
      <c r="IZ27" s="242"/>
      <c r="JA27" s="242"/>
      <c r="JB27" s="242"/>
      <c r="JC27" s="242"/>
      <c r="JD27" s="243"/>
      <c r="JE27" s="243"/>
      <c r="JF27" s="243"/>
      <c r="JG27" s="243"/>
      <c r="JH27" s="243"/>
      <c r="JI27" s="243"/>
      <c r="JJ27" s="243"/>
      <c r="JK27" s="242"/>
      <c r="JL27" s="242"/>
      <c r="JM27" s="242"/>
      <c r="JN27" s="242"/>
      <c r="JO27" s="242"/>
      <c r="JP27" s="242"/>
      <c r="JQ27" s="242">
        <v>24</v>
      </c>
      <c r="JR27" s="243">
        <v>24</v>
      </c>
      <c r="JS27" s="243">
        <v>24</v>
      </c>
      <c r="JT27" s="243">
        <v>24</v>
      </c>
      <c r="JU27" s="243">
        <v>24</v>
      </c>
      <c r="JV27" s="243">
        <v>24</v>
      </c>
      <c r="JW27" s="243"/>
      <c r="JX27" s="243"/>
      <c r="JY27" s="242"/>
      <c r="JZ27" s="242"/>
      <c r="KA27" s="242"/>
      <c r="KB27" s="242"/>
      <c r="KC27" s="242"/>
      <c r="KD27" s="242"/>
      <c r="KE27" s="242"/>
      <c r="KF27" s="243"/>
      <c r="KG27" s="243"/>
      <c r="KH27" s="243"/>
      <c r="KI27" s="243"/>
      <c r="KJ27" s="243"/>
      <c r="KK27" s="243"/>
      <c r="KL27" s="243"/>
      <c r="KM27" s="242"/>
      <c r="KN27" s="242"/>
      <c r="KO27" s="242"/>
      <c r="KP27" s="242"/>
      <c r="KQ27" s="242"/>
      <c r="KR27" s="242"/>
      <c r="KS27" s="242"/>
      <c r="KT27" s="243"/>
      <c r="KU27" s="243"/>
      <c r="KV27" s="243"/>
      <c r="KW27" s="243"/>
      <c r="KX27" s="243"/>
      <c r="KY27" s="243"/>
      <c r="KZ27" s="243"/>
      <c r="LA27" s="242"/>
      <c r="LB27" s="242"/>
      <c r="LC27" s="242"/>
      <c r="LD27" s="242"/>
      <c r="LE27" s="242"/>
      <c r="LF27" s="242"/>
      <c r="LG27" s="242"/>
      <c r="LH27" s="243"/>
      <c r="LI27" s="243"/>
      <c r="LJ27" s="243"/>
      <c r="LK27" s="243"/>
      <c r="LL27" s="243"/>
      <c r="LM27" s="243"/>
      <c r="LN27" s="243"/>
      <c r="LO27" s="242"/>
      <c r="LP27" s="242"/>
      <c r="LQ27" s="242"/>
      <c r="LR27" s="242"/>
      <c r="LS27" s="242"/>
      <c r="LT27" s="242"/>
      <c r="LU27" s="242"/>
      <c r="LV27" s="243"/>
      <c r="LW27" s="243"/>
      <c r="LX27" s="243"/>
      <c r="LY27" s="243"/>
      <c r="LZ27" s="243"/>
      <c r="MA27" s="243"/>
      <c r="MB27" s="243"/>
      <c r="MC27" s="242"/>
      <c r="MD27" s="242"/>
      <c r="ME27" s="242"/>
      <c r="MF27" s="242"/>
      <c r="MG27" s="242"/>
      <c r="MH27" s="242"/>
      <c r="MI27" s="242"/>
      <c r="MJ27" s="243"/>
      <c r="MK27" s="243"/>
      <c r="ML27" s="243"/>
      <c r="MM27" s="243"/>
      <c r="MN27" s="243"/>
      <c r="MO27" s="243"/>
      <c r="MP27" s="243"/>
      <c r="MQ27" s="242"/>
      <c r="MR27" s="242"/>
      <c r="MS27" s="242"/>
      <c r="MT27" s="242"/>
      <c r="MU27" s="242"/>
      <c r="MV27" s="242"/>
      <c r="MW27" s="242"/>
      <c r="MX27" s="243"/>
      <c r="MY27" s="243"/>
      <c r="MZ27" s="243"/>
      <c r="NA27" s="243"/>
      <c r="NB27" s="243"/>
      <c r="NC27" s="243"/>
      <c r="ND27" s="243"/>
      <c r="NE27" s="242"/>
      <c r="NF27" s="242"/>
      <c r="NG27" s="242"/>
      <c r="NH27" s="243"/>
    </row>
    <row r="28" spans="1:372">
      <c r="A28" s="254" t="s">
        <v>967</v>
      </c>
      <c r="B28" s="239" t="s">
        <v>30</v>
      </c>
      <c r="C28" s="240" t="s">
        <v>674</v>
      </c>
      <c r="D28" s="240" t="s">
        <v>997</v>
      </c>
      <c r="E28" s="241">
        <v>225.67311110719214</v>
      </c>
      <c r="F28" s="252">
        <v>300</v>
      </c>
      <c r="G28" s="242"/>
      <c r="H28" s="242"/>
      <c r="I28" s="242"/>
      <c r="J28" s="242"/>
      <c r="K28" s="242"/>
      <c r="L28" s="243"/>
      <c r="M28" s="243"/>
      <c r="N28" s="243"/>
      <c r="O28" s="243"/>
      <c r="P28" s="243"/>
      <c r="Q28" s="243"/>
      <c r="R28" s="243"/>
      <c r="S28" s="242"/>
      <c r="T28" s="242"/>
      <c r="U28" s="242"/>
      <c r="V28" s="242"/>
      <c r="W28" s="242"/>
      <c r="X28" s="242"/>
      <c r="Y28" s="242"/>
      <c r="Z28" s="243"/>
      <c r="AA28" s="243"/>
      <c r="AB28" s="243"/>
      <c r="AC28" s="243"/>
      <c r="AD28" s="243"/>
      <c r="AE28" s="243"/>
      <c r="AF28" s="243"/>
      <c r="AG28" s="242"/>
      <c r="AH28" s="242"/>
      <c r="AI28" s="242"/>
      <c r="AJ28" s="242"/>
      <c r="AK28" s="242"/>
      <c r="AL28" s="242"/>
      <c r="AM28" s="242"/>
      <c r="AN28" s="243"/>
      <c r="AO28" s="243"/>
      <c r="AP28" s="243"/>
      <c r="AQ28" s="243"/>
      <c r="AR28" s="243"/>
      <c r="AS28" s="243"/>
      <c r="AT28" s="243"/>
      <c r="AU28" s="242"/>
      <c r="AV28" s="242"/>
      <c r="AW28" s="242"/>
      <c r="AX28" s="242"/>
      <c r="AY28" s="242"/>
      <c r="AZ28" s="242"/>
      <c r="BA28" s="242"/>
      <c r="BB28" s="243"/>
      <c r="BC28" s="243"/>
      <c r="BD28" s="243"/>
      <c r="BE28" s="243"/>
      <c r="BF28" s="243"/>
      <c r="BG28" s="243"/>
      <c r="BH28" s="243"/>
      <c r="BI28" s="242"/>
      <c r="BJ28" s="242"/>
      <c r="BK28" s="242"/>
      <c r="BL28" s="242"/>
      <c r="BM28" s="242"/>
      <c r="BN28" s="242"/>
      <c r="BO28" s="242"/>
      <c r="BP28" s="243"/>
      <c r="BQ28" s="243"/>
      <c r="BR28" s="243"/>
      <c r="BS28" s="243"/>
      <c r="BT28" s="243"/>
      <c r="BU28" s="243"/>
      <c r="BV28" s="243"/>
      <c r="BW28" s="242"/>
      <c r="BX28" s="242"/>
      <c r="BY28" s="242"/>
      <c r="BZ28" s="242"/>
      <c r="CA28" s="242"/>
      <c r="CB28" s="242"/>
      <c r="CC28" s="242"/>
      <c r="CD28" s="243"/>
      <c r="CE28" s="243"/>
      <c r="CF28" s="243"/>
      <c r="CG28" s="243"/>
      <c r="CH28" s="243"/>
      <c r="CI28" s="243"/>
      <c r="CJ28" s="243"/>
      <c r="CK28" s="242"/>
      <c r="CL28" s="242"/>
      <c r="CM28" s="242"/>
      <c r="CN28" s="242"/>
      <c r="CO28" s="242"/>
      <c r="CP28" s="242"/>
      <c r="CQ28" s="242"/>
      <c r="CR28" s="243"/>
      <c r="CS28" s="243"/>
      <c r="CT28" s="243"/>
      <c r="CU28" s="243"/>
      <c r="CV28" s="243"/>
      <c r="CW28" s="243"/>
      <c r="CX28" s="243"/>
      <c r="CY28" s="242"/>
      <c r="CZ28" s="242"/>
      <c r="DA28" s="242"/>
      <c r="DB28" s="242"/>
      <c r="DC28" s="242"/>
      <c r="DD28" s="242"/>
      <c r="DE28" s="242"/>
      <c r="DF28" s="243"/>
      <c r="DG28" s="243"/>
      <c r="DH28" s="243"/>
      <c r="DI28" s="243"/>
      <c r="DJ28" s="243"/>
      <c r="DK28" s="243"/>
      <c r="DL28" s="243"/>
      <c r="DM28" s="242"/>
      <c r="DN28" s="242"/>
      <c r="DO28" s="242"/>
      <c r="DP28" s="242"/>
      <c r="DQ28" s="242"/>
      <c r="DR28" s="242"/>
      <c r="DS28" s="242"/>
      <c r="DT28" s="243"/>
      <c r="DU28" s="243"/>
      <c r="DV28" s="243"/>
      <c r="DW28" s="243"/>
      <c r="DX28" s="243"/>
      <c r="DY28" s="243"/>
      <c r="DZ28" s="243"/>
      <c r="EA28" s="242"/>
      <c r="EB28" s="242"/>
      <c r="EC28" s="242"/>
      <c r="ED28" s="242"/>
      <c r="EE28" s="242"/>
      <c r="EF28" s="242"/>
      <c r="EG28" s="242"/>
      <c r="EH28" s="243"/>
      <c r="EI28" s="243"/>
      <c r="EJ28" s="243"/>
      <c r="EK28" s="243"/>
      <c r="EL28" s="243"/>
      <c r="EM28" s="243"/>
      <c r="EN28" s="243"/>
      <c r="EO28" s="242"/>
      <c r="EP28" s="242"/>
      <c r="EQ28" s="242"/>
      <c r="ER28" s="242"/>
      <c r="ES28" s="242"/>
      <c r="ET28" s="242"/>
      <c r="EU28" s="242"/>
      <c r="EV28" s="243"/>
      <c r="EW28" s="243"/>
      <c r="EX28" s="243"/>
      <c r="EY28" s="243"/>
      <c r="EZ28" s="243"/>
      <c r="FA28" s="243"/>
      <c r="FB28" s="243"/>
      <c r="FC28" s="242"/>
      <c r="FD28" s="242"/>
      <c r="FE28" s="242"/>
      <c r="FF28" s="242"/>
      <c r="FG28" s="242"/>
      <c r="FH28" s="242"/>
      <c r="FI28" s="242"/>
      <c r="FJ28" s="243"/>
      <c r="FK28" s="243"/>
      <c r="FL28" s="243"/>
      <c r="FM28" s="243"/>
      <c r="FN28" s="243"/>
      <c r="FO28" s="243"/>
      <c r="FP28" s="243"/>
      <c r="FQ28" s="242"/>
      <c r="FR28" s="242"/>
      <c r="FS28" s="242"/>
      <c r="FT28" s="242"/>
      <c r="FU28" s="242"/>
      <c r="FV28" s="242"/>
      <c r="FW28" s="242"/>
      <c r="FX28" s="243"/>
      <c r="FY28" s="243"/>
      <c r="FZ28" s="243"/>
      <c r="GA28" s="243"/>
      <c r="GB28" s="243"/>
      <c r="GC28" s="243"/>
      <c r="GD28" s="243"/>
      <c r="GE28" s="242"/>
      <c r="GF28" s="242"/>
      <c r="GG28" s="242"/>
      <c r="GH28" s="242"/>
      <c r="GI28" s="242"/>
      <c r="GJ28" s="242"/>
      <c r="GK28" s="242"/>
      <c r="GL28" s="243"/>
      <c r="GM28" s="243"/>
      <c r="GN28" s="243"/>
      <c r="GO28" s="243"/>
      <c r="GP28" s="243"/>
      <c r="GQ28" s="243"/>
      <c r="GR28" s="243"/>
      <c r="GS28" s="242"/>
      <c r="GT28" s="242"/>
      <c r="GU28" s="242"/>
      <c r="GV28" s="242"/>
      <c r="GW28" s="242"/>
      <c r="GX28" s="242"/>
      <c r="GY28" s="242"/>
      <c r="GZ28" s="243"/>
      <c r="HA28" s="243"/>
      <c r="HB28" s="243"/>
      <c r="HC28" s="243"/>
      <c r="HD28" s="243"/>
      <c r="HE28" s="243"/>
      <c r="HF28" s="243"/>
      <c r="HG28" s="242"/>
      <c r="HH28" s="242"/>
      <c r="HI28" s="242"/>
      <c r="HJ28" s="242"/>
      <c r="HK28" s="242"/>
      <c r="HL28" s="242"/>
      <c r="HM28" s="242"/>
      <c r="HN28" s="243"/>
      <c r="HO28" s="243"/>
      <c r="HP28" s="243"/>
      <c r="HQ28" s="243"/>
      <c r="HR28" s="243"/>
      <c r="HS28" s="243"/>
      <c r="HT28" s="243"/>
      <c r="HU28" s="242"/>
      <c r="HV28" s="242"/>
      <c r="HW28" s="242"/>
      <c r="HX28" s="242"/>
      <c r="HY28" s="242"/>
      <c r="HZ28" s="242"/>
      <c r="IA28" s="242"/>
      <c r="IB28" s="243"/>
      <c r="IC28" s="243"/>
      <c r="ID28" s="243"/>
      <c r="IE28" s="243"/>
      <c r="IF28" s="243"/>
      <c r="IG28" s="243"/>
      <c r="IH28" s="243"/>
      <c r="II28" s="242"/>
      <c r="IJ28" s="242"/>
      <c r="IK28" s="242"/>
      <c r="IL28" s="242"/>
      <c r="IM28" s="242"/>
      <c r="IN28" s="242"/>
      <c r="IO28" s="242"/>
      <c r="IP28" s="243"/>
      <c r="IQ28" s="243"/>
      <c r="IR28" s="243"/>
      <c r="IS28" s="243"/>
      <c r="IT28" s="243"/>
      <c r="IU28" s="243"/>
      <c r="IV28" s="243"/>
      <c r="IW28" s="242"/>
      <c r="IX28" s="242"/>
      <c r="IY28" s="242"/>
      <c r="IZ28" s="242"/>
      <c r="JA28" s="242"/>
      <c r="JB28" s="242"/>
      <c r="JC28" s="242"/>
      <c r="JD28" s="243"/>
      <c r="JE28" s="243"/>
      <c r="JF28" s="243"/>
      <c r="JG28" s="243"/>
      <c r="JH28" s="243"/>
      <c r="JI28" s="243"/>
      <c r="JJ28" s="243"/>
      <c r="JK28" s="242"/>
      <c r="JL28" s="242"/>
      <c r="JM28" s="242"/>
      <c r="JN28" s="242"/>
      <c r="JO28" s="242"/>
      <c r="JP28" s="242"/>
      <c r="JQ28" s="242">
        <v>24</v>
      </c>
      <c r="JR28" s="243">
        <v>24</v>
      </c>
      <c r="JS28" s="243">
        <v>24</v>
      </c>
      <c r="JT28" s="243">
        <v>24</v>
      </c>
      <c r="JU28" s="243">
        <v>24</v>
      </c>
      <c r="JV28" s="243">
        <v>24</v>
      </c>
      <c r="JW28" s="243">
        <v>24</v>
      </c>
      <c r="JX28" s="243">
        <v>24</v>
      </c>
      <c r="JY28" s="242">
        <v>24</v>
      </c>
      <c r="JZ28" s="242">
        <v>24</v>
      </c>
      <c r="KA28" s="242">
        <v>24</v>
      </c>
      <c r="KB28" s="242">
        <v>24</v>
      </c>
      <c r="KC28" s="242">
        <v>12</v>
      </c>
      <c r="KD28" s="242"/>
      <c r="KE28" s="242"/>
      <c r="KF28" s="243"/>
      <c r="KG28" s="243"/>
      <c r="KH28" s="243"/>
      <c r="KI28" s="243"/>
      <c r="KJ28" s="243"/>
      <c r="KK28" s="243"/>
      <c r="KL28" s="243"/>
      <c r="KM28" s="242"/>
      <c r="KN28" s="242"/>
      <c r="KO28" s="242"/>
      <c r="KP28" s="242"/>
      <c r="KQ28" s="242"/>
      <c r="KR28" s="242"/>
      <c r="KS28" s="242"/>
      <c r="KT28" s="243"/>
      <c r="KU28" s="243"/>
      <c r="KV28" s="243"/>
      <c r="KW28" s="243"/>
      <c r="KX28" s="243"/>
      <c r="KY28" s="243"/>
      <c r="KZ28" s="243"/>
      <c r="LA28" s="242"/>
      <c r="LB28" s="242"/>
      <c r="LC28" s="242"/>
      <c r="LD28" s="242"/>
      <c r="LE28" s="242"/>
      <c r="LF28" s="242"/>
      <c r="LG28" s="242"/>
      <c r="LH28" s="243"/>
      <c r="LI28" s="243"/>
      <c r="LJ28" s="243"/>
      <c r="LK28" s="243"/>
      <c r="LL28" s="243"/>
      <c r="LM28" s="243"/>
      <c r="LN28" s="243"/>
      <c r="LO28" s="242"/>
      <c r="LP28" s="242"/>
      <c r="LQ28" s="242"/>
      <c r="LR28" s="242"/>
      <c r="LS28" s="242"/>
      <c r="LT28" s="242"/>
      <c r="LU28" s="242"/>
      <c r="LV28" s="243"/>
      <c r="LW28" s="243"/>
      <c r="LX28" s="243"/>
      <c r="LY28" s="243"/>
      <c r="LZ28" s="243"/>
      <c r="MA28" s="243"/>
      <c r="MB28" s="243"/>
      <c r="MC28" s="242"/>
      <c r="MD28" s="242"/>
      <c r="ME28" s="242"/>
      <c r="MF28" s="242"/>
      <c r="MG28" s="242"/>
      <c r="MH28" s="242"/>
      <c r="MI28" s="242"/>
      <c r="MJ28" s="243"/>
      <c r="MK28" s="243"/>
      <c r="ML28" s="243"/>
      <c r="MM28" s="243"/>
      <c r="MN28" s="243"/>
      <c r="MO28" s="243"/>
      <c r="MP28" s="243"/>
      <c r="MQ28" s="242"/>
      <c r="MR28" s="242"/>
      <c r="MS28" s="242"/>
      <c r="MT28" s="242"/>
      <c r="MU28" s="242"/>
      <c r="MV28" s="242"/>
      <c r="MW28" s="242"/>
      <c r="MX28" s="243"/>
      <c r="MY28" s="243"/>
      <c r="MZ28" s="243"/>
      <c r="NA28" s="243"/>
      <c r="NB28" s="243"/>
      <c r="NC28" s="243"/>
      <c r="ND28" s="243"/>
      <c r="NE28" s="242"/>
      <c r="NF28" s="242"/>
      <c r="NG28" s="242"/>
      <c r="NH28" s="243" t="s">
        <v>1134</v>
      </c>
    </row>
    <row r="29" spans="1:372">
      <c r="A29" s="254" t="s">
        <v>967</v>
      </c>
      <c r="B29" s="239" t="s">
        <v>33</v>
      </c>
      <c r="C29" s="240" t="s">
        <v>674</v>
      </c>
      <c r="D29" s="240" t="s">
        <v>997</v>
      </c>
      <c r="E29" s="241">
        <v>668.6642999876434</v>
      </c>
      <c r="F29" s="252">
        <v>144</v>
      </c>
      <c r="G29" s="242"/>
      <c r="H29" s="242"/>
      <c r="I29" s="242"/>
      <c r="J29" s="242"/>
      <c r="K29" s="242"/>
      <c r="L29" s="243"/>
      <c r="M29" s="243"/>
      <c r="N29" s="243"/>
      <c r="O29" s="243"/>
      <c r="P29" s="243"/>
      <c r="Q29" s="243"/>
      <c r="R29" s="243"/>
      <c r="S29" s="242"/>
      <c r="T29" s="242"/>
      <c r="U29" s="242"/>
      <c r="V29" s="242"/>
      <c r="W29" s="242"/>
      <c r="X29" s="242"/>
      <c r="Y29" s="242"/>
      <c r="Z29" s="243"/>
      <c r="AA29" s="243"/>
      <c r="AB29" s="243"/>
      <c r="AC29" s="243"/>
      <c r="AD29" s="243"/>
      <c r="AE29" s="243"/>
      <c r="AF29" s="243"/>
      <c r="AG29" s="242"/>
      <c r="AH29" s="242"/>
      <c r="AI29" s="242"/>
      <c r="AJ29" s="242"/>
      <c r="AK29" s="242"/>
      <c r="AL29" s="242"/>
      <c r="AM29" s="242"/>
      <c r="AN29" s="243"/>
      <c r="AO29" s="243"/>
      <c r="AP29" s="243"/>
      <c r="AQ29" s="243"/>
      <c r="AR29" s="243"/>
      <c r="AS29" s="243"/>
      <c r="AT29" s="243"/>
      <c r="AU29" s="242"/>
      <c r="AV29" s="242"/>
      <c r="AW29" s="242"/>
      <c r="AX29" s="242"/>
      <c r="AY29" s="242"/>
      <c r="AZ29" s="242"/>
      <c r="BA29" s="242"/>
      <c r="BB29" s="243"/>
      <c r="BC29" s="243"/>
      <c r="BD29" s="243"/>
      <c r="BE29" s="243"/>
      <c r="BF29" s="243"/>
      <c r="BG29" s="243"/>
      <c r="BH29" s="243"/>
      <c r="BI29" s="242"/>
      <c r="BJ29" s="242"/>
      <c r="BK29" s="242"/>
      <c r="BL29" s="242"/>
      <c r="BM29" s="242"/>
      <c r="BN29" s="242"/>
      <c r="BO29" s="242"/>
      <c r="BP29" s="243"/>
      <c r="BQ29" s="243"/>
      <c r="BR29" s="243"/>
      <c r="BS29" s="243"/>
      <c r="BT29" s="243"/>
      <c r="BU29" s="243"/>
      <c r="BV29" s="243"/>
      <c r="BW29" s="242"/>
      <c r="BX29" s="242"/>
      <c r="BY29" s="242"/>
      <c r="BZ29" s="242"/>
      <c r="CA29" s="242"/>
      <c r="CB29" s="242"/>
      <c r="CC29" s="242"/>
      <c r="CD29" s="243"/>
      <c r="CE29" s="243"/>
      <c r="CF29" s="243"/>
      <c r="CG29" s="243"/>
      <c r="CH29" s="243"/>
      <c r="CI29" s="243"/>
      <c r="CJ29" s="243"/>
      <c r="CK29" s="242"/>
      <c r="CL29" s="242"/>
      <c r="CM29" s="242"/>
      <c r="CN29" s="242"/>
      <c r="CO29" s="242"/>
      <c r="CP29" s="242"/>
      <c r="CQ29" s="242"/>
      <c r="CR29" s="243"/>
      <c r="CS29" s="243"/>
      <c r="CT29" s="243"/>
      <c r="CU29" s="243"/>
      <c r="CV29" s="243"/>
      <c r="CW29" s="243"/>
      <c r="CX29" s="243"/>
      <c r="CY29" s="242"/>
      <c r="CZ29" s="242"/>
      <c r="DA29" s="242"/>
      <c r="DB29" s="242"/>
      <c r="DC29" s="242"/>
      <c r="DD29" s="242"/>
      <c r="DE29" s="242"/>
      <c r="DF29" s="243"/>
      <c r="DG29" s="243"/>
      <c r="DH29" s="243"/>
      <c r="DI29" s="243"/>
      <c r="DJ29" s="243"/>
      <c r="DK29" s="243"/>
      <c r="DL29" s="243"/>
      <c r="DM29" s="242"/>
      <c r="DN29" s="242"/>
      <c r="DO29" s="242"/>
      <c r="DP29" s="242"/>
      <c r="DQ29" s="242"/>
      <c r="DR29" s="242"/>
      <c r="DS29" s="242"/>
      <c r="DT29" s="243"/>
      <c r="DU29" s="243"/>
      <c r="DV29" s="243"/>
      <c r="DW29" s="243"/>
      <c r="DX29" s="243"/>
      <c r="DY29" s="243"/>
      <c r="DZ29" s="243"/>
      <c r="EA29" s="242"/>
      <c r="EB29" s="242"/>
      <c r="EC29" s="242"/>
      <c r="ED29" s="242"/>
      <c r="EE29" s="242"/>
      <c r="EF29" s="242"/>
      <c r="EG29" s="242"/>
      <c r="EH29" s="243"/>
      <c r="EI29" s="243"/>
      <c r="EJ29" s="243"/>
      <c r="EK29" s="243"/>
      <c r="EL29" s="243"/>
      <c r="EM29" s="243"/>
      <c r="EN29" s="243"/>
      <c r="EO29" s="242"/>
      <c r="EP29" s="242"/>
      <c r="EQ29" s="242"/>
      <c r="ER29" s="242"/>
      <c r="ES29" s="242"/>
      <c r="ET29" s="242"/>
      <c r="EU29" s="242"/>
      <c r="EV29" s="243"/>
      <c r="EW29" s="243"/>
      <c r="EX29" s="243"/>
      <c r="EY29" s="243"/>
      <c r="EZ29" s="243"/>
      <c r="FA29" s="243"/>
      <c r="FB29" s="243"/>
      <c r="FC29" s="242"/>
      <c r="FD29" s="242"/>
      <c r="FE29" s="242"/>
      <c r="FF29" s="242"/>
      <c r="FG29" s="242"/>
      <c r="FH29" s="242"/>
      <c r="FI29" s="242"/>
      <c r="FJ29" s="243"/>
      <c r="FK29" s="243"/>
      <c r="FL29" s="243"/>
      <c r="FM29" s="243"/>
      <c r="FN29" s="243"/>
      <c r="FO29" s="243"/>
      <c r="FP29" s="243"/>
      <c r="FQ29" s="242"/>
      <c r="FR29" s="242"/>
      <c r="FS29" s="242"/>
      <c r="FT29" s="242"/>
      <c r="FU29" s="242"/>
      <c r="FV29" s="242"/>
      <c r="FW29" s="242"/>
      <c r="FX29" s="243"/>
      <c r="FY29" s="243"/>
      <c r="FZ29" s="243"/>
      <c r="GA29" s="243"/>
      <c r="GB29" s="243"/>
      <c r="GC29" s="243"/>
      <c r="GD29" s="243"/>
      <c r="GE29" s="242"/>
      <c r="GF29" s="242"/>
      <c r="GG29" s="242"/>
      <c r="GH29" s="242"/>
      <c r="GI29" s="242"/>
      <c r="GJ29" s="242"/>
      <c r="GK29" s="242"/>
      <c r="GL29" s="243"/>
      <c r="GM29" s="243"/>
      <c r="GN29" s="243"/>
      <c r="GO29" s="243"/>
      <c r="GP29" s="243"/>
      <c r="GQ29" s="243"/>
      <c r="GR29" s="243"/>
      <c r="GS29" s="242"/>
      <c r="GT29" s="242"/>
      <c r="GU29" s="242"/>
      <c r="GV29" s="242"/>
      <c r="GW29" s="242"/>
      <c r="GX29" s="242"/>
      <c r="GY29" s="242"/>
      <c r="GZ29" s="243"/>
      <c r="HA29" s="243"/>
      <c r="HB29" s="243"/>
      <c r="HC29" s="243"/>
      <c r="HD29" s="243"/>
      <c r="HE29" s="243"/>
      <c r="HF29" s="243"/>
      <c r="HG29" s="242"/>
      <c r="HH29" s="242"/>
      <c r="HI29" s="242"/>
      <c r="HJ29" s="242"/>
      <c r="HK29" s="242"/>
      <c r="HL29" s="242"/>
      <c r="HM29" s="242"/>
      <c r="HN29" s="243"/>
      <c r="HO29" s="243"/>
      <c r="HP29" s="243"/>
      <c r="HQ29" s="243"/>
      <c r="HR29" s="243"/>
      <c r="HS29" s="243"/>
      <c r="HT29" s="243"/>
      <c r="HU29" s="242"/>
      <c r="HV29" s="242"/>
      <c r="HW29" s="242"/>
      <c r="HX29" s="242"/>
      <c r="HY29" s="242"/>
      <c r="HZ29" s="242"/>
      <c r="IA29" s="242"/>
      <c r="IB29" s="243"/>
      <c r="IC29" s="243"/>
      <c r="ID29" s="243"/>
      <c r="IE29" s="243"/>
      <c r="IF29" s="243"/>
      <c r="IG29" s="243"/>
      <c r="IH29" s="243"/>
      <c r="II29" s="242"/>
      <c r="IJ29" s="242"/>
      <c r="IK29" s="242"/>
      <c r="IL29" s="242"/>
      <c r="IM29" s="242"/>
      <c r="IN29" s="242"/>
      <c r="IO29" s="242"/>
      <c r="IP29" s="243"/>
      <c r="IQ29" s="243"/>
      <c r="IR29" s="243"/>
      <c r="IS29" s="243"/>
      <c r="IT29" s="243"/>
      <c r="IU29" s="243"/>
      <c r="IV29" s="243"/>
      <c r="IW29" s="242"/>
      <c r="IX29" s="242"/>
      <c r="IY29" s="242"/>
      <c r="IZ29" s="242"/>
      <c r="JA29" s="242"/>
      <c r="JB29" s="242"/>
      <c r="JC29" s="242"/>
      <c r="JD29" s="243"/>
      <c r="JE29" s="243"/>
      <c r="JF29" s="243"/>
      <c r="JG29" s="243"/>
      <c r="JH29" s="243"/>
      <c r="JI29" s="243"/>
      <c r="JJ29" s="243"/>
      <c r="JK29" s="242"/>
      <c r="JL29" s="242"/>
      <c r="JM29" s="242"/>
      <c r="JN29" s="242"/>
      <c r="JO29" s="242"/>
      <c r="JP29" s="242"/>
      <c r="JQ29" s="242">
        <v>24</v>
      </c>
      <c r="JR29" s="243">
        <v>24</v>
      </c>
      <c r="JS29" s="243">
        <v>24</v>
      </c>
      <c r="JT29" s="243">
        <v>24</v>
      </c>
      <c r="JU29" s="243">
        <v>24</v>
      </c>
      <c r="JV29" s="243">
        <v>24</v>
      </c>
      <c r="JW29" s="243"/>
      <c r="JX29" s="243"/>
      <c r="JY29" s="242"/>
      <c r="JZ29" s="242"/>
      <c r="KA29" s="242"/>
      <c r="KB29" s="242"/>
      <c r="KC29" s="242"/>
      <c r="KD29" s="242"/>
      <c r="KE29" s="242"/>
      <c r="KF29" s="243"/>
      <c r="KG29" s="243"/>
      <c r="KH29" s="243"/>
      <c r="KI29" s="243"/>
      <c r="KJ29" s="243"/>
      <c r="KK29" s="243"/>
      <c r="KL29" s="243"/>
      <c r="KM29" s="242"/>
      <c r="KN29" s="242"/>
      <c r="KO29" s="242"/>
      <c r="KP29" s="242"/>
      <c r="KQ29" s="242"/>
      <c r="KR29" s="242"/>
      <c r="KS29" s="242"/>
      <c r="KT29" s="243"/>
      <c r="KU29" s="243"/>
      <c r="KV29" s="243"/>
      <c r="KW29" s="243"/>
      <c r="KX29" s="243"/>
      <c r="KY29" s="243"/>
      <c r="KZ29" s="243"/>
      <c r="LA29" s="242"/>
      <c r="LB29" s="242"/>
      <c r="LC29" s="242"/>
      <c r="LD29" s="242"/>
      <c r="LE29" s="242"/>
      <c r="LF29" s="242"/>
      <c r="LG29" s="242"/>
      <c r="LH29" s="243"/>
      <c r="LI29" s="243"/>
      <c r="LJ29" s="243"/>
      <c r="LK29" s="243"/>
      <c r="LL29" s="243"/>
      <c r="LM29" s="243"/>
      <c r="LN29" s="243"/>
      <c r="LO29" s="242"/>
      <c r="LP29" s="242"/>
      <c r="LQ29" s="242"/>
      <c r="LR29" s="242"/>
      <c r="LS29" s="242"/>
      <c r="LT29" s="242"/>
      <c r="LU29" s="242"/>
      <c r="LV29" s="243"/>
      <c r="LW29" s="243"/>
      <c r="LX29" s="243"/>
      <c r="LY29" s="243"/>
      <c r="LZ29" s="243"/>
      <c r="MA29" s="243"/>
      <c r="MB29" s="243"/>
      <c r="MC29" s="242"/>
      <c r="MD29" s="242"/>
      <c r="ME29" s="242"/>
      <c r="MF29" s="242"/>
      <c r="MG29" s="242"/>
      <c r="MH29" s="242"/>
      <c r="MI29" s="242"/>
      <c r="MJ29" s="243"/>
      <c r="MK29" s="243"/>
      <c r="ML29" s="243"/>
      <c r="MM29" s="243"/>
      <c r="MN29" s="243"/>
      <c r="MO29" s="243"/>
      <c r="MP29" s="243"/>
      <c r="MQ29" s="242"/>
      <c r="MR29" s="242"/>
      <c r="MS29" s="242"/>
      <c r="MT29" s="242"/>
      <c r="MU29" s="242"/>
      <c r="MV29" s="242"/>
      <c r="MW29" s="242"/>
      <c r="MX29" s="243"/>
      <c r="MY29" s="243"/>
      <c r="MZ29" s="243"/>
      <c r="NA29" s="243"/>
      <c r="NB29" s="243"/>
      <c r="NC29" s="243"/>
      <c r="ND29" s="243"/>
      <c r="NE29" s="242"/>
      <c r="NF29" s="242"/>
      <c r="NG29" s="242"/>
      <c r="NH29" s="243"/>
    </row>
    <row r="30" spans="1:372">
      <c r="A30" s="254" t="s">
        <v>967</v>
      </c>
      <c r="B30" s="239" t="s">
        <v>31</v>
      </c>
      <c r="C30" s="240" t="s">
        <v>675</v>
      </c>
      <c r="D30" s="240" t="s">
        <v>982</v>
      </c>
      <c r="E30" s="241">
        <v>810.36834972696965</v>
      </c>
      <c r="F30" s="252">
        <v>192</v>
      </c>
      <c r="G30" s="242"/>
      <c r="H30" s="242"/>
      <c r="I30" s="242"/>
      <c r="J30" s="242"/>
      <c r="K30" s="242"/>
      <c r="L30" s="243"/>
      <c r="M30" s="243"/>
      <c r="N30" s="243"/>
      <c r="O30" s="243"/>
      <c r="P30" s="243"/>
      <c r="Q30" s="243"/>
      <c r="R30" s="243"/>
      <c r="S30" s="242"/>
      <c r="T30" s="242"/>
      <c r="U30" s="242"/>
      <c r="V30" s="242"/>
      <c r="W30" s="242"/>
      <c r="X30" s="242"/>
      <c r="Y30" s="242"/>
      <c r="Z30" s="243"/>
      <c r="AA30" s="243"/>
      <c r="AB30" s="243"/>
      <c r="AC30" s="243"/>
      <c r="AD30" s="243"/>
      <c r="AE30" s="243"/>
      <c r="AF30" s="243"/>
      <c r="AG30" s="242"/>
      <c r="AH30" s="242"/>
      <c r="AI30" s="242"/>
      <c r="AJ30" s="242"/>
      <c r="AK30" s="242"/>
      <c r="AL30" s="242"/>
      <c r="AM30" s="242"/>
      <c r="AN30" s="243"/>
      <c r="AO30" s="243"/>
      <c r="AP30" s="243"/>
      <c r="AQ30" s="243"/>
      <c r="AR30" s="243"/>
      <c r="AS30" s="243"/>
      <c r="AT30" s="243"/>
      <c r="AU30" s="242"/>
      <c r="AV30" s="242"/>
      <c r="AW30" s="242"/>
      <c r="AX30" s="242"/>
      <c r="AY30" s="242"/>
      <c r="AZ30" s="242"/>
      <c r="BA30" s="242"/>
      <c r="BB30" s="243"/>
      <c r="BC30" s="243"/>
      <c r="BD30" s="243"/>
      <c r="BE30" s="243"/>
      <c r="BF30" s="243"/>
      <c r="BG30" s="243"/>
      <c r="BH30" s="243"/>
      <c r="BI30" s="242"/>
      <c r="BJ30" s="242"/>
      <c r="BK30" s="242"/>
      <c r="BL30" s="242"/>
      <c r="BM30" s="242"/>
      <c r="BN30" s="242"/>
      <c r="BO30" s="242"/>
      <c r="BP30" s="243"/>
      <c r="BQ30" s="243"/>
      <c r="BR30" s="243"/>
      <c r="BS30" s="243"/>
      <c r="BT30" s="243"/>
      <c r="BU30" s="243"/>
      <c r="BV30" s="243"/>
      <c r="BW30" s="242"/>
      <c r="BX30" s="242"/>
      <c r="BY30" s="242"/>
      <c r="BZ30" s="242"/>
      <c r="CA30" s="242"/>
      <c r="CB30" s="242"/>
      <c r="CC30" s="242"/>
      <c r="CD30" s="243"/>
      <c r="CE30" s="243"/>
      <c r="CF30" s="243"/>
      <c r="CG30" s="243"/>
      <c r="CH30" s="243"/>
      <c r="CI30" s="243"/>
      <c r="CJ30" s="243"/>
      <c r="CK30" s="242"/>
      <c r="CL30" s="242"/>
      <c r="CM30" s="242"/>
      <c r="CN30" s="242"/>
      <c r="CO30" s="242"/>
      <c r="CP30" s="242"/>
      <c r="CQ30" s="242"/>
      <c r="CR30" s="243"/>
      <c r="CS30" s="243"/>
      <c r="CT30" s="243"/>
      <c r="CU30" s="243"/>
      <c r="CV30" s="243"/>
      <c r="CW30" s="243"/>
      <c r="CX30" s="243"/>
      <c r="CY30" s="242"/>
      <c r="CZ30" s="242"/>
      <c r="DA30" s="242"/>
      <c r="DB30" s="242"/>
      <c r="DC30" s="242"/>
      <c r="DD30" s="242"/>
      <c r="DE30" s="242"/>
      <c r="DF30" s="243"/>
      <c r="DG30" s="243"/>
      <c r="DH30" s="243"/>
      <c r="DI30" s="243"/>
      <c r="DJ30" s="243"/>
      <c r="DK30" s="243"/>
      <c r="DL30" s="243"/>
      <c r="DM30" s="242"/>
      <c r="DN30" s="242"/>
      <c r="DO30" s="242"/>
      <c r="DP30" s="242"/>
      <c r="DQ30" s="242"/>
      <c r="DR30" s="242"/>
      <c r="DS30" s="242"/>
      <c r="DT30" s="243"/>
      <c r="DU30" s="243"/>
      <c r="DV30" s="243"/>
      <c r="DW30" s="243"/>
      <c r="DX30" s="243"/>
      <c r="DY30" s="243"/>
      <c r="DZ30" s="243"/>
      <c r="EA30" s="242"/>
      <c r="EB30" s="242"/>
      <c r="EC30" s="242"/>
      <c r="ED30" s="242"/>
      <c r="EE30" s="242"/>
      <c r="EF30" s="242"/>
      <c r="EG30" s="242"/>
      <c r="EH30" s="243"/>
      <c r="EI30" s="243"/>
      <c r="EJ30" s="243"/>
      <c r="EK30" s="243"/>
      <c r="EL30" s="243"/>
      <c r="EM30" s="243"/>
      <c r="EN30" s="243"/>
      <c r="EO30" s="242"/>
      <c r="EP30" s="242"/>
      <c r="EQ30" s="242"/>
      <c r="ER30" s="242"/>
      <c r="ES30" s="242"/>
      <c r="ET30" s="242"/>
      <c r="EU30" s="242"/>
      <c r="EV30" s="243"/>
      <c r="EW30" s="243"/>
      <c r="EX30" s="243"/>
      <c r="EY30" s="243"/>
      <c r="EZ30" s="243"/>
      <c r="FA30" s="243"/>
      <c r="FB30" s="243"/>
      <c r="FC30" s="242"/>
      <c r="FD30" s="242"/>
      <c r="FE30" s="242"/>
      <c r="FF30" s="242"/>
      <c r="FG30" s="242"/>
      <c r="FH30" s="242"/>
      <c r="FI30" s="242"/>
      <c r="FJ30" s="243"/>
      <c r="FK30" s="243"/>
      <c r="FL30" s="243"/>
      <c r="FM30" s="243"/>
      <c r="FN30" s="243"/>
      <c r="FO30" s="243"/>
      <c r="FP30" s="243"/>
      <c r="FQ30" s="242"/>
      <c r="FR30" s="242"/>
      <c r="FS30" s="242"/>
      <c r="FT30" s="242"/>
      <c r="FU30" s="242"/>
      <c r="FV30" s="242"/>
      <c r="FW30" s="242"/>
      <c r="FX30" s="243"/>
      <c r="FY30" s="243"/>
      <c r="FZ30" s="243"/>
      <c r="GA30" s="243"/>
      <c r="GB30" s="243"/>
      <c r="GC30" s="243"/>
      <c r="GD30" s="243"/>
      <c r="GE30" s="242"/>
      <c r="GF30" s="242"/>
      <c r="GG30" s="242"/>
      <c r="GH30" s="242"/>
      <c r="GI30" s="242"/>
      <c r="GJ30" s="242"/>
      <c r="GK30" s="242"/>
      <c r="GL30" s="243"/>
      <c r="GM30" s="243"/>
      <c r="GN30" s="243"/>
      <c r="GO30" s="243"/>
      <c r="GP30" s="243"/>
      <c r="GQ30" s="243"/>
      <c r="GR30" s="243"/>
      <c r="GS30" s="242"/>
      <c r="GT30" s="242"/>
      <c r="GU30" s="242"/>
      <c r="GV30" s="242"/>
      <c r="GW30" s="242"/>
      <c r="GX30" s="242"/>
      <c r="GY30" s="242"/>
      <c r="GZ30" s="243"/>
      <c r="HA30" s="243"/>
      <c r="HB30" s="243"/>
      <c r="HC30" s="243"/>
      <c r="HD30" s="243"/>
      <c r="HE30" s="243"/>
      <c r="HF30" s="243"/>
      <c r="HG30" s="242"/>
      <c r="HH30" s="242"/>
      <c r="HI30" s="242"/>
      <c r="HJ30" s="242"/>
      <c r="HK30" s="242"/>
      <c r="HL30" s="242"/>
      <c r="HM30" s="242"/>
      <c r="HN30" s="243"/>
      <c r="HO30" s="243"/>
      <c r="HP30" s="243"/>
      <c r="HQ30" s="243"/>
      <c r="HR30" s="243"/>
      <c r="HS30" s="243"/>
      <c r="HT30" s="243"/>
      <c r="HU30" s="242"/>
      <c r="HV30" s="242"/>
      <c r="HW30" s="242"/>
      <c r="HX30" s="242"/>
      <c r="HY30" s="242"/>
      <c r="HZ30" s="242"/>
      <c r="IA30" s="242"/>
      <c r="IB30" s="243"/>
      <c r="IC30" s="243"/>
      <c r="ID30" s="243"/>
      <c r="IE30" s="243"/>
      <c r="IF30" s="243"/>
      <c r="IG30" s="243"/>
      <c r="IH30" s="243"/>
      <c r="II30" s="242"/>
      <c r="IJ30" s="242"/>
      <c r="IK30" s="242"/>
      <c r="IL30" s="242"/>
      <c r="IM30" s="242"/>
      <c r="IN30" s="242"/>
      <c r="IO30" s="242"/>
      <c r="IP30" s="243"/>
      <c r="IQ30" s="243"/>
      <c r="IR30" s="243"/>
      <c r="IS30" s="243"/>
      <c r="IT30" s="243"/>
      <c r="IU30" s="243"/>
      <c r="IV30" s="243"/>
      <c r="IW30" s="242"/>
      <c r="IX30" s="242"/>
      <c r="IY30" s="242"/>
      <c r="IZ30" s="242"/>
      <c r="JA30" s="242"/>
      <c r="JB30" s="242"/>
      <c r="JC30" s="242"/>
      <c r="JD30" s="243"/>
      <c r="JE30" s="243"/>
      <c r="JF30" s="243"/>
      <c r="JG30" s="243"/>
      <c r="JH30" s="243"/>
      <c r="JI30" s="243"/>
      <c r="JJ30" s="243"/>
      <c r="JK30" s="242"/>
      <c r="JL30" s="242"/>
      <c r="JM30" s="242"/>
      <c r="JN30" s="242"/>
      <c r="JO30" s="242"/>
      <c r="JP30" s="242">
        <v>16</v>
      </c>
      <c r="JQ30" s="242">
        <v>24</v>
      </c>
      <c r="JR30" s="243">
        <v>24</v>
      </c>
      <c r="JS30" s="243">
        <v>24</v>
      </c>
      <c r="JT30" s="243">
        <v>24</v>
      </c>
      <c r="JU30" s="243">
        <v>24</v>
      </c>
      <c r="JV30" s="243">
        <v>24</v>
      </c>
      <c r="JW30" s="243">
        <v>24</v>
      </c>
      <c r="JX30" s="243">
        <v>8</v>
      </c>
      <c r="JY30" s="242"/>
      <c r="JZ30" s="242"/>
      <c r="KA30" s="242"/>
      <c r="KB30" s="242"/>
      <c r="KC30" s="242"/>
      <c r="KD30" s="242"/>
      <c r="KE30" s="242"/>
      <c r="KF30" s="243"/>
      <c r="KG30" s="243"/>
      <c r="KH30" s="243"/>
      <c r="KI30" s="243"/>
      <c r="KJ30" s="243"/>
      <c r="KK30" s="243"/>
      <c r="KL30" s="243"/>
      <c r="KM30" s="242"/>
      <c r="KN30" s="242"/>
      <c r="KO30" s="242"/>
      <c r="KP30" s="242"/>
      <c r="KQ30" s="242"/>
      <c r="KR30" s="242"/>
      <c r="KS30" s="242"/>
      <c r="KT30" s="243"/>
      <c r="KU30" s="243"/>
      <c r="KV30" s="243"/>
      <c r="KW30" s="243"/>
      <c r="KX30" s="243"/>
      <c r="KY30" s="243"/>
      <c r="KZ30" s="243"/>
      <c r="LA30" s="242"/>
      <c r="LB30" s="242"/>
      <c r="LC30" s="242"/>
      <c r="LD30" s="242"/>
      <c r="LE30" s="242"/>
      <c r="LF30" s="242"/>
      <c r="LG30" s="242"/>
      <c r="LH30" s="243"/>
      <c r="LI30" s="243"/>
      <c r="LJ30" s="243"/>
      <c r="LK30" s="243"/>
      <c r="LL30" s="243"/>
      <c r="LM30" s="243"/>
      <c r="LN30" s="243"/>
      <c r="LO30" s="242"/>
      <c r="LP30" s="242"/>
      <c r="LQ30" s="242"/>
      <c r="LR30" s="242"/>
      <c r="LS30" s="242"/>
      <c r="LT30" s="242"/>
      <c r="LU30" s="242"/>
      <c r="LV30" s="243"/>
      <c r="LW30" s="243"/>
      <c r="LX30" s="243"/>
      <c r="LY30" s="243"/>
      <c r="LZ30" s="243"/>
      <c r="MA30" s="243"/>
      <c r="MB30" s="243"/>
      <c r="MC30" s="242"/>
      <c r="MD30" s="242"/>
      <c r="ME30" s="242"/>
      <c r="MF30" s="242"/>
      <c r="MG30" s="242"/>
      <c r="MH30" s="242"/>
      <c r="MI30" s="242"/>
      <c r="MJ30" s="243"/>
      <c r="MK30" s="243"/>
      <c r="ML30" s="243"/>
      <c r="MM30" s="243"/>
      <c r="MN30" s="243"/>
      <c r="MO30" s="243"/>
      <c r="MP30" s="243"/>
      <c r="MQ30" s="242"/>
      <c r="MR30" s="242"/>
      <c r="MS30" s="242"/>
      <c r="MT30" s="242"/>
      <c r="MU30" s="242"/>
      <c r="MV30" s="242"/>
      <c r="MW30" s="242"/>
      <c r="MX30" s="243"/>
      <c r="MY30" s="243"/>
      <c r="MZ30" s="243"/>
      <c r="NA30" s="243"/>
      <c r="NB30" s="243"/>
      <c r="NC30" s="243"/>
      <c r="ND30" s="243"/>
      <c r="NE30" s="242"/>
      <c r="NF30" s="242"/>
      <c r="NG30" s="242"/>
      <c r="NH30" s="243"/>
    </row>
    <row r="31" spans="1:372">
      <c r="A31" s="254" t="s">
        <v>968</v>
      </c>
      <c r="B31" s="239" t="s">
        <v>350</v>
      </c>
      <c r="C31" s="240" t="s">
        <v>675</v>
      </c>
      <c r="D31" s="240" t="s">
        <v>997</v>
      </c>
      <c r="E31" s="241">
        <v>351.14222213831772</v>
      </c>
      <c r="F31" s="252">
        <v>480</v>
      </c>
      <c r="G31" s="242"/>
      <c r="H31" s="242"/>
      <c r="I31" s="242"/>
      <c r="J31" s="242"/>
      <c r="K31" s="242"/>
      <c r="L31" s="243"/>
      <c r="M31" s="243"/>
      <c r="N31" s="243"/>
      <c r="O31" s="243"/>
      <c r="P31" s="243"/>
      <c r="Q31" s="243"/>
      <c r="R31" s="243"/>
      <c r="S31" s="242"/>
      <c r="T31" s="242"/>
      <c r="U31" s="242"/>
      <c r="V31" s="242"/>
      <c r="W31" s="242"/>
      <c r="X31" s="242"/>
      <c r="Y31" s="242"/>
      <c r="Z31" s="243"/>
      <c r="AA31" s="243"/>
      <c r="AB31" s="243"/>
      <c r="AC31" s="243"/>
      <c r="AD31" s="243"/>
      <c r="AE31" s="243"/>
      <c r="AF31" s="243"/>
      <c r="AG31" s="242"/>
      <c r="AH31" s="242"/>
      <c r="AI31" s="242"/>
      <c r="AJ31" s="242"/>
      <c r="AK31" s="242"/>
      <c r="AL31" s="242"/>
      <c r="AM31" s="242"/>
      <c r="AN31" s="243"/>
      <c r="AO31" s="243"/>
      <c r="AP31" s="243"/>
      <c r="AQ31" s="243"/>
      <c r="AR31" s="243"/>
      <c r="AS31" s="243"/>
      <c r="AT31" s="243"/>
      <c r="AU31" s="242"/>
      <c r="AV31" s="242"/>
      <c r="AW31" s="242"/>
      <c r="AX31" s="242"/>
      <c r="AY31" s="242"/>
      <c r="AZ31" s="242"/>
      <c r="BA31" s="242"/>
      <c r="BB31" s="243"/>
      <c r="BC31" s="243"/>
      <c r="BD31" s="243"/>
      <c r="BE31" s="243"/>
      <c r="BF31" s="243"/>
      <c r="BG31" s="243"/>
      <c r="BH31" s="243"/>
      <c r="BI31" s="242"/>
      <c r="BJ31" s="242"/>
      <c r="BK31" s="242"/>
      <c r="BL31" s="242"/>
      <c r="BM31" s="242"/>
      <c r="BN31" s="242"/>
      <c r="BO31" s="242"/>
      <c r="BP31" s="243"/>
      <c r="BQ31" s="243"/>
      <c r="BR31" s="243"/>
      <c r="BS31" s="243"/>
      <c r="BT31" s="243"/>
      <c r="BU31" s="243"/>
      <c r="BV31" s="243"/>
      <c r="BW31" s="242"/>
      <c r="BX31" s="242"/>
      <c r="BY31" s="242"/>
      <c r="BZ31" s="242"/>
      <c r="CA31" s="242"/>
      <c r="CB31" s="242"/>
      <c r="CC31" s="242"/>
      <c r="CD31" s="243"/>
      <c r="CE31" s="243"/>
      <c r="CF31" s="243"/>
      <c r="CG31" s="243"/>
      <c r="CH31" s="243"/>
      <c r="CI31" s="243"/>
      <c r="CJ31" s="243"/>
      <c r="CK31" s="242"/>
      <c r="CL31" s="242"/>
      <c r="CM31" s="242"/>
      <c r="CN31" s="242"/>
      <c r="CO31" s="242"/>
      <c r="CP31" s="242"/>
      <c r="CQ31" s="242"/>
      <c r="CR31" s="243"/>
      <c r="CS31" s="243"/>
      <c r="CT31" s="243"/>
      <c r="CU31" s="243"/>
      <c r="CV31" s="243"/>
      <c r="CW31" s="243"/>
      <c r="CX31" s="243"/>
      <c r="CY31" s="242"/>
      <c r="CZ31" s="242"/>
      <c r="DA31" s="242"/>
      <c r="DB31" s="242"/>
      <c r="DC31" s="242"/>
      <c r="DD31" s="242"/>
      <c r="DE31" s="242"/>
      <c r="DF31" s="243"/>
      <c r="DG31" s="243"/>
      <c r="DH31" s="243"/>
      <c r="DI31" s="243"/>
      <c r="DJ31" s="243"/>
      <c r="DK31" s="243"/>
      <c r="DL31" s="243"/>
      <c r="DM31" s="242"/>
      <c r="DN31" s="242"/>
      <c r="DO31" s="242"/>
      <c r="DP31" s="242"/>
      <c r="DQ31" s="242"/>
      <c r="DR31" s="242"/>
      <c r="DS31" s="242"/>
      <c r="DT31" s="243"/>
      <c r="DU31" s="243"/>
      <c r="DV31" s="243"/>
      <c r="DW31" s="243"/>
      <c r="DX31" s="243"/>
      <c r="DY31" s="243"/>
      <c r="DZ31" s="243"/>
      <c r="EA31" s="242"/>
      <c r="EB31" s="242"/>
      <c r="EC31" s="242"/>
      <c r="ED31" s="242"/>
      <c r="EE31" s="242"/>
      <c r="EF31" s="242"/>
      <c r="EG31" s="242"/>
      <c r="EH31" s="243"/>
      <c r="EI31" s="243"/>
      <c r="EJ31" s="243"/>
      <c r="EK31" s="243"/>
      <c r="EL31" s="243"/>
      <c r="EM31" s="243"/>
      <c r="EN31" s="243"/>
      <c r="EO31" s="242"/>
      <c r="EP31" s="242"/>
      <c r="EQ31" s="242"/>
      <c r="ER31" s="242"/>
      <c r="ES31" s="242"/>
      <c r="ET31" s="242"/>
      <c r="EU31" s="242"/>
      <c r="EV31" s="243"/>
      <c r="EW31" s="243"/>
      <c r="EX31" s="243"/>
      <c r="EY31" s="243"/>
      <c r="EZ31" s="243"/>
      <c r="FA31" s="243"/>
      <c r="FB31" s="243"/>
      <c r="FC31" s="242"/>
      <c r="FD31" s="242"/>
      <c r="FE31" s="242"/>
      <c r="FF31" s="242"/>
      <c r="FG31" s="242"/>
      <c r="FH31" s="242"/>
      <c r="FI31" s="242"/>
      <c r="FJ31" s="243"/>
      <c r="FK31" s="243"/>
      <c r="FL31" s="243"/>
      <c r="FM31" s="243"/>
      <c r="FN31" s="243"/>
      <c r="FO31" s="243"/>
      <c r="FP31" s="243"/>
      <c r="FQ31" s="242"/>
      <c r="FR31" s="242"/>
      <c r="FS31" s="242"/>
      <c r="FT31" s="242"/>
      <c r="FU31" s="242"/>
      <c r="FV31" s="242"/>
      <c r="FW31" s="242"/>
      <c r="FX31" s="243"/>
      <c r="FY31" s="243"/>
      <c r="FZ31" s="243"/>
      <c r="GA31" s="243"/>
      <c r="GB31" s="243"/>
      <c r="GC31" s="243"/>
      <c r="GD31" s="243"/>
      <c r="GE31" s="242"/>
      <c r="GF31" s="242"/>
      <c r="GG31" s="242"/>
      <c r="GH31" s="242"/>
      <c r="GI31" s="242"/>
      <c r="GJ31" s="242"/>
      <c r="GK31" s="242"/>
      <c r="GL31" s="243"/>
      <c r="GM31" s="243"/>
      <c r="GN31" s="243"/>
      <c r="GO31" s="243"/>
      <c r="GP31" s="243"/>
      <c r="GQ31" s="243"/>
      <c r="GR31" s="243"/>
      <c r="GS31" s="242"/>
      <c r="GT31" s="242"/>
      <c r="GU31" s="242"/>
      <c r="GV31" s="242"/>
      <c r="GW31" s="242"/>
      <c r="GX31" s="242"/>
      <c r="GY31" s="242"/>
      <c r="GZ31" s="243"/>
      <c r="HA31" s="243"/>
      <c r="HB31" s="243"/>
      <c r="HC31" s="243"/>
      <c r="HD31" s="243"/>
      <c r="HE31" s="243"/>
      <c r="HF31" s="243"/>
      <c r="HG31" s="242"/>
      <c r="HH31" s="242"/>
      <c r="HI31" s="242"/>
      <c r="HJ31" s="242"/>
      <c r="HK31" s="242"/>
      <c r="HL31" s="242"/>
      <c r="HM31" s="242"/>
      <c r="HN31" s="243"/>
      <c r="HO31" s="243"/>
      <c r="HP31" s="243"/>
      <c r="HQ31" s="243"/>
      <c r="HR31" s="243"/>
      <c r="HS31" s="243"/>
      <c r="HT31" s="243"/>
      <c r="HU31" s="242"/>
      <c r="HV31" s="242"/>
      <c r="HW31" s="242"/>
      <c r="HX31" s="242"/>
      <c r="HY31" s="242"/>
      <c r="HZ31" s="242"/>
      <c r="IA31" s="242"/>
      <c r="IB31" s="243"/>
      <c r="IC31" s="243"/>
      <c r="ID31" s="243"/>
      <c r="IE31" s="243"/>
      <c r="IF31" s="243"/>
      <c r="IG31" s="243"/>
      <c r="IH31" s="243"/>
      <c r="II31" s="242"/>
      <c r="IJ31" s="242"/>
      <c r="IK31" s="242"/>
      <c r="IL31" s="242"/>
      <c r="IM31" s="242"/>
      <c r="IN31" s="242"/>
      <c r="IO31" s="242"/>
      <c r="IP31" s="243"/>
      <c r="IQ31" s="243"/>
      <c r="IR31" s="243"/>
      <c r="IS31" s="243"/>
      <c r="IT31" s="243"/>
      <c r="IU31" s="243"/>
      <c r="IV31" s="243"/>
      <c r="IW31" s="242"/>
      <c r="IX31" s="242"/>
      <c r="IY31" s="242"/>
      <c r="IZ31" s="242"/>
      <c r="JA31" s="242"/>
      <c r="JB31" s="242"/>
      <c r="JC31" s="242"/>
      <c r="JD31" s="243"/>
      <c r="JE31" s="243"/>
      <c r="JF31" s="243"/>
      <c r="JG31" s="243"/>
      <c r="JH31" s="243"/>
      <c r="JI31" s="243"/>
      <c r="JJ31" s="243"/>
      <c r="JK31" s="242"/>
      <c r="JL31" s="242"/>
      <c r="JM31" s="242"/>
      <c r="JN31" s="242"/>
      <c r="JO31" s="242"/>
      <c r="JP31" s="242"/>
      <c r="JQ31" s="242"/>
      <c r="JR31" s="243">
        <v>24</v>
      </c>
      <c r="JS31" s="243">
        <v>24</v>
      </c>
      <c r="JT31" s="243">
        <v>24</v>
      </c>
      <c r="JU31" s="243">
        <v>24</v>
      </c>
      <c r="JV31" s="243">
        <v>24</v>
      </c>
      <c r="JW31" s="243">
        <v>24</v>
      </c>
      <c r="JX31" s="243">
        <v>24</v>
      </c>
      <c r="JY31" s="242">
        <v>24</v>
      </c>
      <c r="JZ31" s="242">
        <v>24</v>
      </c>
      <c r="KA31" s="242">
        <v>24</v>
      </c>
      <c r="KB31" s="242">
        <v>24</v>
      </c>
      <c r="KC31" s="242">
        <v>24</v>
      </c>
      <c r="KD31" s="242">
        <v>24</v>
      </c>
      <c r="KE31" s="242">
        <v>24</v>
      </c>
      <c r="KF31" s="243">
        <v>24</v>
      </c>
      <c r="KG31" s="243">
        <v>24</v>
      </c>
      <c r="KH31" s="243">
        <v>24</v>
      </c>
      <c r="KI31" s="243">
        <v>24</v>
      </c>
      <c r="KJ31" s="243">
        <v>24</v>
      </c>
      <c r="KK31" s="243">
        <v>24</v>
      </c>
      <c r="KL31" s="243"/>
      <c r="KM31" s="242"/>
      <c r="KN31" s="242"/>
      <c r="KO31" s="242"/>
      <c r="KP31" s="242"/>
      <c r="KQ31" s="242"/>
      <c r="KR31" s="242"/>
      <c r="KS31" s="242"/>
      <c r="KT31" s="243"/>
      <c r="KU31" s="243"/>
      <c r="KV31" s="243"/>
      <c r="KW31" s="243"/>
      <c r="KX31" s="243"/>
      <c r="KY31" s="243"/>
      <c r="KZ31" s="243"/>
      <c r="LA31" s="242"/>
      <c r="LB31" s="242"/>
      <c r="LC31" s="242"/>
      <c r="LD31" s="242"/>
      <c r="LE31" s="242"/>
      <c r="LF31" s="242"/>
      <c r="LG31" s="242"/>
      <c r="LH31" s="243"/>
      <c r="LI31" s="243"/>
      <c r="LJ31" s="243"/>
      <c r="LK31" s="243"/>
      <c r="LL31" s="243"/>
      <c r="LM31" s="243"/>
      <c r="LN31" s="243"/>
      <c r="LO31" s="242"/>
      <c r="LP31" s="242"/>
      <c r="LQ31" s="242"/>
      <c r="LR31" s="242"/>
      <c r="LS31" s="242"/>
      <c r="LT31" s="242"/>
      <c r="LU31" s="242"/>
      <c r="LV31" s="243"/>
      <c r="LW31" s="243"/>
      <c r="LX31" s="243"/>
      <c r="LY31" s="243"/>
      <c r="LZ31" s="243"/>
      <c r="MA31" s="243"/>
      <c r="MB31" s="243"/>
      <c r="MC31" s="242"/>
      <c r="MD31" s="242"/>
      <c r="ME31" s="242"/>
      <c r="MF31" s="242"/>
      <c r="MG31" s="242"/>
      <c r="MH31" s="242"/>
      <c r="MI31" s="242"/>
      <c r="MJ31" s="243"/>
      <c r="MK31" s="243"/>
      <c r="ML31" s="243"/>
      <c r="MM31" s="243"/>
      <c r="MN31" s="243"/>
      <c r="MO31" s="243"/>
      <c r="MP31" s="243"/>
      <c r="MQ31" s="242"/>
      <c r="MR31" s="242"/>
      <c r="MS31" s="242"/>
      <c r="MT31" s="242"/>
      <c r="MU31" s="242"/>
      <c r="MV31" s="242"/>
      <c r="MW31" s="242"/>
      <c r="MX31" s="243"/>
      <c r="MY31" s="243"/>
      <c r="MZ31" s="243"/>
      <c r="NA31" s="243"/>
      <c r="NB31" s="243"/>
      <c r="NC31" s="243"/>
      <c r="ND31" s="243"/>
      <c r="NE31" s="242"/>
      <c r="NF31" s="242"/>
      <c r="NG31" s="242"/>
      <c r="NH31" s="243" t="s">
        <v>1135</v>
      </c>
    </row>
    <row r="32" spans="1:372">
      <c r="A32" s="254" t="s">
        <v>969</v>
      </c>
      <c r="B32" s="239" t="s">
        <v>581</v>
      </c>
      <c r="C32" s="240" t="s">
        <v>674</v>
      </c>
      <c r="D32" s="240" t="s">
        <v>982</v>
      </c>
      <c r="E32" s="241">
        <v>0</v>
      </c>
      <c r="F32" s="252">
        <v>0</v>
      </c>
      <c r="G32" s="242"/>
      <c r="H32" s="242"/>
      <c r="I32" s="242"/>
      <c r="J32" s="242"/>
      <c r="K32" s="242"/>
      <c r="L32" s="243"/>
      <c r="M32" s="243"/>
      <c r="N32" s="243"/>
      <c r="O32" s="243"/>
      <c r="P32" s="243"/>
      <c r="Q32" s="243"/>
      <c r="R32" s="243"/>
      <c r="S32" s="242"/>
      <c r="T32" s="242"/>
      <c r="U32" s="242"/>
      <c r="V32" s="242"/>
      <c r="W32" s="242"/>
      <c r="X32" s="242"/>
      <c r="Y32" s="242"/>
      <c r="Z32" s="243"/>
      <c r="AA32" s="243"/>
      <c r="AB32" s="243"/>
      <c r="AC32" s="243"/>
      <c r="AD32" s="243"/>
      <c r="AE32" s="243"/>
      <c r="AF32" s="243"/>
      <c r="AG32" s="242"/>
      <c r="AH32" s="242"/>
      <c r="AI32" s="242"/>
      <c r="AJ32" s="242"/>
      <c r="AK32" s="242"/>
      <c r="AL32" s="242"/>
      <c r="AM32" s="242"/>
      <c r="AN32" s="243"/>
      <c r="AO32" s="243"/>
      <c r="AP32" s="243"/>
      <c r="AQ32" s="243"/>
      <c r="AR32" s="243"/>
      <c r="AS32" s="243"/>
      <c r="AT32" s="243"/>
      <c r="AU32" s="242"/>
      <c r="AV32" s="242"/>
      <c r="AW32" s="242"/>
      <c r="AX32" s="242"/>
      <c r="AY32" s="242"/>
      <c r="AZ32" s="242"/>
      <c r="BA32" s="242"/>
      <c r="BB32" s="243"/>
      <c r="BC32" s="243"/>
      <c r="BD32" s="243"/>
      <c r="BE32" s="243"/>
      <c r="BF32" s="243"/>
      <c r="BG32" s="243"/>
      <c r="BH32" s="243"/>
      <c r="BI32" s="242"/>
      <c r="BJ32" s="242"/>
      <c r="BK32" s="242"/>
      <c r="BL32" s="242"/>
      <c r="BM32" s="242"/>
      <c r="BN32" s="242"/>
      <c r="BO32" s="242"/>
      <c r="BP32" s="243"/>
      <c r="BQ32" s="243"/>
      <c r="BR32" s="243"/>
      <c r="BS32" s="243"/>
      <c r="BT32" s="243"/>
      <c r="BU32" s="243"/>
      <c r="BV32" s="243"/>
      <c r="BW32" s="242"/>
      <c r="BX32" s="242"/>
      <c r="BY32" s="242"/>
      <c r="BZ32" s="242"/>
      <c r="CA32" s="242"/>
      <c r="CB32" s="242"/>
      <c r="CC32" s="242"/>
      <c r="CD32" s="243"/>
      <c r="CE32" s="243"/>
      <c r="CF32" s="243"/>
      <c r="CG32" s="243"/>
      <c r="CH32" s="243"/>
      <c r="CI32" s="243"/>
      <c r="CJ32" s="243"/>
      <c r="CK32" s="242"/>
      <c r="CL32" s="242"/>
      <c r="CM32" s="242"/>
      <c r="CN32" s="242"/>
      <c r="CO32" s="242"/>
      <c r="CP32" s="242"/>
      <c r="CQ32" s="242"/>
      <c r="CR32" s="243"/>
      <c r="CS32" s="243"/>
      <c r="CT32" s="243"/>
      <c r="CU32" s="243"/>
      <c r="CV32" s="243"/>
      <c r="CW32" s="243"/>
      <c r="CX32" s="243"/>
      <c r="CY32" s="242"/>
      <c r="CZ32" s="242"/>
      <c r="DA32" s="242"/>
      <c r="DB32" s="242"/>
      <c r="DC32" s="242"/>
      <c r="DD32" s="242"/>
      <c r="DE32" s="242"/>
      <c r="DF32" s="243"/>
      <c r="DG32" s="243"/>
      <c r="DH32" s="243"/>
      <c r="DI32" s="243"/>
      <c r="DJ32" s="243"/>
      <c r="DK32" s="243"/>
      <c r="DL32" s="243"/>
      <c r="DM32" s="242"/>
      <c r="DN32" s="242"/>
      <c r="DO32" s="242"/>
      <c r="DP32" s="242"/>
      <c r="DQ32" s="242"/>
      <c r="DR32" s="242"/>
      <c r="DS32" s="242"/>
      <c r="DT32" s="243"/>
      <c r="DU32" s="243"/>
      <c r="DV32" s="243"/>
      <c r="DW32" s="243"/>
      <c r="DX32" s="243"/>
      <c r="DY32" s="243"/>
      <c r="DZ32" s="243"/>
      <c r="EA32" s="242"/>
      <c r="EB32" s="242"/>
      <c r="EC32" s="242"/>
      <c r="ED32" s="242"/>
      <c r="EE32" s="242"/>
      <c r="EF32" s="242"/>
      <c r="EG32" s="242"/>
      <c r="EH32" s="243"/>
      <c r="EI32" s="243"/>
      <c r="EJ32" s="243"/>
      <c r="EK32" s="243"/>
      <c r="EL32" s="243"/>
      <c r="EM32" s="243"/>
      <c r="EN32" s="243"/>
      <c r="EO32" s="242"/>
      <c r="EP32" s="242"/>
      <c r="EQ32" s="242"/>
      <c r="ER32" s="242"/>
      <c r="ES32" s="242"/>
      <c r="ET32" s="242"/>
      <c r="EU32" s="242"/>
      <c r="EV32" s="243"/>
      <c r="EW32" s="243"/>
      <c r="EX32" s="243"/>
      <c r="EY32" s="243"/>
      <c r="EZ32" s="243"/>
      <c r="FA32" s="243"/>
      <c r="FB32" s="243"/>
      <c r="FC32" s="242"/>
      <c r="FD32" s="242"/>
      <c r="FE32" s="242"/>
      <c r="FF32" s="242"/>
      <c r="FG32" s="242"/>
      <c r="FH32" s="242"/>
      <c r="FI32" s="242"/>
      <c r="FJ32" s="243"/>
      <c r="FK32" s="243"/>
      <c r="FL32" s="243"/>
      <c r="FM32" s="243"/>
      <c r="FN32" s="243"/>
      <c r="FO32" s="243"/>
      <c r="FP32" s="243"/>
      <c r="FQ32" s="242"/>
      <c r="FR32" s="242"/>
      <c r="FS32" s="242"/>
      <c r="FT32" s="242"/>
      <c r="FU32" s="242"/>
      <c r="FV32" s="242"/>
      <c r="FW32" s="242"/>
      <c r="FX32" s="243"/>
      <c r="FY32" s="243"/>
      <c r="FZ32" s="243"/>
      <c r="GA32" s="243"/>
      <c r="GB32" s="243"/>
      <c r="GC32" s="243"/>
      <c r="GD32" s="243"/>
      <c r="GE32" s="242"/>
      <c r="GF32" s="242"/>
      <c r="GG32" s="242"/>
      <c r="GH32" s="242"/>
      <c r="GI32" s="242"/>
      <c r="GJ32" s="242"/>
      <c r="GK32" s="242"/>
      <c r="GL32" s="243"/>
      <c r="GM32" s="243"/>
      <c r="GN32" s="243"/>
      <c r="GO32" s="243"/>
      <c r="GP32" s="243"/>
      <c r="GQ32" s="243"/>
      <c r="GR32" s="243"/>
      <c r="GS32" s="242"/>
      <c r="GT32" s="242"/>
      <c r="GU32" s="242"/>
      <c r="GV32" s="242"/>
      <c r="GW32" s="242"/>
      <c r="GX32" s="242"/>
      <c r="GY32" s="242"/>
      <c r="GZ32" s="243"/>
      <c r="HA32" s="243"/>
      <c r="HB32" s="243"/>
      <c r="HC32" s="243"/>
      <c r="HD32" s="243"/>
      <c r="HE32" s="243"/>
      <c r="HF32" s="243"/>
      <c r="HG32" s="242"/>
      <c r="HH32" s="242"/>
      <c r="HI32" s="242"/>
      <c r="HJ32" s="242"/>
      <c r="HK32" s="242"/>
      <c r="HL32" s="242"/>
      <c r="HM32" s="242"/>
      <c r="HN32" s="243"/>
      <c r="HO32" s="243"/>
      <c r="HP32" s="243"/>
      <c r="HQ32" s="243"/>
      <c r="HR32" s="243"/>
      <c r="HS32" s="243"/>
      <c r="HT32" s="243"/>
      <c r="HU32" s="242"/>
      <c r="HV32" s="242"/>
      <c r="HW32" s="242"/>
      <c r="HX32" s="242"/>
      <c r="HY32" s="242"/>
      <c r="HZ32" s="242"/>
      <c r="IA32" s="242"/>
      <c r="IB32" s="243"/>
      <c r="IC32" s="243"/>
      <c r="ID32" s="243"/>
      <c r="IE32" s="243"/>
      <c r="IF32" s="243"/>
      <c r="IG32" s="243"/>
      <c r="IH32" s="243"/>
      <c r="II32" s="242"/>
      <c r="IJ32" s="242"/>
      <c r="IK32" s="242"/>
      <c r="IL32" s="242"/>
      <c r="IM32" s="242"/>
      <c r="IN32" s="242"/>
      <c r="IO32" s="242"/>
      <c r="IP32" s="243"/>
      <c r="IQ32" s="243"/>
      <c r="IR32" s="243"/>
      <c r="IS32" s="243"/>
      <c r="IT32" s="243"/>
      <c r="IU32" s="243"/>
      <c r="IV32" s="243"/>
      <c r="IW32" s="242"/>
      <c r="IX32" s="242"/>
      <c r="IY32" s="242"/>
      <c r="IZ32" s="242"/>
      <c r="JA32" s="242"/>
      <c r="JB32" s="242"/>
      <c r="JC32" s="242"/>
      <c r="JD32" s="243"/>
      <c r="JE32" s="243"/>
      <c r="JF32" s="243"/>
      <c r="JG32" s="243"/>
      <c r="JH32" s="243"/>
      <c r="JI32" s="243"/>
      <c r="JJ32" s="243"/>
      <c r="JK32" s="242"/>
      <c r="JL32" s="242"/>
      <c r="JM32" s="242"/>
      <c r="JN32" s="242"/>
      <c r="JO32" s="242"/>
      <c r="JP32" s="242"/>
      <c r="JQ32" s="242"/>
      <c r="JR32" s="243"/>
      <c r="JS32" s="243"/>
      <c r="JT32" s="243"/>
      <c r="JU32" s="243"/>
      <c r="JV32" s="243"/>
      <c r="JW32" s="243"/>
      <c r="JX32" s="243"/>
      <c r="JY32" s="242"/>
      <c r="JZ32" s="242"/>
      <c r="KA32" s="242"/>
      <c r="KB32" s="242"/>
      <c r="KC32" s="242"/>
      <c r="KD32" s="242"/>
      <c r="KE32" s="242"/>
      <c r="KF32" s="243"/>
      <c r="KG32" s="243"/>
      <c r="KH32" s="243"/>
      <c r="KI32" s="243"/>
      <c r="KJ32" s="243"/>
      <c r="KK32" s="243"/>
      <c r="KL32" s="243"/>
      <c r="KM32" s="242"/>
      <c r="KN32" s="242"/>
      <c r="KO32" s="242"/>
      <c r="KP32" s="242"/>
      <c r="KQ32" s="242"/>
      <c r="KR32" s="242"/>
      <c r="KS32" s="242"/>
      <c r="KT32" s="243"/>
      <c r="KU32" s="243"/>
      <c r="KV32" s="243"/>
      <c r="KW32" s="243"/>
      <c r="KX32" s="243"/>
      <c r="KY32" s="243"/>
      <c r="KZ32" s="243"/>
      <c r="LA32" s="242"/>
      <c r="LB32" s="242"/>
      <c r="LC32" s="242"/>
      <c r="LD32" s="242"/>
      <c r="LE32" s="242"/>
      <c r="LF32" s="242"/>
      <c r="LG32" s="242"/>
      <c r="LH32" s="243"/>
      <c r="LI32" s="243"/>
      <c r="LJ32" s="243"/>
      <c r="LK32" s="243"/>
      <c r="LL32" s="243"/>
      <c r="LM32" s="243"/>
      <c r="LN32" s="243"/>
      <c r="LO32" s="242"/>
      <c r="LP32" s="242"/>
      <c r="LQ32" s="242"/>
      <c r="LR32" s="242"/>
      <c r="LS32" s="242"/>
      <c r="LT32" s="242"/>
      <c r="LU32" s="242"/>
      <c r="LV32" s="243"/>
      <c r="LW32" s="243"/>
      <c r="LX32" s="243"/>
      <c r="LY32" s="243"/>
      <c r="LZ32" s="243"/>
      <c r="MA32" s="243"/>
      <c r="MB32" s="243"/>
      <c r="MC32" s="242"/>
      <c r="MD32" s="242"/>
      <c r="ME32" s="242"/>
      <c r="MF32" s="242"/>
      <c r="MG32" s="242"/>
      <c r="MH32" s="242"/>
      <c r="MI32" s="242"/>
      <c r="MJ32" s="243"/>
      <c r="MK32" s="243"/>
      <c r="ML32" s="243"/>
      <c r="MM32" s="243"/>
      <c r="MN32" s="243"/>
      <c r="MO32" s="243"/>
      <c r="MP32" s="243"/>
      <c r="MQ32" s="242"/>
      <c r="MR32" s="242"/>
      <c r="MS32" s="242"/>
      <c r="MT32" s="242"/>
      <c r="MU32" s="242"/>
      <c r="MV32" s="242"/>
      <c r="MW32" s="242"/>
      <c r="MX32" s="243"/>
      <c r="MY32" s="243"/>
      <c r="MZ32" s="243"/>
      <c r="NA32" s="243"/>
      <c r="NB32" s="243"/>
      <c r="NC32" s="243"/>
      <c r="ND32" s="243"/>
      <c r="NE32" s="242"/>
      <c r="NF32" s="242"/>
      <c r="NG32" s="242"/>
      <c r="NH32" s="243"/>
    </row>
    <row r="33" spans="1:372">
      <c r="A33" s="254" t="s">
        <v>969</v>
      </c>
      <c r="B33" s="239" t="s">
        <v>582</v>
      </c>
      <c r="C33" s="240" t="s">
        <v>674</v>
      </c>
      <c r="D33" s="240" t="s">
        <v>982</v>
      </c>
      <c r="E33" s="241">
        <v>0</v>
      </c>
      <c r="F33" s="252">
        <v>0</v>
      </c>
      <c r="G33" s="242"/>
      <c r="H33" s="242"/>
      <c r="I33" s="242"/>
      <c r="J33" s="242"/>
      <c r="K33" s="242"/>
      <c r="L33" s="243"/>
      <c r="M33" s="243"/>
      <c r="N33" s="243"/>
      <c r="O33" s="243"/>
      <c r="P33" s="243"/>
      <c r="Q33" s="243"/>
      <c r="R33" s="243"/>
      <c r="S33" s="242"/>
      <c r="T33" s="242"/>
      <c r="U33" s="242"/>
      <c r="V33" s="242"/>
      <c r="W33" s="242"/>
      <c r="X33" s="242"/>
      <c r="Y33" s="242"/>
      <c r="Z33" s="243"/>
      <c r="AA33" s="243"/>
      <c r="AB33" s="243"/>
      <c r="AC33" s="243"/>
      <c r="AD33" s="243"/>
      <c r="AE33" s="243"/>
      <c r="AF33" s="243"/>
      <c r="AG33" s="242"/>
      <c r="AH33" s="242"/>
      <c r="AI33" s="242"/>
      <c r="AJ33" s="242"/>
      <c r="AK33" s="242"/>
      <c r="AL33" s="242"/>
      <c r="AM33" s="242"/>
      <c r="AN33" s="243"/>
      <c r="AO33" s="243"/>
      <c r="AP33" s="243"/>
      <c r="AQ33" s="243"/>
      <c r="AR33" s="243"/>
      <c r="AS33" s="243"/>
      <c r="AT33" s="243"/>
      <c r="AU33" s="242"/>
      <c r="AV33" s="242"/>
      <c r="AW33" s="242"/>
      <c r="AX33" s="242"/>
      <c r="AY33" s="242"/>
      <c r="AZ33" s="242"/>
      <c r="BA33" s="242"/>
      <c r="BB33" s="243"/>
      <c r="BC33" s="243"/>
      <c r="BD33" s="243"/>
      <c r="BE33" s="243"/>
      <c r="BF33" s="243"/>
      <c r="BG33" s="243"/>
      <c r="BH33" s="243"/>
      <c r="BI33" s="242"/>
      <c r="BJ33" s="242"/>
      <c r="BK33" s="242"/>
      <c r="BL33" s="242"/>
      <c r="BM33" s="242"/>
      <c r="BN33" s="242"/>
      <c r="BO33" s="242"/>
      <c r="BP33" s="243"/>
      <c r="BQ33" s="243"/>
      <c r="BR33" s="243"/>
      <c r="BS33" s="243"/>
      <c r="BT33" s="243"/>
      <c r="BU33" s="243"/>
      <c r="BV33" s="243"/>
      <c r="BW33" s="242"/>
      <c r="BX33" s="242"/>
      <c r="BY33" s="242"/>
      <c r="BZ33" s="242"/>
      <c r="CA33" s="242"/>
      <c r="CB33" s="242"/>
      <c r="CC33" s="242"/>
      <c r="CD33" s="243"/>
      <c r="CE33" s="243"/>
      <c r="CF33" s="243"/>
      <c r="CG33" s="243"/>
      <c r="CH33" s="243"/>
      <c r="CI33" s="243"/>
      <c r="CJ33" s="243"/>
      <c r="CK33" s="242"/>
      <c r="CL33" s="242"/>
      <c r="CM33" s="242"/>
      <c r="CN33" s="242"/>
      <c r="CO33" s="242"/>
      <c r="CP33" s="242"/>
      <c r="CQ33" s="242"/>
      <c r="CR33" s="243"/>
      <c r="CS33" s="243"/>
      <c r="CT33" s="243"/>
      <c r="CU33" s="243"/>
      <c r="CV33" s="243"/>
      <c r="CW33" s="243"/>
      <c r="CX33" s="243"/>
      <c r="CY33" s="242"/>
      <c r="CZ33" s="242"/>
      <c r="DA33" s="242"/>
      <c r="DB33" s="242"/>
      <c r="DC33" s="242"/>
      <c r="DD33" s="242"/>
      <c r="DE33" s="242"/>
      <c r="DF33" s="243"/>
      <c r="DG33" s="243"/>
      <c r="DH33" s="243"/>
      <c r="DI33" s="243"/>
      <c r="DJ33" s="243"/>
      <c r="DK33" s="243"/>
      <c r="DL33" s="243"/>
      <c r="DM33" s="242"/>
      <c r="DN33" s="242"/>
      <c r="DO33" s="242"/>
      <c r="DP33" s="242"/>
      <c r="DQ33" s="242"/>
      <c r="DR33" s="242"/>
      <c r="DS33" s="242"/>
      <c r="DT33" s="243"/>
      <c r="DU33" s="243"/>
      <c r="DV33" s="243"/>
      <c r="DW33" s="243"/>
      <c r="DX33" s="243"/>
      <c r="DY33" s="243"/>
      <c r="DZ33" s="243"/>
      <c r="EA33" s="242"/>
      <c r="EB33" s="242"/>
      <c r="EC33" s="242"/>
      <c r="ED33" s="242"/>
      <c r="EE33" s="242"/>
      <c r="EF33" s="242"/>
      <c r="EG33" s="242"/>
      <c r="EH33" s="243"/>
      <c r="EI33" s="243"/>
      <c r="EJ33" s="243"/>
      <c r="EK33" s="243"/>
      <c r="EL33" s="243"/>
      <c r="EM33" s="243"/>
      <c r="EN33" s="243"/>
      <c r="EO33" s="242"/>
      <c r="EP33" s="242"/>
      <c r="EQ33" s="242"/>
      <c r="ER33" s="242"/>
      <c r="ES33" s="242"/>
      <c r="ET33" s="242"/>
      <c r="EU33" s="242"/>
      <c r="EV33" s="243"/>
      <c r="EW33" s="243"/>
      <c r="EX33" s="243"/>
      <c r="EY33" s="243"/>
      <c r="EZ33" s="243"/>
      <c r="FA33" s="243"/>
      <c r="FB33" s="243"/>
      <c r="FC33" s="242"/>
      <c r="FD33" s="242"/>
      <c r="FE33" s="242"/>
      <c r="FF33" s="242"/>
      <c r="FG33" s="242"/>
      <c r="FH33" s="242"/>
      <c r="FI33" s="242"/>
      <c r="FJ33" s="243"/>
      <c r="FK33" s="243"/>
      <c r="FL33" s="243"/>
      <c r="FM33" s="243"/>
      <c r="FN33" s="243"/>
      <c r="FO33" s="243"/>
      <c r="FP33" s="243"/>
      <c r="FQ33" s="242"/>
      <c r="FR33" s="242"/>
      <c r="FS33" s="242"/>
      <c r="FT33" s="242"/>
      <c r="FU33" s="242"/>
      <c r="FV33" s="242"/>
      <c r="FW33" s="242"/>
      <c r="FX33" s="243"/>
      <c r="FY33" s="243"/>
      <c r="FZ33" s="243"/>
      <c r="GA33" s="243"/>
      <c r="GB33" s="243"/>
      <c r="GC33" s="243"/>
      <c r="GD33" s="243"/>
      <c r="GE33" s="242"/>
      <c r="GF33" s="242"/>
      <c r="GG33" s="242"/>
      <c r="GH33" s="242"/>
      <c r="GI33" s="242"/>
      <c r="GJ33" s="242"/>
      <c r="GK33" s="242"/>
      <c r="GL33" s="243"/>
      <c r="GM33" s="243"/>
      <c r="GN33" s="243"/>
      <c r="GO33" s="243"/>
      <c r="GP33" s="243"/>
      <c r="GQ33" s="243"/>
      <c r="GR33" s="243"/>
      <c r="GS33" s="242"/>
      <c r="GT33" s="242"/>
      <c r="GU33" s="242"/>
      <c r="GV33" s="242"/>
      <c r="GW33" s="242"/>
      <c r="GX33" s="242"/>
      <c r="GY33" s="242"/>
      <c r="GZ33" s="243"/>
      <c r="HA33" s="243"/>
      <c r="HB33" s="243"/>
      <c r="HC33" s="243"/>
      <c r="HD33" s="243"/>
      <c r="HE33" s="243"/>
      <c r="HF33" s="243"/>
      <c r="HG33" s="242"/>
      <c r="HH33" s="242"/>
      <c r="HI33" s="242"/>
      <c r="HJ33" s="242"/>
      <c r="HK33" s="242"/>
      <c r="HL33" s="242"/>
      <c r="HM33" s="242"/>
      <c r="HN33" s="243"/>
      <c r="HO33" s="243"/>
      <c r="HP33" s="243"/>
      <c r="HQ33" s="243"/>
      <c r="HR33" s="243"/>
      <c r="HS33" s="243"/>
      <c r="HT33" s="243"/>
      <c r="HU33" s="242"/>
      <c r="HV33" s="242"/>
      <c r="HW33" s="242"/>
      <c r="HX33" s="242"/>
      <c r="HY33" s="242"/>
      <c r="HZ33" s="242"/>
      <c r="IA33" s="242"/>
      <c r="IB33" s="243"/>
      <c r="IC33" s="243"/>
      <c r="ID33" s="243"/>
      <c r="IE33" s="243"/>
      <c r="IF33" s="243"/>
      <c r="IG33" s="243"/>
      <c r="IH33" s="243"/>
      <c r="II33" s="242"/>
      <c r="IJ33" s="242"/>
      <c r="IK33" s="242"/>
      <c r="IL33" s="242"/>
      <c r="IM33" s="242"/>
      <c r="IN33" s="242"/>
      <c r="IO33" s="242"/>
      <c r="IP33" s="243"/>
      <c r="IQ33" s="243"/>
      <c r="IR33" s="243"/>
      <c r="IS33" s="243"/>
      <c r="IT33" s="243"/>
      <c r="IU33" s="243"/>
      <c r="IV33" s="243"/>
      <c r="IW33" s="242"/>
      <c r="IX33" s="242"/>
      <c r="IY33" s="242"/>
      <c r="IZ33" s="242"/>
      <c r="JA33" s="242"/>
      <c r="JB33" s="242"/>
      <c r="JC33" s="242"/>
      <c r="JD33" s="243"/>
      <c r="JE33" s="243"/>
      <c r="JF33" s="243"/>
      <c r="JG33" s="243"/>
      <c r="JH33" s="243"/>
      <c r="JI33" s="243"/>
      <c r="JJ33" s="243"/>
      <c r="JK33" s="242"/>
      <c r="JL33" s="242"/>
      <c r="JM33" s="242"/>
      <c r="JN33" s="242"/>
      <c r="JO33" s="242"/>
      <c r="JP33" s="242"/>
      <c r="JQ33" s="242"/>
      <c r="JR33" s="243"/>
      <c r="JS33" s="243"/>
      <c r="JT33" s="243"/>
      <c r="JU33" s="243"/>
      <c r="JV33" s="243"/>
      <c r="JW33" s="243"/>
      <c r="JX33" s="243"/>
      <c r="JY33" s="242"/>
      <c r="JZ33" s="242"/>
      <c r="KA33" s="242"/>
      <c r="KB33" s="242"/>
      <c r="KC33" s="242"/>
      <c r="KD33" s="242"/>
      <c r="KE33" s="242"/>
      <c r="KF33" s="243"/>
      <c r="KG33" s="243"/>
      <c r="KH33" s="243"/>
      <c r="KI33" s="243"/>
      <c r="KJ33" s="243"/>
      <c r="KK33" s="243"/>
      <c r="KL33" s="243"/>
      <c r="KM33" s="242"/>
      <c r="KN33" s="242"/>
      <c r="KO33" s="242"/>
      <c r="KP33" s="242"/>
      <c r="KQ33" s="242"/>
      <c r="KR33" s="242"/>
      <c r="KS33" s="242"/>
      <c r="KT33" s="243"/>
      <c r="KU33" s="243"/>
      <c r="KV33" s="243"/>
      <c r="KW33" s="243"/>
      <c r="KX33" s="243"/>
      <c r="KY33" s="243"/>
      <c r="KZ33" s="243"/>
      <c r="LA33" s="242"/>
      <c r="LB33" s="242"/>
      <c r="LC33" s="242"/>
      <c r="LD33" s="242"/>
      <c r="LE33" s="242"/>
      <c r="LF33" s="242"/>
      <c r="LG33" s="242"/>
      <c r="LH33" s="243"/>
      <c r="LI33" s="243"/>
      <c r="LJ33" s="243"/>
      <c r="LK33" s="243"/>
      <c r="LL33" s="243"/>
      <c r="LM33" s="243"/>
      <c r="LN33" s="243"/>
      <c r="LO33" s="242"/>
      <c r="LP33" s="242"/>
      <c r="LQ33" s="242"/>
      <c r="LR33" s="242"/>
      <c r="LS33" s="242"/>
      <c r="LT33" s="242"/>
      <c r="LU33" s="242"/>
      <c r="LV33" s="243"/>
      <c r="LW33" s="243"/>
      <c r="LX33" s="243"/>
      <c r="LY33" s="243"/>
      <c r="LZ33" s="243"/>
      <c r="MA33" s="243"/>
      <c r="MB33" s="243"/>
      <c r="MC33" s="242"/>
      <c r="MD33" s="242"/>
      <c r="ME33" s="242"/>
      <c r="MF33" s="242"/>
      <c r="MG33" s="242"/>
      <c r="MH33" s="242"/>
      <c r="MI33" s="242"/>
      <c r="MJ33" s="243"/>
      <c r="MK33" s="243"/>
      <c r="ML33" s="243"/>
      <c r="MM33" s="243"/>
      <c r="MN33" s="243"/>
      <c r="MO33" s="243"/>
      <c r="MP33" s="243"/>
      <c r="MQ33" s="242"/>
      <c r="MR33" s="242"/>
      <c r="MS33" s="242"/>
      <c r="MT33" s="242"/>
      <c r="MU33" s="242"/>
      <c r="MV33" s="242"/>
      <c r="MW33" s="242"/>
      <c r="MX33" s="243"/>
      <c r="MY33" s="243"/>
      <c r="MZ33" s="243"/>
      <c r="NA33" s="243"/>
      <c r="NB33" s="243"/>
      <c r="NC33" s="243"/>
      <c r="ND33" s="243"/>
      <c r="NE33" s="242"/>
      <c r="NF33" s="242"/>
      <c r="NG33" s="242"/>
      <c r="NH33" s="243"/>
    </row>
    <row r="34" spans="1:372">
      <c r="A34" s="254" t="s">
        <v>969</v>
      </c>
      <c r="B34" s="239" t="s">
        <v>583</v>
      </c>
      <c r="C34" s="240" t="s">
        <v>674</v>
      </c>
      <c r="D34" s="240" t="s">
        <v>982</v>
      </c>
      <c r="E34" s="241">
        <v>0</v>
      </c>
      <c r="F34" s="252">
        <v>0</v>
      </c>
      <c r="G34" s="242"/>
      <c r="H34" s="242"/>
      <c r="I34" s="242"/>
      <c r="J34" s="242"/>
      <c r="K34" s="242"/>
      <c r="L34" s="243"/>
      <c r="M34" s="243"/>
      <c r="N34" s="243"/>
      <c r="O34" s="243"/>
      <c r="P34" s="243"/>
      <c r="Q34" s="243"/>
      <c r="R34" s="243"/>
      <c r="S34" s="242"/>
      <c r="T34" s="242"/>
      <c r="U34" s="242"/>
      <c r="V34" s="242"/>
      <c r="W34" s="242"/>
      <c r="X34" s="242"/>
      <c r="Y34" s="242"/>
      <c r="Z34" s="243"/>
      <c r="AA34" s="243"/>
      <c r="AB34" s="243"/>
      <c r="AC34" s="243"/>
      <c r="AD34" s="243"/>
      <c r="AE34" s="243"/>
      <c r="AF34" s="243"/>
      <c r="AG34" s="242"/>
      <c r="AH34" s="242"/>
      <c r="AI34" s="242"/>
      <c r="AJ34" s="242"/>
      <c r="AK34" s="242"/>
      <c r="AL34" s="242"/>
      <c r="AM34" s="242"/>
      <c r="AN34" s="243"/>
      <c r="AO34" s="243"/>
      <c r="AP34" s="243"/>
      <c r="AQ34" s="243"/>
      <c r="AR34" s="243"/>
      <c r="AS34" s="243"/>
      <c r="AT34" s="243"/>
      <c r="AU34" s="242"/>
      <c r="AV34" s="242"/>
      <c r="AW34" s="242"/>
      <c r="AX34" s="242"/>
      <c r="AY34" s="242"/>
      <c r="AZ34" s="242"/>
      <c r="BA34" s="242"/>
      <c r="BB34" s="243"/>
      <c r="BC34" s="243"/>
      <c r="BD34" s="243"/>
      <c r="BE34" s="243"/>
      <c r="BF34" s="243"/>
      <c r="BG34" s="243"/>
      <c r="BH34" s="243"/>
      <c r="BI34" s="242"/>
      <c r="BJ34" s="242"/>
      <c r="BK34" s="242"/>
      <c r="BL34" s="242"/>
      <c r="BM34" s="242"/>
      <c r="BN34" s="242"/>
      <c r="BO34" s="242"/>
      <c r="BP34" s="243"/>
      <c r="BQ34" s="243"/>
      <c r="BR34" s="243"/>
      <c r="BS34" s="243"/>
      <c r="BT34" s="243"/>
      <c r="BU34" s="243"/>
      <c r="BV34" s="243"/>
      <c r="BW34" s="242"/>
      <c r="BX34" s="242"/>
      <c r="BY34" s="242"/>
      <c r="BZ34" s="242"/>
      <c r="CA34" s="242"/>
      <c r="CB34" s="242"/>
      <c r="CC34" s="242"/>
      <c r="CD34" s="243"/>
      <c r="CE34" s="243"/>
      <c r="CF34" s="243"/>
      <c r="CG34" s="243"/>
      <c r="CH34" s="243"/>
      <c r="CI34" s="243"/>
      <c r="CJ34" s="243"/>
      <c r="CK34" s="242"/>
      <c r="CL34" s="242"/>
      <c r="CM34" s="242"/>
      <c r="CN34" s="242"/>
      <c r="CO34" s="242"/>
      <c r="CP34" s="242"/>
      <c r="CQ34" s="242"/>
      <c r="CR34" s="243"/>
      <c r="CS34" s="243"/>
      <c r="CT34" s="243"/>
      <c r="CU34" s="243"/>
      <c r="CV34" s="243"/>
      <c r="CW34" s="243"/>
      <c r="CX34" s="243"/>
      <c r="CY34" s="242"/>
      <c r="CZ34" s="242"/>
      <c r="DA34" s="242"/>
      <c r="DB34" s="242"/>
      <c r="DC34" s="242"/>
      <c r="DD34" s="242"/>
      <c r="DE34" s="242"/>
      <c r="DF34" s="243"/>
      <c r="DG34" s="243"/>
      <c r="DH34" s="243"/>
      <c r="DI34" s="243"/>
      <c r="DJ34" s="243"/>
      <c r="DK34" s="243"/>
      <c r="DL34" s="243"/>
      <c r="DM34" s="242"/>
      <c r="DN34" s="242"/>
      <c r="DO34" s="242"/>
      <c r="DP34" s="242"/>
      <c r="DQ34" s="242"/>
      <c r="DR34" s="242"/>
      <c r="DS34" s="242"/>
      <c r="DT34" s="243"/>
      <c r="DU34" s="243"/>
      <c r="DV34" s="243"/>
      <c r="DW34" s="243"/>
      <c r="DX34" s="243"/>
      <c r="DY34" s="243"/>
      <c r="DZ34" s="243"/>
      <c r="EA34" s="242"/>
      <c r="EB34" s="242"/>
      <c r="EC34" s="242"/>
      <c r="ED34" s="242"/>
      <c r="EE34" s="242"/>
      <c r="EF34" s="242"/>
      <c r="EG34" s="242"/>
      <c r="EH34" s="243"/>
      <c r="EI34" s="243"/>
      <c r="EJ34" s="243"/>
      <c r="EK34" s="243"/>
      <c r="EL34" s="243"/>
      <c r="EM34" s="243"/>
      <c r="EN34" s="243"/>
      <c r="EO34" s="242"/>
      <c r="EP34" s="242"/>
      <c r="EQ34" s="242"/>
      <c r="ER34" s="242"/>
      <c r="ES34" s="242"/>
      <c r="ET34" s="242"/>
      <c r="EU34" s="242"/>
      <c r="EV34" s="243"/>
      <c r="EW34" s="243"/>
      <c r="EX34" s="243"/>
      <c r="EY34" s="243"/>
      <c r="EZ34" s="243"/>
      <c r="FA34" s="243"/>
      <c r="FB34" s="243"/>
      <c r="FC34" s="242"/>
      <c r="FD34" s="242"/>
      <c r="FE34" s="242"/>
      <c r="FF34" s="242"/>
      <c r="FG34" s="242"/>
      <c r="FH34" s="242"/>
      <c r="FI34" s="242"/>
      <c r="FJ34" s="243"/>
      <c r="FK34" s="243"/>
      <c r="FL34" s="243"/>
      <c r="FM34" s="243"/>
      <c r="FN34" s="243"/>
      <c r="FO34" s="243"/>
      <c r="FP34" s="243"/>
      <c r="FQ34" s="242"/>
      <c r="FR34" s="242"/>
      <c r="FS34" s="242"/>
      <c r="FT34" s="242"/>
      <c r="FU34" s="242"/>
      <c r="FV34" s="242"/>
      <c r="FW34" s="242"/>
      <c r="FX34" s="243"/>
      <c r="FY34" s="243"/>
      <c r="FZ34" s="243"/>
      <c r="GA34" s="243"/>
      <c r="GB34" s="243"/>
      <c r="GC34" s="243"/>
      <c r="GD34" s="243"/>
      <c r="GE34" s="242"/>
      <c r="GF34" s="242"/>
      <c r="GG34" s="242"/>
      <c r="GH34" s="242"/>
      <c r="GI34" s="242"/>
      <c r="GJ34" s="242"/>
      <c r="GK34" s="242"/>
      <c r="GL34" s="243"/>
      <c r="GM34" s="243"/>
      <c r="GN34" s="243"/>
      <c r="GO34" s="243"/>
      <c r="GP34" s="243"/>
      <c r="GQ34" s="243"/>
      <c r="GR34" s="243"/>
      <c r="GS34" s="242"/>
      <c r="GT34" s="242"/>
      <c r="GU34" s="242"/>
      <c r="GV34" s="242"/>
      <c r="GW34" s="242"/>
      <c r="GX34" s="242"/>
      <c r="GY34" s="242"/>
      <c r="GZ34" s="243"/>
      <c r="HA34" s="243"/>
      <c r="HB34" s="243"/>
      <c r="HC34" s="243"/>
      <c r="HD34" s="243"/>
      <c r="HE34" s="243"/>
      <c r="HF34" s="243"/>
      <c r="HG34" s="242"/>
      <c r="HH34" s="242"/>
      <c r="HI34" s="242"/>
      <c r="HJ34" s="242"/>
      <c r="HK34" s="242"/>
      <c r="HL34" s="242"/>
      <c r="HM34" s="242"/>
      <c r="HN34" s="243"/>
      <c r="HO34" s="243"/>
      <c r="HP34" s="243"/>
      <c r="HQ34" s="243"/>
      <c r="HR34" s="243"/>
      <c r="HS34" s="243"/>
      <c r="HT34" s="243"/>
      <c r="HU34" s="242"/>
      <c r="HV34" s="242"/>
      <c r="HW34" s="242"/>
      <c r="HX34" s="242"/>
      <c r="HY34" s="242"/>
      <c r="HZ34" s="242"/>
      <c r="IA34" s="242"/>
      <c r="IB34" s="243"/>
      <c r="IC34" s="243"/>
      <c r="ID34" s="243"/>
      <c r="IE34" s="243"/>
      <c r="IF34" s="243"/>
      <c r="IG34" s="243"/>
      <c r="IH34" s="243"/>
      <c r="II34" s="242"/>
      <c r="IJ34" s="242"/>
      <c r="IK34" s="242"/>
      <c r="IL34" s="242"/>
      <c r="IM34" s="242"/>
      <c r="IN34" s="242"/>
      <c r="IO34" s="242"/>
      <c r="IP34" s="243"/>
      <c r="IQ34" s="243"/>
      <c r="IR34" s="243"/>
      <c r="IS34" s="243"/>
      <c r="IT34" s="243"/>
      <c r="IU34" s="243"/>
      <c r="IV34" s="243"/>
      <c r="IW34" s="242"/>
      <c r="IX34" s="242"/>
      <c r="IY34" s="242"/>
      <c r="IZ34" s="242"/>
      <c r="JA34" s="242"/>
      <c r="JB34" s="242"/>
      <c r="JC34" s="242"/>
      <c r="JD34" s="243"/>
      <c r="JE34" s="243"/>
      <c r="JF34" s="243"/>
      <c r="JG34" s="243"/>
      <c r="JH34" s="243"/>
      <c r="JI34" s="243"/>
      <c r="JJ34" s="243"/>
      <c r="JK34" s="242"/>
      <c r="JL34" s="242"/>
      <c r="JM34" s="242"/>
      <c r="JN34" s="242"/>
      <c r="JO34" s="242"/>
      <c r="JP34" s="242"/>
      <c r="JQ34" s="242"/>
      <c r="JR34" s="243"/>
      <c r="JS34" s="243"/>
      <c r="JT34" s="243"/>
      <c r="JU34" s="243"/>
      <c r="JV34" s="243"/>
      <c r="JW34" s="243"/>
      <c r="JX34" s="243"/>
      <c r="JY34" s="242"/>
      <c r="JZ34" s="242"/>
      <c r="KA34" s="242"/>
      <c r="KB34" s="242"/>
      <c r="KC34" s="242"/>
      <c r="KD34" s="242"/>
      <c r="KE34" s="242"/>
      <c r="KF34" s="243"/>
      <c r="KG34" s="243"/>
      <c r="KH34" s="243"/>
      <c r="KI34" s="243"/>
      <c r="KJ34" s="243"/>
      <c r="KK34" s="243"/>
      <c r="KL34" s="243"/>
      <c r="KM34" s="242"/>
      <c r="KN34" s="242"/>
      <c r="KO34" s="242"/>
      <c r="KP34" s="242"/>
      <c r="KQ34" s="242"/>
      <c r="KR34" s="242"/>
      <c r="KS34" s="242"/>
      <c r="KT34" s="243"/>
      <c r="KU34" s="243"/>
      <c r="KV34" s="243"/>
      <c r="KW34" s="243"/>
      <c r="KX34" s="243"/>
      <c r="KY34" s="243"/>
      <c r="KZ34" s="243"/>
      <c r="LA34" s="242"/>
      <c r="LB34" s="242"/>
      <c r="LC34" s="242"/>
      <c r="LD34" s="242"/>
      <c r="LE34" s="242"/>
      <c r="LF34" s="242"/>
      <c r="LG34" s="242"/>
      <c r="LH34" s="243"/>
      <c r="LI34" s="243"/>
      <c r="LJ34" s="243"/>
      <c r="LK34" s="243"/>
      <c r="LL34" s="243"/>
      <c r="LM34" s="243"/>
      <c r="LN34" s="243"/>
      <c r="LO34" s="242"/>
      <c r="LP34" s="242"/>
      <c r="LQ34" s="242"/>
      <c r="LR34" s="242"/>
      <c r="LS34" s="242"/>
      <c r="LT34" s="242"/>
      <c r="LU34" s="242"/>
      <c r="LV34" s="243"/>
      <c r="LW34" s="243"/>
      <c r="LX34" s="243"/>
      <c r="LY34" s="243"/>
      <c r="LZ34" s="243"/>
      <c r="MA34" s="243"/>
      <c r="MB34" s="243"/>
      <c r="MC34" s="242"/>
      <c r="MD34" s="242"/>
      <c r="ME34" s="242"/>
      <c r="MF34" s="242"/>
      <c r="MG34" s="242"/>
      <c r="MH34" s="242"/>
      <c r="MI34" s="242"/>
      <c r="MJ34" s="243"/>
      <c r="MK34" s="243"/>
      <c r="ML34" s="243"/>
      <c r="MM34" s="243"/>
      <c r="MN34" s="243"/>
      <c r="MO34" s="243"/>
      <c r="MP34" s="243"/>
      <c r="MQ34" s="242"/>
      <c r="MR34" s="242"/>
      <c r="MS34" s="242"/>
      <c r="MT34" s="242"/>
      <c r="MU34" s="242"/>
      <c r="MV34" s="242"/>
      <c r="MW34" s="242"/>
      <c r="MX34" s="243"/>
      <c r="MY34" s="243"/>
      <c r="MZ34" s="243"/>
      <c r="NA34" s="243"/>
      <c r="NB34" s="243"/>
      <c r="NC34" s="243"/>
      <c r="ND34" s="243"/>
      <c r="NE34" s="242"/>
      <c r="NF34" s="242"/>
      <c r="NG34" s="242"/>
      <c r="NH34" s="243"/>
    </row>
    <row r="35" spans="1:372">
      <c r="A35" s="254" t="s">
        <v>969</v>
      </c>
      <c r="B35" s="239" t="s">
        <v>584</v>
      </c>
      <c r="C35" s="240" t="s">
        <v>674</v>
      </c>
      <c r="D35" s="240" t="s">
        <v>982</v>
      </c>
      <c r="E35" s="241">
        <v>0</v>
      </c>
      <c r="F35" s="252">
        <v>0</v>
      </c>
      <c r="G35" s="242"/>
      <c r="H35" s="242"/>
      <c r="I35" s="242"/>
      <c r="J35" s="242"/>
      <c r="K35" s="242"/>
      <c r="L35" s="243"/>
      <c r="M35" s="243"/>
      <c r="N35" s="243"/>
      <c r="O35" s="243"/>
      <c r="P35" s="243"/>
      <c r="Q35" s="243"/>
      <c r="R35" s="243"/>
      <c r="S35" s="242"/>
      <c r="T35" s="242"/>
      <c r="U35" s="242"/>
      <c r="V35" s="242"/>
      <c r="W35" s="242"/>
      <c r="X35" s="242"/>
      <c r="Y35" s="242"/>
      <c r="Z35" s="243"/>
      <c r="AA35" s="243"/>
      <c r="AB35" s="243"/>
      <c r="AC35" s="243"/>
      <c r="AD35" s="243"/>
      <c r="AE35" s="243"/>
      <c r="AF35" s="243"/>
      <c r="AG35" s="242"/>
      <c r="AH35" s="242"/>
      <c r="AI35" s="242"/>
      <c r="AJ35" s="242"/>
      <c r="AK35" s="242"/>
      <c r="AL35" s="242"/>
      <c r="AM35" s="242"/>
      <c r="AN35" s="243"/>
      <c r="AO35" s="243"/>
      <c r="AP35" s="243"/>
      <c r="AQ35" s="243"/>
      <c r="AR35" s="243"/>
      <c r="AS35" s="243"/>
      <c r="AT35" s="243"/>
      <c r="AU35" s="242"/>
      <c r="AV35" s="242"/>
      <c r="AW35" s="242"/>
      <c r="AX35" s="242"/>
      <c r="AY35" s="242"/>
      <c r="AZ35" s="242"/>
      <c r="BA35" s="242"/>
      <c r="BB35" s="243"/>
      <c r="BC35" s="243"/>
      <c r="BD35" s="243"/>
      <c r="BE35" s="243"/>
      <c r="BF35" s="243"/>
      <c r="BG35" s="243"/>
      <c r="BH35" s="243"/>
      <c r="BI35" s="242"/>
      <c r="BJ35" s="242"/>
      <c r="BK35" s="242"/>
      <c r="BL35" s="242"/>
      <c r="BM35" s="242"/>
      <c r="BN35" s="242"/>
      <c r="BO35" s="242"/>
      <c r="BP35" s="243"/>
      <c r="BQ35" s="243"/>
      <c r="BR35" s="243"/>
      <c r="BS35" s="243"/>
      <c r="BT35" s="243"/>
      <c r="BU35" s="243"/>
      <c r="BV35" s="243"/>
      <c r="BW35" s="242"/>
      <c r="BX35" s="242"/>
      <c r="BY35" s="242"/>
      <c r="BZ35" s="242"/>
      <c r="CA35" s="242"/>
      <c r="CB35" s="242"/>
      <c r="CC35" s="242"/>
      <c r="CD35" s="243"/>
      <c r="CE35" s="243"/>
      <c r="CF35" s="243"/>
      <c r="CG35" s="243"/>
      <c r="CH35" s="243"/>
      <c r="CI35" s="243"/>
      <c r="CJ35" s="243"/>
      <c r="CK35" s="242"/>
      <c r="CL35" s="242"/>
      <c r="CM35" s="242"/>
      <c r="CN35" s="242"/>
      <c r="CO35" s="242"/>
      <c r="CP35" s="242"/>
      <c r="CQ35" s="242"/>
      <c r="CR35" s="243"/>
      <c r="CS35" s="243"/>
      <c r="CT35" s="243"/>
      <c r="CU35" s="243"/>
      <c r="CV35" s="243"/>
      <c r="CW35" s="243"/>
      <c r="CX35" s="243"/>
      <c r="CY35" s="242"/>
      <c r="CZ35" s="242"/>
      <c r="DA35" s="242"/>
      <c r="DB35" s="242"/>
      <c r="DC35" s="242"/>
      <c r="DD35" s="242"/>
      <c r="DE35" s="242"/>
      <c r="DF35" s="243"/>
      <c r="DG35" s="243"/>
      <c r="DH35" s="243"/>
      <c r="DI35" s="243"/>
      <c r="DJ35" s="243"/>
      <c r="DK35" s="243"/>
      <c r="DL35" s="243"/>
      <c r="DM35" s="242"/>
      <c r="DN35" s="242"/>
      <c r="DO35" s="242"/>
      <c r="DP35" s="242"/>
      <c r="DQ35" s="242"/>
      <c r="DR35" s="242"/>
      <c r="DS35" s="242"/>
      <c r="DT35" s="243"/>
      <c r="DU35" s="243"/>
      <c r="DV35" s="243"/>
      <c r="DW35" s="243"/>
      <c r="DX35" s="243"/>
      <c r="DY35" s="243"/>
      <c r="DZ35" s="243"/>
      <c r="EA35" s="242"/>
      <c r="EB35" s="242"/>
      <c r="EC35" s="242"/>
      <c r="ED35" s="242"/>
      <c r="EE35" s="242"/>
      <c r="EF35" s="242"/>
      <c r="EG35" s="242"/>
      <c r="EH35" s="243"/>
      <c r="EI35" s="243"/>
      <c r="EJ35" s="243"/>
      <c r="EK35" s="243"/>
      <c r="EL35" s="243"/>
      <c r="EM35" s="243"/>
      <c r="EN35" s="243"/>
      <c r="EO35" s="242"/>
      <c r="EP35" s="242"/>
      <c r="EQ35" s="242"/>
      <c r="ER35" s="242"/>
      <c r="ES35" s="242"/>
      <c r="ET35" s="242"/>
      <c r="EU35" s="242"/>
      <c r="EV35" s="243"/>
      <c r="EW35" s="243"/>
      <c r="EX35" s="243"/>
      <c r="EY35" s="243"/>
      <c r="EZ35" s="243"/>
      <c r="FA35" s="243"/>
      <c r="FB35" s="243"/>
      <c r="FC35" s="242"/>
      <c r="FD35" s="242"/>
      <c r="FE35" s="242"/>
      <c r="FF35" s="242"/>
      <c r="FG35" s="242"/>
      <c r="FH35" s="242"/>
      <c r="FI35" s="242"/>
      <c r="FJ35" s="243"/>
      <c r="FK35" s="243"/>
      <c r="FL35" s="243"/>
      <c r="FM35" s="243"/>
      <c r="FN35" s="243"/>
      <c r="FO35" s="243"/>
      <c r="FP35" s="243"/>
      <c r="FQ35" s="242"/>
      <c r="FR35" s="242"/>
      <c r="FS35" s="242"/>
      <c r="FT35" s="242"/>
      <c r="FU35" s="242"/>
      <c r="FV35" s="242"/>
      <c r="FW35" s="242"/>
      <c r="FX35" s="243"/>
      <c r="FY35" s="243"/>
      <c r="FZ35" s="243"/>
      <c r="GA35" s="243"/>
      <c r="GB35" s="243"/>
      <c r="GC35" s="243"/>
      <c r="GD35" s="243"/>
      <c r="GE35" s="242"/>
      <c r="GF35" s="242"/>
      <c r="GG35" s="242"/>
      <c r="GH35" s="242"/>
      <c r="GI35" s="242"/>
      <c r="GJ35" s="242"/>
      <c r="GK35" s="242"/>
      <c r="GL35" s="243"/>
      <c r="GM35" s="243"/>
      <c r="GN35" s="243"/>
      <c r="GO35" s="243"/>
      <c r="GP35" s="243"/>
      <c r="GQ35" s="243"/>
      <c r="GR35" s="243"/>
      <c r="GS35" s="242"/>
      <c r="GT35" s="242"/>
      <c r="GU35" s="242"/>
      <c r="GV35" s="242"/>
      <c r="GW35" s="242"/>
      <c r="GX35" s="242"/>
      <c r="GY35" s="242"/>
      <c r="GZ35" s="243"/>
      <c r="HA35" s="243"/>
      <c r="HB35" s="243"/>
      <c r="HC35" s="243"/>
      <c r="HD35" s="243"/>
      <c r="HE35" s="243"/>
      <c r="HF35" s="243"/>
      <c r="HG35" s="242"/>
      <c r="HH35" s="242"/>
      <c r="HI35" s="242"/>
      <c r="HJ35" s="242"/>
      <c r="HK35" s="242"/>
      <c r="HL35" s="242"/>
      <c r="HM35" s="242"/>
      <c r="HN35" s="243"/>
      <c r="HO35" s="243"/>
      <c r="HP35" s="243"/>
      <c r="HQ35" s="243"/>
      <c r="HR35" s="243"/>
      <c r="HS35" s="243"/>
      <c r="HT35" s="243"/>
      <c r="HU35" s="242"/>
      <c r="HV35" s="242"/>
      <c r="HW35" s="242"/>
      <c r="HX35" s="242"/>
      <c r="HY35" s="242"/>
      <c r="HZ35" s="242"/>
      <c r="IA35" s="242"/>
      <c r="IB35" s="243"/>
      <c r="IC35" s="243"/>
      <c r="ID35" s="243"/>
      <c r="IE35" s="243"/>
      <c r="IF35" s="243"/>
      <c r="IG35" s="243"/>
      <c r="IH35" s="243"/>
      <c r="II35" s="242"/>
      <c r="IJ35" s="242"/>
      <c r="IK35" s="242"/>
      <c r="IL35" s="242"/>
      <c r="IM35" s="242"/>
      <c r="IN35" s="242"/>
      <c r="IO35" s="242"/>
      <c r="IP35" s="243"/>
      <c r="IQ35" s="243"/>
      <c r="IR35" s="243"/>
      <c r="IS35" s="243"/>
      <c r="IT35" s="243"/>
      <c r="IU35" s="243"/>
      <c r="IV35" s="243"/>
      <c r="IW35" s="242"/>
      <c r="IX35" s="242"/>
      <c r="IY35" s="242"/>
      <c r="IZ35" s="242"/>
      <c r="JA35" s="242"/>
      <c r="JB35" s="242"/>
      <c r="JC35" s="242"/>
      <c r="JD35" s="243"/>
      <c r="JE35" s="243"/>
      <c r="JF35" s="243"/>
      <c r="JG35" s="243"/>
      <c r="JH35" s="243"/>
      <c r="JI35" s="243"/>
      <c r="JJ35" s="243"/>
      <c r="JK35" s="242"/>
      <c r="JL35" s="242"/>
      <c r="JM35" s="242"/>
      <c r="JN35" s="242"/>
      <c r="JO35" s="242"/>
      <c r="JP35" s="242"/>
      <c r="JQ35" s="242"/>
      <c r="JR35" s="243"/>
      <c r="JS35" s="243"/>
      <c r="JT35" s="243"/>
      <c r="JU35" s="243"/>
      <c r="JV35" s="243"/>
      <c r="JW35" s="243"/>
      <c r="JX35" s="243"/>
      <c r="JY35" s="242"/>
      <c r="JZ35" s="242"/>
      <c r="KA35" s="242"/>
      <c r="KB35" s="242"/>
      <c r="KC35" s="242"/>
      <c r="KD35" s="242"/>
      <c r="KE35" s="242"/>
      <c r="KF35" s="243"/>
      <c r="KG35" s="243"/>
      <c r="KH35" s="243"/>
      <c r="KI35" s="243"/>
      <c r="KJ35" s="243"/>
      <c r="KK35" s="243"/>
      <c r="KL35" s="243"/>
      <c r="KM35" s="242"/>
      <c r="KN35" s="242"/>
      <c r="KO35" s="242"/>
      <c r="KP35" s="242"/>
      <c r="KQ35" s="242"/>
      <c r="KR35" s="242"/>
      <c r="KS35" s="242"/>
      <c r="KT35" s="243"/>
      <c r="KU35" s="243"/>
      <c r="KV35" s="243"/>
      <c r="KW35" s="243"/>
      <c r="KX35" s="243"/>
      <c r="KY35" s="243"/>
      <c r="KZ35" s="243"/>
      <c r="LA35" s="242"/>
      <c r="LB35" s="242"/>
      <c r="LC35" s="242"/>
      <c r="LD35" s="242"/>
      <c r="LE35" s="242"/>
      <c r="LF35" s="242"/>
      <c r="LG35" s="242"/>
      <c r="LH35" s="243"/>
      <c r="LI35" s="243"/>
      <c r="LJ35" s="243"/>
      <c r="LK35" s="243"/>
      <c r="LL35" s="243"/>
      <c r="LM35" s="243"/>
      <c r="LN35" s="243"/>
      <c r="LO35" s="242"/>
      <c r="LP35" s="242"/>
      <c r="LQ35" s="242"/>
      <c r="LR35" s="242"/>
      <c r="LS35" s="242"/>
      <c r="LT35" s="242"/>
      <c r="LU35" s="242"/>
      <c r="LV35" s="243"/>
      <c r="LW35" s="243"/>
      <c r="LX35" s="243"/>
      <c r="LY35" s="243"/>
      <c r="LZ35" s="243"/>
      <c r="MA35" s="243"/>
      <c r="MB35" s="243"/>
      <c r="MC35" s="242"/>
      <c r="MD35" s="242"/>
      <c r="ME35" s="242"/>
      <c r="MF35" s="242"/>
      <c r="MG35" s="242"/>
      <c r="MH35" s="242"/>
      <c r="MI35" s="242"/>
      <c r="MJ35" s="243"/>
      <c r="MK35" s="243"/>
      <c r="ML35" s="243"/>
      <c r="MM35" s="243"/>
      <c r="MN35" s="243"/>
      <c r="MO35" s="243"/>
      <c r="MP35" s="243"/>
      <c r="MQ35" s="242"/>
      <c r="MR35" s="242"/>
      <c r="MS35" s="242"/>
      <c r="MT35" s="242"/>
      <c r="MU35" s="242"/>
      <c r="MV35" s="242"/>
      <c r="MW35" s="242"/>
      <c r="MX35" s="243"/>
      <c r="MY35" s="243"/>
      <c r="MZ35" s="243"/>
      <c r="NA35" s="243"/>
      <c r="NB35" s="243"/>
      <c r="NC35" s="243"/>
      <c r="ND35" s="243"/>
      <c r="NE35" s="242"/>
      <c r="NF35" s="242"/>
      <c r="NG35" s="242"/>
      <c r="NH35" s="243"/>
    </row>
    <row r="36" spans="1:372">
      <c r="A36" s="254" t="s">
        <v>969</v>
      </c>
      <c r="B36" s="239" t="s">
        <v>585</v>
      </c>
      <c r="C36" s="240" t="s">
        <v>674</v>
      </c>
      <c r="D36" s="240" t="s">
        <v>982</v>
      </c>
      <c r="E36" s="241">
        <v>0</v>
      </c>
      <c r="F36" s="252">
        <v>0</v>
      </c>
      <c r="G36" s="242"/>
      <c r="H36" s="242"/>
      <c r="I36" s="242"/>
      <c r="J36" s="242"/>
      <c r="K36" s="242"/>
      <c r="L36" s="243"/>
      <c r="M36" s="243"/>
      <c r="N36" s="243"/>
      <c r="O36" s="243"/>
      <c r="P36" s="243"/>
      <c r="Q36" s="243"/>
      <c r="R36" s="243"/>
      <c r="S36" s="242"/>
      <c r="T36" s="242"/>
      <c r="U36" s="242"/>
      <c r="V36" s="242"/>
      <c r="W36" s="242"/>
      <c r="X36" s="242"/>
      <c r="Y36" s="242"/>
      <c r="Z36" s="243"/>
      <c r="AA36" s="243"/>
      <c r="AB36" s="243"/>
      <c r="AC36" s="243"/>
      <c r="AD36" s="243"/>
      <c r="AE36" s="243"/>
      <c r="AF36" s="243"/>
      <c r="AG36" s="242"/>
      <c r="AH36" s="242"/>
      <c r="AI36" s="242"/>
      <c r="AJ36" s="242"/>
      <c r="AK36" s="242"/>
      <c r="AL36" s="242"/>
      <c r="AM36" s="242"/>
      <c r="AN36" s="243"/>
      <c r="AO36" s="243"/>
      <c r="AP36" s="243"/>
      <c r="AQ36" s="243"/>
      <c r="AR36" s="243"/>
      <c r="AS36" s="243"/>
      <c r="AT36" s="243"/>
      <c r="AU36" s="242"/>
      <c r="AV36" s="242"/>
      <c r="AW36" s="242"/>
      <c r="AX36" s="242"/>
      <c r="AY36" s="242"/>
      <c r="AZ36" s="242"/>
      <c r="BA36" s="242"/>
      <c r="BB36" s="243"/>
      <c r="BC36" s="243"/>
      <c r="BD36" s="243"/>
      <c r="BE36" s="243"/>
      <c r="BF36" s="243"/>
      <c r="BG36" s="243"/>
      <c r="BH36" s="243"/>
      <c r="BI36" s="242"/>
      <c r="BJ36" s="242"/>
      <c r="BK36" s="242"/>
      <c r="BL36" s="242"/>
      <c r="BM36" s="242"/>
      <c r="BN36" s="242"/>
      <c r="BO36" s="242"/>
      <c r="BP36" s="243"/>
      <c r="BQ36" s="243"/>
      <c r="BR36" s="243"/>
      <c r="BS36" s="243"/>
      <c r="BT36" s="243"/>
      <c r="BU36" s="243"/>
      <c r="BV36" s="243"/>
      <c r="BW36" s="242"/>
      <c r="BX36" s="242"/>
      <c r="BY36" s="242"/>
      <c r="BZ36" s="242"/>
      <c r="CA36" s="242"/>
      <c r="CB36" s="242"/>
      <c r="CC36" s="242"/>
      <c r="CD36" s="243"/>
      <c r="CE36" s="243"/>
      <c r="CF36" s="243"/>
      <c r="CG36" s="243"/>
      <c r="CH36" s="243"/>
      <c r="CI36" s="243"/>
      <c r="CJ36" s="243"/>
      <c r="CK36" s="242"/>
      <c r="CL36" s="242"/>
      <c r="CM36" s="242"/>
      <c r="CN36" s="242"/>
      <c r="CO36" s="242"/>
      <c r="CP36" s="242"/>
      <c r="CQ36" s="242"/>
      <c r="CR36" s="243"/>
      <c r="CS36" s="243"/>
      <c r="CT36" s="243"/>
      <c r="CU36" s="243"/>
      <c r="CV36" s="243"/>
      <c r="CW36" s="243"/>
      <c r="CX36" s="243"/>
      <c r="CY36" s="242"/>
      <c r="CZ36" s="242"/>
      <c r="DA36" s="242"/>
      <c r="DB36" s="242"/>
      <c r="DC36" s="242"/>
      <c r="DD36" s="242"/>
      <c r="DE36" s="242"/>
      <c r="DF36" s="243"/>
      <c r="DG36" s="243"/>
      <c r="DH36" s="243"/>
      <c r="DI36" s="243"/>
      <c r="DJ36" s="243"/>
      <c r="DK36" s="243"/>
      <c r="DL36" s="243"/>
      <c r="DM36" s="242"/>
      <c r="DN36" s="242"/>
      <c r="DO36" s="242"/>
      <c r="DP36" s="242"/>
      <c r="DQ36" s="242"/>
      <c r="DR36" s="242"/>
      <c r="DS36" s="242"/>
      <c r="DT36" s="243"/>
      <c r="DU36" s="243"/>
      <c r="DV36" s="243"/>
      <c r="DW36" s="243"/>
      <c r="DX36" s="243"/>
      <c r="DY36" s="243"/>
      <c r="DZ36" s="243"/>
      <c r="EA36" s="242"/>
      <c r="EB36" s="242"/>
      <c r="EC36" s="242"/>
      <c r="ED36" s="242"/>
      <c r="EE36" s="242"/>
      <c r="EF36" s="242"/>
      <c r="EG36" s="242"/>
      <c r="EH36" s="243"/>
      <c r="EI36" s="243"/>
      <c r="EJ36" s="243"/>
      <c r="EK36" s="243"/>
      <c r="EL36" s="243"/>
      <c r="EM36" s="243"/>
      <c r="EN36" s="243"/>
      <c r="EO36" s="242"/>
      <c r="EP36" s="242"/>
      <c r="EQ36" s="242"/>
      <c r="ER36" s="242"/>
      <c r="ES36" s="242"/>
      <c r="ET36" s="242"/>
      <c r="EU36" s="242"/>
      <c r="EV36" s="243"/>
      <c r="EW36" s="243"/>
      <c r="EX36" s="243"/>
      <c r="EY36" s="243"/>
      <c r="EZ36" s="243"/>
      <c r="FA36" s="243"/>
      <c r="FB36" s="243"/>
      <c r="FC36" s="242"/>
      <c r="FD36" s="242"/>
      <c r="FE36" s="242"/>
      <c r="FF36" s="242"/>
      <c r="FG36" s="242"/>
      <c r="FH36" s="242"/>
      <c r="FI36" s="242"/>
      <c r="FJ36" s="243"/>
      <c r="FK36" s="243"/>
      <c r="FL36" s="243"/>
      <c r="FM36" s="243"/>
      <c r="FN36" s="243"/>
      <c r="FO36" s="243"/>
      <c r="FP36" s="243"/>
      <c r="FQ36" s="242"/>
      <c r="FR36" s="242"/>
      <c r="FS36" s="242"/>
      <c r="FT36" s="242"/>
      <c r="FU36" s="242"/>
      <c r="FV36" s="242"/>
      <c r="FW36" s="242"/>
      <c r="FX36" s="243"/>
      <c r="FY36" s="243"/>
      <c r="FZ36" s="243"/>
      <c r="GA36" s="243"/>
      <c r="GB36" s="243"/>
      <c r="GC36" s="243"/>
      <c r="GD36" s="243"/>
      <c r="GE36" s="242"/>
      <c r="GF36" s="242"/>
      <c r="GG36" s="242"/>
      <c r="GH36" s="242"/>
      <c r="GI36" s="242"/>
      <c r="GJ36" s="242"/>
      <c r="GK36" s="242"/>
      <c r="GL36" s="243"/>
      <c r="GM36" s="243"/>
      <c r="GN36" s="243"/>
      <c r="GO36" s="243"/>
      <c r="GP36" s="243"/>
      <c r="GQ36" s="243"/>
      <c r="GR36" s="243"/>
      <c r="GS36" s="242"/>
      <c r="GT36" s="242"/>
      <c r="GU36" s="242"/>
      <c r="GV36" s="242"/>
      <c r="GW36" s="242"/>
      <c r="GX36" s="242"/>
      <c r="GY36" s="242"/>
      <c r="GZ36" s="243"/>
      <c r="HA36" s="243"/>
      <c r="HB36" s="243"/>
      <c r="HC36" s="243"/>
      <c r="HD36" s="243"/>
      <c r="HE36" s="243"/>
      <c r="HF36" s="243"/>
      <c r="HG36" s="242"/>
      <c r="HH36" s="242"/>
      <c r="HI36" s="242"/>
      <c r="HJ36" s="242"/>
      <c r="HK36" s="242"/>
      <c r="HL36" s="242"/>
      <c r="HM36" s="242"/>
      <c r="HN36" s="243"/>
      <c r="HO36" s="243"/>
      <c r="HP36" s="243"/>
      <c r="HQ36" s="243"/>
      <c r="HR36" s="243"/>
      <c r="HS36" s="243"/>
      <c r="HT36" s="243"/>
      <c r="HU36" s="242"/>
      <c r="HV36" s="242"/>
      <c r="HW36" s="242"/>
      <c r="HX36" s="242"/>
      <c r="HY36" s="242"/>
      <c r="HZ36" s="242"/>
      <c r="IA36" s="242"/>
      <c r="IB36" s="243"/>
      <c r="IC36" s="243"/>
      <c r="ID36" s="243"/>
      <c r="IE36" s="243"/>
      <c r="IF36" s="243"/>
      <c r="IG36" s="243"/>
      <c r="IH36" s="243"/>
      <c r="II36" s="242"/>
      <c r="IJ36" s="242"/>
      <c r="IK36" s="242"/>
      <c r="IL36" s="242"/>
      <c r="IM36" s="242"/>
      <c r="IN36" s="242"/>
      <c r="IO36" s="242"/>
      <c r="IP36" s="243"/>
      <c r="IQ36" s="243"/>
      <c r="IR36" s="243"/>
      <c r="IS36" s="243"/>
      <c r="IT36" s="243"/>
      <c r="IU36" s="243"/>
      <c r="IV36" s="243"/>
      <c r="IW36" s="242"/>
      <c r="IX36" s="242"/>
      <c r="IY36" s="242"/>
      <c r="IZ36" s="242"/>
      <c r="JA36" s="242"/>
      <c r="JB36" s="242"/>
      <c r="JC36" s="242"/>
      <c r="JD36" s="243"/>
      <c r="JE36" s="243"/>
      <c r="JF36" s="243"/>
      <c r="JG36" s="243"/>
      <c r="JH36" s="243"/>
      <c r="JI36" s="243"/>
      <c r="JJ36" s="243"/>
      <c r="JK36" s="242"/>
      <c r="JL36" s="242"/>
      <c r="JM36" s="242"/>
      <c r="JN36" s="242"/>
      <c r="JO36" s="242"/>
      <c r="JP36" s="242"/>
      <c r="JQ36" s="242"/>
      <c r="JR36" s="243"/>
      <c r="JS36" s="243"/>
      <c r="JT36" s="243"/>
      <c r="JU36" s="243"/>
      <c r="JV36" s="243"/>
      <c r="JW36" s="243"/>
      <c r="JX36" s="243"/>
      <c r="JY36" s="242"/>
      <c r="JZ36" s="242"/>
      <c r="KA36" s="242"/>
      <c r="KB36" s="242"/>
      <c r="KC36" s="242"/>
      <c r="KD36" s="242"/>
      <c r="KE36" s="242"/>
      <c r="KF36" s="243"/>
      <c r="KG36" s="243"/>
      <c r="KH36" s="243"/>
      <c r="KI36" s="243"/>
      <c r="KJ36" s="243"/>
      <c r="KK36" s="243"/>
      <c r="KL36" s="243"/>
      <c r="KM36" s="242"/>
      <c r="KN36" s="242"/>
      <c r="KO36" s="242"/>
      <c r="KP36" s="242"/>
      <c r="KQ36" s="242"/>
      <c r="KR36" s="242"/>
      <c r="KS36" s="242"/>
      <c r="KT36" s="243"/>
      <c r="KU36" s="243"/>
      <c r="KV36" s="243"/>
      <c r="KW36" s="243"/>
      <c r="KX36" s="243"/>
      <c r="KY36" s="243"/>
      <c r="KZ36" s="243"/>
      <c r="LA36" s="242"/>
      <c r="LB36" s="242"/>
      <c r="LC36" s="242"/>
      <c r="LD36" s="242"/>
      <c r="LE36" s="242"/>
      <c r="LF36" s="242"/>
      <c r="LG36" s="242"/>
      <c r="LH36" s="243"/>
      <c r="LI36" s="243"/>
      <c r="LJ36" s="243"/>
      <c r="LK36" s="243"/>
      <c r="LL36" s="243"/>
      <c r="LM36" s="243"/>
      <c r="LN36" s="243"/>
      <c r="LO36" s="242"/>
      <c r="LP36" s="242"/>
      <c r="LQ36" s="242"/>
      <c r="LR36" s="242"/>
      <c r="LS36" s="242"/>
      <c r="LT36" s="242"/>
      <c r="LU36" s="242"/>
      <c r="LV36" s="243"/>
      <c r="LW36" s="243"/>
      <c r="LX36" s="243"/>
      <c r="LY36" s="243"/>
      <c r="LZ36" s="243"/>
      <c r="MA36" s="243"/>
      <c r="MB36" s="243"/>
      <c r="MC36" s="242"/>
      <c r="MD36" s="242"/>
      <c r="ME36" s="242"/>
      <c r="MF36" s="242"/>
      <c r="MG36" s="242"/>
      <c r="MH36" s="242"/>
      <c r="MI36" s="242"/>
      <c r="MJ36" s="243"/>
      <c r="MK36" s="243"/>
      <c r="ML36" s="243"/>
      <c r="MM36" s="243"/>
      <c r="MN36" s="243"/>
      <c r="MO36" s="243"/>
      <c r="MP36" s="243"/>
      <c r="MQ36" s="242"/>
      <c r="MR36" s="242"/>
      <c r="MS36" s="242"/>
      <c r="MT36" s="242"/>
      <c r="MU36" s="242"/>
      <c r="MV36" s="242"/>
      <c r="MW36" s="242"/>
      <c r="MX36" s="243"/>
      <c r="MY36" s="243"/>
      <c r="MZ36" s="243"/>
      <c r="NA36" s="243"/>
      <c r="NB36" s="243"/>
      <c r="NC36" s="243"/>
      <c r="ND36" s="243"/>
      <c r="NE36" s="242"/>
      <c r="NF36" s="242"/>
      <c r="NG36" s="242"/>
      <c r="NH36" s="243"/>
    </row>
    <row r="37" spans="1:372">
      <c r="A37" s="254" t="s">
        <v>970</v>
      </c>
      <c r="B37" s="239" t="s">
        <v>35</v>
      </c>
      <c r="C37" s="240" t="s">
        <v>674</v>
      </c>
      <c r="D37" s="240" t="s">
        <v>982</v>
      </c>
      <c r="E37" s="241">
        <v>103.26552775166225</v>
      </c>
      <c r="F37" s="252">
        <v>48</v>
      </c>
      <c r="G37" s="242"/>
      <c r="H37" s="242"/>
      <c r="I37" s="242"/>
      <c r="J37" s="242"/>
      <c r="K37" s="242"/>
      <c r="L37" s="243"/>
      <c r="M37" s="243"/>
      <c r="N37" s="243"/>
      <c r="O37" s="243"/>
      <c r="P37" s="243"/>
      <c r="Q37" s="243"/>
      <c r="R37" s="243"/>
      <c r="S37" s="242"/>
      <c r="T37" s="242"/>
      <c r="U37" s="242"/>
      <c r="V37" s="242"/>
      <c r="W37" s="242"/>
      <c r="X37" s="242"/>
      <c r="Y37" s="242"/>
      <c r="Z37" s="243"/>
      <c r="AA37" s="243"/>
      <c r="AB37" s="243"/>
      <c r="AC37" s="243"/>
      <c r="AD37" s="243"/>
      <c r="AE37" s="243"/>
      <c r="AF37" s="243"/>
      <c r="AG37" s="242"/>
      <c r="AH37" s="242"/>
      <c r="AI37" s="242"/>
      <c r="AJ37" s="242"/>
      <c r="AK37" s="242"/>
      <c r="AL37" s="242"/>
      <c r="AM37" s="242"/>
      <c r="AN37" s="243"/>
      <c r="AO37" s="243"/>
      <c r="AP37" s="243"/>
      <c r="AQ37" s="243"/>
      <c r="AR37" s="243"/>
      <c r="AS37" s="243"/>
      <c r="AT37" s="243"/>
      <c r="AU37" s="242"/>
      <c r="AV37" s="242"/>
      <c r="AW37" s="242"/>
      <c r="AX37" s="242"/>
      <c r="AY37" s="242"/>
      <c r="AZ37" s="242"/>
      <c r="BA37" s="242"/>
      <c r="BB37" s="243"/>
      <c r="BC37" s="243"/>
      <c r="BD37" s="243"/>
      <c r="BE37" s="243"/>
      <c r="BF37" s="243"/>
      <c r="BG37" s="243"/>
      <c r="BH37" s="243"/>
      <c r="BI37" s="242"/>
      <c r="BJ37" s="242"/>
      <c r="BK37" s="242"/>
      <c r="BL37" s="242"/>
      <c r="BM37" s="242"/>
      <c r="BN37" s="242"/>
      <c r="BO37" s="242"/>
      <c r="BP37" s="243"/>
      <c r="BQ37" s="243"/>
      <c r="BR37" s="243"/>
      <c r="BS37" s="243"/>
      <c r="BT37" s="243"/>
      <c r="BU37" s="243"/>
      <c r="BV37" s="243"/>
      <c r="BW37" s="242">
        <v>24</v>
      </c>
      <c r="BX37" s="242">
        <v>24</v>
      </c>
      <c r="BY37" s="242"/>
      <c r="BZ37" s="242"/>
      <c r="CA37" s="242"/>
      <c r="CB37" s="242"/>
      <c r="CC37" s="242"/>
      <c r="CD37" s="243"/>
      <c r="CE37" s="243"/>
      <c r="CF37" s="243"/>
      <c r="CG37" s="243"/>
      <c r="CH37" s="243"/>
      <c r="CI37" s="243"/>
      <c r="CJ37" s="243"/>
      <c r="CK37" s="242"/>
      <c r="CL37" s="242"/>
      <c r="CM37" s="242"/>
      <c r="CN37" s="242"/>
      <c r="CO37" s="242"/>
      <c r="CP37" s="242"/>
      <c r="CQ37" s="242"/>
      <c r="CR37" s="243"/>
      <c r="CS37" s="243"/>
      <c r="CT37" s="243"/>
      <c r="CU37" s="243"/>
      <c r="CV37" s="243"/>
      <c r="CW37" s="243"/>
      <c r="CX37" s="243"/>
      <c r="CY37" s="242"/>
      <c r="CZ37" s="242"/>
      <c r="DA37" s="242"/>
      <c r="DB37" s="242"/>
      <c r="DC37" s="242"/>
      <c r="DD37" s="242"/>
      <c r="DE37" s="242"/>
      <c r="DF37" s="243"/>
      <c r="DG37" s="243"/>
      <c r="DH37" s="243"/>
      <c r="DI37" s="243"/>
      <c r="DJ37" s="243"/>
      <c r="DK37" s="243"/>
      <c r="DL37" s="243"/>
      <c r="DM37" s="242"/>
      <c r="DN37" s="242"/>
      <c r="DO37" s="242"/>
      <c r="DP37" s="242"/>
      <c r="DQ37" s="242"/>
      <c r="DR37" s="242"/>
      <c r="DS37" s="242"/>
      <c r="DT37" s="243"/>
      <c r="DU37" s="243"/>
      <c r="DV37" s="243"/>
      <c r="DW37" s="243"/>
      <c r="DX37" s="243"/>
      <c r="DY37" s="243"/>
      <c r="DZ37" s="243"/>
      <c r="EA37" s="242"/>
      <c r="EB37" s="242"/>
      <c r="EC37" s="242"/>
      <c r="ED37" s="242"/>
      <c r="EE37" s="242"/>
      <c r="EF37" s="242"/>
      <c r="EG37" s="242"/>
      <c r="EH37" s="243"/>
      <c r="EI37" s="243"/>
      <c r="EJ37" s="243"/>
      <c r="EK37" s="243"/>
      <c r="EL37" s="243"/>
      <c r="EM37" s="243"/>
      <c r="EN37" s="243"/>
      <c r="EO37" s="242"/>
      <c r="EP37" s="242"/>
      <c r="EQ37" s="242"/>
      <c r="ER37" s="242"/>
      <c r="ES37" s="242"/>
      <c r="ET37" s="242"/>
      <c r="EU37" s="242"/>
      <c r="EV37" s="243"/>
      <c r="EW37" s="243"/>
      <c r="EX37" s="243"/>
      <c r="EY37" s="243"/>
      <c r="EZ37" s="243"/>
      <c r="FA37" s="243"/>
      <c r="FB37" s="243"/>
      <c r="FC37" s="242"/>
      <c r="FD37" s="242"/>
      <c r="FE37" s="242"/>
      <c r="FF37" s="242"/>
      <c r="FG37" s="242"/>
      <c r="FH37" s="242"/>
      <c r="FI37" s="242"/>
      <c r="FJ37" s="243"/>
      <c r="FK37" s="243"/>
      <c r="FL37" s="243"/>
      <c r="FM37" s="243"/>
      <c r="FN37" s="243"/>
      <c r="FO37" s="243"/>
      <c r="FP37" s="243"/>
      <c r="FQ37" s="242"/>
      <c r="FR37" s="242"/>
      <c r="FS37" s="242"/>
      <c r="FT37" s="242"/>
      <c r="FU37" s="242"/>
      <c r="FV37" s="242"/>
      <c r="FW37" s="242"/>
      <c r="FX37" s="243"/>
      <c r="FY37" s="243"/>
      <c r="FZ37" s="243"/>
      <c r="GA37" s="243"/>
      <c r="GB37" s="243"/>
      <c r="GC37" s="243"/>
      <c r="GD37" s="243"/>
      <c r="GE37" s="242"/>
      <c r="GF37" s="242"/>
      <c r="GG37" s="242"/>
      <c r="GH37" s="242"/>
      <c r="GI37" s="242"/>
      <c r="GJ37" s="242"/>
      <c r="GK37" s="242"/>
      <c r="GL37" s="243"/>
      <c r="GM37" s="243"/>
      <c r="GN37" s="243"/>
      <c r="GO37" s="243"/>
      <c r="GP37" s="243"/>
      <c r="GQ37" s="243"/>
      <c r="GR37" s="243"/>
      <c r="GS37" s="242"/>
      <c r="GT37" s="242"/>
      <c r="GU37" s="242"/>
      <c r="GV37" s="242"/>
      <c r="GW37" s="242"/>
      <c r="GX37" s="242"/>
      <c r="GY37" s="242"/>
      <c r="GZ37" s="243"/>
      <c r="HA37" s="243"/>
      <c r="HB37" s="243"/>
      <c r="HC37" s="243"/>
      <c r="HD37" s="243"/>
      <c r="HE37" s="243"/>
      <c r="HF37" s="243"/>
      <c r="HG37" s="242"/>
      <c r="HH37" s="242"/>
      <c r="HI37" s="242"/>
      <c r="HJ37" s="242"/>
      <c r="HK37" s="242"/>
      <c r="HL37" s="242"/>
      <c r="HM37" s="242"/>
      <c r="HN37" s="243"/>
      <c r="HO37" s="243"/>
      <c r="HP37" s="243"/>
      <c r="HQ37" s="243"/>
      <c r="HR37" s="243"/>
      <c r="HS37" s="243"/>
      <c r="HT37" s="243"/>
      <c r="HU37" s="242"/>
      <c r="HV37" s="242"/>
      <c r="HW37" s="242"/>
      <c r="HX37" s="242"/>
      <c r="HY37" s="242"/>
      <c r="HZ37" s="242"/>
      <c r="IA37" s="242"/>
      <c r="IB37" s="243"/>
      <c r="IC37" s="243"/>
      <c r="ID37" s="243"/>
      <c r="IE37" s="243"/>
      <c r="IF37" s="243"/>
      <c r="IG37" s="243"/>
      <c r="IH37" s="243"/>
      <c r="II37" s="242"/>
      <c r="IJ37" s="242"/>
      <c r="IK37" s="242"/>
      <c r="IL37" s="242"/>
      <c r="IM37" s="242"/>
      <c r="IN37" s="242"/>
      <c r="IO37" s="242"/>
      <c r="IP37" s="243"/>
      <c r="IQ37" s="243"/>
      <c r="IR37" s="243"/>
      <c r="IS37" s="243"/>
      <c r="IT37" s="243"/>
      <c r="IU37" s="243"/>
      <c r="IV37" s="243"/>
      <c r="IW37" s="242"/>
      <c r="IX37" s="242"/>
      <c r="IY37" s="242"/>
      <c r="IZ37" s="242"/>
      <c r="JA37" s="242"/>
      <c r="JB37" s="242"/>
      <c r="JC37" s="242"/>
      <c r="JD37" s="243"/>
      <c r="JE37" s="243"/>
      <c r="JF37" s="243"/>
      <c r="JG37" s="243"/>
      <c r="JH37" s="243"/>
      <c r="JI37" s="243"/>
      <c r="JJ37" s="243"/>
      <c r="JK37" s="242"/>
      <c r="JL37" s="242"/>
      <c r="JM37" s="242"/>
      <c r="JN37" s="242"/>
      <c r="JO37" s="242"/>
      <c r="JP37" s="242"/>
      <c r="JQ37" s="242"/>
      <c r="JR37" s="243"/>
      <c r="JS37" s="243"/>
      <c r="JT37" s="243"/>
      <c r="JU37" s="243"/>
      <c r="JV37" s="243"/>
      <c r="JW37" s="243"/>
      <c r="JX37" s="243"/>
      <c r="JY37" s="242"/>
      <c r="JZ37" s="242"/>
      <c r="KA37" s="242"/>
      <c r="KB37" s="242"/>
      <c r="KC37" s="242"/>
      <c r="KD37" s="242"/>
      <c r="KE37" s="242"/>
      <c r="KF37" s="243"/>
      <c r="KG37" s="243"/>
      <c r="KH37" s="243"/>
      <c r="KI37" s="243"/>
      <c r="KJ37" s="243"/>
      <c r="KK37" s="243"/>
      <c r="KL37" s="243"/>
      <c r="KM37" s="242"/>
      <c r="KN37" s="242"/>
      <c r="KO37" s="242"/>
      <c r="KP37" s="242"/>
      <c r="KQ37" s="242"/>
      <c r="KR37" s="242"/>
      <c r="KS37" s="242"/>
      <c r="KT37" s="243"/>
      <c r="KU37" s="243"/>
      <c r="KV37" s="243"/>
      <c r="KW37" s="243"/>
      <c r="KX37" s="243"/>
      <c r="KY37" s="243"/>
      <c r="KZ37" s="243"/>
      <c r="LA37" s="242"/>
      <c r="LB37" s="242"/>
      <c r="LC37" s="242"/>
      <c r="LD37" s="242"/>
      <c r="LE37" s="242"/>
      <c r="LF37" s="242"/>
      <c r="LG37" s="242"/>
      <c r="LH37" s="243"/>
      <c r="LI37" s="243"/>
      <c r="LJ37" s="243"/>
      <c r="LK37" s="243"/>
      <c r="LL37" s="243"/>
      <c r="LM37" s="243"/>
      <c r="LN37" s="243"/>
      <c r="LO37" s="242"/>
      <c r="LP37" s="242"/>
      <c r="LQ37" s="242"/>
      <c r="LR37" s="242"/>
      <c r="LS37" s="242"/>
      <c r="LT37" s="242"/>
      <c r="LU37" s="242"/>
      <c r="LV37" s="243"/>
      <c r="LW37" s="243"/>
      <c r="LX37" s="243"/>
      <c r="LY37" s="243"/>
      <c r="LZ37" s="243"/>
      <c r="MA37" s="243"/>
      <c r="MB37" s="243"/>
      <c r="MC37" s="242"/>
      <c r="MD37" s="242"/>
      <c r="ME37" s="242"/>
      <c r="MF37" s="242"/>
      <c r="MG37" s="242"/>
      <c r="MH37" s="242"/>
      <c r="MI37" s="242"/>
      <c r="MJ37" s="243"/>
      <c r="MK37" s="243"/>
      <c r="ML37" s="243"/>
      <c r="MM37" s="243"/>
      <c r="MN37" s="243"/>
      <c r="MO37" s="243"/>
      <c r="MP37" s="243"/>
      <c r="MQ37" s="242"/>
      <c r="MR37" s="242"/>
      <c r="MS37" s="242"/>
      <c r="MT37" s="242"/>
      <c r="MU37" s="242"/>
      <c r="MV37" s="242"/>
      <c r="MW37" s="242"/>
      <c r="MX37" s="243"/>
      <c r="MY37" s="243"/>
      <c r="MZ37" s="243"/>
      <c r="NA37" s="243"/>
      <c r="NB37" s="243"/>
      <c r="NC37" s="243"/>
      <c r="ND37" s="243"/>
      <c r="NE37" s="242"/>
      <c r="NF37" s="242"/>
      <c r="NG37" s="242"/>
      <c r="NH37" s="243" t="s">
        <v>1136</v>
      </c>
    </row>
    <row r="38" spans="1:372">
      <c r="A38" s="254" t="s">
        <v>970</v>
      </c>
      <c r="B38" s="239" t="s">
        <v>475</v>
      </c>
      <c r="C38" s="240" t="s">
        <v>674</v>
      </c>
      <c r="D38" s="240" t="s">
        <v>982</v>
      </c>
      <c r="E38" s="241">
        <v>5.1464999999999996</v>
      </c>
      <c r="F38" s="252">
        <v>48</v>
      </c>
      <c r="G38" s="242"/>
      <c r="H38" s="242"/>
      <c r="I38" s="242"/>
      <c r="J38" s="242"/>
      <c r="K38" s="242"/>
      <c r="L38" s="243"/>
      <c r="M38" s="243"/>
      <c r="N38" s="243"/>
      <c r="O38" s="243"/>
      <c r="P38" s="243"/>
      <c r="Q38" s="243"/>
      <c r="R38" s="243"/>
      <c r="S38" s="242"/>
      <c r="T38" s="242"/>
      <c r="U38" s="242"/>
      <c r="V38" s="242"/>
      <c r="W38" s="242"/>
      <c r="X38" s="242"/>
      <c r="Y38" s="242"/>
      <c r="Z38" s="243"/>
      <c r="AA38" s="243"/>
      <c r="AB38" s="243"/>
      <c r="AC38" s="243"/>
      <c r="AD38" s="243"/>
      <c r="AE38" s="243"/>
      <c r="AF38" s="243"/>
      <c r="AG38" s="242"/>
      <c r="AH38" s="242"/>
      <c r="AI38" s="242"/>
      <c r="AJ38" s="242"/>
      <c r="AK38" s="242"/>
      <c r="AL38" s="242"/>
      <c r="AM38" s="242"/>
      <c r="AN38" s="243"/>
      <c r="AO38" s="243"/>
      <c r="AP38" s="243"/>
      <c r="AQ38" s="243"/>
      <c r="AR38" s="243"/>
      <c r="AS38" s="243"/>
      <c r="AT38" s="243"/>
      <c r="AU38" s="242"/>
      <c r="AV38" s="242"/>
      <c r="AW38" s="242"/>
      <c r="AX38" s="242"/>
      <c r="AY38" s="242"/>
      <c r="AZ38" s="242"/>
      <c r="BA38" s="242"/>
      <c r="BB38" s="243"/>
      <c r="BC38" s="243"/>
      <c r="BD38" s="243"/>
      <c r="BE38" s="243"/>
      <c r="BF38" s="243"/>
      <c r="BG38" s="243"/>
      <c r="BH38" s="243"/>
      <c r="BI38" s="242"/>
      <c r="BJ38" s="242"/>
      <c r="BK38" s="242"/>
      <c r="BL38" s="242"/>
      <c r="BM38" s="242"/>
      <c r="BN38" s="242"/>
      <c r="BO38" s="242"/>
      <c r="BP38" s="243"/>
      <c r="BQ38" s="243"/>
      <c r="BR38" s="243"/>
      <c r="BS38" s="243"/>
      <c r="BT38" s="243"/>
      <c r="BU38" s="243"/>
      <c r="BV38" s="243"/>
      <c r="BW38" s="242">
        <v>24</v>
      </c>
      <c r="BX38" s="242">
        <v>24</v>
      </c>
      <c r="BY38" s="242"/>
      <c r="BZ38" s="242"/>
      <c r="CA38" s="242"/>
      <c r="CB38" s="242"/>
      <c r="CC38" s="242"/>
      <c r="CD38" s="243"/>
      <c r="CE38" s="243"/>
      <c r="CF38" s="243"/>
      <c r="CG38" s="243"/>
      <c r="CH38" s="243"/>
      <c r="CI38" s="243"/>
      <c r="CJ38" s="243"/>
      <c r="CK38" s="242"/>
      <c r="CL38" s="242"/>
      <c r="CM38" s="242"/>
      <c r="CN38" s="242"/>
      <c r="CO38" s="242"/>
      <c r="CP38" s="242"/>
      <c r="CQ38" s="242"/>
      <c r="CR38" s="243"/>
      <c r="CS38" s="243"/>
      <c r="CT38" s="243"/>
      <c r="CU38" s="243"/>
      <c r="CV38" s="243"/>
      <c r="CW38" s="243"/>
      <c r="CX38" s="243"/>
      <c r="CY38" s="242"/>
      <c r="CZ38" s="242"/>
      <c r="DA38" s="242"/>
      <c r="DB38" s="242"/>
      <c r="DC38" s="242"/>
      <c r="DD38" s="242"/>
      <c r="DE38" s="242"/>
      <c r="DF38" s="243"/>
      <c r="DG38" s="243"/>
      <c r="DH38" s="243"/>
      <c r="DI38" s="243"/>
      <c r="DJ38" s="243"/>
      <c r="DK38" s="243"/>
      <c r="DL38" s="243"/>
      <c r="DM38" s="242"/>
      <c r="DN38" s="242"/>
      <c r="DO38" s="242"/>
      <c r="DP38" s="242"/>
      <c r="DQ38" s="242"/>
      <c r="DR38" s="242"/>
      <c r="DS38" s="242"/>
      <c r="DT38" s="243"/>
      <c r="DU38" s="243"/>
      <c r="DV38" s="243"/>
      <c r="DW38" s="243"/>
      <c r="DX38" s="243"/>
      <c r="DY38" s="243"/>
      <c r="DZ38" s="243"/>
      <c r="EA38" s="242"/>
      <c r="EB38" s="242"/>
      <c r="EC38" s="242"/>
      <c r="ED38" s="242"/>
      <c r="EE38" s="242"/>
      <c r="EF38" s="242"/>
      <c r="EG38" s="242"/>
      <c r="EH38" s="243"/>
      <c r="EI38" s="243"/>
      <c r="EJ38" s="243"/>
      <c r="EK38" s="243"/>
      <c r="EL38" s="243"/>
      <c r="EM38" s="243"/>
      <c r="EN38" s="243"/>
      <c r="EO38" s="242"/>
      <c r="EP38" s="242"/>
      <c r="EQ38" s="242"/>
      <c r="ER38" s="242"/>
      <c r="ES38" s="242"/>
      <c r="ET38" s="242"/>
      <c r="EU38" s="242"/>
      <c r="EV38" s="243"/>
      <c r="EW38" s="243"/>
      <c r="EX38" s="243"/>
      <c r="EY38" s="243"/>
      <c r="EZ38" s="243"/>
      <c r="FA38" s="243"/>
      <c r="FB38" s="243"/>
      <c r="FC38" s="242"/>
      <c r="FD38" s="242"/>
      <c r="FE38" s="242"/>
      <c r="FF38" s="242"/>
      <c r="FG38" s="242"/>
      <c r="FH38" s="242"/>
      <c r="FI38" s="242"/>
      <c r="FJ38" s="243"/>
      <c r="FK38" s="243"/>
      <c r="FL38" s="243"/>
      <c r="FM38" s="243"/>
      <c r="FN38" s="243"/>
      <c r="FO38" s="243"/>
      <c r="FP38" s="243"/>
      <c r="FQ38" s="242"/>
      <c r="FR38" s="242"/>
      <c r="FS38" s="242"/>
      <c r="FT38" s="242"/>
      <c r="FU38" s="242"/>
      <c r="FV38" s="242"/>
      <c r="FW38" s="242"/>
      <c r="FX38" s="243"/>
      <c r="FY38" s="243"/>
      <c r="FZ38" s="243"/>
      <c r="GA38" s="243"/>
      <c r="GB38" s="243"/>
      <c r="GC38" s="243"/>
      <c r="GD38" s="243"/>
      <c r="GE38" s="242"/>
      <c r="GF38" s="242"/>
      <c r="GG38" s="242"/>
      <c r="GH38" s="242"/>
      <c r="GI38" s="242"/>
      <c r="GJ38" s="242"/>
      <c r="GK38" s="242"/>
      <c r="GL38" s="243"/>
      <c r="GM38" s="243"/>
      <c r="GN38" s="243"/>
      <c r="GO38" s="243"/>
      <c r="GP38" s="243"/>
      <c r="GQ38" s="243"/>
      <c r="GR38" s="243"/>
      <c r="GS38" s="242"/>
      <c r="GT38" s="242"/>
      <c r="GU38" s="242"/>
      <c r="GV38" s="242"/>
      <c r="GW38" s="242"/>
      <c r="GX38" s="242"/>
      <c r="GY38" s="242"/>
      <c r="GZ38" s="243"/>
      <c r="HA38" s="243"/>
      <c r="HB38" s="243"/>
      <c r="HC38" s="243"/>
      <c r="HD38" s="243"/>
      <c r="HE38" s="243"/>
      <c r="HF38" s="243"/>
      <c r="HG38" s="242"/>
      <c r="HH38" s="242"/>
      <c r="HI38" s="242"/>
      <c r="HJ38" s="242"/>
      <c r="HK38" s="242"/>
      <c r="HL38" s="242"/>
      <c r="HM38" s="242"/>
      <c r="HN38" s="243"/>
      <c r="HO38" s="243"/>
      <c r="HP38" s="243"/>
      <c r="HQ38" s="243"/>
      <c r="HR38" s="243"/>
      <c r="HS38" s="243"/>
      <c r="HT38" s="243"/>
      <c r="HU38" s="242"/>
      <c r="HV38" s="242"/>
      <c r="HW38" s="242"/>
      <c r="HX38" s="242"/>
      <c r="HY38" s="242"/>
      <c r="HZ38" s="242"/>
      <c r="IA38" s="242"/>
      <c r="IB38" s="243"/>
      <c r="IC38" s="243"/>
      <c r="ID38" s="243"/>
      <c r="IE38" s="243"/>
      <c r="IF38" s="243"/>
      <c r="IG38" s="243"/>
      <c r="IH38" s="243"/>
      <c r="II38" s="242"/>
      <c r="IJ38" s="242"/>
      <c r="IK38" s="242"/>
      <c r="IL38" s="242"/>
      <c r="IM38" s="242"/>
      <c r="IN38" s="242"/>
      <c r="IO38" s="242"/>
      <c r="IP38" s="243"/>
      <c r="IQ38" s="243"/>
      <c r="IR38" s="243"/>
      <c r="IS38" s="243"/>
      <c r="IT38" s="243"/>
      <c r="IU38" s="243"/>
      <c r="IV38" s="243"/>
      <c r="IW38" s="242"/>
      <c r="IX38" s="242"/>
      <c r="IY38" s="242"/>
      <c r="IZ38" s="242"/>
      <c r="JA38" s="242"/>
      <c r="JB38" s="242"/>
      <c r="JC38" s="242"/>
      <c r="JD38" s="243"/>
      <c r="JE38" s="243"/>
      <c r="JF38" s="243"/>
      <c r="JG38" s="243"/>
      <c r="JH38" s="243"/>
      <c r="JI38" s="243"/>
      <c r="JJ38" s="243"/>
      <c r="JK38" s="242"/>
      <c r="JL38" s="242"/>
      <c r="JM38" s="242"/>
      <c r="JN38" s="242"/>
      <c r="JO38" s="242"/>
      <c r="JP38" s="242"/>
      <c r="JQ38" s="242"/>
      <c r="JR38" s="243"/>
      <c r="JS38" s="243"/>
      <c r="JT38" s="243"/>
      <c r="JU38" s="243"/>
      <c r="JV38" s="243"/>
      <c r="JW38" s="243"/>
      <c r="JX38" s="243"/>
      <c r="JY38" s="242"/>
      <c r="JZ38" s="242"/>
      <c r="KA38" s="242"/>
      <c r="KB38" s="242"/>
      <c r="KC38" s="242"/>
      <c r="KD38" s="242"/>
      <c r="KE38" s="242"/>
      <c r="KF38" s="243"/>
      <c r="KG38" s="243"/>
      <c r="KH38" s="243"/>
      <c r="KI38" s="243"/>
      <c r="KJ38" s="243"/>
      <c r="KK38" s="243"/>
      <c r="KL38" s="243"/>
      <c r="KM38" s="242"/>
      <c r="KN38" s="242"/>
      <c r="KO38" s="242"/>
      <c r="KP38" s="242"/>
      <c r="KQ38" s="242"/>
      <c r="KR38" s="242"/>
      <c r="KS38" s="242"/>
      <c r="KT38" s="243"/>
      <c r="KU38" s="243"/>
      <c r="KV38" s="243"/>
      <c r="KW38" s="243"/>
      <c r="KX38" s="243"/>
      <c r="KY38" s="243"/>
      <c r="KZ38" s="243"/>
      <c r="LA38" s="242"/>
      <c r="LB38" s="242"/>
      <c r="LC38" s="242"/>
      <c r="LD38" s="242"/>
      <c r="LE38" s="242"/>
      <c r="LF38" s="242"/>
      <c r="LG38" s="242"/>
      <c r="LH38" s="243"/>
      <c r="LI38" s="243"/>
      <c r="LJ38" s="243"/>
      <c r="LK38" s="243"/>
      <c r="LL38" s="243"/>
      <c r="LM38" s="243"/>
      <c r="LN38" s="243"/>
      <c r="LO38" s="242"/>
      <c r="LP38" s="242"/>
      <c r="LQ38" s="242"/>
      <c r="LR38" s="242"/>
      <c r="LS38" s="242"/>
      <c r="LT38" s="242"/>
      <c r="LU38" s="242"/>
      <c r="LV38" s="243"/>
      <c r="LW38" s="243"/>
      <c r="LX38" s="243"/>
      <c r="LY38" s="243"/>
      <c r="LZ38" s="243"/>
      <c r="MA38" s="243"/>
      <c r="MB38" s="243"/>
      <c r="MC38" s="242"/>
      <c r="MD38" s="242"/>
      <c r="ME38" s="242"/>
      <c r="MF38" s="242"/>
      <c r="MG38" s="242"/>
      <c r="MH38" s="242"/>
      <c r="MI38" s="242"/>
      <c r="MJ38" s="243"/>
      <c r="MK38" s="243"/>
      <c r="ML38" s="243"/>
      <c r="MM38" s="243"/>
      <c r="MN38" s="243"/>
      <c r="MO38" s="243"/>
      <c r="MP38" s="243"/>
      <c r="MQ38" s="242"/>
      <c r="MR38" s="242"/>
      <c r="MS38" s="242"/>
      <c r="MT38" s="242"/>
      <c r="MU38" s="242"/>
      <c r="MV38" s="242"/>
      <c r="MW38" s="242"/>
      <c r="MX38" s="243"/>
      <c r="MY38" s="243"/>
      <c r="MZ38" s="243"/>
      <c r="NA38" s="243"/>
      <c r="NB38" s="243"/>
      <c r="NC38" s="243"/>
      <c r="ND38" s="243"/>
      <c r="NE38" s="242"/>
      <c r="NF38" s="242"/>
      <c r="NG38" s="242"/>
      <c r="NH38" s="243" t="s">
        <v>1137</v>
      </c>
    </row>
    <row r="39" spans="1:372">
      <c r="A39" s="254" t="s">
        <v>970</v>
      </c>
      <c r="B39" s="239" t="s">
        <v>36</v>
      </c>
      <c r="C39" s="240" t="s">
        <v>674</v>
      </c>
      <c r="D39" s="240" t="s">
        <v>982</v>
      </c>
      <c r="E39" s="241">
        <v>94.031333302000007</v>
      </c>
      <c r="F39" s="252">
        <v>184</v>
      </c>
      <c r="G39" s="242"/>
      <c r="H39" s="242"/>
      <c r="I39" s="242"/>
      <c r="J39" s="242"/>
      <c r="K39" s="242"/>
      <c r="L39" s="243"/>
      <c r="M39" s="243"/>
      <c r="N39" s="243"/>
      <c r="O39" s="243"/>
      <c r="P39" s="243"/>
      <c r="Q39" s="243"/>
      <c r="R39" s="243"/>
      <c r="S39" s="242"/>
      <c r="T39" s="242"/>
      <c r="U39" s="242"/>
      <c r="V39" s="242"/>
      <c r="W39" s="242"/>
      <c r="X39" s="242"/>
      <c r="Y39" s="242"/>
      <c r="Z39" s="243"/>
      <c r="AA39" s="243"/>
      <c r="AB39" s="243"/>
      <c r="AC39" s="243"/>
      <c r="AD39" s="243"/>
      <c r="AE39" s="243"/>
      <c r="AF39" s="243"/>
      <c r="AG39" s="242"/>
      <c r="AH39" s="242"/>
      <c r="AI39" s="242"/>
      <c r="AJ39" s="242"/>
      <c r="AK39" s="242"/>
      <c r="AL39" s="242"/>
      <c r="AM39" s="242"/>
      <c r="AN39" s="243"/>
      <c r="AO39" s="243"/>
      <c r="AP39" s="243"/>
      <c r="AQ39" s="243"/>
      <c r="AR39" s="243"/>
      <c r="AS39" s="243"/>
      <c r="AT39" s="243"/>
      <c r="AU39" s="242"/>
      <c r="AV39" s="242"/>
      <c r="AW39" s="242"/>
      <c r="AX39" s="242"/>
      <c r="AY39" s="242"/>
      <c r="AZ39" s="242"/>
      <c r="BA39" s="242"/>
      <c r="BB39" s="243"/>
      <c r="BC39" s="243"/>
      <c r="BD39" s="243"/>
      <c r="BE39" s="243"/>
      <c r="BF39" s="243"/>
      <c r="BG39" s="243"/>
      <c r="BH39" s="243"/>
      <c r="BI39" s="242"/>
      <c r="BJ39" s="242"/>
      <c r="BK39" s="242"/>
      <c r="BL39" s="242"/>
      <c r="BM39" s="242"/>
      <c r="BN39" s="242"/>
      <c r="BO39" s="242"/>
      <c r="BP39" s="243"/>
      <c r="BQ39" s="243"/>
      <c r="BR39" s="243"/>
      <c r="BS39" s="243"/>
      <c r="BT39" s="243"/>
      <c r="BU39" s="243"/>
      <c r="BV39" s="243"/>
      <c r="BW39" s="242">
        <v>24</v>
      </c>
      <c r="BX39" s="242">
        <v>24</v>
      </c>
      <c r="BY39" s="242"/>
      <c r="BZ39" s="242"/>
      <c r="CA39" s="242"/>
      <c r="CB39" s="242"/>
      <c r="CC39" s="242"/>
      <c r="CD39" s="243"/>
      <c r="CE39" s="243"/>
      <c r="CF39" s="243"/>
      <c r="CG39" s="243"/>
      <c r="CH39" s="243"/>
      <c r="CI39" s="243"/>
      <c r="CJ39" s="243"/>
      <c r="CK39" s="242"/>
      <c r="CL39" s="242"/>
      <c r="CM39" s="242"/>
      <c r="CN39" s="242"/>
      <c r="CO39" s="242"/>
      <c r="CP39" s="242"/>
      <c r="CQ39" s="242"/>
      <c r="CR39" s="243"/>
      <c r="CS39" s="243"/>
      <c r="CT39" s="243"/>
      <c r="CU39" s="243"/>
      <c r="CV39" s="243"/>
      <c r="CW39" s="243"/>
      <c r="CX39" s="243"/>
      <c r="CY39" s="242"/>
      <c r="CZ39" s="242"/>
      <c r="DA39" s="242"/>
      <c r="DB39" s="242"/>
      <c r="DC39" s="242"/>
      <c r="DD39" s="242"/>
      <c r="DE39" s="242"/>
      <c r="DF39" s="243"/>
      <c r="DG39" s="243"/>
      <c r="DH39" s="243"/>
      <c r="DI39" s="243"/>
      <c r="DJ39" s="243"/>
      <c r="DK39" s="243"/>
      <c r="DL39" s="243"/>
      <c r="DM39" s="242"/>
      <c r="DN39" s="242"/>
      <c r="DO39" s="242"/>
      <c r="DP39" s="242"/>
      <c r="DQ39" s="242"/>
      <c r="DR39" s="242"/>
      <c r="DS39" s="242"/>
      <c r="DT39" s="243"/>
      <c r="DU39" s="243"/>
      <c r="DV39" s="243"/>
      <c r="DW39" s="243"/>
      <c r="DX39" s="243"/>
      <c r="DY39" s="243"/>
      <c r="DZ39" s="243"/>
      <c r="EA39" s="242"/>
      <c r="EB39" s="242"/>
      <c r="EC39" s="242"/>
      <c r="ED39" s="242"/>
      <c r="EE39" s="242"/>
      <c r="EF39" s="242"/>
      <c r="EG39" s="242">
        <v>24</v>
      </c>
      <c r="EH39" s="243">
        <v>24</v>
      </c>
      <c r="EI39" s="243">
        <v>24</v>
      </c>
      <c r="EJ39" s="243">
        <v>24</v>
      </c>
      <c r="EK39" s="243">
        <v>24</v>
      </c>
      <c r="EL39" s="243">
        <v>16</v>
      </c>
      <c r="EM39" s="243"/>
      <c r="EN39" s="243"/>
      <c r="EO39" s="242"/>
      <c r="EP39" s="242"/>
      <c r="EQ39" s="242"/>
      <c r="ER39" s="242"/>
      <c r="ES39" s="242"/>
      <c r="ET39" s="242"/>
      <c r="EU39" s="242"/>
      <c r="EV39" s="243"/>
      <c r="EW39" s="243"/>
      <c r="EX39" s="243"/>
      <c r="EY39" s="243"/>
      <c r="EZ39" s="243"/>
      <c r="FA39" s="243"/>
      <c r="FB39" s="243"/>
      <c r="FC39" s="242"/>
      <c r="FD39" s="242"/>
      <c r="FE39" s="242"/>
      <c r="FF39" s="242"/>
      <c r="FG39" s="242"/>
      <c r="FH39" s="242"/>
      <c r="FI39" s="242"/>
      <c r="FJ39" s="243"/>
      <c r="FK39" s="243"/>
      <c r="FL39" s="243"/>
      <c r="FM39" s="243"/>
      <c r="FN39" s="243"/>
      <c r="FO39" s="243"/>
      <c r="FP39" s="243"/>
      <c r="FQ39" s="242"/>
      <c r="FR39" s="242"/>
      <c r="FS39" s="242"/>
      <c r="FT39" s="242"/>
      <c r="FU39" s="242"/>
      <c r="FV39" s="242"/>
      <c r="FW39" s="242"/>
      <c r="FX39" s="243"/>
      <c r="FY39" s="243"/>
      <c r="FZ39" s="243"/>
      <c r="GA39" s="243"/>
      <c r="GB39" s="243"/>
      <c r="GC39" s="243"/>
      <c r="GD39" s="243"/>
      <c r="GE39" s="242"/>
      <c r="GF39" s="242"/>
      <c r="GG39" s="242"/>
      <c r="GH39" s="242"/>
      <c r="GI39" s="242"/>
      <c r="GJ39" s="242"/>
      <c r="GK39" s="242"/>
      <c r="GL39" s="243"/>
      <c r="GM39" s="243"/>
      <c r="GN39" s="243"/>
      <c r="GO39" s="243"/>
      <c r="GP39" s="243"/>
      <c r="GQ39" s="243"/>
      <c r="GR39" s="243"/>
      <c r="GS39" s="242"/>
      <c r="GT39" s="242"/>
      <c r="GU39" s="242"/>
      <c r="GV39" s="242"/>
      <c r="GW39" s="242"/>
      <c r="GX39" s="242"/>
      <c r="GY39" s="242"/>
      <c r="GZ39" s="243"/>
      <c r="HA39" s="243"/>
      <c r="HB39" s="243"/>
      <c r="HC39" s="243"/>
      <c r="HD39" s="243"/>
      <c r="HE39" s="243"/>
      <c r="HF39" s="243"/>
      <c r="HG39" s="242"/>
      <c r="HH39" s="242"/>
      <c r="HI39" s="242"/>
      <c r="HJ39" s="242"/>
      <c r="HK39" s="242"/>
      <c r="HL39" s="242"/>
      <c r="HM39" s="242"/>
      <c r="HN39" s="243"/>
      <c r="HO39" s="243"/>
      <c r="HP39" s="243"/>
      <c r="HQ39" s="243"/>
      <c r="HR39" s="243"/>
      <c r="HS39" s="243"/>
      <c r="HT39" s="243"/>
      <c r="HU39" s="242"/>
      <c r="HV39" s="242"/>
      <c r="HW39" s="242"/>
      <c r="HX39" s="242"/>
      <c r="HY39" s="242"/>
      <c r="HZ39" s="242"/>
      <c r="IA39" s="242"/>
      <c r="IB39" s="243"/>
      <c r="IC39" s="243"/>
      <c r="ID39" s="243"/>
      <c r="IE39" s="243"/>
      <c r="IF39" s="243"/>
      <c r="IG39" s="243"/>
      <c r="IH39" s="243"/>
      <c r="II39" s="242"/>
      <c r="IJ39" s="242"/>
      <c r="IK39" s="242"/>
      <c r="IL39" s="242"/>
      <c r="IM39" s="242"/>
      <c r="IN39" s="242"/>
      <c r="IO39" s="242"/>
      <c r="IP39" s="243"/>
      <c r="IQ39" s="243"/>
      <c r="IR39" s="243"/>
      <c r="IS39" s="243"/>
      <c r="IT39" s="243"/>
      <c r="IU39" s="243"/>
      <c r="IV39" s="243"/>
      <c r="IW39" s="242"/>
      <c r="IX39" s="242"/>
      <c r="IY39" s="242"/>
      <c r="IZ39" s="242"/>
      <c r="JA39" s="242"/>
      <c r="JB39" s="242"/>
      <c r="JC39" s="242"/>
      <c r="JD39" s="243"/>
      <c r="JE39" s="243"/>
      <c r="JF39" s="243"/>
      <c r="JG39" s="243"/>
      <c r="JH39" s="243"/>
      <c r="JI39" s="243"/>
      <c r="JJ39" s="243"/>
      <c r="JK39" s="242"/>
      <c r="JL39" s="242"/>
      <c r="JM39" s="242"/>
      <c r="JN39" s="242"/>
      <c r="JO39" s="242"/>
      <c r="JP39" s="242"/>
      <c r="JQ39" s="242"/>
      <c r="JR39" s="243"/>
      <c r="JS39" s="243"/>
      <c r="JT39" s="243"/>
      <c r="JU39" s="243"/>
      <c r="JV39" s="243"/>
      <c r="JW39" s="243"/>
      <c r="JX39" s="243"/>
      <c r="JY39" s="242"/>
      <c r="JZ39" s="242"/>
      <c r="KA39" s="242"/>
      <c r="KB39" s="242"/>
      <c r="KC39" s="242"/>
      <c r="KD39" s="242"/>
      <c r="KE39" s="242"/>
      <c r="KF39" s="243"/>
      <c r="KG39" s="243"/>
      <c r="KH39" s="243"/>
      <c r="KI39" s="243"/>
      <c r="KJ39" s="243"/>
      <c r="KK39" s="243"/>
      <c r="KL39" s="243"/>
      <c r="KM39" s="242"/>
      <c r="KN39" s="242"/>
      <c r="KO39" s="242"/>
      <c r="KP39" s="242"/>
      <c r="KQ39" s="242"/>
      <c r="KR39" s="242"/>
      <c r="KS39" s="242"/>
      <c r="KT39" s="243"/>
      <c r="KU39" s="243"/>
      <c r="KV39" s="243"/>
      <c r="KW39" s="243"/>
      <c r="KX39" s="243"/>
      <c r="KY39" s="243"/>
      <c r="KZ39" s="243"/>
      <c r="LA39" s="242"/>
      <c r="LB39" s="242"/>
      <c r="LC39" s="242"/>
      <c r="LD39" s="242"/>
      <c r="LE39" s="242"/>
      <c r="LF39" s="242"/>
      <c r="LG39" s="242"/>
      <c r="LH39" s="243"/>
      <c r="LI39" s="243"/>
      <c r="LJ39" s="243"/>
      <c r="LK39" s="243"/>
      <c r="LL39" s="243"/>
      <c r="LM39" s="243"/>
      <c r="LN39" s="243"/>
      <c r="LO39" s="242"/>
      <c r="LP39" s="242"/>
      <c r="LQ39" s="242"/>
      <c r="LR39" s="242"/>
      <c r="LS39" s="242"/>
      <c r="LT39" s="242"/>
      <c r="LU39" s="242"/>
      <c r="LV39" s="243"/>
      <c r="LW39" s="243"/>
      <c r="LX39" s="243"/>
      <c r="LY39" s="243"/>
      <c r="LZ39" s="243"/>
      <c r="MA39" s="243"/>
      <c r="MB39" s="243"/>
      <c r="MC39" s="242"/>
      <c r="MD39" s="242"/>
      <c r="ME39" s="242"/>
      <c r="MF39" s="242"/>
      <c r="MG39" s="242"/>
      <c r="MH39" s="242"/>
      <c r="MI39" s="242"/>
      <c r="MJ39" s="243"/>
      <c r="MK39" s="243"/>
      <c r="ML39" s="243"/>
      <c r="MM39" s="243"/>
      <c r="MN39" s="243"/>
      <c r="MO39" s="243"/>
      <c r="MP39" s="243"/>
      <c r="MQ39" s="242"/>
      <c r="MR39" s="242"/>
      <c r="MS39" s="242"/>
      <c r="MT39" s="242"/>
      <c r="MU39" s="242"/>
      <c r="MV39" s="242"/>
      <c r="MW39" s="242"/>
      <c r="MX39" s="243"/>
      <c r="MY39" s="243"/>
      <c r="MZ39" s="243"/>
      <c r="NA39" s="243"/>
      <c r="NB39" s="243"/>
      <c r="NC39" s="243"/>
      <c r="ND39" s="243"/>
      <c r="NE39" s="242"/>
      <c r="NF39" s="242"/>
      <c r="NG39" s="242"/>
      <c r="NH39" s="243" t="s">
        <v>1138</v>
      </c>
    </row>
    <row r="40" spans="1:372">
      <c r="A40" s="254" t="s">
        <v>970</v>
      </c>
      <c r="B40" s="239" t="s">
        <v>37</v>
      </c>
      <c r="C40" s="240" t="s">
        <v>674</v>
      </c>
      <c r="D40" s="240" t="s">
        <v>982</v>
      </c>
      <c r="E40" s="241">
        <v>21.794944418333326</v>
      </c>
      <c r="F40" s="252">
        <v>184</v>
      </c>
      <c r="G40" s="242"/>
      <c r="H40" s="242"/>
      <c r="I40" s="242"/>
      <c r="J40" s="242"/>
      <c r="K40" s="242"/>
      <c r="L40" s="243"/>
      <c r="M40" s="243"/>
      <c r="N40" s="243"/>
      <c r="O40" s="243"/>
      <c r="P40" s="243"/>
      <c r="Q40" s="243"/>
      <c r="R40" s="243"/>
      <c r="S40" s="242"/>
      <c r="T40" s="242"/>
      <c r="U40" s="242"/>
      <c r="V40" s="242"/>
      <c r="W40" s="242"/>
      <c r="X40" s="242"/>
      <c r="Y40" s="242"/>
      <c r="Z40" s="243"/>
      <c r="AA40" s="243"/>
      <c r="AB40" s="243"/>
      <c r="AC40" s="243"/>
      <c r="AD40" s="243"/>
      <c r="AE40" s="243"/>
      <c r="AF40" s="243"/>
      <c r="AG40" s="242"/>
      <c r="AH40" s="242"/>
      <c r="AI40" s="242"/>
      <c r="AJ40" s="242"/>
      <c r="AK40" s="242"/>
      <c r="AL40" s="242"/>
      <c r="AM40" s="242"/>
      <c r="AN40" s="243"/>
      <c r="AO40" s="243"/>
      <c r="AP40" s="243"/>
      <c r="AQ40" s="243"/>
      <c r="AR40" s="243"/>
      <c r="AS40" s="243"/>
      <c r="AT40" s="243"/>
      <c r="AU40" s="242"/>
      <c r="AV40" s="242"/>
      <c r="AW40" s="242"/>
      <c r="AX40" s="242"/>
      <c r="AY40" s="242"/>
      <c r="AZ40" s="242"/>
      <c r="BA40" s="242"/>
      <c r="BB40" s="243"/>
      <c r="BC40" s="243"/>
      <c r="BD40" s="243"/>
      <c r="BE40" s="243"/>
      <c r="BF40" s="243"/>
      <c r="BG40" s="243"/>
      <c r="BH40" s="243"/>
      <c r="BI40" s="242"/>
      <c r="BJ40" s="242"/>
      <c r="BK40" s="242"/>
      <c r="BL40" s="242"/>
      <c r="BM40" s="242"/>
      <c r="BN40" s="242"/>
      <c r="BO40" s="242"/>
      <c r="BP40" s="243"/>
      <c r="BQ40" s="243"/>
      <c r="BR40" s="243"/>
      <c r="BS40" s="243"/>
      <c r="BT40" s="243"/>
      <c r="BU40" s="243"/>
      <c r="BV40" s="243"/>
      <c r="BW40" s="242">
        <v>24</v>
      </c>
      <c r="BX40" s="242">
        <v>24</v>
      </c>
      <c r="BY40" s="242"/>
      <c r="BZ40" s="242"/>
      <c r="CA40" s="242"/>
      <c r="CB40" s="242"/>
      <c r="CC40" s="242"/>
      <c r="CD40" s="243"/>
      <c r="CE40" s="243"/>
      <c r="CF40" s="243"/>
      <c r="CG40" s="243"/>
      <c r="CH40" s="243"/>
      <c r="CI40" s="243"/>
      <c r="CJ40" s="243"/>
      <c r="CK40" s="242"/>
      <c r="CL40" s="242"/>
      <c r="CM40" s="242"/>
      <c r="CN40" s="242"/>
      <c r="CO40" s="242"/>
      <c r="CP40" s="242"/>
      <c r="CQ40" s="242"/>
      <c r="CR40" s="243"/>
      <c r="CS40" s="243"/>
      <c r="CT40" s="243"/>
      <c r="CU40" s="243"/>
      <c r="CV40" s="243"/>
      <c r="CW40" s="243"/>
      <c r="CX40" s="243"/>
      <c r="CY40" s="242"/>
      <c r="CZ40" s="242"/>
      <c r="DA40" s="242"/>
      <c r="DB40" s="242"/>
      <c r="DC40" s="242"/>
      <c r="DD40" s="242"/>
      <c r="DE40" s="242"/>
      <c r="DF40" s="243"/>
      <c r="DG40" s="243"/>
      <c r="DH40" s="243"/>
      <c r="DI40" s="243"/>
      <c r="DJ40" s="243"/>
      <c r="DK40" s="243"/>
      <c r="DL40" s="243"/>
      <c r="DM40" s="242"/>
      <c r="DN40" s="242"/>
      <c r="DO40" s="242"/>
      <c r="DP40" s="242"/>
      <c r="DQ40" s="242"/>
      <c r="DR40" s="242"/>
      <c r="DS40" s="242"/>
      <c r="DT40" s="243"/>
      <c r="DU40" s="243"/>
      <c r="DV40" s="243"/>
      <c r="DW40" s="243"/>
      <c r="DX40" s="243"/>
      <c r="DY40" s="243"/>
      <c r="DZ40" s="243"/>
      <c r="EA40" s="242"/>
      <c r="EB40" s="242"/>
      <c r="EC40" s="242"/>
      <c r="ED40" s="242"/>
      <c r="EE40" s="242"/>
      <c r="EF40" s="242"/>
      <c r="EG40" s="242"/>
      <c r="EH40" s="243"/>
      <c r="EI40" s="243"/>
      <c r="EJ40" s="243"/>
      <c r="EK40" s="243"/>
      <c r="EL40" s="243"/>
      <c r="EM40" s="243"/>
      <c r="EN40" s="243"/>
      <c r="EO40" s="242"/>
      <c r="EP40" s="242"/>
      <c r="EQ40" s="242"/>
      <c r="ER40" s="242"/>
      <c r="ES40" s="242"/>
      <c r="ET40" s="242"/>
      <c r="EU40" s="242"/>
      <c r="EV40" s="243"/>
      <c r="EW40" s="243"/>
      <c r="EX40" s="243"/>
      <c r="EY40" s="243"/>
      <c r="EZ40" s="243"/>
      <c r="FA40" s="243"/>
      <c r="FB40" s="243"/>
      <c r="FC40" s="242"/>
      <c r="FD40" s="242"/>
      <c r="FE40" s="242"/>
      <c r="FF40" s="242"/>
      <c r="FG40" s="242"/>
      <c r="FH40" s="242"/>
      <c r="FI40" s="242"/>
      <c r="FJ40" s="243"/>
      <c r="FK40" s="243"/>
      <c r="FL40" s="243"/>
      <c r="FM40" s="243"/>
      <c r="FN40" s="243"/>
      <c r="FO40" s="243"/>
      <c r="FP40" s="243"/>
      <c r="FQ40" s="242"/>
      <c r="FR40" s="242"/>
      <c r="FS40" s="242"/>
      <c r="FT40" s="242"/>
      <c r="FU40" s="242"/>
      <c r="FV40" s="242"/>
      <c r="FW40" s="242"/>
      <c r="FX40" s="243"/>
      <c r="FY40" s="243"/>
      <c r="FZ40" s="243"/>
      <c r="GA40" s="243"/>
      <c r="GB40" s="243"/>
      <c r="GC40" s="243"/>
      <c r="GD40" s="243"/>
      <c r="GE40" s="242"/>
      <c r="GF40" s="242"/>
      <c r="GG40" s="242"/>
      <c r="GH40" s="242"/>
      <c r="GI40" s="242"/>
      <c r="GJ40" s="242"/>
      <c r="GK40" s="242"/>
      <c r="GL40" s="243"/>
      <c r="GM40" s="243"/>
      <c r="GN40" s="243"/>
      <c r="GO40" s="243"/>
      <c r="GP40" s="243"/>
      <c r="GQ40" s="243"/>
      <c r="GR40" s="243"/>
      <c r="GS40" s="242"/>
      <c r="GT40" s="242"/>
      <c r="GU40" s="242"/>
      <c r="GV40" s="242"/>
      <c r="GW40" s="242"/>
      <c r="GX40" s="242"/>
      <c r="GY40" s="242"/>
      <c r="GZ40" s="243"/>
      <c r="HA40" s="243"/>
      <c r="HB40" s="243"/>
      <c r="HC40" s="243"/>
      <c r="HD40" s="243"/>
      <c r="HE40" s="243"/>
      <c r="HF40" s="243"/>
      <c r="HG40" s="242"/>
      <c r="HH40" s="242"/>
      <c r="HI40" s="242"/>
      <c r="HJ40" s="242"/>
      <c r="HK40" s="242"/>
      <c r="HL40" s="242"/>
      <c r="HM40" s="242"/>
      <c r="HN40" s="243"/>
      <c r="HO40" s="243"/>
      <c r="HP40" s="243"/>
      <c r="HQ40" s="243"/>
      <c r="HR40" s="243"/>
      <c r="HS40" s="243"/>
      <c r="HT40" s="243"/>
      <c r="HU40" s="242"/>
      <c r="HV40" s="242"/>
      <c r="HW40" s="242"/>
      <c r="HX40" s="242"/>
      <c r="HY40" s="242"/>
      <c r="HZ40" s="242"/>
      <c r="IA40" s="242"/>
      <c r="IB40" s="243"/>
      <c r="IC40" s="243"/>
      <c r="ID40" s="243"/>
      <c r="IE40" s="243"/>
      <c r="IF40" s="243"/>
      <c r="IG40" s="243"/>
      <c r="IH40" s="243"/>
      <c r="II40" s="242"/>
      <c r="IJ40" s="242"/>
      <c r="IK40" s="242"/>
      <c r="IL40" s="242"/>
      <c r="IM40" s="242"/>
      <c r="IN40" s="242"/>
      <c r="IO40" s="242">
        <v>24</v>
      </c>
      <c r="IP40" s="243">
        <v>24</v>
      </c>
      <c r="IQ40" s="243">
        <v>24</v>
      </c>
      <c r="IR40" s="243">
        <v>24</v>
      </c>
      <c r="IS40" s="243">
        <v>24</v>
      </c>
      <c r="IT40" s="243">
        <v>16</v>
      </c>
      <c r="IU40" s="243"/>
      <c r="IV40" s="243"/>
      <c r="IW40" s="242"/>
      <c r="IX40" s="242"/>
      <c r="IY40" s="242"/>
      <c r="IZ40" s="242"/>
      <c r="JA40" s="242"/>
      <c r="JB40" s="242"/>
      <c r="JC40" s="242"/>
      <c r="JD40" s="243"/>
      <c r="JE40" s="243"/>
      <c r="JF40" s="243"/>
      <c r="JG40" s="243"/>
      <c r="JH40" s="243"/>
      <c r="JI40" s="243"/>
      <c r="JJ40" s="243"/>
      <c r="JK40" s="242"/>
      <c r="JL40" s="242"/>
      <c r="JM40" s="242"/>
      <c r="JN40" s="242"/>
      <c r="JO40" s="242"/>
      <c r="JP40" s="242"/>
      <c r="JQ40" s="242"/>
      <c r="JR40" s="243"/>
      <c r="JS40" s="243"/>
      <c r="JT40" s="243"/>
      <c r="JU40" s="243"/>
      <c r="JV40" s="243"/>
      <c r="JW40" s="243"/>
      <c r="JX40" s="243"/>
      <c r="JY40" s="242"/>
      <c r="JZ40" s="242"/>
      <c r="KA40" s="242"/>
      <c r="KB40" s="242"/>
      <c r="KC40" s="242"/>
      <c r="KD40" s="242"/>
      <c r="KE40" s="242"/>
      <c r="KF40" s="243"/>
      <c r="KG40" s="243"/>
      <c r="KH40" s="243"/>
      <c r="KI40" s="243"/>
      <c r="KJ40" s="243"/>
      <c r="KK40" s="243"/>
      <c r="KL40" s="243"/>
      <c r="KM40" s="242"/>
      <c r="KN40" s="242"/>
      <c r="KO40" s="242"/>
      <c r="KP40" s="242"/>
      <c r="KQ40" s="242"/>
      <c r="KR40" s="242"/>
      <c r="KS40" s="242"/>
      <c r="KT40" s="243"/>
      <c r="KU40" s="243"/>
      <c r="KV40" s="243"/>
      <c r="KW40" s="243"/>
      <c r="KX40" s="243"/>
      <c r="KY40" s="243"/>
      <c r="KZ40" s="243"/>
      <c r="LA40" s="242"/>
      <c r="LB40" s="242"/>
      <c r="LC40" s="242"/>
      <c r="LD40" s="242"/>
      <c r="LE40" s="242"/>
      <c r="LF40" s="242"/>
      <c r="LG40" s="242"/>
      <c r="LH40" s="243"/>
      <c r="LI40" s="243"/>
      <c r="LJ40" s="243"/>
      <c r="LK40" s="243"/>
      <c r="LL40" s="243"/>
      <c r="LM40" s="243"/>
      <c r="LN40" s="243"/>
      <c r="LO40" s="242"/>
      <c r="LP40" s="242"/>
      <c r="LQ40" s="242"/>
      <c r="LR40" s="242"/>
      <c r="LS40" s="242"/>
      <c r="LT40" s="242"/>
      <c r="LU40" s="242"/>
      <c r="LV40" s="243"/>
      <c r="LW40" s="243"/>
      <c r="LX40" s="243"/>
      <c r="LY40" s="243"/>
      <c r="LZ40" s="243"/>
      <c r="MA40" s="243"/>
      <c r="MB40" s="243"/>
      <c r="MC40" s="242"/>
      <c r="MD40" s="242"/>
      <c r="ME40" s="242"/>
      <c r="MF40" s="242"/>
      <c r="MG40" s="242"/>
      <c r="MH40" s="242"/>
      <c r="MI40" s="242"/>
      <c r="MJ40" s="243"/>
      <c r="MK40" s="243"/>
      <c r="ML40" s="243"/>
      <c r="MM40" s="243"/>
      <c r="MN40" s="243"/>
      <c r="MO40" s="243"/>
      <c r="MP40" s="243"/>
      <c r="MQ40" s="242"/>
      <c r="MR40" s="242"/>
      <c r="MS40" s="242"/>
      <c r="MT40" s="242"/>
      <c r="MU40" s="242"/>
      <c r="MV40" s="242"/>
      <c r="MW40" s="242"/>
      <c r="MX40" s="243"/>
      <c r="MY40" s="243"/>
      <c r="MZ40" s="243"/>
      <c r="NA40" s="243"/>
      <c r="NB40" s="243"/>
      <c r="NC40" s="243"/>
      <c r="ND40" s="243"/>
      <c r="NE40" s="242"/>
      <c r="NF40" s="242"/>
      <c r="NG40" s="242"/>
      <c r="NH40" s="243" t="s">
        <v>1139</v>
      </c>
    </row>
    <row r="41" spans="1:372">
      <c r="A41" s="254" t="s">
        <v>970</v>
      </c>
      <c r="B41" s="239" t="s">
        <v>351</v>
      </c>
      <c r="C41" s="240" t="s">
        <v>674</v>
      </c>
      <c r="D41" s="240" t="s">
        <v>982</v>
      </c>
      <c r="E41" s="241">
        <v>82.563166666666675</v>
      </c>
      <c r="F41" s="252">
        <v>152</v>
      </c>
      <c r="G41" s="242"/>
      <c r="H41" s="242"/>
      <c r="I41" s="242"/>
      <c r="J41" s="242"/>
      <c r="K41" s="242"/>
      <c r="L41" s="243"/>
      <c r="M41" s="243"/>
      <c r="N41" s="243"/>
      <c r="O41" s="243"/>
      <c r="P41" s="243"/>
      <c r="Q41" s="243"/>
      <c r="R41" s="243"/>
      <c r="S41" s="242"/>
      <c r="T41" s="242"/>
      <c r="U41" s="242"/>
      <c r="V41" s="242"/>
      <c r="W41" s="242"/>
      <c r="X41" s="242"/>
      <c r="Y41" s="242"/>
      <c r="Z41" s="243"/>
      <c r="AA41" s="243"/>
      <c r="AB41" s="243"/>
      <c r="AC41" s="243"/>
      <c r="AD41" s="243"/>
      <c r="AE41" s="243"/>
      <c r="AF41" s="243"/>
      <c r="AG41" s="242"/>
      <c r="AH41" s="242"/>
      <c r="AI41" s="242"/>
      <c r="AJ41" s="242"/>
      <c r="AK41" s="242"/>
      <c r="AL41" s="242"/>
      <c r="AM41" s="242"/>
      <c r="AN41" s="243"/>
      <c r="AO41" s="243"/>
      <c r="AP41" s="243"/>
      <c r="AQ41" s="243"/>
      <c r="AR41" s="243"/>
      <c r="AS41" s="243"/>
      <c r="AT41" s="243"/>
      <c r="AU41" s="242"/>
      <c r="AV41" s="242"/>
      <c r="AW41" s="242"/>
      <c r="AX41" s="242"/>
      <c r="AY41" s="242"/>
      <c r="AZ41" s="242"/>
      <c r="BA41" s="242"/>
      <c r="BB41" s="243"/>
      <c r="BC41" s="243"/>
      <c r="BD41" s="243"/>
      <c r="BE41" s="243"/>
      <c r="BF41" s="243"/>
      <c r="BG41" s="243"/>
      <c r="BH41" s="243"/>
      <c r="BI41" s="242"/>
      <c r="BJ41" s="242"/>
      <c r="BK41" s="242"/>
      <c r="BL41" s="242"/>
      <c r="BM41" s="242"/>
      <c r="BN41" s="242"/>
      <c r="BO41" s="242"/>
      <c r="BP41" s="243"/>
      <c r="BQ41" s="243"/>
      <c r="BR41" s="243"/>
      <c r="BS41" s="243"/>
      <c r="BT41" s="243"/>
      <c r="BU41" s="243"/>
      <c r="BV41" s="243"/>
      <c r="BW41" s="242">
        <v>24</v>
      </c>
      <c r="BX41" s="242">
        <v>24</v>
      </c>
      <c r="BY41" s="242"/>
      <c r="BZ41" s="242"/>
      <c r="CA41" s="242"/>
      <c r="CB41" s="242"/>
      <c r="CC41" s="242"/>
      <c r="CD41" s="243"/>
      <c r="CE41" s="243"/>
      <c r="CF41" s="243"/>
      <c r="CG41" s="243"/>
      <c r="CH41" s="243"/>
      <c r="CI41" s="243"/>
      <c r="CJ41" s="243"/>
      <c r="CK41" s="242"/>
      <c r="CL41" s="242"/>
      <c r="CM41" s="242"/>
      <c r="CN41" s="242"/>
      <c r="CO41" s="242"/>
      <c r="CP41" s="242"/>
      <c r="CQ41" s="242"/>
      <c r="CR41" s="243"/>
      <c r="CS41" s="243"/>
      <c r="CT41" s="243"/>
      <c r="CU41" s="243"/>
      <c r="CV41" s="243"/>
      <c r="CW41" s="243"/>
      <c r="CX41" s="243"/>
      <c r="CY41" s="242"/>
      <c r="CZ41" s="242"/>
      <c r="DA41" s="242"/>
      <c r="DB41" s="242"/>
      <c r="DC41" s="242"/>
      <c r="DD41" s="242"/>
      <c r="DE41" s="242"/>
      <c r="DF41" s="243"/>
      <c r="DG41" s="243"/>
      <c r="DH41" s="243"/>
      <c r="DI41" s="243"/>
      <c r="DJ41" s="243"/>
      <c r="DK41" s="243"/>
      <c r="DL41" s="243"/>
      <c r="DM41" s="242"/>
      <c r="DN41" s="242"/>
      <c r="DO41" s="242"/>
      <c r="DP41" s="242"/>
      <c r="DQ41" s="242"/>
      <c r="DR41" s="242"/>
      <c r="DS41" s="242"/>
      <c r="DT41" s="243"/>
      <c r="DU41" s="243"/>
      <c r="DV41" s="243"/>
      <c r="DW41" s="243"/>
      <c r="DX41" s="243"/>
      <c r="DY41" s="243"/>
      <c r="DZ41" s="243"/>
      <c r="EA41" s="242"/>
      <c r="EB41" s="242"/>
      <c r="EC41" s="242"/>
      <c r="ED41" s="242"/>
      <c r="EE41" s="242"/>
      <c r="EF41" s="242"/>
      <c r="EG41" s="242"/>
      <c r="EH41" s="243"/>
      <c r="EI41" s="243"/>
      <c r="EJ41" s="243"/>
      <c r="EK41" s="243"/>
      <c r="EL41" s="243"/>
      <c r="EM41" s="243"/>
      <c r="EN41" s="243"/>
      <c r="EO41" s="242"/>
      <c r="EP41" s="242"/>
      <c r="EQ41" s="242"/>
      <c r="ER41" s="242"/>
      <c r="ES41" s="242"/>
      <c r="ET41" s="242"/>
      <c r="EU41" s="242"/>
      <c r="EV41" s="243"/>
      <c r="EW41" s="243"/>
      <c r="EX41" s="243"/>
      <c r="EY41" s="243"/>
      <c r="EZ41" s="243"/>
      <c r="FA41" s="243"/>
      <c r="FB41" s="243">
        <v>16</v>
      </c>
      <c r="FC41" s="242">
        <v>24</v>
      </c>
      <c r="FD41" s="242">
        <v>24</v>
      </c>
      <c r="FE41" s="242">
        <v>24</v>
      </c>
      <c r="FF41" s="242">
        <v>16</v>
      </c>
      <c r="FG41" s="242"/>
      <c r="FH41" s="242"/>
      <c r="FI41" s="242"/>
      <c r="FJ41" s="243"/>
      <c r="FK41" s="243"/>
      <c r="FL41" s="243"/>
      <c r="FM41" s="243"/>
      <c r="FN41" s="243"/>
      <c r="FO41" s="243"/>
      <c r="FP41" s="243"/>
      <c r="FQ41" s="242"/>
      <c r="FR41" s="242"/>
      <c r="FS41" s="242"/>
      <c r="FT41" s="242"/>
      <c r="FU41" s="242"/>
      <c r="FV41" s="242"/>
      <c r="FW41" s="242"/>
      <c r="FX41" s="243"/>
      <c r="FY41" s="243"/>
      <c r="FZ41" s="243"/>
      <c r="GA41" s="243"/>
      <c r="GB41" s="243"/>
      <c r="GC41" s="243"/>
      <c r="GD41" s="243"/>
      <c r="GE41" s="242"/>
      <c r="GF41" s="242"/>
      <c r="GG41" s="242"/>
      <c r="GH41" s="242"/>
      <c r="GI41" s="242"/>
      <c r="GJ41" s="242"/>
      <c r="GK41" s="242"/>
      <c r="GL41" s="243"/>
      <c r="GM41" s="243"/>
      <c r="GN41" s="243"/>
      <c r="GO41" s="243"/>
      <c r="GP41" s="243"/>
      <c r="GQ41" s="243"/>
      <c r="GR41" s="243"/>
      <c r="GS41" s="242"/>
      <c r="GT41" s="242"/>
      <c r="GU41" s="242"/>
      <c r="GV41" s="242"/>
      <c r="GW41" s="242"/>
      <c r="GX41" s="242"/>
      <c r="GY41" s="242"/>
      <c r="GZ41" s="243"/>
      <c r="HA41" s="243"/>
      <c r="HB41" s="243"/>
      <c r="HC41" s="243"/>
      <c r="HD41" s="243"/>
      <c r="HE41" s="243"/>
      <c r="HF41" s="243"/>
      <c r="HG41" s="242"/>
      <c r="HH41" s="242"/>
      <c r="HI41" s="242"/>
      <c r="HJ41" s="242"/>
      <c r="HK41" s="242"/>
      <c r="HL41" s="242"/>
      <c r="HM41" s="242"/>
      <c r="HN41" s="243"/>
      <c r="HO41" s="243"/>
      <c r="HP41" s="243"/>
      <c r="HQ41" s="243"/>
      <c r="HR41" s="243"/>
      <c r="HS41" s="243"/>
      <c r="HT41" s="243"/>
      <c r="HU41" s="242"/>
      <c r="HV41" s="242"/>
      <c r="HW41" s="242"/>
      <c r="HX41" s="242"/>
      <c r="HY41" s="242"/>
      <c r="HZ41" s="242"/>
      <c r="IA41" s="242"/>
      <c r="IB41" s="243"/>
      <c r="IC41" s="243"/>
      <c r="ID41" s="243"/>
      <c r="IE41" s="243"/>
      <c r="IF41" s="243"/>
      <c r="IG41" s="243"/>
      <c r="IH41" s="243"/>
      <c r="II41" s="242"/>
      <c r="IJ41" s="242"/>
      <c r="IK41" s="242"/>
      <c r="IL41" s="242"/>
      <c r="IM41" s="242"/>
      <c r="IN41" s="242"/>
      <c r="IO41" s="242"/>
      <c r="IP41" s="243"/>
      <c r="IQ41" s="243"/>
      <c r="IR41" s="243"/>
      <c r="IS41" s="243"/>
      <c r="IT41" s="243"/>
      <c r="IU41" s="243"/>
      <c r="IV41" s="243"/>
      <c r="IW41" s="242"/>
      <c r="IX41" s="242"/>
      <c r="IY41" s="242"/>
      <c r="IZ41" s="242"/>
      <c r="JA41" s="242"/>
      <c r="JB41" s="242"/>
      <c r="JC41" s="242"/>
      <c r="JD41" s="243"/>
      <c r="JE41" s="243"/>
      <c r="JF41" s="243"/>
      <c r="JG41" s="243"/>
      <c r="JH41" s="243"/>
      <c r="JI41" s="243"/>
      <c r="JJ41" s="243"/>
      <c r="JK41" s="242"/>
      <c r="JL41" s="242"/>
      <c r="JM41" s="242"/>
      <c r="JN41" s="242"/>
      <c r="JO41" s="242"/>
      <c r="JP41" s="242"/>
      <c r="JQ41" s="242"/>
      <c r="JR41" s="243"/>
      <c r="JS41" s="243"/>
      <c r="JT41" s="243"/>
      <c r="JU41" s="243"/>
      <c r="JV41" s="243"/>
      <c r="JW41" s="243"/>
      <c r="JX41" s="243"/>
      <c r="JY41" s="242"/>
      <c r="JZ41" s="242"/>
      <c r="KA41" s="242"/>
      <c r="KB41" s="242"/>
      <c r="KC41" s="242"/>
      <c r="KD41" s="242"/>
      <c r="KE41" s="242"/>
      <c r="KF41" s="243"/>
      <c r="KG41" s="243"/>
      <c r="KH41" s="243"/>
      <c r="KI41" s="243"/>
      <c r="KJ41" s="243"/>
      <c r="KK41" s="243"/>
      <c r="KL41" s="243"/>
      <c r="KM41" s="242"/>
      <c r="KN41" s="242"/>
      <c r="KO41" s="242"/>
      <c r="KP41" s="242"/>
      <c r="KQ41" s="242"/>
      <c r="KR41" s="242"/>
      <c r="KS41" s="242"/>
      <c r="KT41" s="243"/>
      <c r="KU41" s="243"/>
      <c r="KV41" s="243"/>
      <c r="KW41" s="243"/>
      <c r="KX41" s="243"/>
      <c r="KY41" s="243"/>
      <c r="KZ41" s="243"/>
      <c r="LA41" s="242"/>
      <c r="LB41" s="242"/>
      <c r="LC41" s="242"/>
      <c r="LD41" s="242"/>
      <c r="LE41" s="242"/>
      <c r="LF41" s="242"/>
      <c r="LG41" s="242"/>
      <c r="LH41" s="243"/>
      <c r="LI41" s="243"/>
      <c r="LJ41" s="243"/>
      <c r="LK41" s="243"/>
      <c r="LL41" s="243"/>
      <c r="LM41" s="243"/>
      <c r="LN41" s="243"/>
      <c r="LO41" s="242"/>
      <c r="LP41" s="242"/>
      <c r="LQ41" s="242"/>
      <c r="LR41" s="242"/>
      <c r="LS41" s="242"/>
      <c r="LT41" s="242"/>
      <c r="LU41" s="242"/>
      <c r="LV41" s="243"/>
      <c r="LW41" s="243"/>
      <c r="LX41" s="243"/>
      <c r="LY41" s="243"/>
      <c r="LZ41" s="243"/>
      <c r="MA41" s="243"/>
      <c r="MB41" s="243"/>
      <c r="MC41" s="242"/>
      <c r="MD41" s="242"/>
      <c r="ME41" s="242"/>
      <c r="MF41" s="242"/>
      <c r="MG41" s="242"/>
      <c r="MH41" s="242"/>
      <c r="MI41" s="242"/>
      <c r="MJ41" s="243"/>
      <c r="MK41" s="243"/>
      <c r="ML41" s="243"/>
      <c r="MM41" s="243"/>
      <c r="MN41" s="243"/>
      <c r="MO41" s="243"/>
      <c r="MP41" s="243"/>
      <c r="MQ41" s="242"/>
      <c r="MR41" s="242"/>
      <c r="MS41" s="242"/>
      <c r="MT41" s="242"/>
      <c r="MU41" s="242"/>
      <c r="MV41" s="242"/>
      <c r="MW41" s="242"/>
      <c r="MX41" s="243"/>
      <c r="MY41" s="243"/>
      <c r="MZ41" s="243"/>
      <c r="NA41" s="243"/>
      <c r="NB41" s="243"/>
      <c r="NC41" s="243"/>
      <c r="ND41" s="243"/>
      <c r="NE41" s="242"/>
      <c r="NF41" s="242"/>
      <c r="NG41" s="242"/>
      <c r="NH41" s="338" t="s">
        <v>1140</v>
      </c>
    </row>
    <row r="42" spans="1:372">
      <c r="A42" s="254" t="s">
        <v>970</v>
      </c>
      <c r="B42" s="239" t="s">
        <v>408</v>
      </c>
      <c r="C42" s="240" t="s">
        <v>674</v>
      </c>
      <c r="D42" s="240" t="s">
        <v>982</v>
      </c>
      <c r="E42" s="241">
        <v>39.479999999999997</v>
      </c>
      <c r="F42" s="252">
        <v>144</v>
      </c>
      <c r="G42" s="242"/>
      <c r="H42" s="242"/>
      <c r="I42" s="242"/>
      <c r="J42" s="242"/>
      <c r="K42" s="242"/>
      <c r="L42" s="243"/>
      <c r="M42" s="243"/>
      <c r="N42" s="243"/>
      <c r="O42" s="243"/>
      <c r="P42" s="243"/>
      <c r="Q42" s="243"/>
      <c r="R42" s="243"/>
      <c r="S42" s="242"/>
      <c r="T42" s="242"/>
      <c r="U42" s="242"/>
      <c r="V42" s="242"/>
      <c r="W42" s="242"/>
      <c r="X42" s="242"/>
      <c r="Y42" s="242"/>
      <c r="Z42" s="243"/>
      <c r="AA42" s="243"/>
      <c r="AB42" s="243"/>
      <c r="AC42" s="243"/>
      <c r="AD42" s="243"/>
      <c r="AE42" s="243"/>
      <c r="AF42" s="243"/>
      <c r="AG42" s="242"/>
      <c r="AH42" s="242"/>
      <c r="AI42" s="242"/>
      <c r="AJ42" s="242"/>
      <c r="AK42" s="242"/>
      <c r="AL42" s="242"/>
      <c r="AM42" s="242"/>
      <c r="AN42" s="243"/>
      <c r="AO42" s="243"/>
      <c r="AP42" s="243"/>
      <c r="AQ42" s="243"/>
      <c r="AR42" s="243"/>
      <c r="AS42" s="243"/>
      <c r="AT42" s="243"/>
      <c r="AU42" s="242"/>
      <c r="AV42" s="242"/>
      <c r="AW42" s="242"/>
      <c r="AX42" s="242"/>
      <c r="AY42" s="242"/>
      <c r="AZ42" s="242"/>
      <c r="BA42" s="242"/>
      <c r="BB42" s="243"/>
      <c r="BC42" s="243"/>
      <c r="BD42" s="243"/>
      <c r="BE42" s="243"/>
      <c r="BF42" s="243"/>
      <c r="BG42" s="243"/>
      <c r="BH42" s="243"/>
      <c r="BI42" s="242"/>
      <c r="BJ42" s="242"/>
      <c r="BK42" s="242"/>
      <c r="BL42" s="242"/>
      <c r="BM42" s="242"/>
      <c r="BN42" s="242"/>
      <c r="BO42" s="242"/>
      <c r="BP42" s="243"/>
      <c r="BQ42" s="243"/>
      <c r="BR42" s="243"/>
      <c r="BS42" s="243"/>
      <c r="BT42" s="243"/>
      <c r="BU42" s="243"/>
      <c r="BV42" s="243"/>
      <c r="BW42" s="242">
        <v>24</v>
      </c>
      <c r="BX42" s="242">
        <v>24</v>
      </c>
      <c r="BY42" s="242"/>
      <c r="BZ42" s="242"/>
      <c r="CA42" s="242"/>
      <c r="CB42" s="242"/>
      <c r="CC42" s="242"/>
      <c r="CD42" s="243"/>
      <c r="CE42" s="243"/>
      <c r="CF42" s="243"/>
      <c r="CG42" s="243"/>
      <c r="CH42" s="243"/>
      <c r="CI42" s="243"/>
      <c r="CJ42" s="243"/>
      <c r="CK42" s="242"/>
      <c r="CL42" s="242"/>
      <c r="CM42" s="242"/>
      <c r="CN42" s="242"/>
      <c r="CO42" s="242"/>
      <c r="CP42" s="242"/>
      <c r="CQ42" s="242"/>
      <c r="CR42" s="243"/>
      <c r="CS42" s="243"/>
      <c r="CT42" s="243"/>
      <c r="CU42" s="243"/>
      <c r="CV42" s="243"/>
      <c r="CW42" s="243"/>
      <c r="CX42" s="243">
        <v>16</v>
      </c>
      <c r="CY42" s="242">
        <v>24</v>
      </c>
      <c r="CZ42" s="242">
        <v>24</v>
      </c>
      <c r="DA42" s="242">
        <v>24</v>
      </c>
      <c r="DB42" s="242">
        <v>8</v>
      </c>
      <c r="DC42" s="242"/>
      <c r="DD42" s="242"/>
      <c r="DE42" s="242"/>
      <c r="DF42" s="243"/>
      <c r="DG42" s="243"/>
      <c r="DH42" s="243"/>
      <c r="DI42" s="243"/>
      <c r="DJ42" s="243"/>
      <c r="DK42" s="243"/>
      <c r="DL42" s="243"/>
      <c r="DM42" s="242"/>
      <c r="DN42" s="242"/>
      <c r="DO42" s="242"/>
      <c r="DP42" s="242"/>
      <c r="DQ42" s="242"/>
      <c r="DR42" s="242"/>
      <c r="DS42" s="242"/>
      <c r="DT42" s="243"/>
      <c r="DU42" s="243"/>
      <c r="DV42" s="243"/>
      <c r="DW42" s="243"/>
      <c r="DX42" s="243"/>
      <c r="DY42" s="243"/>
      <c r="DZ42" s="243"/>
      <c r="EA42" s="242"/>
      <c r="EB42" s="242"/>
      <c r="EC42" s="242"/>
      <c r="ED42" s="242"/>
      <c r="EE42" s="242"/>
      <c r="EF42" s="242"/>
      <c r="EG42" s="242"/>
      <c r="EH42" s="243"/>
      <c r="EI42" s="243"/>
      <c r="EJ42" s="243"/>
      <c r="EK42" s="243"/>
      <c r="EL42" s="243"/>
      <c r="EM42" s="243"/>
      <c r="EN42" s="243"/>
      <c r="EO42" s="242"/>
      <c r="EP42" s="242"/>
      <c r="EQ42" s="242"/>
      <c r="ER42" s="242"/>
      <c r="ES42" s="242"/>
      <c r="ET42" s="242"/>
      <c r="EU42" s="242"/>
      <c r="EV42" s="243"/>
      <c r="EW42" s="243"/>
      <c r="EX42" s="243"/>
      <c r="EY42" s="243"/>
      <c r="EZ42" s="243"/>
      <c r="FA42" s="243"/>
      <c r="FB42" s="243"/>
      <c r="FC42" s="242"/>
      <c r="FD42" s="242"/>
      <c r="FE42" s="242"/>
      <c r="FF42" s="242"/>
      <c r="FG42" s="242"/>
      <c r="FH42" s="242"/>
      <c r="FI42" s="242"/>
      <c r="FJ42" s="243"/>
      <c r="FK42" s="243"/>
      <c r="FL42" s="243"/>
      <c r="FM42" s="243"/>
      <c r="FN42" s="243"/>
      <c r="FO42" s="243"/>
      <c r="FP42" s="243"/>
      <c r="FQ42" s="242"/>
      <c r="FR42" s="242"/>
      <c r="FS42" s="242"/>
      <c r="FT42" s="242"/>
      <c r="FU42" s="242"/>
      <c r="FV42" s="242"/>
      <c r="FW42" s="242"/>
      <c r="FX42" s="243"/>
      <c r="FY42" s="243"/>
      <c r="FZ42" s="243"/>
      <c r="GA42" s="243"/>
      <c r="GB42" s="243"/>
      <c r="GC42" s="243"/>
      <c r="GD42" s="243"/>
      <c r="GE42" s="242"/>
      <c r="GF42" s="242"/>
      <c r="GG42" s="242"/>
      <c r="GH42" s="242"/>
      <c r="GI42" s="242"/>
      <c r="GJ42" s="242"/>
      <c r="GK42" s="242"/>
      <c r="GL42" s="243"/>
      <c r="GM42" s="243"/>
      <c r="GN42" s="243"/>
      <c r="GO42" s="243"/>
      <c r="GP42" s="243"/>
      <c r="GQ42" s="243"/>
      <c r="GR42" s="243"/>
      <c r="GS42" s="242"/>
      <c r="GT42" s="242"/>
      <c r="GU42" s="242"/>
      <c r="GV42" s="242"/>
      <c r="GW42" s="242"/>
      <c r="GX42" s="242"/>
      <c r="GY42" s="242"/>
      <c r="GZ42" s="243"/>
      <c r="HA42" s="243"/>
      <c r="HB42" s="243"/>
      <c r="HC42" s="243"/>
      <c r="HD42" s="243"/>
      <c r="HE42" s="243"/>
      <c r="HF42" s="243"/>
      <c r="HG42" s="242"/>
      <c r="HH42" s="242"/>
      <c r="HI42" s="242"/>
      <c r="HJ42" s="242"/>
      <c r="HK42" s="242"/>
      <c r="HL42" s="242"/>
      <c r="HM42" s="242"/>
      <c r="HN42" s="243"/>
      <c r="HO42" s="243"/>
      <c r="HP42" s="243"/>
      <c r="HQ42" s="243"/>
      <c r="HR42" s="243"/>
      <c r="HS42" s="243"/>
      <c r="HT42" s="243"/>
      <c r="HU42" s="242"/>
      <c r="HV42" s="242"/>
      <c r="HW42" s="242"/>
      <c r="HX42" s="242"/>
      <c r="HY42" s="242"/>
      <c r="HZ42" s="242"/>
      <c r="IA42" s="242"/>
      <c r="IB42" s="243"/>
      <c r="IC42" s="243"/>
      <c r="ID42" s="243"/>
      <c r="IE42" s="243"/>
      <c r="IF42" s="243"/>
      <c r="IG42" s="243"/>
      <c r="IH42" s="243"/>
      <c r="II42" s="242"/>
      <c r="IJ42" s="242"/>
      <c r="IK42" s="242"/>
      <c r="IL42" s="242"/>
      <c r="IM42" s="242"/>
      <c r="IN42" s="242"/>
      <c r="IO42" s="242"/>
      <c r="IP42" s="243"/>
      <c r="IQ42" s="243"/>
      <c r="IR42" s="243"/>
      <c r="IS42" s="243"/>
      <c r="IT42" s="243"/>
      <c r="IU42" s="243"/>
      <c r="IV42" s="243"/>
      <c r="IW42" s="242"/>
      <c r="IX42" s="242"/>
      <c r="IY42" s="242"/>
      <c r="IZ42" s="242"/>
      <c r="JA42" s="242"/>
      <c r="JB42" s="242"/>
      <c r="JC42" s="242"/>
      <c r="JD42" s="243"/>
      <c r="JE42" s="243"/>
      <c r="JF42" s="243"/>
      <c r="JG42" s="243"/>
      <c r="JH42" s="243"/>
      <c r="JI42" s="243"/>
      <c r="JJ42" s="243"/>
      <c r="JK42" s="242"/>
      <c r="JL42" s="242"/>
      <c r="JM42" s="242"/>
      <c r="JN42" s="242"/>
      <c r="JO42" s="242"/>
      <c r="JP42" s="242"/>
      <c r="JQ42" s="242"/>
      <c r="JR42" s="243"/>
      <c r="JS42" s="243"/>
      <c r="JT42" s="243"/>
      <c r="JU42" s="243"/>
      <c r="JV42" s="243"/>
      <c r="JW42" s="243"/>
      <c r="JX42" s="243"/>
      <c r="JY42" s="242"/>
      <c r="JZ42" s="242"/>
      <c r="KA42" s="242"/>
      <c r="KB42" s="242"/>
      <c r="KC42" s="242"/>
      <c r="KD42" s="242"/>
      <c r="KE42" s="242"/>
      <c r="KF42" s="243"/>
      <c r="KG42" s="243"/>
      <c r="KH42" s="243"/>
      <c r="KI42" s="243"/>
      <c r="KJ42" s="243"/>
      <c r="KK42" s="243"/>
      <c r="KL42" s="243"/>
      <c r="KM42" s="242"/>
      <c r="KN42" s="242"/>
      <c r="KO42" s="242"/>
      <c r="KP42" s="242"/>
      <c r="KQ42" s="242"/>
      <c r="KR42" s="242"/>
      <c r="KS42" s="242"/>
      <c r="KT42" s="243"/>
      <c r="KU42" s="243"/>
      <c r="KV42" s="243"/>
      <c r="KW42" s="243"/>
      <c r="KX42" s="243"/>
      <c r="KY42" s="243"/>
      <c r="KZ42" s="243"/>
      <c r="LA42" s="242"/>
      <c r="LB42" s="242"/>
      <c r="LC42" s="242"/>
      <c r="LD42" s="242"/>
      <c r="LE42" s="242"/>
      <c r="LF42" s="242"/>
      <c r="LG42" s="242"/>
      <c r="LH42" s="243"/>
      <c r="LI42" s="243"/>
      <c r="LJ42" s="243"/>
      <c r="LK42" s="243"/>
      <c r="LL42" s="243"/>
      <c r="LM42" s="243"/>
      <c r="LN42" s="243"/>
      <c r="LO42" s="242"/>
      <c r="LP42" s="242"/>
      <c r="LQ42" s="242"/>
      <c r="LR42" s="242"/>
      <c r="LS42" s="242"/>
      <c r="LT42" s="242"/>
      <c r="LU42" s="242"/>
      <c r="LV42" s="243"/>
      <c r="LW42" s="243"/>
      <c r="LX42" s="243"/>
      <c r="LY42" s="243"/>
      <c r="LZ42" s="243"/>
      <c r="MA42" s="243"/>
      <c r="MB42" s="243"/>
      <c r="MC42" s="242"/>
      <c r="MD42" s="242"/>
      <c r="ME42" s="242"/>
      <c r="MF42" s="242"/>
      <c r="MG42" s="242"/>
      <c r="MH42" s="242"/>
      <c r="MI42" s="242"/>
      <c r="MJ42" s="243"/>
      <c r="MK42" s="243"/>
      <c r="ML42" s="243"/>
      <c r="MM42" s="243"/>
      <c r="MN42" s="243"/>
      <c r="MO42" s="243"/>
      <c r="MP42" s="243"/>
      <c r="MQ42" s="242"/>
      <c r="MR42" s="242"/>
      <c r="MS42" s="242"/>
      <c r="MT42" s="242"/>
      <c r="MU42" s="242"/>
      <c r="MV42" s="242"/>
      <c r="MW42" s="242"/>
      <c r="MX42" s="243"/>
      <c r="MY42" s="243"/>
      <c r="MZ42" s="243"/>
      <c r="NA42" s="243"/>
      <c r="NB42" s="243"/>
      <c r="NC42" s="243"/>
      <c r="ND42" s="243"/>
      <c r="NE42" s="242"/>
      <c r="NF42" s="242"/>
      <c r="NG42" s="242"/>
      <c r="NH42" s="338" t="s">
        <v>1141</v>
      </c>
    </row>
    <row r="43" spans="1:372">
      <c r="A43" s="254" t="s">
        <v>970</v>
      </c>
      <c r="B43" s="239" t="s">
        <v>409</v>
      </c>
      <c r="C43" s="240" t="s">
        <v>674</v>
      </c>
      <c r="D43" s="240" t="s">
        <v>982</v>
      </c>
      <c r="E43" s="241">
        <v>37.284055519000006</v>
      </c>
      <c r="F43" s="252">
        <v>144</v>
      </c>
      <c r="G43" s="242"/>
      <c r="H43" s="242"/>
      <c r="I43" s="242"/>
      <c r="J43" s="242"/>
      <c r="K43" s="242"/>
      <c r="L43" s="243"/>
      <c r="M43" s="243"/>
      <c r="N43" s="243"/>
      <c r="O43" s="243"/>
      <c r="P43" s="243"/>
      <c r="Q43" s="243"/>
      <c r="R43" s="243"/>
      <c r="S43" s="242"/>
      <c r="T43" s="242"/>
      <c r="U43" s="242"/>
      <c r="V43" s="242"/>
      <c r="W43" s="242"/>
      <c r="X43" s="242"/>
      <c r="Y43" s="242"/>
      <c r="Z43" s="243"/>
      <c r="AA43" s="243"/>
      <c r="AB43" s="243"/>
      <c r="AC43" s="243"/>
      <c r="AD43" s="243"/>
      <c r="AE43" s="243"/>
      <c r="AF43" s="243"/>
      <c r="AG43" s="242"/>
      <c r="AH43" s="242"/>
      <c r="AI43" s="242"/>
      <c r="AJ43" s="242"/>
      <c r="AK43" s="242"/>
      <c r="AL43" s="242"/>
      <c r="AM43" s="242"/>
      <c r="AN43" s="243"/>
      <c r="AO43" s="243"/>
      <c r="AP43" s="243"/>
      <c r="AQ43" s="243"/>
      <c r="AR43" s="243"/>
      <c r="AS43" s="243"/>
      <c r="AT43" s="243"/>
      <c r="AU43" s="242"/>
      <c r="AV43" s="242"/>
      <c r="AW43" s="242"/>
      <c r="AX43" s="242"/>
      <c r="AY43" s="242"/>
      <c r="AZ43" s="242"/>
      <c r="BA43" s="242"/>
      <c r="BB43" s="243"/>
      <c r="BC43" s="243"/>
      <c r="BD43" s="243"/>
      <c r="BE43" s="243"/>
      <c r="BF43" s="243"/>
      <c r="BG43" s="243"/>
      <c r="BH43" s="243"/>
      <c r="BI43" s="242"/>
      <c r="BJ43" s="242"/>
      <c r="BK43" s="242"/>
      <c r="BL43" s="242"/>
      <c r="BM43" s="242"/>
      <c r="BN43" s="242"/>
      <c r="BO43" s="242"/>
      <c r="BP43" s="243"/>
      <c r="BQ43" s="243"/>
      <c r="BR43" s="243"/>
      <c r="BS43" s="243"/>
      <c r="BT43" s="243"/>
      <c r="BU43" s="243"/>
      <c r="BV43" s="243"/>
      <c r="BW43" s="242">
        <v>24</v>
      </c>
      <c r="BX43" s="242">
        <v>24</v>
      </c>
      <c r="BY43" s="242"/>
      <c r="BZ43" s="242"/>
      <c r="CA43" s="242"/>
      <c r="CB43" s="242"/>
      <c r="CC43" s="242"/>
      <c r="CD43" s="243"/>
      <c r="CE43" s="243"/>
      <c r="CF43" s="243"/>
      <c r="CG43" s="243"/>
      <c r="CH43" s="243"/>
      <c r="CI43" s="243"/>
      <c r="CJ43" s="243"/>
      <c r="CK43" s="242"/>
      <c r="CL43" s="242"/>
      <c r="CM43" s="242"/>
      <c r="CN43" s="242"/>
      <c r="CO43" s="242"/>
      <c r="CP43" s="242"/>
      <c r="CQ43" s="242"/>
      <c r="CR43" s="243"/>
      <c r="CS43" s="243"/>
      <c r="CT43" s="243"/>
      <c r="CU43" s="243"/>
      <c r="CV43" s="243"/>
      <c r="CW43" s="243"/>
      <c r="CX43" s="243"/>
      <c r="CY43" s="242"/>
      <c r="CZ43" s="242"/>
      <c r="DA43" s="242"/>
      <c r="DB43" s="242"/>
      <c r="DC43" s="242"/>
      <c r="DD43" s="242"/>
      <c r="DE43" s="242"/>
      <c r="DF43" s="243"/>
      <c r="DG43" s="243"/>
      <c r="DH43" s="243"/>
      <c r="DI43" s="243"/>
      <c r="DJ43" s="243"/>
      <c r="DK43" s="243"/>
      <c r="DL43" s="243"/>
      <c r="DM43" s="242"/>
      <c r="DN43" s="242"/>
      <c r="DO43" s="242"/>
      <c r="DP43" s="242"/>
      <c r="DQ43" s="242"/>
      <c r="DR43" s="242"/>
      <c r="DS43" s="242"/>
      <c r="DT43" s="243"/>
      <c r="DU43" s="243"/>
      <c r="DV43" s="243"/>
      <c r="DW43" s="243"/>
      <c r="DX43" s="243"/>
      <c r="DY43" s="243"/>
      <c r="DZ43" s="243"/>
      <c r="EA43" s="242"/>
      <c r="EB43" s="242"/>
      <c r="EC43" s="242"/>
      <c r="ED43" s="242"/>
      <c r="EE43" s="242"/>
      <c r="EF43" s="242"/>
      <c r="EG43" s="242"/>
      <c r="EH43" s="243"/>
      <c r="EI43" s="243"/>
      <c r="EJ43" s="243"/>
      <c r="EK43" s="243"/>
      <c r="EL43" s="243"/>
      <c r="EM43" s="243"/>
      <c r="EN43" s="243"/>
      <c r="EO43" s="242"/>
      <c r="EP43" s="242"/>
      <c r="EQ43" s="242"/>
      <c r="ER43" s="242"/>
      <c r="ES43" s="242"/>
      <c r="ET43" s="242"/>
      <c r="EU43" s="242"/>
      <c r="EV43" s="243"/>
      <c r="EW43" s="243"/>
      <c r="EX43" s="243"/>
      <c r="EY43" s="243"/>
      <c r="EZ43" s="243"/>
      <c r="FA43" s="243"/>
      <c r="FB43" s="243"/>
      <c r="FC43" s="242"/>
      <c r="FD43" s="242"/>
      <c r="FE43" s="242"/>
      <c r="FF43" s="242"/>
      <c r="FG43" s="242"/>
      <c r="FH43" s="242"/>
      <c r="FI43" s="242">
        <v>16</v>
      </c>
      <c r="FJ43" s="243">
        <v>24</v>
      </c>
      <c r="FK43" s="243">
        <v>24</v>
      </c>
      <c r="FL43" s="243">
        <v>24</v>
      </c>
      <c r="FM43" s="243">
        <v>8</v>
      </c>
      <c r="FN43" s="243"/>
      <c r="FO43" s="243"/>
      <c r="FP43" s="243"/>
      <c r="FQ43" s="242"/>
      <c r="FR43" s="242"/>
      <c r="FS43" s="242"/>
      <c r="FT43" s="242"/>
      <c r="FU43" s="242"/>
      <c r="FV43" s="242"/>
      <c r="FW43" s="242"/>
      <c r="FX43" s="243"/>
      <c r="FY43" s="243"/>
      <c r="FZ43" s="243"/>
      <c r="GA43" s="243"/>
      <c r="GB43" s="243"/>
      <c r="GC43" s="243"/>
      <c r="GD43" s="243"/>
      <c r="GE43" s="242"/>
      <c r="GF43" s="242"/>
      <c r="GG43" s="242"/>
      <c r="GH43" s="242"/>
      <c r="GI43" s="242"/>
      <c r="GJ43" s="242"/>
      <c r="GK43" s="242"/>
      <c r="GL43" s="243"/>
      <c r="GM43" s="243"/>
      <c r="GN43" s="243"/>
      <c r="GO43" s="243"/>
      <c r="GP43" s="243"/>
      <c r="GQ43" s="243"/>
      <c r="GR43" s="243"/>
      <c r="GS43" s="242"/>
      <c r="GT43" s="242"/>
      <c r="GU43" s="242"/>
      <c r="GV43" s="242"/>
      <c r="GW43" s="242"/>
      <c r="GX43" s="242"/>
      <c r="GY43" s="242"/>
      <c r="GZ43" s="243"/>
      <c r="HA43" s="243"/>
      <c r="HB43" s="243"/>
      <c r="HC43" s="243"/>
      <c r="HD43" s="243"/>
      <c r="HE43" s="243"/>
      <c r="HF43" s="243"/>
      <c r="HG43" s="242"/>
      <c r="HH43" s="242"/>
      <c r="HI43" s="242"/>
      <c r="HJ43" s="242"/>
      <c r="HK43" s="242"/>
      <c r="HL43" s="242"/>
      <c r="HM43" s="242"/>
      <c r="HN43" s="243"/>
      <c r="HO43" s="243"/>
      <c r="HP43" s="243"/>
      <c r="HQ43" s="243"/>
      <c r="HR43" s="243"/>
      <c r="HS43" s="243"/>
      <c r="HT43" s="243"/>
      <c r="HU43" s="242"/>
      <c r="HV43" s="242"/>
      <c r="HW43" s="242"/>
      <c r="HX43" s="242"/>
      <c r="HY43" s="242"/>
      <c r="HZ43" s="242"/>
      <c r="IA43" s="242"/>
      <c r="IB43" s="243"/>
      <c r="IC43" s="243"/>
      <c r="ID43" s="243"/>
      <c r="IE43" s="243"/>
      <c r="IF43" s="243"/>
      <c r="IG43" s="243"/>
      <c r="IH43" s="243"/>
      <c r="II43" s="242"/>
      <c r="IJ43" s="242"/>
      <c r="IK43" s="242"/>
      <c r="IL43" s="242"/>
      <c r="IM43" s="242"/>
      <c r="IN43" s="242"/>
      <c r="IO43" s="242"/>
      <c r="IP43" s="243"/>
      <c r="IQ43" s="243"/>
      <c r="IR43" s="243"/>
      <c r="IS43" s="243"/>
      <c r="IT43" s="243"/>
      <c r="IU43" s="243"/>
      <c r="IV43" s="243"/>
      <c r="IW43" s="242"/>
      <c r="IX43" s="242"/>
      <c r="IY43" s="242"/>
      <c r="IZ43" s="242"/>
      <c r="JA43" s="242"/>
      <c r="JB43" s="242"/>
      <c r="JC43" s="242"/>
      <c r="JD43" s="243"/>
      <c r="JE43" s="243"/>
      <c r="JF43" s="243"/>
      <c r="JG43" s="243"/>
      <c r="JH43" s="243"/>
      <c r="JI43" s="243"/>
      <c r="JJ43" s="243"/>
      <c r="JK43" s="242"/>
      <c r="JL43" s="242"/>
      <c r="JM43" s="242"/>
      <c r="JN43" s="242"/>
      <c r="JO43" s="242"/>
      <c r="JP43" s="242"/>
      <c r="JQ43" s="242"/>
      <c r="JR43" s="243"/>
      <c r="JS43" s="243"/>
      <c r="JT43" s="243"/>
      <c r="JU43" s="243"/>
      <c r="JV43" s="243"/>
      <c r="JW43" s="243"/>
      <c r="JX43" s="243"/>
      <c r="JY43" s="242"/>
      <c r="JZ43" s="242"/>
      <c r="KA43" s="242"/>
      <c r="KB43" s="242"/>
      <c r="KC43" s="242"/>
      <c r="KD43" s="242"/>
      <c r="KE43" s="242"/>
      <c r="KF43" s="243"/>
      <c r="KG43" s="243"/>
      <c r="KH43" s="243"/>
      <c r="KI43" s="243"/>
      <c r="KJ43" s="243"/>
      <c r="KK43" s="243"/>
      <c r="KL43" s="243"/>
      <c r="KM43" s="242"/>
      <c r="KN43" s="242"/>
      <c r="KO43" s="242"/>
      <c r="KP43" s="242"/>
      <c r="KQ43" s="242"/>
      <c r="KR43" s="242"/>
      <c r="KS43" s="242"/>
      <c r="KT43" s="243"/>
      <c r="KU43" s="243"/>
      <c r="KV43" s="243"/>
      <c r="KW43" s="243"/>
      <c r="KX43" s="243"/>
      <c r="KY43" s="243"/>
      <c r="KZ43" s="243"/>
      <c r="LA43" s="242"/>
      <c r="LB43" s="242"/>
      <c r="LC43" s="242"/>
      <c r="LD43" s="242"/>
      <c r="LE43" s="242"/>
      <c r="LF43" s="242"/>
      <c r="LG43" s="242"/>
      <c r="LH43" s="243"/>
      <c r="LI43" s="243"/>
      <c r="LJ43" s="243"/>
      <c r="LK43" s="243"/>
      <c r="LL43" s="243"/>
      <c r="LM43" s="243"/>
      <c r="LN43" s="243"/>
      <c r="LO43" s="242"/>
      <c r="LP43" s="242"/>
      <c r="LQ43" s="242"/>
      <c r="LR43" s="242"/>
      <c r="LS43" s="242"/>
      <c r="LT43" s="242"/>
      <c r="LU43" s="242"/>
      <c r="LV43" s="243"/>
      <c r="LW43" s="243"/>
      <c r="LX43" s="243"/>
      <c r="LY43" s="243"/>
      <c r="LZ43" s="243"/>
      <c r="MA43" s="243"/>
      <c r="MB43" s="243"/>
      <c r="MC43" s="242"/>
      <c r="MD43" s="242"/>
      <c r="ME43" s="242"/>
      <c r="MF43" s="242"/>
      <c r="MG43" s="242"/>
      <c r="MH43" s="242"/>
      <c r="MI43" s="242"/>
      <c r="MJ43" s="243"/>
      <c r="MK43" s="243"/>
      <c r="ML43" s="243"/>
      <c r="MM43" s="243"/>
      <c r="MN43" s="243"/>
      <c r="MO43" s="243"/>
      <c r="MP43" s="243"/>
      <c r="MQ43" s="242"/>
      <c r="MR43" s="242"/>
      <c r="MS43" s="242"/>
      <c r="MT43" s="242"/>
      <c r="MU43" s="242"/>
      <c r="MV43" s="242"/>
      <c r="MW43" s="242"/>
      <c r="MX43" s="243"/>
      <c r="MY43" s="243"/>
      <c r="MZ43" s="243"/>
      <c r="NA43" s="243"/>
      <c r="NB43" s="243"/>
      <c r="NC43" s="243"/>
      <c r="ND43" s="243"/>
      <c r="NE43" s="242"/>
      <c r="NF43" s="242"/>
      <c r="NG43" s="242"/>
      <c r="NH43" s="338" t="s">
        <v>1141</v>
      </c>
    </row>
    <row r="44" spans="1:372">
      <c r="A44" s="254" t="s">
        <v>970</v>
      </c>
      <c r="B44" s="239" t="s">
        <v>38</v>
      </c>
      <c r="C44" s="240" t="s">
        <v>674</v>
      </c>
      <c r="D44" s="240" t="s">
        <v>982</v>
      </c>
      <c r="E44" s="241">
        <v>7.8333333333333297E-2</v>
      </c>
      <c r="F44" s="252">
        <v>136</v>
      </c>
      <c r="G44" s="242"/>
      <c r="H44" s="242"/>
      <c r="I44" s="242"/>
      <c r="J44" s="242"/>
      <c r="K44" s="242"/>
      <c r="L44" s="243"/>
      <c r="M44" s="243"/>
      <c r="N44" s="243"/>
      <c r="O44" s="243"/>
      <c r="P44" s="243"/>
      <c r="Q44" s="243"/>
      <c r="R44" s="243"/>
      <c r="S44" s="242"/>
      <c r="T44" s="242"/>
      <c r="U44" s="242"/>
      <c r="V44" s="242"/>
      <c r="W44" s="242"/>
      <c r="X44" s="242"/>
      <c r="Y44" s="242"/>
      <c r="Z44" s="243"/>
      <c r="AA44" s="243"/>
      <c r="AB44" s="243"/>
      <c r="AC44" s="243"/>
      <c r="AD44" s="243"/>
      <c r="AE44" s="243"/>
      <c r="AF44" s="243"/>
      <c r="AG44" s="242"/>
      <c r="AH44" s="242"/>
      <c r="AI44" s="242"/>
      <c r="AJ44" s="242"/>
      <c r="AK44" s="242"/>
      <c r="AL44" s="242"/>
      <c r="AM44" s="242"/>
      <c r="AN44" s="243"/>
      <c r="AO44" s="243"/>
      <c r="AP44" s="243"/>
      <c r="AQ44" s="243"/>
      <c r="AR44" s="243"/>
      <c r="AS44" s="243"/>
      <c r="AT44" s="243"/>
      <c r="AU44" s="242"/>
      <c r="AV44" s="242"/>
      <c r="AW44" s="242"/>
      <c r="AX44" s="242"/>
      <c r="AY44" s="242"/>
      <c r="AZ44" s="242"/>
      <c r="BA44" s="242"/>
      <c r="BB44" s="243"/>
      <c r="BC44" s="243"/>
      <c r="BD44" s="243"/>
      <c r="BE44" s="243"/>
      <c r="BF44" s="243"/>
      <c r="BG44" s="243"/>
      <c r="BH44" s="243"/>
      <c r="BI44" s="242"/>
      <c r="BJ44" s="242"/>
      <c r="BK44" s="242"/>
      <c r="BL44" s="242"/>
      <c r="BM44" s="242"/>
      <c r="BN44" s="242"/>
      <c r="BO44" s="242"/>
      <c r="BP44" s="243"/>
      <c r="BQ44" s="243"/>
      <c r="BR44" s="243"/>
      <c r="BS44" s="243"/>
      <c r="BT44" s="243"/>
      <c r="BU44" s="243"/>
      <c r="BV44" s="243"/>
      <c r="BW44" s="242">
        <v>24</v>
      </c>
      <c r="BX44" s="242">
        <v>24</v>
      </c>
      <c r="BY44" s="242"/>
      <c r="BZ44" s="242"/>
      <c r="CA44" s="242"/>
      <c r="CB44" s="242"/>
      <c r="CC44" s="242"/>
      <c r="CD44" s="243"/>
      <c r="CE44" s="243"/>
      <c r="CF44" s="243"/>
      <c r="CG44" s="243"/>
      <c r="CH44" s="243"/>
      <c r="CI44" s="243"/>
      <c r="CJ44" s="243"/>
      <c r="CK44" s="242"/>
      <c r="CL44" s="242"/>
      <c r="CM44" s="242"/>
      <c r="CN44" s="242"/>
      <c r="CO44" s="242"/>
      <c r="CP44" s="242"/>
      <c r="CQ44" s="242"/>
      <c r="CR44" s="243"/>
      <c r="CS44" s="243"/>
      <c r="CT44" s="243"/>
      <c r="CU44" s="243"/>
      <c r="CV44" s="243"/>
      <c r="CW44" s="243"/>
      <c r="CX44" s="243"/>
      <c r="CY44" s="242"/>
      <c r="CZ44" s="242"/>
      <c r="DA44" s="242"/>
      <c r="DB44" s="242"/>
      <c r="DC44" s="242"/>
      <c r="DD44" s="242"/>
      <c r="DE44" s="242"/>
      <c r="DF44" s="243"/>
      <c r="DG44" s="243"/>
      <c r="DH44" s="243"/>
      <c r="DI44" s="243"/>
      <c r="DJ44" s="243"/>
      <c r="DK44" s="243"/>
      <c r="DL44" s="243"/>
      <c r="DM44" s="242"/>
      <c r="DN44" s="242"/>
      <c r="DO44" s="242"/>
      <c r="DP44" s="242"/>
      <c r="DQ44" s="242"/>
      <c r="DR44" s="242"/>
      <c r="DS44" s="242"/>
      <c r="DT44" s="243"/>
      <c r="DU44" s="243"/>
      <c r="DV44" s="243"/>
      <c r="DW44" s="243"/>
      <c r="DX44" s="243"/>
      <c r="DY44" s="243"/>
      <c r="DZ44" s="243"/>
      <c r="EA44" s="242"/>
      <c r="EB44" s="242"/>
      <c r="EC44" s="242"/>
      <c r="ED44" s="242"/>
      <c r="EE44" s="242"/>
      <c r="EF44" s="242"/>
      <c r="EG44" s="242"/>
      <c r="EH44" s="243"/>
      <c r="EI44" s="243"/>
      <c r="EJ44" s="243"/>
      <c r="EK44" s="243"/>
      <c r="EL44" s="243"/>
      <c r="EM44" s="243"/>
      <c r="EN44" s="243"/>
      <c r="EO44" s="242"/>
      <c r="EP44" s="242"/>
      <c r="EQ44" s="242"/>
      <c r="ER44" s="242"/>
      <c r="ES44" s="242"/>
      <c r="ET44" s="242"/>
      <c r="EU44" s="242">
        <v>8</v>
      </c>
      <c r="EV44" s="243">
        <v>24</v>
      </c>
      <c r="EW44" s="243">
        <v>24</v>
      </c>
      <c r="EX44" s="243">
        <v>24</v>
      </c>
      <c r="EY44" s="243">
        <v>8</v>
      </c>
      <c r="EZ44" s="243"/>
      <c r="FA44" s="243"/>
      <c r="FB44" s="243"/>
      <c r="FC44" s="242"/>
      <c r="FD44" s="242"/>
      <c r="FE44" s="242"/>
      <c r="FF44" s="242"/>
      <c r="FG44" s="242"/>
      <c r="FH44" s="242"/>
      <c r="FI44" s="242"/>
      <c r="FJ44" s="243"/>
      <c r="FK44" s="243"/>
      <c r="FL44" s="243"/>
      <c r="FM44" s="243"/>
      <c r="FN44" s="243"/>
      <c r="FO44" s="243"/>
      <c r="FP44" s="243"/>
      <c r="FQ44" s="242"/>
      <c r="FR44" s="242"/>
      <c r="FS44" s="242"/>
      <c r="FT44" s="242"/>
      <c r="FU44" s="242"/>
      <c r="FV44" s="242"/>
      <c r="FW44" s="242"/>
      <c r="FX44" s="243"/>
      <c r="FY44" s="243"/>
      <c r="FZ44" s="243"/>
      <c r="GA44" s="243"/>
      <c r="GB44" s="243"/>
      <c r="GC44" s="243"/>
      <c r="GD44" s="243"/>
      <c r="GE44" s="242"/>
      <c r="GF44" s="242"/>
      <c r="GG44" s="242"/>
      <c r="GH44" s="242"/>
      <c r="GI44" s="242"/>
      <c r="GJ44" s="242"/>
      <c r="GK44" s="242"/>
      <c r="GL44" s="243"/>
      <c r="GM44" s="243"/>
      <c r="GN44" s="243"/>
      <c r="GO44" s="243"/>
      <c r="GP44" s="243"/>
      <c r="GQ44" s="243"/>
      <c r="GR44" s="243"/>
      <c r="GS44" s="242"/>
      <c r="GT44" s="242"/>
      <c r="GU44" s="242"/>
      <c r="GV44" s="242"/>
      <c r="GW44" s="242"/>
      <c r="GX44" s="242"/>
      <c r="GY44" s="242"/>
      <c r="GZ44" s="243"/>
      <c r="HA44" s="243"/>
      <c r="HB44" s="243"/>
      <c r="HC44" s="243"/>
      <c r="HD44" s="243"/>
      <c r="HE44" s="243"/>
      <c r="HF44" s="243"/>
      <c r="HG44" s="242"/>
      <c r="HH44" s="242"/>
      <c r="HI44" s="242"/>
      <c r="HJ44" s="242"/>
      <c r="HK44" s="242"/>
      <c r="HL44" s="242"/>
      <c r="HM44" s="242"/>
      <c r="HN44" s="243"/>
      <c r="HO44" s="243"/>
      <c r="HP44" s="243"/>
      <c r="HQ44" s="243"/>
      <c r="HR44" s="243"/>
      <c r="HS44" s="243"/>
      <c r="HT44" s="243"/>
      <c r="HU44" s="242"/>
      <c r="HV44" s="242"/>
      <c r="HW44" s="242"/>
      <c r="HX44" s="242"/>
      <c r="HY44" s="242"/>
      <c r="HZ44" s="242"/>
      <c r="IA44" s="242"/>
      <c r="IB44" s="243"/>
      <c r="IC44" s="243"/>
      <c r="ID44" s="243"/>
      <c r="IE44" s="243"/>
      <c r="IF44" s="243"/>
      <c r="IG44" s="243"/>
      <c r="IH44" s="243"/>
      <c r="II44" s="242"/>
      <c r="IJ44" s="242"/>
      <c r="IK44" s="242"/>
      <c r="IL44" s="242"/>
      <c r="IM44" s="242"/>
      <c r="IN44" s="242"/>
      <c r="IO44" s="242"/>
      <c r="IP44" s="243"/>
      <c r="IQ44" s="243"/>
      <c r="IR44" s="243"/>
      <c r="IS44" s="243"/>
      <c r="IT44" s="243"/>
      <c r="IU44" s="243"/>
      <c r="IV44" s="243"/>
      <c r="IW44" s="242"/>
      <c r="IX44" s="242"/>
      <c r="IY44" s="242"/>
      <c r="IZ44" s="242"/>
      <c r="JA44" s="242"/>
      <c r="JB44" s="242"/>
      <c r="JC44" s="242"/>
      <c r="JD44" s="243"/>
      <c r="JE44" s="243"/>
      <c r="JF44" s="243"/>
      <c r="JG44" s="243"/>
      <c r="JH44" s="243"/>
      <c r="JI44" s="243"/>
      <c r="JJ44" s="243"/>
      <c r="JK44" s="242"/>
      <c r="JL44" s="242"/>
      <c r="JM44" s="242"/>
      <c r="JN44" s="242"/>
      <c r="JO44" s="242"/>
      <c r="JP44" s="242"/>
      <c r="JQ44" s="242"/>
      <c r="JR44" s="243"/>
      <c r="JS44" s="243"/>
      <c r="JT44" s="243"/>
      <c r="JU44" s="243"/>
      <c r="JV44" s="243"/>
      <c r="JW44" s="243"/>
      <c r="JX44" s="243"/>
      <c r="JY44" s="242"/>
      <c r="JZ44" s="242"/>
      <c r="KA44" s="242"/>
      <c r="KB44" s="242"/>
      <c r="KC44" s="242"/>
      <c r="KD44" s="242"/>
      <c r="KE44" s="242"/>
      <c r="KF44" s="243"/>
      <c r="KG44" s="243"/>
      <c r="KH44" s="243"/>
      <c r="KI44" s="243"/>
      <c r="KJ44" s="243"/>
      <c r="KK44" s="243"/>
      <c r="KL44" s="243"/>
      <c r="KM44" s="242"/>
      <c r="KN44" s="242"/>
      <c r="KO44" s="242"/>
      <c r="KP44" s="242"/>
      <c r="KQ44" s="242"/>
      <c r="KR44" s="242"/>
      <c r="KS44" s="242"/>
      <c r="KT44" s="243"/>
      <c r="KU44" s="243"/>
      <c r="KV44" s="243"/>
      <c r="KW44" s="243"/>
      <c r="KX44" s="243"/>
      <c r="KY44" s="243"/>
      <c r="KZ44" s="243"/>
      <c r="LA44" s="242"/>
      <c r="LB44" s="242"/>
      <c r="LC44" s="242"/>
      <c r="LD44" s="242"/>
      <c r="LE44" s="242"/>
      <c r="LF44" s="242"/>
      <c r="LG44" s="242"/>
      <c r="LH44" s="243"/>
      <c r="LI44" s="243"/>
      <c r="LJ44" s="243"/>
      <c r="LK44" s="243"/>
      <c r="LL44" s="243"/>
      <c r="LM44" s="243"/>
      <c r="LN44" s="243"/>
      <c r="LO44" s="242"/>
      <c r="LP44" s="242"/>
      <c r="LQ44" s="242"/>
      <c r="LR44" s="242"/>
      <c r="LS44" s="242"/>
      <c r="LT44" s="242"/>
      <c r="LU44" s="242"/>
      <c r="LV44" s="243"/>
      <c r="LW44" s="243"/>
      <c r="LX44" s="243"/>
      <c r="LY44" s="243"/>
      <c r="LZ44" s="243"/>
      <c r="MA44" s="243"/>
      <c r="MB44" s="243"/>
      <c r="MC44" s="242"/>
      <c r="MD44" s="242"/>
      <c r="ME44" s="242"/>
      <c r="MF44" s="242"/>
      <c r="MG44" s="242"/>
      <c r="MH44" s="242"/>
      <c r="MI44" s="242"/>
      <c r="MJ44" s="243"/>
      <c r="MK44" s="243"/>
      <c r="ML44" s="243"/>
      <c r="MM44" s="243"/>
      <c r="MN44" s="243"/>
      <c r="MO44" s="243"/>
      <c r="MP44" s="243"/>
      <c r="MQ44" s="242"/>
      <c r="MR44" s="242"/>
      <c r="MS44" s="242"/>
      <c r="MT44" s="242"/>
      <c r="MU44" s="242"/>
      <c r="MV44" s="242"/>
      <c r="MW44" s="242"/>
      <c r="MX44" s="243"/>
      <c r="MY44" s="243"/>
      <c r="MZ44" s="243"/>
      <c r="NA44" s="243"/>
      <c r="NB44" s="243"/>
      <c r="NC44" s="243"/>
      <c r="ND44" s="243"/>
      <c r="NE44" s="242"/>
      <c r="NF44" s="242"/>
      <c r="NG44" s="242"/>
      <c r="NH44" s="338" t="s">
        <v>1141</v>
      </c>
    </row>
    <row r="45" spans="1:372">
      <c r="A45" s="254" t="s">
        <v>970</v>
      </c>
      <c r="B45" s="239" t="s">
        <v>39</v>
      </c>
      <c r="C45" s="240" t="s">
        <v>674</v>
      </c>
      <c r="D45" s="240" t="s">
        <v>982</v>
      </c>
      <c r="E45" s="241">
        <v>13.897944433665314</v>
      </c>
      <c r="F45" s="252">
        <v>72</v>
      </c>
      <c r="G45" s="242"/>
      <c r="H45" s="242"/>
      <c r="I45" s="242"/>
      <c r="J45" s="242"/>
      <c r="K45" s="242"/>
      <c r="L45" s="243"/>
      <c r="M45" s="243"/>
      <c r="N45" s="243"/>
      <c r="O45" s="243"/>
      <c r="P45" s="243"/>
      <c r="Q45" s="243"/>
      <c r="R45" s="243"/>
      <c r="S45" s="242"/>
      <c r="T45" s="242"/>
      <c r="U45" s="242"/>
      <c r="V45" s="242"/>
      <c r="W45" s="242"/>
      <c r="X45" s="242"/>
      <c r="Y45" s="242"/>
      <c r="Z45" s="243"/>
      <c r="AA45" s="243"/>
      <c r="AB45" s="243"/>
      <c r="AC45" s="243"/>
      <c r="AD45" s="243"/>
      <c r="AE45" s="243"/>
      <c r="AF45" s="243"/>
      <c r="AG45" s="242"/>
      <c r="AH45" s="242"/>
      <c r="AI45" s="242"/>
      <c r="AJ45" s="242"/>
      <c r="AK45" s="242"/>
      <c r="AL45" s="242"/>
      <c r="AM45" s="242"/>
      <c r="AN45" s="243"/>
      <c r="AO45" s="243"/>
      <c r="AP45" s="243"/>
      <c r="AQ45" s="243"/>
      <c r="AR45" s="243"/>
      <c r="AS45" s="243"/>
      <c r="AT45" s="243"/>
      <c r="AU45" s="242"/>
      <c r="AV45" s="242"/>
      <c r="AW45" s="242"/>
      <c r="AX45" s="242"/>
      <c r="AY45" s="242"/>
      <c r="AZ45" s="242"/>
      <c r="BA45" s="242"/>
      <c r="BB45" s="243"/>
      <c r="BC45" s="243"/>
      <c r="BD45" s="243"/>
      <c r="BE45" s="243"/>
      <c r="BF45" s="243"/>
      <c r="BG45" s="243"/>
      <c r="BH45" s="243"/>
      <c r="BI45" s="242"/>
      <c r="BJ45" s="242"/>
      <c r="BK45" s="242"/>
      <c r="BL45" s="242"/>
      <c r="BM45" s="242"/>
      <c r="BN45" s="242"/>
      <c r="BO45" s="242"/>
      <c r="BP45" s="243"/>
      <c r="BQ45" s="243"/>
      <c r="BR45" s="243"/>
      <c r="BS45" s="243"/>
      <c r="BT45" s="243"/>
      <c r="BU45" s="243"/>
      <c r="BV45" s="243"/>
      <c r="BW45" s="242">
        <v>24</v>
      </c>
      <c r="BX45" s="242">
        <v>24</v>
      </c>
      <c r="BY45" s="242"/>
      <c r="BZ45" s="242"/>
      <c r="CA45" s="242"/>
      <c r="CB45" s="242"/>
      <c r="CC45" s="242"/>
      <c r="CD45" s="243"/>
      <c r="CE45" s="243"/>
      <c r="CF45" s="243"/>
      <c r="CG45" s="243"/>
      <c r="CH45" s="243"/>
      <c r="CI45" s="243"/>
      <c r="CJ45" s="243"/>
      <c r="CK45" s="242"/>
      <c r="CL45" s="242"/>
      <c r="CM45" s="242"/>
      <c r="CN45" s="242"/>
      <c r="CO45" s="242"/>
      <c r="CP45" s="242"/>
      <c r="CQ45" s="242"/>
      <c r="CR45" s="243"/>
      <c r="CS45" s="243"/>
      <c r="CT45" s="243"/>
      <c r="CU45" s="243"/>
      <c r="CV45" s="243"/>
      <c r="CW45" s="243"/>
      <c r="CX45" s="243"/>
      <c r="CY45" s="242"/>
      <c r="CZ45" s="242"/>
      <c r="DA45" s="242"/>
      <c r="DB45" s="242"/>
      <c r="DC45" s="242"/>
      <c r="DD45" s="242"/>
      <c r="DE45" s="242"/>
      <c r="DF45" s="243"/>
      <c r="DG45" s="243"/>
      <c r="DH45" s="243"/>
      <c r="DI45" s="243"/>
      <c r="DJ45" s="243"/>
      <c r="DK45" s="243"/>
      <c r="DL45" s="243"/>
      <c r="DM45" s="242"/>
      <c r="DN45" s="242"/>
      <c r="DO45" s="242"/>
      <c r="DP45" s="242"/>
      <c r="DQ45" s="242"/>
      <c r="DR45" s="242"/>
      <c r="DS45" s="242"/>
      <c r="DT45" s="243"/>
      <c r="DU45" s="243"/>
      <c r="DV45" s="243"/>
      <c r="DW45" s="243"/>
      <c r="DX45" s="243"/>
      <c r="DY45" s="243"/>
      <c r="DZ45" s="243"/>
      <c r="EA45" s="242"/>
      <c r="EB45" s="242"/>
      <c r="EC45" s="242"/>
      <c r="ED45" s="242"/>
      <c r="EE45" s="242"/>
      <c r="EF45" s="242"/>
      <c r="EG45" s="242"/>
      <c r="EH45" s="243"/>
      <c r="EI45" s="243"/>
      <c r="EJ45" s="243"/>
      <c r="EK45" s="243"/>
      <c r="EL45" s="243"/>
      <c r="EM45" s="243"/>
      <c r="EN45" s="243"/>
      <c r="EO45" s="242"/>
      <c r="EP45" s="242"/>
      <c r="EQ45" s="242"/>
      <c r="ER45" s="242"/>
      <c r="ES45" s="242"/>
      <c r="ET45" s="242"/>
      <c r="EU45" s="242"/>
      <c r="EV45" s="243"/>
      <c r="EW45" s="243"/>
      <c r="EX45" s="243"/>
      <c r="EY45" s="243"/>
      <c r="EZ45" s="243"/>
      <c r="FA45" s="243"/>
      <c r="FB45" s="243"/>
      <c r="FC45" s="242"/>
      <c r="FD45" s="242"/>
      <c r="FE45" s="242"/>
      <c r="FF45" s="242"/>
      <c r="FG45" s="242"/>
      <c r="FH45" s="242"/>
      <c r="FI45" s="242"/>
      <c r="FJ45" s="243"/>
      <c r="FK45" s="243">
        <v>24</v>
      </c>
      <c r="FL45" s="243"/>
      <c r="FM45" s="243"/>
      <c r="FN45" s="243"/>
      <c r="FO45" s="243"/>
      <c r="FP45" s="243"/>
      <c r="FQ45" s="242"/>
      <c r="FR45" s="242"/>
      <c r="FS45" s="242"/>
      <c r="FT45" s="242"/>
      <c r="FU45" s="242"/>
      <c r="FV45" s="242"/>
      <c r="FW45" s="242"/>
      <c r="FX45" s="243"/>
      <c r="FY45" s="243"/>
      <c r="FZ45" s="243"/>
      <c r="GA45" s="243"/>
      <c r="GB45" s="243"/>
      <c r="GC45" s="243"/>
      <c r="GD45" s="243"/>
      <c r="GE45" s="242"/>
      <c r="GF45" s="242"/>
      <c r="GG45" s="242"/>
      <c r="GH45" s="242"/>
      <c r="GI45" s="242"/>
      <c r="GJ45" s="242"/>
      <c r="GK45" s="242"/>
      <c r="GL45" s="243"/>
      <c r="GM45" s="243"/>
      <c r="GN45" s="243"/>
      <c r="GO45" s="243"/>
      <c r="GP45" s="243"/>
      <c r="GQ45" s="243"/>
      <c r="GR45" s="243"/>
      <c r="GS45" s="242"/>
      <c r="GT45" s="242"/>
      <c r="GU45" s="242"/>
      <c r="GV45" s="242"/>
      <c r="GW45" s="242"/>
      <c r="GX45" s="242"/>
      <c r="GY45" s="242"/>
      <c r="GZ45" s="243"/>
      <c r="HA45" s="243"/>
      <c r="HB45" s="243"/>
      <c r="HC45" s="243"/>
      <c r="HD45" s="243"/>
      <c r="HE45" s="243"/>
      <c r="HF45" s="243"/>
      <c r="HG45" s="242"/>
      <c r="HH45" s="242"/>
      <c r="HI45" s="242"/>
      <c r="HJ45" s="242"/>
      <c r="HK45" s="242"/>
      <c r="HL45" s="242"/>
      <c r="HM45" s="242"/>
      <c r="HN45" s="243"/>
      <c r="HO45" s="243"/>
      <c r="HP45" s="243"/>
      <c r="HQ45" s="243"/>
      <c r="HR45" s="243"/>
      <c r="HS45" s="243"/>
      <c r="HT45" s="243"/>
      <c r="HU45" s="242"/>
      <c r="HV45" s="242"/>
      <c r="HW45" s="242"/>
      <c r="HX45" s="242"/>
      <c r="HY45" s="242"/>
      <c r="HZ45" s="242"/>
      <c r="IA45" s="242"/>
      <c r="IB45" s="243"/>
      <c r="IC45" s="243"/>
      <c r="ID45" s="243"/>
      <c r="IE45" s="243"/>
      <c r="IF45" s="243"/>
      <c r="IG45" s="243"/>
      <c r="IH45" s="243"/>
      <c r="II45" s="242"/>
      <c r="IJ45" s="242"/>
      <c r="IK45" s="242"/>
      <c r="IL45" s="242"/>
      <c r="IM45" s="242"/>
      <c r="IN45" s="242"/>
      <c r="IO45" s="242"/>
      <c r="IP45" s="243"/>
      <c r="IQ45" s="243"/>
      <c r="IR45" s="243"/>
      <c r="IS45" s="243"/>
      <c r="IT45" s="243"/>
      <c r="IU45" s="243"/>
      <c r="IV45" s="243"/>
      <c r="IW45" s="242"/>
      <c r="IX45" s="242"/>
      <c r="IY45" s="242"/>
      <c r="IZ45" s="242"/>
      <c r="JA45" s="242"/>
      <c r="JB45" s="242"/>
      <c r="JC45" s="242"/>
      <c r="JD45" s="243"/>
      <c r="JE45" s="243"/>
      <c r="JF45" s="243"/>
      <c r="JG45" s="243"/>
      <c r="JH45" s="243"/>
      <c r="JI45" s="243"/>
      <c r="JJ45" s="243"/>
      <c r="JK45" s="242"/>
      <c r="JL45" s="242"/>
      <c r="JM45" s="242"/>
      <c r="JN45" s="242"/>
      <c r="JO45" s="242"/>
      <c r="JP45" s="242"/>
      <c r="JQ45" s="242"/>
      <c r="JR45" s="243"/>
      <c r="JS45" s="243"/>
      <c r="JT45" s="243"/>
      <c r="JU45" s="243"/>
      <c r="JV45" s="243"/>
      <c r="JW45" s="243"/>
      <c r="JX45" s="243"/>
      <c r="JY45" s="242"/>
      <c r="JZ45" s="242"/>
      <c r="KA45" s="242"/>
      <c r="KB45" s="242"/>
      <c r="KC45" s="242"/>
      <c r="KD45" s="242"/>
      <c r="KE45" s="242"/>
      <c r="KF45" s="243"/>
      <c r="KG45" s="243"/>
      <c r="KH45" s="243"/>
      <c r="KI45" s="243"/>
      <c r="KJ45" s="243"/>
      <c r="KK45" s="243"/>
      <c r="KL45" s="243"/>
      <c r="KM45" s="242"/>
      <c r="KN45" s="242"/>
      <c r="KO45" s="242"/>
      <c r="KP45" s="242"/>
      <c r="KQ45" s="242"/>
      <c r="KR45" s="242"/>
      <c r="KS45" s="242"/>
      <c r="KT45" s="243"/>
      <c r="KU45" s="243"/>
      <c r="KV45" s="243"/>
      <c r="KW45" s="243"/>
      <c r="KX45" s="243"/>
      <c r="KY45" s="243"/>
      <c r="KZ45" s="243"/>
      <c r="LA45" s="242"/>
      <c r="LB45" s="242"/>
      <c r="LC45" s="242"/>
      <c r="LD45" s="242"/>
      <c r="LE45" s="242"/>
      <c r="LF45" s="242"/>
      <c r="LG45" s="242"/>
      <c r="LH45" s="243"/>
      <c r="LI45" s="243"/>
      <c r="LJ45" s="243"/>
      <c r="LK45" s="243"/>
      <c r="LL45" s="243"/>
      <c r="LM45" s="243"/>
      <c r="LN45" s="243"/>
      <c r="LO45" s="242"/>
      <c r="LP45" s="242"/>
      <c r="LQ45" s="242"/>
      <c r="LR45" s="242"/>
      <c r="LS45" s="242"/>
      <c r="LT45" s="242"/>
      <c r="LU45" s="242"/>
      <c r="LV45" s="243"/>
      <c r="LW45" s="243"/>
      <c r="LX45" s="243"/>
      <c r="LY45" s="243"/>
      <c r="LZ45" s="243"/>
      <c r="MA45" s="243"/>
      <c r="MB45" s="243"/>
      <c r="MC45" s="242"/>
      <c r="MD45" s="242"/>
      <c r="ME45" s="242"/>
      <c r="MF45" s="242"/>
      <c r="MG45" s="242"/>
      <c r="MH45" s="242"/>
      <c r="MI45" s="242"/>
      <c r="MJ45" s="243"/>
      <c r="MK45" s="243"/>
      <c r="ML45" s="243"/>
      <c r="MM45" s="243"/>
      <c r="MN45" s="243"/>
      <c r="MO45" s="243"/>
      <c r="MP45" s="243"/>
      <c r="MQ45" s="242"/>
      <c r="MR45" s="242"/>
      <c r="MS45" s="242"/>
      <c r="MT45" s="242"/>
      <c r="MU45" s="242"/>
      <c r="MV45" s="242"/>
      <c r="MW45" s="242"/>
      <c r="MX45" s="243"/>
      <c r="MY45" s="243"/>
      <c r="MZ45" s="243"/>
      <c r="NA45" s="243"/>
      <c r="NB45" s="243"/>
      <c r="NC45" s="243"/>
      <c r="ND45" s="243"/>
      <c r="NE45" s="242"/>
      <c r="NF45" s="242"/>
      <c r="NG45" s="242"/>
      <c r="NH45" s="338" t="s">
        <v>1141</v>
      </c>
    </row>
    <row r="46" spans="1:372">
      <c r="A46" s="254" t="s">
        <v>970</v>
      </c>
      <c r="B46" s="239" t="s">
        <v>476</v>
      </c>
      <c r="C46" s="240" t="s">
        <v>674</v>
      </c>
      <c r="D46" s="240" t="s">
        <v>982</v>
      </c>
      <c r="E46" s="241">
        <v>0</v>
      </c>
      <c r="F46" s="252">
        <v>144</v>
      </c>
      <c r="G46" s="242"/>
      <c r="H46" s="242"/>
      <c r="I46" s="242"/>
      <c r="J46" s="242"/>
      <c r="K46" s="242"/>
      <c r="L46" s="243"/>
      <c r="M46" s="243"/>
      <c r="N46" s="243"/>
      <c r="O46" s="243"/>
      <c r="P46" s="243"/>
      <c r="Q46" s="243"/>
      <c r="R46" s="243"/>
      <c r="S46" s="242"/>
      <c r="T46" s="242"/>
      <c r="U46" s="242"/>
      <c r="V46" s="242"/>
      <c r="W46" s="242"/>
      <c r="X46" s="242"/>
      <c r="Y46" s="242"/>
      <c r="Z46" s="243"/>
      <c r="AA46" s="243"/>
      <c r="AB46" s="243"/>
      <c r="AC46" s="243"/>
      <c r="AD46" s="243"/>
      <c r="AE46" s="243"/>
      <c r="AF46" s="243"/>
      <c r="AG46" s="242"/>
      <c r="AH46" s="242"/>
      <c r="AI46" s="242"/>
      <c r="AJ46" s="242"/>
      <c r="AK46" s="242"/>
      <c r="AL46" s="242"/>
      <c r="AM46" s="242"/>
      <c r="AN46" s="243"/>
      <c r="AO46" s="243"/>
      <c r="AP46" s="243"/>
      <c r="AQ46" s="243"/>
      <c r="AR46" s="243"/>
      <c r="AS46" s="243"/>
      <c r="AT46" s="243"/>
      <c r="AU46" s="242"/>
      <c r="AV46" s="242"/>
      <c r="AW46" s="242"/>
      <c r="AX46" s="242"/>
      <c r="AY46" s="242"/>
      <c r="AZ46" s="242"/>
      <c r="BA46" s="242"/>
      <c r="BB46" s="243"/>
      <c r="BC46" s="243"/>
      <c r="BD46" s="243"/>
      <c r="BE46" s="243"/>
      <c r="BF46" s="243"/>
      <c r="BG46" s="243"/>
      <c r="BH46" s="243"/>
      <c r="BI46" s="242"/>
      <c r="BJ46" s="242"/>
      <c r="BK46" s="242"/>
      <c r="BL46" s="242"/>
      <c r="BM46" s="242"/>
      <c r="BN46" s="242"/>
      <c r="BO46" s="242"/>
      <c r="BP46" s="243"/>
      <c r="BQ46" s="243"/>
      <c r="BR46" s="243"/>
      <c r="BS46" s="243"/>
      <c r="BT46" s="243"/>
      <c r="BU46" s="243"/>
      <c r="BV46" s="243"/>
      <c r="BW46" s="242">
        <v>24</v>
      </c>
      <c r="BX46" s="242">
        <v>24</v>
      </c>
      <c r="BY46" s="242"/>
      <c r="BZ46" s="242"/>
      <c r="CA46" s="242"/>
      <c r="CB46" s="242"/>
      <c r="CC46" s="242"/>
      <c r="CD46" s="243"/>
      <c r="CE46" s="243"/>
      <c r="CF46" s="243"/>
      <c r="CG46" s="243"/>
      <c r="CH46" s="243"/>
      <c r="CI46" s="243"/>
      <c r="CJ46" s="243"/>
      <c r="CK46" s="242"/>
      <c r="CL46" s="242"/>
      <c r="CM46" s="242"/>
      <c r="CN46" s="242"/>
      <c r="CO46" s="242"/>
      <c r="CP46" s="242"/>
      <c r="CQ46" s="242"/>
      <c r="CR46" s="243"/>
      <c r="CS46" s="243"/>
      <c r="CT46" s="243"/>
      <c r="CU46" s="243"/>
      <c r="CV46" s="243"/>
      <c r="CW46" s="243"/>
      <c r="CX46" s="243"/>
      <c r="CY46" s="242"/>
      <c r="CZ46" s="242"/>
      <c r="DA46" s="242"/>
      <c r="DB46" s="242"/>
      <c r="DC46" s="242"/>
      <c r="DD46" s="242"/>
      <c r="DE46" s="242"/>
      <c r="DF46" s="243"/>
      <c r="DG46" s="243"/>
      <c r="DH46" s="243"/>
      <c r="DI46" s="243"/>
      <c r="DJ46" s="243"/>
      <c r="DK46" s="243"/>
      <c r="DL46" s="243"/>
      <c r="DM46" s="242"/>
      <c r="DN46" s="242"/>
      <c r="DO46" s="242"/>
      <c r="DP46" s="242"/>
      <c r="DQ46" s="242"/>
      <c r="DR46" s="242"/>
      <c r="DS46" s="242"/>
      <c r="DT46" s="243"/>
      <c r="DU46" s="243"/>
      <c r="DV46" s="243"/>
      <c r="DW46" s="243"/>
      <c r="DX46" s="243"/>
      <c r="DY46" s="243"/>
      <c r="DZ46" s="243"/>
      <c r="EA46" s="242"/>
      <c r="EB46" s="242"/>
      <c r="EC46" s="242"/>
      <c r="ED46" s="242"/>
      <c r="EE46" s="242"/>
      <c r="EF46" s="242"/>
      <c r="EG46" s="242"/>
      <c r="EH46" s="243"/>
      <c r="EI46" s="243"/>
      <c r="EJ46" s="243"/>
      <c r="EK46" s="243"/>
      <c r="EL46" s="243"/>
      <c r="EM46" s="243"/>
      <c r="EN46" s="243"/>
      <c r="EO46" s="242"/>
      <c r="EP46" s="242"/>
      <c r="EQ46" s="242"/>
      <c r="ER46" s="242"/>
      <c r="ES46" s="242"/>
      <c r="ET46" s="242"/>
      <c r="EU46" s="242"/>
      <c r="EV46" s="243"/>
      <c r="EW46" s="243"/>
      <c r="EX46" s="243"/>
      <c r="EY46" s="243"/>
      <c r="EZ46" s="243"/>
      <c r="FA46" s="243"/>
      <c r="FB46" s="243"/>
      <c r="FC46" s="242"/>
      <c r="FD46" s="242"/>
      <c r="FE46" s="242"/>
      <c r="FF46" s="242"/>
      <c r="FG46" s="242"/>
      <c r="FH46" s="242"/>
      <c r="FI46" s="242"/>
      <c r="FJ46" s="243"/>
      <c r="FK46" s="243"/>
      <c r="FL46" s="243"/>
      <c r="FM46" s="243"/>
      <c r="FN46" s="243"/>
      <c r="FO46" s="243"/>
      <c r="FP46" s="243"/>
      <c r="FQ46" s="242"/>
      <c r="FR46" s="242"/>
      <c r="FS46" s="242"/>
      <c r="FT46" s="242"/>
      <c r="FU46" s="242"/>
      <c r="FV46" s="242"/>
      <c r="FW46" s="242"/>
      <c r="FX46" s="243"/>
      <c r="FY46" s="243"/>
      <c r="FZ46" s="243"/>
      <c r="GA46" s="243"/>
      <c r="GB46" s="243"/>
      <c r="GC46" s="243"/>
      <c r="GD46" s="243">
        <v>16</v>
      </c>
      <c r="GE46" s="242">
        <v>24</v>
      </c>
      <c r="GF46" s="242">
        <v>24</v>
      </c>
      <c r="GG46" s="242">
        <v>24</v>
      </c>
      <c r="GH46" s="242">
        <v>8</v>
      </c>
      <c r="GI46" s="242"/>
      <c r="GJ46" s="242"/>
      <c r="GK46" s="242"/>
      <c r="GL46" s="243"/>
      <c r="GM46" s="243"/>
      <c r="GN46" s="243"/>
      <c r="GO46" s="243"/>
      <c r="GP46" s="243"/>
      <c r="GQ46" s="243"/>
      <c r="GR46" s="243"/>
      <c r="GS46" s="242"/>
      <c r="GT46" s="242"/>
      <c r="GU46" s="242"/>
      <c r="GV46" s="242"/>
      <c r="GW46" s="242"/>
      <c r="GX46" s="242"/>
      <c r="GY46" s="242"/>
      <c r="GZ46" s="243"/>
      <c r="HA46" s="243"/>
      <c r="HB46" s="243"/>
      <c r="HC46" s="243"/>
      <c r="HD46" s="243"/>
      <c r="HE46" s="243"/>
      <c r="HF46" s="243"/>
      <c r="HG46" s="242"/>
      <c r="HH46" s="242"/>
      <c r="HI46" s="242"/>
      <c r="HJ46" s="242"/>
      <c r="HK46" s="242"/>
      <c r="HL46" s="242"/>
      <c r="HM46" s="242"/>
      <c r="HN46" s="243"/>
      <c r="HO46" s="243"/>
      <c r="HP46" s="243"/>
      <c r="HQ46" s="243"/>
      <c r="HR46" s="243"/>
      <c r="HS46" s="243"/>
      <c r="HT46" s="243"/>
      <c r="HU46" s="242"/>
      <c r="HV46" s="242"/>
      <c r="HW46" s="242"/>
      <c r="HX46" s="242"/>
      <c r="HY46" s="242"/>
      <c r="HZ46" s="242"/>
      <c r="IA46" s="242"/>
      <c r="IB46" s="243"/>
      <c r="IC46" s="243"/>
      <c r="ID46" s="243"/>
      <c r="IE46" s="243"/>
      <c r="IF46" s="243"/>
      <c r="IG46" s="243"/>
      <c r="IH46" s="243"/>
      <c r="II46" s="242"/>
      <c r="IJ46" s="242"/>
      <c r="IK46" s="242"/>
      <c r="IL46" s="242"/>
      <c r="IM46" s="242"/>
      <c r="IN46" s="242"/>
      <c r="IO46" s="242"/>
      <c r="IP46" s="243"/>
      <c r="IQ46" s="243"/>
      <c r="IR46" s="243"/>
      <c r="IS46" s="243"/>
      <c r="IT46" s="243"/>
      <c r="IU46" s="243"/>
      <c r="IV46" s="243"/>
      <c r="IW46" s="242"/>
      <c r="IX46" s="242"/>
      <c r="IY46" s="242"/>
      <c r="IZ46" s="242"/>
      <c r="JA46" s="242"/>
      <c r="JB46" s="242"/>
      <c r="JC46" s="242"/>
      <c r="JD46" s="243"/>
      <c r="JE46" s="243"/>
      <c r="JF46" s="243"/>
      <c r="JG46" s="243"/>
      <c r="JH46" s="243"/>
      <c r="JI46" s="243"/>
      <c r="JJ46" s="243"/>
      <c r="JK46" s="242"/>
      <c r="JL46" s="242"/>
      <c r="JM46" s="242"/>
      <c r="JN46" s="242"/>
      <c r="JO46" s="242"/>
      <c r="JP46" s="242"/>
      <c r="JQ46" s="242"/>
      <c r="JR46" s="243"/>
      <c r="JS46" s="243"/>
      <c r="JT46" s="243"/>
      <c r="JU46" s="243"/>
      <c r="JV46" s="243"/>
      <c r="JW46" s="243"/>
      <c r="JX46" s="243"/>
      <c r="JY46" s="242"/>
      <c r="JZ46" s="242"/>
      <c r="KA46" s="242"/>
      <c r="KB46" s="242"/>
      <c r="KC46" s="242"/>
      <c r="KD46" s="242"/>
      <c r="KE46" s="242"/>
      <c r="KF46" s="243"/>
      <c r="KG46" s="243"/>
      <c r="KH46" s="243"/>
      <c r="KI46" s="243"/>
      <c r="KJ46" s="243"/>
      <c r="KK46" s="243"/>
      <c r="KL46" s="243"/>
      <c r="KM46" s="242"/>
      <c r="KN46" s="242"/>
      <c r="KO46" s="242"/>
      <c r="KP46" s="242"/>
      <c r="KQ46" s="242"/>
      <c r="KR46" s="242"/>
      <c r="KS46" s="242"/>
      <c r="KT46" s="243"/>
      <c r="KU46" s="243"/>
      <c r="KV46" s="243"/>
      <c r="KW46" s="243"/>
      <c r="KX46" s="243"/>
      <c r="KY46" s="243"/>
      <c r="KZ46" s="243"/>
      <c r="LA46" s="242"/>
      <c r="LB46" s="242"/>
      <c r="LC46" s="242"/>
      <c r="LD46" s="242"/>
      <c r="LE46" s="242"/>
      <c r="LF46" s="242"/>
      <c r="LG46" s="242"/>
      <c r="LH46" s="243"/>
      <c r="LI46" s="243"/>
      <c r="LJ46" s="243"/>
      <c r="LK46" s="243"/>
      <c r="LL46" s="243"/>
      <c r="LM46" s="243"/>
      <c r="LN46" s="243"/>
      <c r="LO46" s="242"/>
      <c r="LP46" s="242"/>
      <c r="LQ46" s="242"/>
      <c r="LR46" s="242"/>
      <c r="LS46" s="242"/>
      <c r="LT46" s="242"/>
      <c r="LU46" s="242"/>
      <c r="LV46" s="243"/>
      <c r="LW46" s="243"/>
      <c r="LX46" s="243"/>
      <c r="LY46" s="243"/>
      <c r="LZ46" s="243"/>
      <c r="MA46" s="243"/>
      <c r="MB46" s="243"/>
      <c r="MC46" s="242"/>
      <c r="MD46" s="242"/>
      <c r="ME46" s="242"/>
      <c r="MF46" s="242"/>
      <c r="MG46" s="242"/>
      <c r="MH46" s="242"/>
      <c r="MI46" s="242"/>
      <c r="MJ46" s="243"/>
      <c r="MK46" s="243"/>
      <c r="ML46" s="243"/>
      <c r="MM46" s="243"/>
      <c r="MN46" s="243"/>
      <c r="MO46" s="243"/>
      <c r="MP46" s="243"/>
      <c r="MQ46" s="242"/>
      <c r="MR46" s="242"/>
      <c r="MS46" s="242"/>
      <c r="MT46" s="242"/>
      <c r="MU46" s="242"/>
      <c r="MV46" s="242"/>
      <c r="MW46" s="242"/>
      <c r="MX46" s="243"/>
      <c r="MY46" s="243"/>
      <c r="MZ46" s="243"/>
      <c r="NA46" s="243"/>
      <c r="NB46" s="243"/>
      <c r="NC46" s="243"/>
      <c r="ND46" s="243"/>
      <c r="NE46" s="242"/>
      <c r="NF46" s="242"/>
      <c r="NG46" s="242"/>
      <c r="NH46" s="338" t="s">
        <v>1141</v>
      </c>
    </row>
    <row r="47" spans="1:372">
      <c r="A47" s="254" t="s">
        <v>970</v>
      </c>
      <c r="B47" s="239" t="s">
        <v>40</v>
      </c>
      <c r="C47" s="240" t="s">
        <v>674</v>
      </c>
      <c r="D47" s="240" t="s">
        <v>997</v>
      </c>
      <c r="E47" s="241">
        <v>373.62911106933336</v>
      </c>
      <c r="F47" s="252">
        <v>232</v>
      </c>
      <c r="G47" s="242"/>
      <c r="H47" s="242"/>
      <c r="I47" s="242"/>
      <c r="J47" s="242"/>
      <c r="K47" s="242"/>
      <c r="L47" s="243"/>
      <c r="M47" s="243"/>
      <c r="N47" s="243"/>
      <c r="O47" s="243"/>
      <c r="P47" s="243"/>
      <c r="Q47" s="243"/>
      <c r="R47" s="243"/>
      <c r="S47" s="242"/>
      <c r="T47" s="242"/>
      <c r="U47" s="242"/>
      <c r="V47" s="242"/>
      <c r="W47" s="242"/>
      <c r="X47" s="242"/>
      <c r="Y47" s="242"/>
      <c r="Z47" s="243">
        <v>24</v>
      </c>
      <c r="AA47" s="243">
        <v>24</v>
      </c>
      <c r="AB47" s="243">
        <v>16</v>
      </c>
      <c r="AC47" s="243"/>
      <c r="AD47" s="243"/>
      <c r="AE47" s="243"/>
      <c r="AF47" s="243"/>
      <c r="AG47" s="242"/>
      <c r="AH47" s="242"/>
      <c r="AI47" s="242"/>
      <c r="AJ47" s="242"/>
      <c r="AK47" s="242"/>
      <c r="AL47" s="242"/>
      <c r="AM47" s="242"/>
      <c r="AN47" s="243"/>
      <c r="AO47" s="243"/>
      <c r="AP47" s="243"/>
      <c r="AQ47" s="243"/>
      <c r="AR47" s="243"/>
      <c r="AS47" s="243"/>
      <c r="AT47" s="243"/>
      <c r="AU47" s="242"/>
      <c r="AV47" s="242"/>
      <c r="AW47" s="242"/>
      <c r="AX47" s="242"/>
      <c r="AY47" s="242"/>
      <c r="AZ47" s="242"/>
      <c r="BA47" s="242"/>
      <c r="BB47" s="243"/>
      <c r="BC47" s="243"/>
      <c r="BD47" s="243"/>
      <c r="BE47" s="243"/>
      <c r="BF47" s="243"/>
      <c r="BG47" s="243"/>
      <c r="BH47" s="243"/>
      <c r="BI47" s="242"/>
      <c r="BJ47" s="242"/>
      <c r="BK47" s="242"/>
      <c r="BL47" s="242"/>
      <c r="BM47" s="242"/>
      <c r="BN47" s="242"/>
      <c r="BO47" s="242"/>
      <c r="BP47" s="243"/>
      <c r="BQ47" s="243"/>
      <c r="BR47" s="243"/>
      <c r="BS47" s="243"/>
      <c r="BT47" s="243"/>
      <c r="BU47" s="243"/>
      <c r="BV47" s="243"/>
      <c r="BW47" s="242">
        <v>24</v>
      </c>
      <c r="BX47" s="242">
        <v>24</v>
      </c>
      <c r="BY47" s="242"/>
      <c r="BZ47" s="242"/>
      <c r="CA47" s="242"/>
      <c r="CB47" s="242"/>
      <c r="CC47" s="242"/>
      <c r="CD47" s="243"/>
      <c r="CE47" s="243"/>
      <c r="CF47" s="243"/>
      <c r="CG47" s="243"/>
      <c r="CH47" s="243"/>
      <c r="CI47" s="243"/>
      <c r="CJ47" s="243"/>
      <c r="CK47" s="242"/>
      <c r="CL47" s="242"/>
      <c r="CM47" s="242"/>
      <c r="CN47" s="242"/>
      <c r="CO47" s="242"/>
      <c r="CP47" s="242"/>
      <c r="CQ47" s="242"/>
      <c r="CR47" s="243"/>
      <c r="CS47" s="243"/>
      <c r="CT47" s="243"/>
      <c r="CU47" s="243"/>
      <c r="CV47" s="243"/>
      <c r="CW47" s="243"/>
      <c r="CX47" s="243"/>
      <c r="CY47" s="242"/>
      <c r="CZ47" s="242"/>
      <c r="DA47" s="242"/>
      <c r="DB47" s="242"/>
      <c r="DC47" s="242"/>
      <c r="DD47" s="242"/>
      <c r="DE47" s="242"/>
      <c r="DF47" s="243"/>
      <c r="DG47" s="243"/>
      <c r="DH47" s="243"/>
      <c r="DI47" s="243"/>
      <c r="DJ47" s="243"/>
      <c r="DK47" s="243"/>
      <c r="DL47" s="243"/>
      <c r="DM47" s="242"/>
      <c r="DN47" s="242"/>
      <c r="DO47" s="242"/>
      <c r="DP47" s="242"/>
      <c r="DQ47" s="242"/>
      <c r="DR47" s="242"/>
      <c r="DS47" s="242"/>
      <c r="DT47" s="243"/>
      <c r="DU47" s="243"/>
      <c r="DV47" s="243"/>
      <c r="DW47" s="243"/>
      <c r="DX47" s="243"/>
      <c r="DY47" s="243"/>
      <c r="DZ47" s="243"/>
      <c r="EA47" s="242"/>
      <c r="EB47" s="242"/>
      <c r="EC47" s="242"/>
      <c r="ED47" s="242"/>
      <c r="EE47" s="242"/>
      <c r="EF47" s="242"/>
      <c r="EG47" s="242"/>
      <c r="EH47" s="243"/>
      <c r="EI47" s="243"/>
      <c r="EJ47" s="243"/>
      <c r="EK47" s="243"/>
      <c r="EL47" s="243"/>
      <c r="EM47" s="243"/>
      <c r="EN47" s="243"/>
      <c r="EO47" s="242"/>
      <c r="EP47" s="242"/>
      <c r="EQ47" s="242"/>
      <c r="ER47" s="242"/>
      <c r="ES47" s="242"/>
      <c r="ET47" s="242"/>
      <c r="EU47" s="242"/>
      <c r="EV47" s="243"/>
      <c r="EW47" s="243"/>
      <c r="EX47" s="243"/>
      <c r="EY47" s="243"/>
      <c r="EZ47" s="243"/>
      <c r="FA47" s="243"/>
      <c r="FB47" s="243"/>
      <c r="FC47" s="242"/>
      <c r="FD47" s="242"/>
      <c r="FE47" s="242"/>
      <c r="FF47" s="242"/>
      <c r="FG47" s="242"/>
      <c r="FH47" s="242"/>
      <c r="FI47" s="242"/>
      <c r="FJ47" s="243"/>
      <c r="FK47" s="243"/>
      <c r="FL47" s="243"/>
      <c r="FM47" s="243"/>
      <c r="FN47" s="243"/>
      <c r="FO47" s="243"/>
      <c r="FP47" s="243"/>
      <c r="FQ47" s="242"/>
      <c r="FR47" s="242"/>
      <c r="FS47" s="242"/>
      <c r="FT47" s="242"/>
      <c r="FU47" s="242"/>
      <c r="FV47" s="242"/>
      <c r="FW47" s="242"/>
      <c r="FX47" s="243"/>
      <c r="FY47" s="243"/>
      <c r="FZ47" s="243"/>
      <c r="GA47" s="243"/>
      <c r="GB47" s="243"/>
      <c r="GC47" s="243"/>
      <c r="GD47" s="243"/>
      <c r="GE47" s="242"/>
      <c r="GF47" s="242"/>
      <c r="GG47" s="242"/>
      <c r="GH47" s="242"/>
      <c r="GI47" s="242"/>
      <c r="GJ47" s="242"/>
      <c r="GK47" s="242"/>
      <c r="GL47" s="243"/>
      <c r="GM47" s="243"/>
      <c r="GN47" s="243"/>
      <c r="GO47" s="243"/>
      <c r="GP47" s="243"/>
      <c r="GQ47" s="243"/>
      <c r="GR47" s="243"/>
      <c r="GS47" s="242"/>
      <c r="GT47" s="242"/>
      <c r="GU47" s="242"/>
      <c r="GV47" s="242"/>
      <c r="GW47" s="242"/>
      <c r="GX47" s="242"/>
      <c r="GY47" s="242"/>
      <c r="GZ47" s="243"/>
      <c r="HA47" s="243"/>
      <c r="HB47" s="243"/>
      <c r="HC47" s="243"/>
      <c r="HD47" s="243"/>
      <c r="HE47" s="243"/>
      <c r="HF47" s="243"/>
      <c r="HG47" s="242"/>
      <c r="HH47" s="242"/>
      <c r="HI47" s="242"/>
      <c r="HJ47" s="242"/>
      <c r="HK47" s="242"/>
      <c r="HL47" s="242"/>
      <c r="HM47" s="242"/>
      <c r="HN47" s="243"/>
      <c r="HO47" s="243"/>
      <c r="HP47" s="243"/>
      <c r="HQ47" s="243"/>
      <c r="HR47" s="243"/>
      <c r="HS47" s="243"/>
      <c r="HT47" s="243"/>
      <c r="HU47" s="242"/>
      <c r="HV47" s="242"/>
      <c r="HW47" s="242"/>
      <c r="HX47" s="242"/>
      <c r="HY47" s="242"/>
      <c r="HZ47" s="242"/>
      <c r="IA47" s="242"/>
      <c r="IB47" s="243"/>
      <c r="IC47" s="243"/>
      <c r="ID47" s="243"/>
      <c r="IE47" s="243"/>
      <c r="IF47" s="243"/>
      <c r="IG47" s="243"/>
      <c r="IH47" s="243"/>
      <c r="II47" s="242"/>
      <c r="IJ47" s="242"/>
      <c r="IK47" s="242"/>
      <c r="IL47" s="242"/>
      <c r="IM47" s="242"/>
      <c r="IN47" s="242"/>
      <c r="IO47" s="242"/>
      <c r="IP47" s="243"/>
      <c r="IQ47" s="243"/>
      <c r="IR47" s="243"/>
      <c r="IS47" s="243"/>
      <c r="IT47" s="243"/>
      <c r="IU47" s="243"/>
      <c r="IV47" s="243">
        <v>16</v>
      </c>
      <c r="IW47" s="242">
        <v>24</v>
      </c>
      <c r="IX47" s="242">
        <v>24</v>
      </c>
      <c r="IY47" s="242">
        <v>24</v>
      </c>
      <c r="IZ47" s="242">
        <v>24</v>
      </c>
      <c r="JA47" s="242">
        <v>8</v>
      </c>
      <c r="JB47" s="242"/>
      <c r="JC47" s="242"/>
      <c r="JD47" s="243"/>
      <c r="JE47" s="243"/>
      <c r="JF47" s="243"/>
      <c r="JG47" s="243"/>
      <c r="JH47" s="243"/>
      <c r="JI47" s="243"/>
      <c r="JJ47" s="243"/>
      <c r="JK47" s="242"/>
      <c r="JL47" s="242"/>
      <c r="JM47" s="242"/>
      <c r="JN47" s="242"/>
      <c r="JO47" s="242"/>
      <c r="JP47" s="242"/>
      <c r="JQ47" s="242"/>
      <c r="JR47" s="243"/>
      <c r="JS47" s="243"/>
      <c r="JT47" s="243"/>
      <c r="JU47" s="243"/>
      <c r="JV47" s="243"/>
      <c r="JW47" s="243"/>
      <c r="JX47" s="243"/>
      <c r="JY47" s="242"/>
      <c r="JZ47" s="242"/>
      <c r="KA47" s="242"/>
      <c r="KB47" s="242"/>
      <c r="KC47" s="242"/>
      <c r="KD47" s="242"/>
      <c r="KE47" s="242"/>
      <c r="KF47" s="243"/>
      <c r="KG47" s="243"/>
      <c r="KH47" s="243"/>
      <c r="KI47" s="243"/>
      <c r="KJ47" s="243"/>
      <c r="KK47" s="243"/>
      <c r="KL47" s="243"/>
      <c r="KM47" s="242"/>
      <c r="KN47" s="242"/>
      <c r="KO47" s="242"/>
      <c r="KP47" s="242"/>
      <c r="KQ47" s="242"/>
      <c r="KR47" s="242"/>
      <c r="KS47" s="242"/>
      <c r="KT47" s="243"/>
      <c r="KU47" s="243"/>
      <c r="KV47" s="243"/>
      <c r="KW47" s="243"/>
      <c r="KX47" s="243"/>
      <c r="KY47" s="243"/>
      <c r="KZ47" s="243"/>
      <c r="LA47" s="242"/>
      <c r="LB47" s="242"/>
      <c r="LC47" s="242"/>
      <c r="LD47" s="242"/>
      <c r="LE47" s="242"/>
      <c r="LF47" s="242"/>
      <c r="LG47" s="242"/>
      <c r="LH47" s="243"/>
      <c r="LI47" s="243"/>
      <c r="LJ47" s="243"/>
      <c r="LK47" s="243"/>
      <c r="LL47" s="243"/>
      <c r="LM47" s="243"/>
      <c r="LN47" s="243"/>
      <c r="LO47" s="242"/>
      <c r="LP47" s="242"/>
      <c r="LQ47" s="242"/>
      <c r="LR47" s="242"/>
      <c r="LS47" s="242"/>
      <c r="LT47" s="242"/>
      <c r="LU47" s="242"/>
      <c r="LV47" s="243"/>
      <c r="LW47" s="243"/>
      <c r="LX47" s="243"/>
      <c r="LY47" s="243"/>
      <c r="LZ47" s="243"/>
      <c r="MA47" s="243"/>
      <c r="MB47" s="243"/>
      <c r="MC47" s="242"/>
      <c r="MD47" s="242"/>
      <c r="ME47" s="242"/>
      <c r="MF47" s="242"/>
      <c r="MG47" s="242"/>
      <c r="MH47" s="242"/>
      <c r="MI47" s="242"/>
      <c r="MJ47" s="243"/>
      <c r="MK47" s="243"/>
      <c r="ML47" s="243"/>
      <c r="MM47" s="243"/>
      <c r="MN47" s="243"/>
      <c r="MO47" s="243"/>
      <c r="MP47" s="243"/>
      <c r="MQ47" s="242"/>
      <c r="MR47" s="242"/>
      <c r="MS47" s="242"/>
      <c r="MT47" s="242"/>
      <c r="MU47" s="242"/>
      <c r="MV47" s="242"/>
      <c r="MW47" s="242"/>
      <c r="MX47" s="243"/>
      <c r="MY47" s="243"/>
      <c r="MZ47" s="243"/>
      <c r="NA47" s="243"/>
      <c r="NB47" s="243"/>
      <c r="NC47" s="243"/>
      <c r="ND47" s="243"/>
      <c r="NE47" s="242"/>
      <c r="NF47" s="242"/>
      <c r="NG47" s="242"/>
      <c r="NH47" s="338" t="s">
        <v>1142</v>
      </c>
    </row>
    <row r="48" spans="1:372">
      <c r="A48" s="254" t="s">
        <v>970</v>
      </c>
      <c r="B48" s="239" t="s">
        <v>41</v>
      </c>
      <c r="C48" s="240" t="s">
        <v>674</v>
      </c>
      <c r="D48" s="240" t="s">
        <v>982</v>
      </c>
      <c r="E48" s="241">
        <v>0</v>
      </c>
      <c r="F48" s="252">
        <v>48</v>
      </c>
      <c r="G48" s="242"/>
      <c r="H48" s="242"/>
      <c r="I48" s="242"/>
      <c r="J48" s="242"/>
      <c r="K48" s="242"/>
      <c r="L48" s="243"/>
      <c r="M48" s="243"/>
      <c r="N48" s="243"/>
      <c r="O48" s="243"/>
      <c r="P48" s="243"/>
      <c r="Q48" s="243"/>
      <c r="R48" s="243"/>
      <c r="S48" s="242"/>
      <c r="T48" s="242"/>
      <c r="U48" s="242"/>
      <c r="V48" s="242"/>
      <c r="W48" s="242"/>
      <c r="X48" s="242"/>
      <c r="Y48" s="242"/>
      <c r="Z48" s="243"/>
      <c r="AA48" s="243"/>
      <c r="AB48" s="243"/>
      <c r="AC48" s="243"/>
      <c r="AD48" s="243"/>
      <c r="AE48" s="243"/>
      <c r="AF48" s="243"/>
      <c r="AG48" s="242"/>
      <c r="AH48" s="242"/>
      <c r="AI48" s="242"/>
      <c r="AJ48" s="242"/>
      <c r="AK48" s="242"/>
      <c r="AL48" s="242"/>
      <c r="AM48" s="242"/>
      <c r="AN48" s="243"/>
      <c r="AO48" s="243"/>
      <c r="AP48" s="243"/>
      <c r="AQ48" s="243"/>
      <c r="AR48" s="243"/>
      <c r="AS48" s="243"/>
      <c r="AT48" s="243"/>
      <c r="AU48" s="242"/>
      <c r="AV48" s="242"/>
      <c r="AW48" s="242"/>
      <c r="AX48" s="242"/>
      <c r="AY48" s="242"/>
      <c r="AZ48" s="242"/>
      <c r="BA48" s="242"/>
      <c r="BB48" s="243"/>
      <c r="BC48" s="243"/>
      <c r="BD48" s="243"/>
      <c r="BE48" s="243"/>
      <c r="BF48" s="243"/>
      <c r="BG48" s="243"/>
      <c r="BH48" s="243"/>
      <c r="BI48" s="242"/>
      <c r="BJ48" s="242"/>
      <c r="BK48" s="242"/>
      <c r="BL48" s="242"/>
      <c r="BM48" s="242"/>
      <c r="BN48" s="242"/>
      <c r="BO48" s="242"/>
      <c r="BP48" s="243"/>
      <c r="BQ48" s="243"/>
      <c r="BR48" s="243"/>
      <c r="BS48" s="243"/>
      <c r="BT48" s="243"/>
      <c r="BU48" s="243"/>
      <c r="BV48" s="243"/>
      <c r="BW48" s="242">
        <v>24</v>
      </c>
      <c r="BX48" s="242">
        <v>24</v>
      </c>
      <c r="BY48" s="242"/>
      <c r="BZ48" s="242"/>
      <c r="CA48" s="242"/>
      <c r="CB48" s="242"/>
      <c r="CC48" s="242"/>
      <c r="CD48" s="243"/>
      <c r="CE48" s="243"/>
      <c r="CF48" s="243"/>
      <c r="CG48" s="243"/>
      <c r="CH48" s="243"/>
      <c r="CI48" s="243"/>
      <c r="CJ48" s="243"/>
      <c r="CK48" s="242"/>
      <c r="CL48" s="242"/>
      <c r="CM48" s="242"/>
      <c r="CN48" s="242"/>
      <c r="CO48" s="242"/>
      <c r="CP48" s="242"/>
      <c r="CQ48" s="242"/>
      <c r="CR48" s="243"/>
      <c r="CS48" s="243"/>
      <c r="CT48" s="243"/>
      <c r="CU48" s="243"/>
      <c r="CV48" s="243"/>
      <c r="CW48" s="243"/>
      <c r="CX48" s="243"/>
      <c r="CY48" s="242"/>
      <c r="CZ48" s="242"/>
      <c r="DA48" s="242"/>
      <c r="DB48" s="242"/>
      <c r="DC48" s="242"/>
      <c r="DD48" s="242"/>
      <c r="DE48" s="242"/>
      <c r="DF48" s="243"/>
      <c r="DG48" s="243"/>
      <c r="DH48" s="243"/>
      <c r="DI48" s="243"/>
      <c r="DJ48" s="243"/>
      <c r="DK48" s="243"/>
      <c r="DL48" s="243"/>
      <c r="DM48" s="242"/>
      <c r="DN48" s="242"/>
      <c r="DO48" s="242"/>
      <c r="DP48" s="242"/>
      <c r="DQ48" s="242"/>
      <c r="DR48" s="242"/>
      <c r="DS48" s="242"/>
      <c r="DT48" s="243"/>
      <c r="DU48" s="243"/>
      <c r="DV48" s="243"/>
      <c r="DW48" s="243"/>
      <c r="DX48" s="243"/>
      <c r="DY48" s="243"/>
      <c r="DZ48" s="243"/>
      <c r="EA48" s="242"/>
      <c r="EB48" s="242"/>
      <c r="EC48" s="242"/>
      <c r="ED48" s="242"/>
      <c r="EE48" s="242"/>
      <c r="EF48" s="242"/>
      <c r="EG48" s="242"/>
      <c r="EH48" s="243"/>
      <c r="EI48" s="243"/>
      <c r="EJ48" s="243"/>
      <c r="EK48" s="243"/>
      <c r="EL48" s="243"/>
      <c r="EM48" s="243"/>
      <c r="EN48" s="243"/>
      <c r="EO48" s="242"/>
      <c r="EP48" s="242"/>
      <c r="EQ48" s="242"/>
      <c r="ER48" s="242"/>
      <c r="ES48" s="242"/>
      <c r="ET48" s="242"/>
      <c r="EU48" s="242"/>
      <c r="EV48" s="243"/>
      <c r="EW48" s="243"/>
      <c r="EX48" s="243"/>
      <c r="EY48" s="243"/>
      <c r="EZ48" s="243"/>
      <c r="FA48" s="243"/>
      <c r="FB48" s="243"/>
      <c r="FC48" s="242"/>
      <c r="FD48" s="242"/>
      <c r="FE48" s="242"/>
      <c r="FF48" s="242"/>
      <c r="FG48" s="242"/>
      <c r="FH48" s="242"/>
      <c r="FI48" s="242"/>
      <c r="FJ48" s="243"/>
      <c r="FK48" s="243"/>
      <c r="FL48" s="243"/>
      <c r="FM48" s="243"/>
      <c r="FN48" s="243"/>
      <c r="FO48" s="243"/>
      <c r="FP48" s="243"/>
      <c r="FQ48" s="242"/>
      <c r="FR48" s="242"/>
      <c r="FS48" s="242"/>
      <c r="FT48" s="242"/>
      <c r="FU48" s="242"/>
      <c r="FV48" s="242"/>
      <c r="FW48" s="242"/>
      <c r="FX48" s="243"/>
      <c r="FY48" s="243"/>
      <c r="FZ48" s="243"/>
      <c r="GA48" s="243"/>
      <c r="GB48" s="243"/>
      <c r="GC48" s="243"/>
      <c r="GD48" s="243"/>
      <c r="GE48" s="242"/>
      <c r="GF48" s="242"/>
      <c r="GG48" s="242"/>
      <c r="GH48" s="242"/>
      <c r="GI48" s="242"/>
      <c r="GJ48" s="242"/>
      <c r="GK48" s="242"/>
      <c r="GL48" s="243"/>
      <c r="GM48" s="243"/>
      <c r="GN48" s="243"/>
      <c r="GO48" s="243"/>
      <c r="GP48" s="243"/>
      <c r="GQ48" s="243"/>
      <c r="GR48" s="243"/>
      <c r="GS48" s="242"/>
      <c r="GT48" s="242"/>
      <c r="GU48" s="242"/>
      <c r="GV48" s="242"/>
      <c r="GW48" s="242"/>
      <c r="GX48" s="242"/>
      <c r="GY48" s="242"/>
      <c r="GZ48" s="243"/>
      <c r="HA48" s="243"/>
      <c r="HB48" s="243"/>
      <c r="HC48" s="243"/>
      <c r="HD48" s="243"/>
      <c r="HE48" s="243"/>
      <c r="HF48" s="243"/>
      <c r="HG48" s="242"/>
      <c r="HH48" s="242"/>
      <c r="HI48" s="242"/>
      <c r="HJ48" s="242"/>
      <c r="HK48" s="242"/>
      <c r="HL48" s="242"/>
      <c r="HM48" s="242"/>
      <c r="HN48" s="243"/>
      <c r="HO48" s="243"/>
      <c r="HP48" s="243"/>
      <c r="HQ48" s="243"/>
      <c r="HR48" s="243"/>
      <c r="HS48" s="243"/>
      <c r="HT48" s="243"/>
      <c r="HU48" s="242"/>
      <c r="HV48" s="242"/>
      <c r="HW48" s="242"/>
      <c r="HX48" s="242"/>
      <c r="HY48" s="242"/>
      <c r="HZ48" s="242"/>
      <c r="IA48" s="242"/>
      <c r="IB48" s="243"/>
      <c r="IC48" s="243"/>
      <c r="ID48" s="243"/>
      <c r="IE48" s="243"/>
      <c r="IF48" s="243"/>
      <c r="IG48" s="243"/>
      <c r="IH48" s="243"/>
      <c r="II48" s="242"/>
      <c r="IJ48" s="242"/>
      <c r="IK48" s="242"/>
      <c r="IL48" s="242"/>
      <c r="IM48" s="242"/>
      <c r="IN48" s="242"/>
      <c r="IO48" s="242"/>
      <c r="IP48" s="243"/>
      <c r="IQ48" s="243"/>
      <c r="IR48" s="243"/>
      <c r="IS48" s="243"/>
      <c r="IT48" s="243"/>
      <c r="IU48" s="243"/>
      <c r="IV48" s="243"/>
      <c r="IW48" s="242"/>
      <c r="IX48" s="242"/>
      <c r="IY48" s="242"/>
      <c r="IZ48" s="242"/>
      <c r="JA48" s="242"/>
      <c r="JB48" s="242"/>
      <c r="JC48" s="242"/>
      <c r="JD48" s="243"/>
      <c r="JE48" s="243"/>
      <c r="JF48" s="243"/>
      <c r="JG48" s="243"/>
      <c r="JH48" s="243"/>
      <c r="JI48" s="243"/>
      <c r="JJ48" s="243"/>
      <c r="JK48" s="242"/>
      <c r="JL48" s="242"/>
      <c r="JM48" s="242"/>
      <c r="JN48" s="242"/>
      <c r="JO48" s="242"/>
      <c r="JP48" s="242"/>
      <c r="JQ48" s="242"/>
      <c r="JR48" s="243"/>
      <c r="JS48" s="243"/>
      <c r="JT48" s="243"/>
      <c r="JU48" s="243"/>
      <c r="JV48" s="243"/>
      <c r="JW48" s="243"/>
      <c r="JX48" s="243"/>
      <c r="JY48" s="242"/>
      <c r="JZ48" s="242"/>
      <c r="KA48" s="242"/>
      <c r="KB48" s="242"/>
      <c r="KC48" s="242"/>
      <c r="KD48" s="242"/>
      <c r="KE48" s="242"/>
      <c r="KF48" s="243"/>
      <c r="KG48" s="243"/>
      <c r="KH48" s="243"/>
      <c r="KI48" s="243"/>
      <c r="KJ48" s="243"/>
      <c r="KK48" s="243"/>
      <c r="KL48" s="243"/>
      <c r="KM48" s="242"/>
      <c r="KN48" s="242"/>
      <c r="KO48" s="242"/>
      <c r="KP48" s="242"/>
      <c r="KQ48" s="242"/>
      <c r="KR48" s="242"/>
      <c r="KS48" s="242"/>
      <c r="KT48" s="243"/>
      <c r="KU48" s="243"/>
      <c r="KV48" s="243"/>
      <c r="KW48" s="243"/>
      <c r="KX48" s="243"/>
      <c r="KY48" s="243"/>
      <c r="KZ48" s="243"/>
      <c r="LA48" s="242"/>
      <c r="LB48" s="242"/>
      <c r="LC48" s="242"/>
      <c r="LD48" s="242"/>
      <c r="LE48" s="242"/>
      <c r="LF48" s="242"/>
      <c r="LG48" s="242"/>
      <c r="LH48" s="243"/>
      <c r="LI48" s="243"/>
      <c r="LJ48" s="243"/>
      <c r="LK48" s="243"/>
      <c r="LL48" s="243"/>
      <c r="LM48" s="243"/>
      <c r="LN48" s="243"/>
      <c r="LO48" s="242"/>
      <c r="LP48" s="242"/>
      <c r="LQ48" s="242"/>
      <c r="LR48" s="242"/>
      <c r="LS48" s="242"/>
      <c r="LT48" s="242"/>
      <c r="LU48" s="242"/>
      <c r="LV48" s="243"/>
      <c r="LW48" s="243"/>
      <c r="LX48" s="243"/>
      <c r="LY48" s="243"/>
      <c r="LZ48" s="243"/>
      <c r="MA48" s="243"/>
      <c r="MB48" s="243"/>
      <c r="MC48" s="242"/>
      <c r="MD48" s="242"/>
      <c r="ME48" s="242"/>
      <c r="MF48" s="242"/>
      <c r="MG48" s="242"/>
      <c r="MH48" s="242"/>
      <c r="MI48" s="242"/>
      <c r="MJ48" s="243"/>
      <c r="MK48" s="243"/>
      <c r="ML48" s="243"/>
      <c r="MM48" s="243"/>
      <c r="MN48" s="243"/>
      <c r="MO48" s="243"/>
      <c r="MP48" s="243"/>
      <c r="MQ48" s="242"/>
      <c r="MR48" s="242"/>
      <c r="MS48" s="242"/>
      <c r="MT48" s="242"/>
      <c r="MU48" s="242"/>
      <c r="MV48" s="242"/>
      <c r="MW48" s="242"/>
      <c r="MX48" s="243"/>
      <c r="MY48" s="243"/>
      <c r="MZ48" s="243"/>
      <c r="NA48" s="243"/>
      <c r="NB48" s="243"/>
      <c r="NC48" s="243"/>
      <c r="ND48" s="243"/>
      <c r="NE48" s="242"/>
      <c r="NF48" s="242"/>
      <c r="NG48" s="242"/>
      <c r="NH48" s="243" t="s">
        <v>1143</v>
      </c>
    </row>
    <row r="49" spans="1:372">
      <c r="A49" s="254" t="s">
        <v>970</v>
      </c>
      <c r="B49" s="239" t="s">
        <v>1063</v>
      </c>
      <c r="C49" s="240" t="s">
        <v>674</v>
      </c>
      <c r="D49" s="240" t="s">
        <v>982</v>
      </c>
      <c r="E49" s="241">
        <v>40.772499984333322</v>
      </c>
      <c r="F49" s="252">
        <v>168</v>
      </c>
      <c r="G49" s="242"/>
      <c r="H49" s="242"/>
      <c r="I49" s="242"/>
      <c r="J49" s="242"/>
      <c r="K49" s="242"/>
      <c r="L49" s="243"/>
      <c r="M49" s="243"/>
      <c r="N49" s="243"/>
      <c r="O49" s="243"/>
      <c r="P49" s="243"/>
      <c r="Q49" s="243"/>
      <c r="R49" s="243"/>
      <c r="S49" s="242"/>
      <c r="T49" s="242"/>
      <c r="U49" s="242"/>
      <c r="V49" s="242"/>
      <c r="W49" s="242"/>
      <c r="X49" s="242"/>
      <c r="Y49" s="242"/>
      <c r="Z49" s="243"/>
      <c r="AA49" s="243"/>
      <c r="AB49" s="243"/>
      <c r="AC49" s="243"/>
      <c r="AD49" s="243"/>
      <c r="AE49" s="243"/>
      <c r="AF49" s="243"/>
      <c r="AG49" s="242"/>
      <c r="AH49" s="242"/>
      <c r="AI49" s="242"/>
      <c r="AJ49" s="242"/>
      <c r="AK49" s="242"/>
      <c r="AL49" s="242"/>
      <c r="AM49" s="242"/>
      <c r="AN49" s="243"/>
      <c r="AO49" s="243"/>
      <c r="AP49" s="243"/>
      <c r="AQ49" s="243"/>
      <c r="AR49" s="243"/>
      <c r="AS49" s="243"/>
      <c r="AT49" s="243"/>
      <c r="AU49" s="242"/>
      <c r="AV49" s="242"/>
      <c r="AW49" s="242"/>
      <c r="AX49" s="242"/>
      <c r="AY49" s="242"/>
      <c r="AZ49" s="242"/>
      <c r="BA49" s="242"/>
      <c r="BB49" s="243"/>
      <c r="BC49" s="243"/>
      <c r="BD49" s="243"/>
      <c r="BE49" s="243"/>
      <c r="BF49" s="243"/>
      <c r="BG49" s="243"/>
      <c r="BH49" s="243"/>
      <c r="BI49" s="242"/>
      <c r="BJ49" s="242"/>
      <c r="BK49" s="242"/>
      <c r="BL49" s="242"/>
      <c r="BM49" s="242"/>
      <c r="BN49" s="242"/>
      <c r="BO49" s="242"/>
      <c r="BP49" s="243"/>
      <c r="BQ49" s="243"/>
      <c r="BR49" s="243"/>
      <c r="BS49" s="243"/>
      <c r="BT49" s="243"/>
      <c r="BU49" s="243"/>
      <c r="BV49" s="243"/>
      <c r="BW49" s="242">
        <v>24</v>
      </c>
      <c r="BX49" s="242">
        <v>24</v>
      </c>
      <c r="BY49" s="242"/>
      <c r="BZ49" s="242"/>
      <c r="CA49" s="242"/>
      <c r="CB49" s="242"/>
      <c r="CC49" s="242"/>
      <c r="CD49" s="243"/>
      <c r="CE49" s="243"/>
      <c r="CF49" s="243"/>
      <c r="CG49" s="243"/>
      <c r="CH49" s="243"/>
      <c r="CI49" s="243"/>
      <c r="CJ49" s="243"/>
      <c r="CK49" s="242"/>
      <c r="CL49" s="242"/>
      <c r="CM49" s="242"/>
      <c r="CN49" s="242"/>
      <c r="CO49" s="242"/>
      <c r="CP49" s="242"/>
      <c r="CQ49" s="242"/>
      <c r="CR49" s="243"/>
      <c r="CS49" s="243"/>
      <c r="CT49" s="243"/>
      <c r="CU49" s="243"/>
      <c r="CV49" s="243"/>
      <c r="CW49" s="243"/>
      <c r="CX49" s="243"/>
      <c r="CY49" s="242"/>
      <c r="CZ49" s="242"/>
      <c r="DA49" s="242"/>
      <c r="DB49" s="242"/>
      <c r="DC49" s="242"/>
      <c r="DD49" s="242"/>
      <c r="DE49" s="242"/>
      <c r="DF49" s="243"/>
      <c r="DG49" s="243"/>
      <c r="DH49" s="243"/>
      <c r="DI49" s="243"/>
      <c r="DJ49" s="243"/>
      <c r="DK49" s="243"/>
      <c r="DL49" s="243"/>
      <c r="DM49" s="242"/>
      <c r="DN49" s="242"/>
      <c r="DO49" s="242"/>
      <c r="DP49" s="242"/>
      <c r="DQ49" s="242"/>
      <c r="DR49" s="242"/>
      <c r="DS49" s="242"/>
      <c r="DT49" s="243"/>
      <c r="DU49" s="243"/>
      <c r="DV49" s="243"/>
      <c r="DW49" s="243"/>
      <c r="DX49" s="243"/>
      <c r="DY49" s="243"/>
      <c r="DZ49" s="243"/>
      <c r="EA49" s="242"/>
      <c r="EB49" s="242"/>
      <c r="EC49" s="242"/>
      <c r="ED49" s="242"/>
      <c r="EE49" s="242"/>
      <c r="EF49" s="242"/>
      <c r="EG49" s="242"/>
      <c r="EH49" s="243"/>
      <c r="EI49" s="243"/>
      <c r="EJ49" s="243"/>
      <c r="EK49" s="243"/>
      <c r="EL49" s="243"/>
      <c r="EM49" s="243"/>
      <c r="EN49" s="243"/>
      <c r="EO49" s="242"/>
      <c r="EP49" s="242"/>
      <c r="EQ49" s="242"/>
      <c r="ER49" s="242"/>
      <c r="ES49" s="242"/>
      <c r="ET49" s="242"/>
      <c r="EU49" s="242"/>
      <c r="EV49" s="243"/>
      <c r="EW49" s="243"/>
      <c r="EX49" s="243"/>
      <c r="EY49" s="243"/>
      <c r="EZ49" s="243"/>
      <c r="FA49" s="243"/>
      <c r="FB49" s="243"/>
      <c r="FC49" s="242"/>
      <c r="FD49" s="242"/>
      <c r="FE49" s="242"/>
      <c r="FF49" s="242"/>
      <c r="FG49" s="242"/>
      <c r="FH49" s="242"/>
      <c r="FI49" s="242"/>
      <c r="FJ49" s="243"/>
      <c r="FK49" s="243"/>
      <c r="FL49" s="243"/>
      <c r="FM49" s="243"/>
      <c r="FN49" s="243"/>
      <c r="FO49" s="243"/>
      <c r="FP49" s="243"/>
      <c r="FQ49" s="242"/>
      <c r="FR49" s="242"/>
      <c r="FS49" s="242"/>
      <c r="FT49" s="242"/>
      <c r="FU49" s="242"/>
      <c r="FV49" s="242"/>
      <c r="FW49" s="242"/>
      <c r="FX49" s="243"/>
      <c r="FY49" s="243"/>
      <c r="FZ49" s="243"/>
      <c r="GA49" s="243"/>
      <c r="GB49" s="243"/>
      <c r="GC49" s="243"/>
      <c r="GD49" s="243"/>
      <c r="GE49" s="242"/>
      <c r="GF49" s="242"/>
      <c r="GG49" s="242"/>
      <c r="GH49" s="242"/>
      <c r="GI49" s="242"/>
      <c r="GJ49" s="242"/>
      <c r="GK49" s="242"/>
      <c r="GL49" s="243"/>
      <c r="GM49" s="243"/>
      <c r="GN49" s="243"/>
      <c r="GO49" s="243"/>
      <c r="GP49" s="243"/>
      <c r="GQ49" s="243"/>
      <c r="GR49" s="243"/>
      <c r="GS49" s="242"/>
      <c r="GT49" s="242"/>
      <c r="GU49" s="242"/>
      <c r="GV49" s="242"/>
      <c r="GW49" s="242"/>
      <c r="GX49" s="242"/>
      <c r="GY49" s="242"/>
      <c r="GZ49" s="243"/>
      <c r="HA49" s="243"/>
      <c r="HB49" s="243"/>
      <c r="HC49" s="243"/>
      <c r="HD49" s="243"/>
      <c r="HE49" s="243"/>
      <c r="HF49" s="243"/>
      <c r="HG49" s="242"/>
      <c r="HH49" s="242"/>
      <c r="HI49" s="242"/>
      <c r="HJ49" s="242"/>
      <c r="HK49" s="242"/>
      <c r="HL49" s="242"/>
      <c r="HM49" s="242"/>
      <c r="HN49" s="243"/>
      <c r="HO49" s="243"/>
      <c r="HP49" s="243"/>
      <c r="HQ49" s="243"/>
      <c r="HR49" s="243"/>
      <c r="HS49" s="243"/>
      <c r="HT49" s="243"/>
      <c r="HU49" s="242"/>
      <c r="HV49" s="242"/>
      <c r="HW49" s="242"/>
      <c r="HX49" s="242"/>
      <c r="HY49" s="242"/>
      <c r="HZ49" s="242"/>
      <c r="IA49" s="242"/>
      <c r="IB49" s="243"/>
      <c r="IC49" s="243"/>
      <c r="ID49" s="243"/>
      <c r="IE49" s="243"/>
      <c r="IF49" s="243"/>
      <c r="IG49" s="243"/>
      <c r="IH49" s="243"/>
      <c r="II49" s="242"/>
      <c r="IJ49" s="242"/>
      <c r="IK49" s="242"/>
      <c r="IL49" s="242"/>
      <c r="IM49" s="242"/>
      <c r="IN49" s="242"/>
      <c r="IO49" s="242"/>
      <c r="IP49" s="243"/>
      <c r="IQ49" s="243"/>
      <c r="IR49" s="243"/>
      <c r="IS49" s="243"/>
      <c r="IT49" s="243"/>
      <c r="IU49" s="243"/>
      <c r="IV49" s="243"/>
      <c r="IW49" s="242"/>
      <c r="IX49" s="242"/>
      <c r="IY49" s="242"/>
      <c r="IZ49" s="242"/>
      <c r="JA49" s="242"/>
      <c r="JB49" s="242"/>
      <c r="JC49" s="242"/>
      <c r="JD49" s="243"/>
      <c r="JE49" s="243"/>
      <c r="JF49" s="243"/>
      <c r="JG49" s="243"/>
      <c r="JH49" s="243"/>
      <c r="JI49" s="243"/>
      <c r="JJ49" s="243"/>
      <c r="JK49" s="242"/>
      <c r="JL49" s="242"/>
      <c r="JM49" s="242"/>
      <c r="JN49" s="242"/>
      <c r="JO49" s="242"/>
      <c r="JP49" s="242"/>
      <c r="JQ49" s="242"/>
      <c r="JR49" s="243"/>
      <c r="JS49" s="243"/>
      <c r="JT49" s="243"/>
      <c r="JU49" s="243"/>
      <c r="JV49" s="243"/>
      <c r="JW49" s="243"/>
      <c r="JX49" s="243"/>
      <c r="JY49" s="242"/>
      <c r="JZ49" s="242"/>
      <c r="KA49" s="242"/>
      <c r="KB49" s="242"/>
      <c r="KC49" s="242"/>
      <c r="KD49" s="242"/>
      <c r="KE49" s="242"/>
      <c r="KF49" s="243"/>
      <c r="KG49" s="243"/>
      <c r="KH49" s="243"/>
      <c r="KI49" s="243"/>
      <c r="KJ49" s="243"/>
      <c r="KK49" s="243"/>
      <c r="KL49" s="243"/>
      <c r="KM49" s="242"/>
      <c r="KN49" s="242"/>
      <c r="KO49" s="242"/>
      <c r="KP49" s="242"/>
      <c r="KQ49" s="242"/>
      <c r="KR49" s="242"/>
      <c r="KS49" s="242"/>
      <c r="KT49" s="243"/>
      <c r="KU49" s="243"/>
      <c r="KV49" s="243"/>
      <c r="KW49" s="243"/>
      <c r="KX49" s="243"/>
      <c r="KY49" s="243"/>
      <c r="KZ49" s="243"/>
      <c r="LA49" s="242"/>
      <c r="LB49" s="242"/>
      <c r="LC49" s="242"/>
      <c r="LD49" s="242"/>
      <c r="LE49" s="242"/>
      <c r="LF49" s="242"/>
      <c r="LG49" s="242"/>
      <c r="LH49" s="243"/>
      <c r="LI49" s="243"/>
      <c r="LJ49" s="243"/>
      <c r="LK49" s="243"/>
      <c r="LL49" s="243"/>
      <c r="LM49" s="243"/>
      <c r="LN49" s="243">
        <v>16</v>
      </c>
      <c r="LO49" s="242">
        <v>24</v>
      </c>
      <c r="LP49" s="242">
        <v>24</v>
      </c>
      <c r="LQ49" s="242">
        <v>24</v>
      </c>
      <c r="LR49" s="242">
        <v>24</v>
      </c>
      <c r="LS49" s="242">
        <v>8</v>
      </c>
      <c r="LT49" s="242"/>
      <c r="LU49" s="242"/>
      <c r="LV49" s="243"/>
      <c r="LW49" s="243"/>
      <c r="LX49" s="243"/>
      <c r="LY49" s="243"/>
      <c r="LZ49" s="243"/>
      <c r="MA49" s="243"/>
      <c r="MB49" s="243"/>
      <c r="MC49" s="242"/>
      <c r="MD49" s="242"/>
      <c r="ME49" s="242"/>
      <c r="MF49" s="242"/>
      <c r="MG49" s="242"/>
      <c r="MH49" s="242"/>
      <c r="MI49" s="242"/>
      <c r="MJ49" s="243"/>
      <c r="MK49" s="243"/>
      <c r="ML49" s="243"/>
      <c r="MM49" s="243"/>
      <c r="MN49" s="243"/>
      <c r="MO49" s="243"/>
      <c r="MP49" s="243"/>
      <c r="MQ49" s="242"/>
      <c r="MR49" s="242"/>
      <c r="MS49" s="242"/>
      <c r="MT49" s="242"/>
      <c r="MU49" s="242"/>
      <c r="MV49" s="242"/>
      <c r="MW49" s="242"/>
      <c r="MX49" s="243"/>
      <c r="MY49" s="243"/>
      <c r="MZ49" s="243"/>
      <c r="NA49" s="243"/>
      <c r="NB49" s="243"/>
      <c r="NC49" s="243"/>
      <c r="ND49" s="243"/>
      <c r="NE49" s="242"/>
      <c r="NF49" s="242"/>
      <c r="NG49" s="242"/>
      <c r="NH49" s="338" t="s">
        <v>1144</v>
      </c>
    </row>
    <row r="50" spans="1:372">
      <c r="A50" s="254" t="s">
        <v>970</v>
      </c>
      <c r="B50" s="239" t="s">
        <v>1065</v>
      </c>
      <c r="C50" s="240" t="s">
        <v>674</v>
      </c>
      <c r="D50" s="240" t="s">
        <v>997</v>
      </c>
      <c r="E50" s="241">
        <v>47.953055550333318</v>
      </c>
      <c r="F50" s="252">
        <v>200</v>
      </c>
      <c r="G50" s="242"/>
      <c r="H50" s="242"/>
      <c r="I50" s="242"/>
      <c r="J50" s="242"/>
      <c r="K50" s="242"/>
      <c r="L50" s="243"/>
      <c r="M50" s="243"/>
      <c r="N50" s="243"/>
      <c r="O50" s="243"/>
      <c r="P50" s="243"/>
      <c r="Q50" s="243"/>
      <c r="R50" s="243"/>
      <c r="S50" s="242"/>
      <c r="T50" s="242"/>
      <c r="U50" s="242"/>
      <c r="V50" s="242"/>
      <c r="W50" s="242"/>
      <c r="X50" s="242"/>
      <c r="Y50" s="242"/>
      <c r="Z50" s="243"/>
      <c r="AA50" s="243"/>
      <c r="AB50" s="243"/>
      <c r="AC50" s="243"/>
      <c r="AD50" s="243"/>
      <c r="AE50" s="243"/>
      <c r="AF50" s="243"/>
      <c r="AG50" s="242"/>
      <c r="AH50" s="242"/>
      <c r="AI50" s="242"/>
      <c r="AJ50" s="242"/>
      <c r="AK50" s="242"/>
      <c r="AL50" s="242"/>
      <c r="AM50" s="242"/>
      <c r="AN50" s="243"/>
      <c r="AO50" s="243"/>
      <c r="AP50" s="243"/>
      <c r="AQ50" s="243"/>
      <c r="AR50" s="243"/>
      <c r="AS50" s="243"/>
      <c r="AT50" s="243"/>
      <c r="AU50" s="242"/>
      <c r="AV50" s="242"/>
      <c r="AW50" s="242"/>
      <c r="AX50" s="242"/>
      <c r="AY50" s="242"/>
      <c r="AZ50" s="242"/>
      <c r="BA50" s="242"/>
      <c r="BB50" s="243"/>
      <c r="BC50" s="243"/>
      <c r="BD50" s="243"/>
      <c r="BE50" s="243"/>
      <c r="BF50" s="243"/>
      <c r="BG50" s="243"/>
      <c r="BH50" s="243"/>
      <c r="BI50" s="242"/>
      <c r="BJ50" s="242"/>
      <c r="BK50" s="242"/>
      <c r="BL50" s="242"/>
      <c r="BM50" s="242"/>
      <c r="BN50" s="242"/>
      <c r="BO50" s="242"/>
      <c r="BP50" s="243"/>
      <c r="BQ50" s="243"/>
      <c r="BR50" s="243"/>
      <c r="BS50" s="243"/>
      <c r="BT50" s="243"/>
      <c r="BU50" s="243"/>
      <c r="BV50" s="243"/>
      <c r="BW50" s="242">
        <v>24</v>
      </c>
      <c r="BX50" s="242">
        <v>24</v>
      </c>
      <c r="BY50" s="242"/>
      <c r="BZ50" s="242"/>
      <c r="CA50" s="242"/>
      <c r="CB50" s="242"/>
      <c r="CC50" s="242"/>
      <c r="CD50" s="243"/>
      <c r="CE50" s="243"/>
      <c r="CF50" s="243"/>
      <c r="CG50" s="243"/>
      <c r="CH50" s="243"/>
      <c r="CI50" s="243"/>
      <c r="CJ50" s="243"/>
      <c r="CK50" s="242"/>
      <c r="CL50" s="242"/>
      <c r="CM50" s="242"/>
      <c r="CN50" s="242"/>
      <c r="CO50" s="242"/>
      <c r="CP50" s="242"/>
      <c r="CQ50" s="242"/>
      <c r="CR50" s="243"/>
      <c r="CS50" s="243"/>
      <c r="CT50" s="243"/>
      <c r="CU50" s="243"/>
      <c r="CV50" s="243"/>
      <c r="CW50" s="243"/>
      <c r="CX50" s="243"/>
      <c r="CY50" s="242"/>
      <c r="CZ50" s="242"/>
      <c r="DA50" s="242"/>
      <c r="DB50" s="242"/>
      <c r="DC50" s="242"/>
      <c r="DD50" s="242"/>
      <c r="DE50" s="242"/>
      <c r="DF50" s="243"/>
      <c r="DG50" s="243"/>
      <c r="DH50" s="243"/>
      <c r="DI50" s="243"/>
      <c r="DJ50" s="243"/>
      <c r="DK50" s="243"/>
      <c r="DL50" s="243"/>
      <c r="DM50" s="242"/>
      <c r="DN50" s="242"/>
      <c r="DO50" s="242"/>
      <c r="DP50" s="242"/>
      <c r="DQ50" s="242"/>
      <c r="DR50" s="242"/>
      <c r="DS50" s="242"/>
      <c r="DT50" s="243"/>
      <c r="DU50" s="243"/>
      <c r="DV50" s="243"/>
      <c r="DW50" s="243"/>
      <c r="DX50" s="243"/>
      <c r="DY50" s="243"/>
      <c r="DZ50" s="243"/>
      <c r="EA50" s="242"/>
      <c r="EB50" s="242"/>
      <c r="EC50" s="242"/>
      <c r="ED50" s="242"/>
      <c r="EE50" s="242"/>
      <c r="EF50" s="242"/>
      <c r="EG50" s="242"/>
      <c r="EH50" s="243"/>
      <c r="EI50" s="243"/>
      <c r="EJ50" s="243"/>
      <c r="EK50" s="243"/>
      <c r="EL50" s="243"/>
      <c r="EM50" s="243"/>
      <c r="EN50" s="243"/>
      <c r="EO50" s="242"/>
      <c r="EP50" s="242"/>
      <c r="EQ50" s="242"/>
      <c r="ER50" s="242"/>
      <c r="ES50" s="242"/>
      <c r="ET50" s="242"/>
      <c r="EU50" s="242"/>
      <c r="EV50" s="243"/>
      <c r="EW50" s="243"/>
      <c r="EX50" s="243"/>
      <c r="EY50" s="243"/>
      <c r="EZ50" s="243"/>
      <c r="FA50" s="243"/>
      <c r="FB50" s="243"/>
      <c r="FC50" s="242"/>
      <c r="FD50" s="242"/>
      <c r="FE50" s="242"/>
      <c r="FF50" s="242"/>
      <c r="FG50" s="242"/>
      <c r="FH50" s="242"/>
      <c r="FI50" s="242"/>
      <c r="FJ50" s="243"/>
      <c r="FK50" s="243"/>
      <c r="FL50" s="243"/>
      <c r="FM50" s="243"/>
      <c r="FN50" s="243"/>
      <c r="FO50" s="243"/>
      <c r="FP50" s="243"/>
      <c r="FQ50" s="242"/>
      <c r="FR50" s="242"/>
      <c r="FS50" s="242"/>
      <c r="FT50" s="242"/>
      <c r="FU50" s="242"/>
      <c r="FV50" s="242"/>
      <c r="FW50" s="242"/>
      <c r="FX50" s="243"/>
      <c r="FY50" s="243"/>
      <c r="FZ50" s="243"/>
      <c r="GA50" s="243"/>
      <c r="GB50" s="243"/>
      <c r="GC50" s="243"/>
      <c r="GD50" s="243"/>
      <c r="GE50" s="242"/>
      <c r="GF50" s="242"/>
      <c r="GG50" s="242"/>
      <c r="GH50" s="242"/>
      <c r="GI50" s="242"/>
      <c r="GJ50" s="242"/>
      <c r="GK50" s="242"/>
      <c r="GL50" s="243"/>
      <c r="GM50" s="243"/>
      <c r="GN50" s="243"/>
      <c r="GO50" s="243"/>
      <c r="GP50" s="243"/>
      <c r="GQ50" s="243"/>
      <c r="GR50" s="243"/>
      <c r="GS50" s="242"/>
      <c r="GT50" s="242"/>
      <c r="GU50" s="242"/>
      <c r="GV50" s="242"/>
      <c r="GW50" s="242"/>
      <c r="GX50" s="242"/>
      <c r="GY50" s="242"/>
      <c r="GZ50" s="243"/>
      <c r="HA50" s="243"/>
      <c r="HB50" s="243"/>
      <c r="HC50" s="243"/>
      <c r="HD50" s="243"/>
      <c r="HE50" s="243"/>
      <c r="HF50" s="243"/>
      <c r="HG50" s="242"/>
      <c r="HH50" s="242"/>
      <c r="HI50" s="242"/>
      <c r="HJ50" s="242"/>
      <c r="HK50" s="242"/>
      <c r="HL50" s="242"/>
      <c r="HM50" s="242"/>
      <c r="HN50" s="243"/>
      <c r="HO50" s="243"/>
      <c r="HP50" s="243"/>
      <c r="HQ50" s="243"/>
      <c r="HR50" s="243"/>
      <c r="HS50" s="243"/>
      <c r="HT50" s="243"/>
      <c r="HU50" s="242"/>
      <c r="HV50" s="242"/>
      <c r="HW50" s="242"/>
      <c r="HX50" s="242"/>
      <c r="HY50" s="242"/>
      <c r="HZ50" s="242"/>
      <c r="IA50" s="242"/>
      <c r="IB50" s="243"/>
      <c r="IC50" s="243"/>
      <c r="ID50" s="243"/>
      <c r="IE50" s="243"/>
      <c r="IF50" s="243"/>
      <c r="IG50" s="243"/>
      <c r="IH50" s="243"/>
      <c r="II50" s="242"/>
      <c r="IJ50" s="242"/>
      <c r="IK50" s="242"/>
      <c r="IL50" s="242"/>
      <c r="IM50" s="242"/>
      <c r="IN50" s="242"/>
      <c r="IO50" s="242"/>
      <c r="IP50" s="243"/>
      <c r="IQ50" s="243"/>
      <c r="IR50" s="243"/>
      <c r="IS50" s="243"/>
      <c r="IT50" s="243"/>
      <c r="IU50" s="243"/>
      <c r="IV50" s="243"/>
      <c r="IW50" s="242"/>
      <c r="IX50" s="242"/>
      <c r="IY50" s="242"/>
      <c r="IZ50" s="242"/>
      <c r="JA50" s="242"/>
      <c r="JB50" s="242"/>
      <c r="JC50" s="242"/>
      <c r="JD50" s="243"/>
      <c r="JE50" s="243"/>
      <c r="JF50" s="243"/>
      <c r="JG50" s="243"/>
      <c r="JH50" s="243"/>
      <c r="JI50" s="243"/>
      <c r="JJ50" s="243"/>
      <c r="JK50" s="242"/>
      <c r="JL50" s="242"/>
      <c r="JM50" s="242"/>
      <c r="JN50" s="242"/>
      <c r="JO50" s="242"/>
      <c r="JP50" s="242"/>
      <c r="JQ50" s="242"/>
      <c r="JR50" s="243"/>
      <c r="JS50" s="243"/>
      <c r="JT50" s="243"/>
      <c r="JU50" s="243"/>
      <c r="JV50" s="243"/>
      <c r="JW50" s="243"/>
      <c r="JX50" s="243"/>
      <c r="JY50" s="242"/>
      <c r="JZ50" s="242"/>
      <c r="KA50" s="242"/>
      <c r="KB50" s="242"/>
      <c r="KC50" s="242"/>
      <c r="KD50" s="242"/>
      <c r="KE50" s="242"/>
      <c r="KF50" s="243"/>
      <c r="KG50" s="243"/>
      <c r="KH50" s="243"/>
      <c r="KI50" s="243"/>
      <c r="KJ50" s="243"/>
      <c r="KK50" s="243"/>
      <c r="KL50" s="243"/>
      <c r="KM50" s="242"/>
      <c r="KN50" s="242"/>
      <c r="KO50" s="242"/>
      <c r="KP50" s="242"/>
      <c r="KQ50" s="242"/>
      <c r="KR50" s="242"/>
      <c r="KS50" s="242"/>
      <c r="KT50" s="243"/>
      <c r="KU50" s="243"/>
      <c r="KV50" s="243"/>
      <c r="KW50" s="243"/>
      <c r="KX50" s="243"/>
      <c r="KY50" s="243"/>
      <c r="KZ50" s="243"/>
      <c r="LA50" s="242"/>
      <c r="LB50" s="242"/>
      <c r="LC50" s="242"/>
      <c r="LD50" s="242"/>
      <c r="LE50" s="242"/>
      <c r="LF50" s="242"/>
      <c r="LG50" s="242"/>
      <c r="LH50" s="243"/>
      <c r="LI50" s="243"/>
      <c r="LJ50" s="243"/>
      <c r="LK50" s="243"/>
      <c r="LL50" s="243"/>
      <c r="LM50" s="243"/>
      <c r="LN50" s="243">
        <v>24</v>
      </c>
      <c r="LO50" s="242">
        <v>24</v>
      </c>
      <c r="LP50" s="242">
        <v>24</v>
      </c>
      <c r="LQ50" s="242">
        <v>24</v>
      </c>
      <c r="LR50" s="242">
        <v>24</v>
      </c>
      <c r="LS50" s="242">
        <v>24</v>
      </c>
      <c r="LT50" s="242">
        <v>8</v>
      </c>
      <c r="LU50" s="242"/>
      <c r="LV50" s="243"/>
      <c r="LW50" s="243"/>
      <c r="LX50" s="243"/>
      <c r="LY50" s="243"/>
      <c r="LZ50" s="243"/>
      <c r="MA50" s="243"/>
      <c r="MB50" s="243"/>
      <c r="MC50" s="242"/>
      <c r="MD50" s="242"/>
      <c r="ME50" s="242"/>
      <c r="MF50" s="242"/>
      <c r="MG50" s="242"/>
      <c r="MH50" s="242"/>
      <c r="MI50" s="242"/>
      <c r="MJ50" s="243"/>
      <c r="MK50" s="243"/>
      <c r="ML50" s="243"/>
      <c r="MM50" s="243"/>
      <c r="MN50" s="243"/>
      <c r="MO50" s="243"/>
      <c r="MP50" s="243"/>
      <c r="MQ50" s="242"/>
      <c r="MR50" s="242"/>
      <c r="MS50" s="242"/>
      <c r="MT50" s="242"/>
      <c r="MU50" s="242"/>
      <c r="MV50" s="242"/>
      <c r="MW50" s="242"/>
      <c r="MX50" s="243"/>
      <c r="MY50" s="243"/>
      <c r="MZ50" s="243"/>
      <c r="NA50" s="243"/>
      <c r="NB50" s="243"/>
      <c r="NC50" s="243"/>
      <c r="ND50" s="243"/>
      <c r="NE50" s="242"/>
      <c r="NF50" s="242"/>
      <c r="NG50" s="242"/>
      <c r="NH50" s="338" t="s">
        <v>1145</v>
      </c>
    </row>
    <row r="51" spans="1:372">
      <c r="A51" s="254" t="s">
        <v>970</v>
      </c>
      <c r="B51" s="239" t="s">
        <v>1069</v>
      </c>
      <c r="C51" s="240" t="s">
        <v>674</v>
      </c>
      <c r="D51" s="240" t="s">
        <v>982</v>
      </c>
      <c r="E51" s="241">
        <v>1.2193888836666698</v>
      </c>
      <c r="F51" s="252">
        <v>48</v>
      </c>
      <c r="G51" s="242"/>
      <c r="H51" s="242"/>
      <c r="I51" s="242"/>
      <c r="J51" s="242"/>
      <c r="K51" s="242"/>
      <c r="L51" s="243"/>
      <c r="M51" s="243"/>
      <c r="N51" s="243"/>
      <c r="O51" s="243"/>
      <c r="P51" s="243"/>
      <c r="Q51" s="243"/>
      <c r="R51" s="243"/>
      <c r="S51" s="242"/>
      <c r="T51" s="242"/>
      <c r="U51" s="242"/>
      <c r="V51" s="242"/>
      <c r="W51" s="242"/>
      <c r="X51" s="242"/>
      <c r="Y51" s="242"/>
      <c r="Z51" s="243"/>
      <c r="AA51" s="243"/>
      <c r="AB51" s="243"/>
      <c r="AC51" s="243"/>
      <c r="AD51" s="243"/>
      <c r="AE51" s="243"/>
      <c r="AF51" s="243"/>
      <c r="AG51" s="242"/>
      <c r="AH51" s="242"/>
      <c r="AI51" s="242"/>
      <c r="AJ51" s="242"/>
      <c r="AK51" s="242"/>
      <c r="AL51" s="242"/>
      <c r="AM51" s="242"/>
      <c r="AN51" s="243"/>
      <c r="AO51" s="243"/>
      <c r="AP51" s="243"/>
      <c r="AQ51" s="243"/>
      <c r="AR51" s="243"/>
      <c r="AS51" s="243"/>
      <c r="AT51" s="243"/>
      <c r="AU51" s="242"/>
      <c r="AV51" s="242"/>
      <c r="AW51" s="242"/>
      <c r="AX51" s="242"/>
      <c r="AY51" s="242"/>
      <c r="AZ51" s="242"/>
      <c r="BA51" s="242"/>
      <c r="BB51" s="243"/>
      <c r="BC51" s="243"/>
      <c r="BD51" s="243"/>
      <c r="BE51" s="243"/>
      <c r="BF51" s="243"/>
      <c r="BG51" s="243"/>
      <c r="BH51" s="243"/>
      <c r="BI51" s="242"/>
      <c r="BJ51" s="242"/>
      <c r="BK51" s="242"/>
      <c r="BL51" s="242"/>
      <c r="BM51" s="242"/>
      <c r="BN51" s="242"/>
      <c r="BO51" s="242"/>
      <c r="BP51" s="243"/>
      <c r="BQ51" s="243"/>
      <c r="BR51" s="243"/>
      <c r="BS51" s="243"/>
      <c r="BT51" s="243"/>
      <c r="BU51" s="243"/>
      <c r="BV51" s="243"/>
      <c r="BW51" s="242">
        <v>24</v>
      </c>
      <c r="BX51" s="242">
        <v>24</v>
      </c>
      <c r="BY51" s="242"/>
      <c r="BZ51" s="242"/>
      <c r="CA51" s="242"/>
      <c r="CB51" s="242"/>
      <c r="CC51" s="242"/>
      <c r="CD51" s="243"/>
      <c r="CE51" s="243"/>
      <c r="CF51" s="243"/>
      <c r="CG51" s="243"/>
      <c r="CH51" s="243"/>
      <c r="CI51" s="243"/>
      <c r="CJ51" s="243"/>
      <c r="CK51" s="242"/>
      <c r="CL51" s="242"/>
      <c r="CM51" s="242"/>
      <c r="CN51" s="242"/>
      <c r="CO51" s="242"/>
      <c r="CP51" s="242"/>
      <c r="CQ51" s="242"/>
      <c r="CR51" s="243"/>
      <c r="CS51" s="243"/>
      <c r="CT51" s="243"/>
      <c r="CU51" s="243"/>
      <c r="CV51" s="243"/>
      <c r="CW51" s="243"/>
      <c r="CX51" s="243"/>
      <c r="CY51" s="242"/>
      <c r="CZ51" s="242"/>
      <c r="DA51" s="242"/>
      <c r="DB51" s="242"/>
      <c r="DC51" s="242"/>
      <c r="DD51" s="242"/>
      <c r="DE51" s="242"/>
      <c r="DF51" s="243"/>
      <c r="DG51" s="243"/>
      <c r="DH51" s="243"/>
      <c r="DI51" s="243"/>
      <c r="DJ51" s="243"/>
      <c r="DK51" s="243"/>
      <c r="DL51" s="243"/>
      <c r="DM51" s="242"/>
      <c r="DN51" s="242"/>
      <c r="DO51" s="242"/>
      <c r="DP51" s="242"/>
      <c r="DQ51" s="242"/>
      <c r="DR51" s="242"/>
      <c r="DS51" s="242"/>
      <c r="DT51" s="243"/>
      <c r="DU51" s="243"/>
      <c r="DV51" s="243"/>
      <c r="DW51" s="243"/>
      <c r="DX51" s="243"/>
      <c r="DY51" s="243"/>
      <c r="DZ51" s="243"/>
      <c r="EA51" s="242"/>
      <c r="EB51" s="242"/>
      <c r="EC51" s="242"/>
      <c r="ED51" s="242"/>
      <c r="EE51" s="242"/>
      <c r="EF51" s="242"/>
      <c r="EG51" s="242"/>
      <c r="EH51" s="243"/>
      <c r="EI51" s="243"/>
      <c r="EJ51" s="243"/>
      <c r="EK51" s="243"/>
      <c r="EL51" s="243"/>
      <c r="EM51" s="243"/>
      <c r="EN51" s="243"/>
      <c r="EO51" s="242"/>
      <c r="EP51" s="242"/>
      <c r="EQ51" s="242"/>
      <c r="ER51" s="242"/>
      <c r="ES51" s="242"/>
      <c r="ET51" s="242"/>
      <c r="EU51" s="242"/>
      <c r="EV51" s="243"/>
      <c r="EW51" s="243"/>
      <c r="EX51" s="243"/>
      <c r="EY51" s="243"/>
      <c r="EZ51" s="243"/>
      <c r="FA51" s="243"/>
      <c r="FB51" s="243"/>
      <c r="FC51" s="242"/>
      <c r="FD51" s="242"/>
      <c r="FE51" s="242"/>
      <c r="FF51" s="242"/>
      <c r="FG51" s="242"/>
      <c r="FH51" s="242"/>
      <c r="FI51" s="242"/>
      <c r="FJ51" s="243"/>
      <c r="FK51" s="243"/>
      <c r="FL51" s="243"/>
      <c r="FM51" s="243"/>
      <c r="FN51" s="243"/>
      <c r="FO51" s="243"/>
      <c r="FP51" s="243"/>
      <c r="FQ51" s="242"/>
      <c r="FR51" s="242"/>
      <c r="FS51" s="242"/>
      <c r="FT51" s="242"/>
      <c r="FU51" s="242"/>
      <c r="FV51" s="242"/>
      <c r="FW51" s="242"/>
      <c r="FX51" s="243"/>
      <c r="FY51" s="243"/>
      <c r="FZ51" s="243"/>
      <c r="GA51" s="243"/>
      <c r="GB51" s="243"/>
      <c r="GC51" s="243"/>
      <c r="GD51" s="243"/>
      <c r="GE51" s="242"/>
      <c r="GF51" s="242"/>
      <c r="GG51" s="242"/>
      <c r="GH51" s="242"/>
      <c r="GI51" s="242"/>
      <c r="GJ51" s="242"/>
      <c r="GK51" s="242"/>
      <c r="GL51" s="243"/>
      <c r="GM51" s="243"/>
      <c r="GN51" s="243"/>
      <c r="GO51" s="243"/>
      <c r="GP51" s="243"/>
      <c r="GQ51" s="243"/>
      <c r="GR51" s="243"/>
      <c r="GS51" s="242"/>
      <c r="GT51" s="242"/>
      <c r="GU51" s="242"/>
      <c r="GV51" s="242"/>
      <c r="GW51" s="242"/>
      <c r="GX51" s="242"/>
      <c r="GY51" s="242"/>
      <c r="GZ51" s="243"/>
      <c r="HA51" s="243"/>
      <c r="HB51" s="243"/>
      <c r="HC51" s="243"/>
      <c r="HD51" s="243"/>
      <c r="HE51" s="243"/>
      <c r="HF51" s="243"/>
      <c r="HG51" s="242"/>
      <c r="HH51" s="242"/>
      <c r="HI51" s="242"/>
      <c r="HJ51" s="242"/>
      <c r="HK51" s="242"/>
      <c r="HL51" s="242"/>
      <c r="HM51" s="242"/>
      <c r="HN51" s="243"/>
      <c r="HO51" s="243"/>
      <c r="HP51" s="243"/>
      <c r="HQ51" s="243"/>
      <c r="HR51" s="243"/>
      <c r="HS51" s="243"/>
      <c r="HT51" s="243"/>
      <c r="HU51" s="242"/>
      <c r="HV51" s="242"/>
      <c r="HW51" s="242"/>
      <c r="HX51" s="242"/>
      <c r="HY51" s="242"/>
      <c r="HZ51" s="242"/>
      <c r="IA51" s="242"/>
      <c r="IB51" s="243"/>
      <c r="IC51" s="243"/>
      <c r="ID51" s="243"/>
      <c r="IE51" s="243"/>
      <c r="IF51" s="243"/>
      <c r="IG51" s="243"/>
      <c r="IH51" s="243"/>
      <c r="II51" s="242"/>
      <c r="IJ51" s="242"/>
      <c r="IK51" s="242"/>
      <c r="IL51" s="242"/>
      <c r="IM51" s="242"/>
      <c r="IN51" s="242"/>
      <c r="IO51" s="242"/>
      <c r="IP51" s="243"/>
      <c r="IQ51" s="243"/>
      <c r="IR51" s="243"/>
      <c r="IS51" s="243"/>
      <c r="IT51" s="243"/>
      <c r="IU51" s="243"/>
      <c r="IV51" s="243"/>
      <c r="IW51" s="242"/>
      <c r="IX51" s="242"/>
      <c r="IY51" s="242"/>
      <c r="IZ51" s="242"/>
      <c r="JA51" s="242"/>
      <c r="JB51" s="242"/>
      <c r="JC51" s="242"/>
      <c r="JD51" s="243"/>
      <c r="JE51" s="243"/>
      <c r="JF51" s="243"/>
      <c r="JG51" s="243"/>
      <c r="JH51" s="243"/>
      <c r="JI51" s="243"/>
      <c r="JJ51" s="243"/>
      <c r="JK51" s="242"/>
      <c r="JL51" s="242"/>
      <c r="JM51" s="242"/>
      <c r="JN51" s="242"/>
      <c r="JO51" s="242"/>
      <c r="JP51" s="242"/>
      <c r="JQ51" s="242"/>
      <c r="JR51" s="243"/>
      <c r="JS51" s="243"/>
      <c r="JT51" s="243"/>
      <c r="JU51" s="243"/>
      <c r="JV51" s="243"/>
      <c r="JW51" s="243"/>
      <c r="JX51" s="243"/>
      <c r="JY51" s="242"/>
      <c r="JZ51" s="242"/>
      <c r="KA51" s="242"/>
      <c r="KB51" s="242"/>
      <c r="KC51" s="242"/>
      <c r="KD51" s="242"/>
      <c r="KE51" s="242"/>
      <c r="KF51" s="243"/>
      <c r="KG51" s="243"/>
      <c r="KH51" s="243"/>
      <c r="KI51" s="243"/>
      <c r="KJ51" s="243"/>
      <c r="KK51" s="243"/>
      <c r="KL51" s="243"/>
      <c r="KM51" s="242"/>
      <c r="KN51" s="242"/>
      <c r="KO51" s="242"/>
      <c r="KP51" s="242"/>
      <c r="KQ51" s="242"/>
      <c r="KR51" s="242"/>
      <c r="KS51" s="242"/>
      <c r="KT51" s="243"/>
      <c r="KU51" s="243"/>
      <c r="KV51" s="243"/>
      <c r="KW51" s="243"/>
      <c r="KX51" s="243"/>
      <c r="KY51" s="243"/>
      <c r="KZ51" s="243"/>
      <c r="LA51" s="242"/>
      <c r="LB51" s="242"/>
      <c r="LC51" s="242"/>
      <c r="LD51" s="242"/>
      <c r="LE51" s="242"/>
      <c r="LF51" s="242"/>
      <c r="LG51" s="242"/>
      <c r="LH51" s="243"/>
      <c r="LI51" s="243"/>
      <c r="LJ51" s="243"/>
      <c r="LK51" s="243"/>
      <c r="LL51" s="243"/>
      <c r="LM51" s="243"/>
      <c r="LN51" s="243"/>
      <c r="LO51" s="242"/>
      <c r="LP51" s="242"/>
      <c r="LQ51" s="242"/>
      <c r="LR51" s="242"/>
      <c r="LS51" s="242"/>
      <c r="LT51" s="242"/>
      <c r="LU51" s="242"/>
      <c r="LV51" s="243"/>
      <c r="LW51" s="243"/>
      <c r="LX51" s="243"/>
      <c r="LY51" s="243"/>
      <c r="LZ51" s="243"/>
      <c r="MA51" s="243"/>
      <c r="MB51" s="243"/>
      <c r="MC51" s="242"/>
      <c r="MD51" s="242"/>
      <c r="ME51" s="242"/>
      <c r="MF51" s="242"/>
      <c r="MG51" s="242"/>
      <c r="MH51" s="242"/>
      <c r="MI51" s="242"/>
      <c r="MJ51" s="243"/>
      <c r="MK51" s="243"/>
      <c r="ML51" s="243"/>
      <c r="MM51" s="243"/>
      <c r="MN51" s="243"/>
      <c r="MO51" s="243"/>
      <c r="MP51" s="243"/>
      <c r="MQ51" s="242"/>
      <c r="MR51" s="242"/>
      <c r="MS51" s="242"/>
      <c r="MT51" s="242"/>
      <c r="MU51" s="242"/>
      <c r="MV51" s="242"/>
      <c r="MW51" s="242"/>
      <c r="MX51" s="243"/>
      <c r="MY51" s="243"/>
      <c r="MZ51" s="243"/>
      <c r="NA51" s="243"/>
      <c r="NB51" s="243"/>
      <c r="NC51" s="243"/>
      <c r="ND51" s="243"/>
      <c r="NE51" s="242"/>
      <c r="NF51" s="242"/>
      <c r="NG51" s="242"/>
      <c r="NH51" s="338" t="s">
        <v>1141</v>
      </c>
    </row>
    <row r="52" spans="1:372">
      <c r="A52" s="254" t="s">
        <v>971</v>
      </c>
      <c r="B52" s="239" t="s">
        <v>43</v>
      </c>
      <c r="C52" s="240" t="s">
        <v>675</v>
      </c>
      <c r="D52" s="240" t="s">
        <v>982</v>
      </c>
      <c r="E52" s="241">
        <v>760.64251661766662</v>
      </c>
      <c r="F52" s="252">
        <v>0</v>
      </c>
      <c r="G52" s="242"/>
      <c r="H52" s="242"/>
      <c r="I52" s="242"/>
      <c r="J52" s="242"/>
      <c r="K52" s="242"/>
      <c r="L52" s="243"/>
      <c r="M52" s="243"/>
      <c r="N52" s="243"/>
      <c r="O52" s="243"/>
      <c r="P52" s="243"/>
      <c r="Q52" s="243"/>
      <c r="R52" s="243"/>
      <c r="S52" s="242"/>
      <c r="T52" s="242"/>
      <c r="U52" s="242"/>
      <c r="V52" s="242"/>
      <c r="W52" s="242"/>
      <c r="X52" s="242"/>
      <c r="Y52" s="242"/>
      <c r="Z52" s="243"/>
      <c r="AA52" s="243"/>
      <c r="AB52" s="243"/>
      <c r="AC52" s="243"/>
      <c r="AD52" s="243"/>
      <c r="AE52" s="243"/>
      <c r="AF52" s="243"/>
      <c r="AG52" s="242"/>
      <c r="AH52" s="242"/>
      <c r="AI52" s="242"/>
      <c r="AJ52" s="242"/>
      <c r="AK52" s="242"/>
      <c r="AL52" s="242"/>
      <c r="AM52" s="242"/>
      <c r="AN52" s="243"/>
      <c r="AO52" s="243"/>
      <c r="AP52" s="243"/>
      <c r="AQ52" s="243"/>
      <c r="AR52" s="243"/>
      <c r="AS52" s="243"/>
      <c r="AT52" s="243"/>
      <c r="AU52" s="242"/>
      <c r="AV52" s="242"/>
      <c r="AW52" s="242"/>
      <c r="AX52" s="242"/>
      <c r="AY52" s="242"/>
      <c r="AZ52" s="242"/>
      <c r="BA52" s="242"/>
      <c r="BB52" s="243"/>
      <c r="BC52" s="243"/>
      <c r="BD52" s="243"/>
      <c r="BE52" s="243"/>
      <c r="BF52" s="243"/>
      <c r="BG52" s="243"/>
      <c r="BH52" s="243"/>
      <c r="BI52" s="242"/>
      <c r="BJ52" s="242"/>
      <c r="BK52" s="242"/>
      <c r="BL52" s="242"/>
      <c r="BM52" s="242"/>
      <c r="BN52" s="242"/>
      <c r="BO52" s="242"/>
      <c r="BP52" s="243"/>
      <c r="BQ52" s="243"/>
      <c r="BR52" s="243"/>
      <c r="BS52" s="243"/>
      <c r="BT52" s="243"/>
      <c r="BU52" s="243"/>
      <c r="BV52" s="243"/>
      <c r="BW52" s="242"/>
      <c r="BX52" s="242"/>
      <c r="BY52" s="242"/>
      <c r="BZ52" s="242"/>
      <c r="CA52" s="242"/>
      <c r="CB52" s="242"/>
      <c r="CC52" s="242"/>
      <c r="CD52" s="243"/>
      <c r="CE52" s="243"/>
      <c r="CF52" s="243"/>
      <c r="CG52" s="243"/>
      <c r="CH52" s="243"/>
      <c r="CI52" s="243"/>
      <c r="CJ52" s="243"/>
      <c r="CK52" s="242"/>
      <c r="CL52" s="242"/>
      <c r="CM52" s="242"/>
      <c r="CN52" s="242"/>
      <c r="CO52" s="242"/>
      <c r="CP52" s="242"/>
      <c r="CQ52" s="242"/>
      <c r="CR52" s="243"/>
      <c r="CS52" s="243"/>
      <c r="CT52" s="243"/>
      <c r="CU52" s="243"/>
      <c r="CV52" s="243"/>
      <c r="CW52" s="243"/>
      <c r="CX52" s="243"/>
      <c r="CY52" s="242"/>
      <c r="CZ52" s="242"/>
      <c r="DA52" s="242"/>
      <c r="DB52" s="242"/>
      <c r="DC52" s="242"/>
      <c r="DD52" s="242"/>
      <c r="DE52" s="242"/>
      <c r="DF52" s="243"/>
      <c r="DG52" s="243"/>
      <c r="DH52" s="243"/>
      <c r="DI52" s="243"/>
      <c r="DJ52" s="243"/>
      <c r="DK52" s="243"/>
      <c r="DL52" s="243"/>
      <c r="DM52" s="242"/>
      <c r="DN52" s="242"/>
      <c r="DO52" s="242"/>
      <c r="DP52" s="242"/>
      <c r="DQ52" s="242"/>
      <c r="DR52" s="242"/>
      <c r="DS52" s="242"/>
      <c r="DT52" s="243"/>
      <c r="DU52" s="243"/>
      <c r="DV52" s="243"/>
      <c r="DW52" s="243"/>
      <c r="DX52" s="243"/>
      <c r="DY52" s="243"/>
      <c r="DZ52" s="243"/>
      <c r="EA52" s="242"/>
      <c r="EB52" s="242"/>
      <c r="EC52" s="242"/>
      <c r="ED52" s="242"/>
      <c r="EE52" s="242"/>
      <c r="EF52" s="242"/>
      <c r="EG52" s="242"/>
      <c r="EH52" s="243"/>
      <c r="EI52" s="243"/>
      <c r="EJ52" s="243"/>
      <c r="EK52" s="243"/>
      <c r="EL52" s="243"/>
      <c r="EM52" s="243"/>
      <c r="EN52" s="243"/>
      <c r="EO52" s="242"/>
      <c r="EP52" s="242"/>
      <c r="EQ52" s="242"/>
      <c r="ER52" s="242"/>
      <c r="ES52" s="242"/>
      <c r="ET52" s="242"/>
      <c r="EU52" s="242"/>
      <c r="EV52" s="243"/>
      <c r="EW52" s="243"/>
      <c r="EX52" s="243"/>
      <c r="EY52" s="243"/>
      <c r="EZ52" s="243"/>
      <c r="FA52" s="243"/>
      <c r="FB52" s="243"/>
      <c r="FC52" s="242"/>
      <c r="FD52" s="242"/>
      <c r="FE52" s="242"/>
      <c r="FF52" s="242"/>
      <c r="FG52" s="242"/>
      <c r="FH52" s="242"/>
      <c r="FI52" s="242"/>
      <c r="FJ52" s="243"/>
      <c r="FK52" s="243"/>
      <c r="FL52" s="243"/>
      <c r="FM52" s="243"/>
      <c r="FN52" s="243"/>
      <c r="FO52" s="243"/>
      <c r="FP52" s="243"/>
      <c r="FQ52" s="242"/>
      <c r="FR52" s="242"/>
      <c r="FS52" s="242"/>
      <c r="FT52" s="242"/>
      <c r="FU52" s="242"/>
      <c r="FV52" s="242"/>
      <c r="FW52" s="242"/>
      <c r="FX52" s="243"/>
      <c r="FY52" s="243"/>
      <c r="FZ52" s="243"/>
      <c r="GA52" s="243"/>
      <c r="GB52" s="243"/>
      <c r="GC52" s="243"/>
      <c r="GD52" s="243"/>
      <c r="GE52" s="242"/>
      <c r="GF52" s="242"/>
      <c r="GG52" s="242"/>
      <c r="GH52" s="242"/>
      <c r="GI52" s="242"/>
      <c r="GJ52" s="242"/>
      <c r="GK52" s="242"/>
      <c r="GL52" s="243"/>
      <c r="GM52" s="243"/>
      <c r="GN52" s="243"/>
      <c r="GO52" s="243"/>
      <c r="GP52" s="243"/>
      <c r="GQ52" s="243"/>
      <c r="GR52" s="243"/>
      <c r="GS52" s="242"/>
      <c r="GT52" s="242"/>
      <c r="GU52" s="242"/>
      <c r="GV52" s="242"/>
      <c r="GW52" s="242"/>
      <c r="GX52" s="242"/>
      <c r="GY52" s="242"/>
      <c r="GZ52" s="243"/>
      <c r="HA52" s="243"/>
      <c r="HB52" s="243"/>
      <c r="HC52" s="243"/>
      <c r="HD52" s="243"/>
      <c r="HE52" s="243"/>
      <c r="HF52" s="243"/>
      <c r="HG52" s="242"/>
      <c r="HH52" s="242"/>
      <c r="HI52" s="242"/>
      <c r="HJ52" s="242"/>
      <c r="HK52" s="242"/>
      <c r="HL52" s="242"/>
      <c r="HM52" s="242"/>
      <c r="HN52" s="243"/>
      <c r="HO52" s="243"/>
      <c r="HP52" s="243"/>
      <c r="HQ52" s="243"/>
      <c r="HR52" s="243"/>
      <c r="HS52" s="243"/>
      <c r="HT52" s="243"/>
      <c r="HU52" s="242"/>
      <c r="HV52" s="242"/>
      <c r="HW52" s="242"/>
      <c r="HX52" s="242"/>
      <c r="HY52" s="242"/>
      <c r="HZ52" s="242"/>
      <c r="IA52" s="242"/>
      <c r="IB52" s="243"/>
      <c r="IC52" s="243"/>
      <c r="ID52" s="243"/>
      <c r="IE52" s="243"/>
      <c r="IF52" s="243"/>
      <c r="IG52" s="243"/>
      <c r="IH52" s="243"/>
      <c r="II52" s="242"/>
      <c r="IJ52" s="242"/>
      <c r="IK52" s="242"/>
      <c r="IL52" s="242"/>
      <c r="IM52" s="242"/>
      <c r="IN52" s="242"/>
      <c r="IO52" s="242"/>
      <c r="IP52" s="243"/>
      <c r="IQ52" s="243"/>
      <c r="IR52" s="243"/>
      <c r="IS52" s="243"/>
      <c r="IT52" s="243"/>
      <c r="IU52" s="243"/>
      <c r="IV52" s="243"/>
      <c r="IW52" s="242"/>
      <c r="IX52" s="242"/>
      <c r="IY52" s="242"/>
      <c r="IZ52" s="242"/>
      <c r="JA52" s="242"/>
      <c r="JB52" s="242"/>
      <c r="JC52" s="242"/>
      <c r="JD52" s="243"/>
      <c r="JE52" s="243"/>
      <c r="JF52" s="243"/>
      <c r="JG52" s="243"/>
      <c r="JH52" s="243"/>
      <c r="JI52" s="243"/>
      <c r="JJ52" s="243"/>
      <c r="JK52" s="242"/>
      <c r="JL52" s="242"/>
      <c r="JM52" s="242"/>
      <c r="JN52" s="242"/>
      <c r="JO52" s="242"/>
      <c r="JP52" s="242"/>
      <c r="JQ52" s="242"/>
      <c r="JR52" s="243"/>
      <c r="JS52" s="243"/>
      <c r="JT52" s="243"/>
      <c r="JU52" s="243"/>
      <c r="JV52" s="243"/>
      <c r="JW52" s="243"/>
      <c r="JX52" s="243"/>
      <c r="JY52" s="242"/>
      <c r="JZ52" s="242"/>
      <c r="KA52" s="242"/>
      <c r="KB52" s="242"/>
      <c r="KC52" s="242"/>
      <c r="KD52" s="242"/>
      <c r="KE52" s="242"/>
      <c r="KF52" s="243"/>
      <c r="KG52" s="243"/>
      <c r="KH52" s="243"/>
      <c r="KI52" s="243"/>
      <c r="KJ52" s="243"/>
      <c r="KK52" s="243"/>
      <c r="KL52" s="243"/>
      <c r="KM52" s="242"/>
      <c r="KN52" s="242"/>
      <c r="KO52" s="242"/>
      <c r="KP52" s="242"/>
      <c r="KQ52" s="242"/>
      <c r="KR52" s="242"/>
      <c r="KS52" s="242"/>
      <c r="KT52" s="243"/>
      <c r="KU52" s="243"/>
      <c r="KV52" s="243"/>
      <c r="KW52" s="243"/>
      <c r="KX52" s="243"/>
      <c r="KY52" s="243"/>
      <c r="KZ52" s="243"/>
      <c r="LA52" s="242"/>
      <c r="LB52" s="242"/>
      <c r="LC52" s="242"/>
      <c r="LD52" s="242"/>
      <c r="LE52" s="242"/>
      <c r="LF52" s="242"/>
      <c r="LG52" s="242"/>
      <c r="LH52" s="243"/>
      <c r="LI52" s="243"/>
      <c r="LJ52" s="243"/>
      <c r="LK52" s="243"/>
      <c r="LL52" s="243"/>
      <c r="LM52" s="243"/>
      <c r="LN52" s="243"/>
      <c r="LO52" s="242"/>
      <c r="LP52" s="242"/>
      <c r="LQ52" s="242"/>
      <c r="LR52" s="242"/>
      <c r="LS52" s="242"/>
      <c r="LT52" s="242"/>
      <c r="LU52" s="242"/>
      <c r="LV52" s="243"/>
      <c r="LW52" s="243"/>
      <c r="LX52" s="243"/>
      <c r="LY52" s="243"/>
      <c r="LZ52" s="243"/>
      <c r="MA52" s="243"/>
      <c r="MB52" s="243"/>
      <c r="MC52" s="242"/>
      <c r="MD52" s="242"/>
      <c r="ME52" s="242"/>
      <c r="MF52" s="242"/>
      <c r="MG52" s="242"/>
      <c r="MH52" s="242"/>
      <c r="MI52" s="242"/>
      <c r="MJ52" s="243"/>
      <c r="MK52" s="243"/>
      <c r="ML52" s="243"/>
      <c r="MM52" s="243"/>
      <c r="MN52" s="243"/>
      <c r="MO52" s="243"/>
      <c r="MP52" s="243"/>
      <c r="MQ52" s="242"/>
      <c r="MR52" s="242"/>
      <c r="MS52" s="242"/>
      <c r="MT52" s="242"/>
      <c r="MU52" s="242"/>
      <c r="MV52" s="242"/>
      <c r="MW52" s="242"/>
      <c r="MX52" s="243"/>
      <c r="MY52" s="243"/>
      <c r="MZ52" s="243"/>
      <c r="NA52" s="243"/>
      <c r="NB52" s="243"/>
      <c r="NC52" s="243"/>
      <c r="ND52" s="243"/>
      <c r="NE52" s="242"/>
      <c r="NF52" s="242"/>
      <c r="NG52" s="242"/>
      <c r="NH52" s="243"/>
    </row>
    <row r="53" spans="1:372">
      <c r="A53" s="254" t="s">
        <v>971</v>
      </c>
      <c r="B53" s="239" t="s">
        <v>44</v>
      </c>
      <c r="C53" s="240" t="s">
        <v>675</v>
      </c>
      <c r="D53" s="240" t="s">
        <v>982</v>
      </c>
      <c r="E53" s="241">
        <v>971.88907499999993</v>
      </c>
      <c r="F53" s="252">
        <v>504</v>
      </c>
      <c r="G53" s="242"/>
      <c r="H53" s="242"/>
      <c r="I53" s="242"/>
      <c r="J53" s="242"/>
      <c r="K53" s="242"/>
      <c r="L53" s="243"/>
      <c r="M53" s="243"/>
      <c r="N53" s="243"/>
      <c r="O53" s="243"/>
      <c r="P53" s="243"/>
      <c r="Q53" s="243"/>
      <c r="R53" s="243"/>
      <c r="S53" s="242"/>
      <c r="T53" s="242"/>
      <c r="U53" s="242"/>
      <c r="V53" s="242"/>
      <c r="W53" s="242"/>
      <c r="X53" s="242"/>
      <c r="Y53" s="242"/>
      <c r="Z53" s="243"/>
      <c r="AA53" s="243"/>
      <c r="AB53" s="243"/>
      <c r="AC53" s="243"/>
      <c r="AD53" s="243"/>
      <c r="AE53" s="243"/>
      <c r="AF53" s="243"/>
      <c r="AG53" s="242"/>
      <c r="AH53" s="242"/>
      <c r="AI53" s="242"/>
      <c r="AJ53" s="242"/>
      <c r="AK53" s="242"/>
      <c r="AL53" s="242"/>
      <c r="AM53" s="242"/>
      <c r="AN53" s="243"/>
      <c r="AO53" s="243"/>
      <c r="AP53" s="243"/>
      <c r="AQ53" s="243"/>
      <c r="AR53" s="243"/>
      <c r="AS53" s="243"/>
      <c r="AT53" s="243"/>
      <c r="AU53" s="242"/>
      <c r="AV53" s="242"/>
      <c r="AW53" s="242"/>
      <c r="AX53" s="242"/>
      <c r="AY53" s="242"/>
      <c r="AZ53" s="242"/>
      <c r="BA53" s="242"/>
      <c r="BB53" s="243"/>
      <c r="BC53" s="243"/>
      <c r="BD53" s="243"/>
      <c r="BE53" s="243"/>
      <c r="BF53" s="243"/>
      <c r="BG53" s="243"/>
      <c r="BH53" s="243"/>
      <c r="BI53" s="242"/>
      <c r="BJ53" s="242"/>
      <c r="BK53" s="242"/>
      <c r="BL53" s="242"/>
      <c r="BM53" s="242"/>
      <c r="BN53" s="242"/>
      <c r="BO53" s="242"/>
      <c r="BP53" s="243"/>
      <c r="BQ53" s="243"/>
      <c r="BR53" s="243"/>
      <c r="BS53" s="243"/>
      <c r="BT53" s="243"/>
      <c r="BU53" s="243"/>
      <c r="BV53" s="243"/>
      <c r="BW53" s="242"/>
      <c r="BX53" s="242"/>
      <c r="BY53" s="242"/>
      <c r="BZ53" s="242"/>
      <c r="CA53" s="242"/>
      <c r="CB53" s="242"/>
      <c r="CC53" s="242"/>
      <c r="CD53" s="243"/>
      <c r="CE53" s="243"/>
      <c r="CF53" s="243"/>
      <c r="CG53" s="243"/>
      <c r="CH53" s="243"/>
      <c r="CI53" s="243"/>
      <c r="CJ53" s="243"/>
      <c r="CK53" s="242"/>
      <c r="CL53" s="242"/>
      <c r="CM53" s="242"/>
      <c r="CN53" s="242"/>
      <c r="CO53" s="242"/>
      <c r="CP53" s="242"/>
      <c r="CQ53" s="242"/>
      <c r="CR53" s="243"/>
      <c r="CS53" s="243"/>
      <c r="CT53" s="243"/>
      <c r="CU53" s="243"/>
      <c r="CV53" s="243"/>
      <c r="CW53" s="243"/>
      <c r="CX53" s="243"/>
      <c r="CY53" s="242"/>
      <c r="CZ53" s="242"/>
      <c r="DA53" s="242"/>
      <c r="DB53" s="242"/>
      <c r="DC53" s="242"/>
      <c r="DD53" s="242"/>
      <c r="DE53" s="242"/>
      <c r="DF53" s="243"/>
      <c r="DG53" s="243"/>
      <c r="DH53" s="243"/>
      <c r="DI53" s="243"/>
      <c r="DJ53" s="243"/>
      <c r="DK53" s="243"/>
      <c r="DL53" s="243"/>
      <c r="DM53" s="242"/>
      <c r="DN53" s="242"/>
      <c r="DO53" s="242"/>
      <c r="DP53" s="242"/>
      <c r="DQ53" s="242"/>
      <c r="DR53" s="242"/>
      <c r="DS53" s="242"/>
      <c r="DT53" s="243"/>
      <c r="DU53" s="243"/>
      <c r="DV53" s="243"/>
      <c r="DW53" s="243"/>
      <c r="DX53" s="243"/>
      <c r="DY53" s="243"/>
      <c r="DZ53" s="243"/>
      <c r="EA53" s="242"/>
      <c r="EB53" s="242"/>
      <c r="EC53" s="242"/>
      <c r="ED53" s="242"/>
      <c r="EE53" s="242"/>
      <c r="EF53" s="242"/>
      <c r="EG53" s="242"/>
      <c r="EH53" s="243"/>
      <c r="EI53" s="243"/>
      <c r="EJ53" s="243"/>
      <c r="EK53" s="243"/>
      <c r="EL53" s="243"/>
      <c r="EM53" s="243"/>
      <c r="EN53" s="243"/>
      <c r="EO53" s="242"/>
      <c r="EP53" s="242"/>
      <c r="EQ53" s="242"/>
      <c r="ER53" s="242"/>
      <c r="ES53" s="242"/>
      <c r="ET53" s="242"/>
      <c r="EU53" s="242"/>
      <c r="EV53" s="243"/>
      <c r="EW53" s="243"/>
      <c r="EX53" s="243"/>
      <c r="EY53" s="243"/>
      <c r="EZ53" s="243"/>
      <c r="FA53" s="243"/>
      <c r="FB53" s="243"/>
      <c r="FC53" s="242"/>
      <c r="FD53" s="242"/>
      <c r="FE53" s="242"/>
      <c r="FF53" s="242"/>
      <c r="FG53" s="242"/>
      <c r="FH53" s="242"/>
      <c r="FI53" s="242"/>
      <c r="FJ53" s="243"/>
      <c r="FK53" s="243"/>
      <c r="FL53" s="243"/>
      <c r="FM53" s="243"/>
      <c r="FN53" s="243"/>
      <c r="FO53" s="243"/>
      <c r="FP53" s="243"/>
      <c r="FQ53" s="242"/>
      <c r="FR53" s="242"/>
      <c r="FS53" s="242"/>
      <c r="FT53" s="242"/>
      <c r="FU53" s="242"/>
      <c r="FV53" s="242"/>
      <c r="FW53" s="242"/>
      <c r="FX53" s="243"/>
      <c r="FY53" s="243"/>
      <c r="FZ53" s="243"/>
      <c r="GA53" s="243"/>
      <c r="GB53" s="243"/>
      <c r="GC53" s="243"/>
      <c r="GD53" s="243"/>
      <c r="GE53" s="242"/>
      <c r="GF53" s="242"/>
      <c r="GG53" s="242"/>
      <c r="GH53" s="242"/>
      <c r="GI53" s="242"/>
      <c r="GJ53" s="242"/>
      <c r="GK53" s="242"/>
      <c r="GL53" s="243"/>
      <c r="GM53" s="243"/>
      <c r="GN53" s="243"/>
      <c r="GO53" s="243"/>
      <c r="GP53" s="243"/>
      <c r="GQ53" s="243"/>
      <c r="GR53" s="243"/>
      <c r="GS53" s="242"/>
      <c r="GT53" s="242"/>
      <c r="GU53" s="242"/>
      <c r="GV53" s="242"/>
      <c r="GW53" s="242"/>
      <c r="GX53" s="242"/>
      <c r="GY53" s="242"/>
      <c r="GZ53" s="243"/>
      <c r="HA53" s="243"/>
      <c r="HB53" s="243"/>
      <c r="HC53" s="243"/>
      <c r="HD53" s="243"/>
      <c r="HE53" s="243"/>
      <c r="HF53" s="243"/>
      <c r="HG53" s="242"/>
      <c r="HH53" s="242"/>
      <c r="HI53" s="242"/>
      <c r="HJ53" s="242"/>
      <c r="HK53" s="242"/>
      <c r="HL53" s="242"/>
      <c r="HM53" s="242"/>
      <c r="HN53" s="243"/>
      <c r="HO53" s="243"/>
      <c r="HP53" s="243"/>
      <c r="HQ53" s="243"/>
      <c r="HR53" s="243"/>
      <c r="HS53" s="243"/>
      <c r="HT53" s="243"/>
      <c r="HU53" s="242"/>
      <c r="HV53" s="242"/>
      <c r="HW53" s="242"/>
      <c r="HX53" s="242"/>
      <c r="HY53" s="242"/>
      <c r="HZ53" s="242"/>
      <c r="IA53" s="242"/>
      <c r="IB53" s="243"/>
      <c r="IC53" s="243"/>
      <c r="ID53" s="243"/>
      <c r="IE53" s="243"/>
      <c r="IF53" s="243"/>
      <c r="IG53" s="243"/>
      <c r="IH53" s="243"/>
      <c r="II53" s="242"/>
      <c r="IJ53" s="242"/>
      <c r="IK53" s="242"/>
      <c r="IL53" s="242"/>
      <c r="IM53" s="242"/>
      <c r="IN53" s="242"/>
      <c r="IO53" s="242"/>
      <c r="IP53" s="243">
        <v>24</v>
      </c>
      <c r="IQ53" s="243">
        <v>24</v>
      </c>
      <c r="IR53" s="243">
        <v>24</v>
      </c>
      <c r="IS53" s="243">
        <v>24</v>
      </c>
      <c r="IT53" s="243">
        <v>24</v>
      </c>
      <c r="IU53" s="243">
        <v>24</v>
      </c>
      <c r="IV53" s="243">
        <v>24</v>
      </c>
      <c r="IW53" s="242">
        <v>24</v>
      </c>
      <c r="IX53" s="242">
        <v>24</v>
      </c>
      <c r="IY53" s="242">
        <v>24</v>
      </c>
      <c r="IZ53" s="242">
        <v>24</v>
      </c>
      <c r="JA53" s="242">
        <v>24</v>
      </c>
      <c r="JB53" s="242">
        <v>24</v>
      </c>
      <c r="JC53" s="242">
        <v>24</v>
      </c>
      <c r="JD53" s="243">
        <v>24</v>
      </c>
      <c r="JE53" s="243">
        <v>24</v>
      </c>
      <c r="JF53" s="243">
        <v>24</v>
      </c>
      <c r="JG53" s="243">
        <v>24</v>
      </c>
      <c r="JH53" s="243">
        <v>24</v>
      </c>
      <c r="JI53" s="243">
        <v>24</v>
      </c>
      <c r="JJ53" s="243">
        <v>24</v>
      </c>
      <c r="JK53" s="242"/>
      <c r="JL53" s="242"/>
      <c r="JM53" s="242"/>
      <c r="JN53" s="242"/>
      <c r="JO53" s="242"/>
      <c r="JP53" s="242"/>
      <c r="JQ53" s="242"/>
      <c r="JR53" s="243"/>
      <c r="JS53" s="243"/>
      <c r="JT53" s="243"/>
      <c r="JU53" s="243"/>
      <c r="JV53" s="243"/>
      <c r="JW53" s="243"/>
      <c r="JX53" s="243"/>
      <c r="JY53" s="242"/>
      <c r="JZ53" s="242"/>
      <c r="KA53" s="242"/>
      <c r="KB53" s="242"/>
      <c r="KC53" s="242"/>
      <c r="KD53" s="242"/>
      <c r="KE53" s="242"/>
      <c r="KF53" s="243"/>
      <c r="KG53" s="243"/>
      <c r="KH53" s="243"/>
      <c r="KI53" s="243"/>
      <c r="KJ53" s="243"/>
      <c r="KK53" s="243"/>
      <c r="KL53" s="243"/>
      <c r="KM53" s="242"/>
      <c r="KN53" s="242"/>
      <c r="KO53" s="242"/>
      <c r="KP53" s="242"/>
      <c r="KQ53" s="242"/>
      <c r="KR53" s="242"/>
      <c r="KS53" s="242"/>
      <c r="KT53" s="243"/>
      <c r="KU53" s="243"/>
      <c r="KV53" s="243"/>
      <c r="KW53" s="243"/>
      <c r="KX53" s="243"/>
      <c r="KY53" s="243"/>
      <c r="KZ53" s="243"/>
      <c r="LA53" s="242"/>
      <c r="LB53" s="242"/>
      <c r="LC53" s="242"/>
      <c r="LD53" s="242"/>
      <c r="LE53" s="242"/>
      <c r="LF53" s="242"/>
      <c r="LG53" s="242"/>
      <c r="LH53" s="243"/>
      <c r="LI53" s="243"/>
      <c r="LJ53" s="243"/>
      <c r="LK53" s="243"/>
      <c r="LL53" s="243"/>
      <c r="LM53" s="243"/>
      <c r="LN53" s="243"/>
      <c r="LO53" s="242"/>
      <c r="LP53" s="242"/>
      <c r="LQ53" s="242"/>
      <c r="LR53" s="242"/>
      <c r="LS53" s="242"/>
      <c r="LT53" s="242"/>
      <c r="LU53" s="242"/>
      <c r="LV53" s="243"/>
      <c r="LW53" s="243"/>
      <c r="LX53" s="243"/>
      <c r="LY53" s="243"/>
      <c r="LZ53" s="243"/>
      <c r="MA53" s="243"/>
      <c r="MB53" s="243"/>
      <c r="MC53" s="242"/>
      <c r="MD53" s="242"/>
      <c r="ME53" s="242"/>
      <c r="MF53" s="242"/>
      <c r="MG53" s="242"/>
      <c r="MH53" s="242"/>
      <c r="MI53" s="242"/>
      <c r="MJ53" s="243"/>
      <c r="MK53" s="243"/>
      <c r="ML53" s="243"/>
      <c r="MM53" s="243"/>
      <c r="MN53" s="243"/>
      <c r="MO53" s="243"/>
      <c r="MP53" s="243"/>
      <c r="MQ53" s="242"/>
      <c r="MR53" s="242"/>
      <c r="MS53" s="242"/>
      <c r="MT53" s="242"/>
      <c r="MU53" s="242"/>
      <c r="MV53" s="242"/>
      <c r="MW53" s="242"/>
      <c r="MX53" s="243"/>
      <c r="MY53" s="243"/>
      <c r="MZ53" s="243"/>
      <c r="NA53" s="243"/>
      <c r="NB53" s="243"/>
      <c r="NC53" s="243"/>
      <c r="ND53" s="243"/>
      <c r="NE53" s="242"/>
      <c r="NF53" s="242"/>
      <c r="NG53" s="242"/>
      <c r="NH53" s="243"/>
    </row>
    <row r="54" spans="1:372">
      <c r="A54" s="254" t="s">
        <v>971</v>
      </c>
      <c r="B54" s="239" t="s">
        <v>45</v>
      </c>
      <c r="C54" s="240" t="s">
        <v>675</v>
      </c>
      <c r="D54" s="240" t="s">
        <v>982</v>
      </c>
      <c r="E54" s="241">
        <v>935.21068053399995</v>
      </c>
      <c r="F54" s="252">
        <v>96</v>
      </c>
      <c r="G54" s="242"/>
      <c r="H54" s="242"/>
      <c r="I54" s="242"/>
      <c r="J54" s="242"/>
      <c r="K54" s="242"/>
      <c r="L54" s="243"/>
      <c r="M54" s="243"/>
      <c r="N54" s="243"/>
      <c r="O54" s="243"/>
      <c r="P54" s="243"/>
      <c r="Q54" s="243"/>
      <c r="R54" s="243"/>
      <c r="S54" s="242"/>
      <c r="T54" s="242"/>
      <c r="U54" s="242"/>
      <c r="V54" s="242"/>
      <c r="W54" s="242"/>
      <c r="X54" s="242"/>
      <c r="Y54" s="242"/>
      <c r="Z54" s="243"/>
      <c r="AA54" s="243"/>
      <c r="AB54" s="243"/>
      <c r="AC54" s="243"/>
      <c r="AD54" s="243"/>
      <c r="AE54" s="243"/>
      <c r="AF54" s="243"/>
      <c r="AG54" s="242"/>
      <c r="AH54" s="242"/>
      <c r="AI54" s="242"/>
      <c r="AJ54" s="242"/>
      <c r="AK54" s="242"/>
      <c r="AL54" s="242"/>
      <c r="AM54" s="242"/>
      <c r="AN54" s="243"/>
      <c r="AO54" s="243"/>
      <c r="AP54" s="243"/>
      <c r="AQ54" s="243"/>
      <c r="AR54" s="243"/>
      <c r="AS54" s="243"/>
      <c r="AT54" s="243"/>
      <c r="AU54" s="242"/>
      <c r="AV54" s="242"/>
      <c r="AW54" s="242"/>
      <c r="AX54" s="242"/>
      <c r="AY54" s="242"/>
      <c r="AZ54" s="242"/>
      <c r="BA54" s="242"/>
      <c r="BB54" s="243"/>
      <c r="BC54" s="243"/>
      <c r="BD54" s="243"/>
      <c r="BE54" s="243"/>
      <c r="BF54" s="243"/>
      <c r="BG54" s="243"/>
      <c r="BH54" s="243"/>
      <c r="BI54" s="242"/>
      <c r="BJ54" s="242"/>
      <c r="BK54" s="242"/>
      <c r="BL54" s="242"/>
      <c r="BM54" s="242"/>
      <c r="BN54" s="242"/>
      <c r="BO54" s="242"/>
      <c r="BP54" s="243"/>
      <c r="BQ54" s="243"/>
      <c r="BR54" s="243"/>
      <c r="BS54" s="243"/>
      <c r="BT54" s="243"/>
      <c r="BU54" s="243"/>
      <c r="BV54" s="243"/>
      <c r="BW54" s="242"/>
      <c r="BX54" s="242"/>
      <c r="BY54" s="242"/>
      <c r="BZ54" s="242"/>
      <c r="CA54" s="242"/>
      <c r="CB54" s="242"/>
      <c r="CC54" s="242"/>
      <c r="CD54" s="243"/>
      <c r="CE54" s="243"/>
      <c r="CF54" s="243"/>
      <c r="CG54" s="243"/>
      <c r="CH54" s="243"/>
      <c r="CI54" s="243"/>
      <c r="CJ54" s="243"/>
      <c r="CK54" s="242"/>
      <c r="CL54" s="242"/>
      <c r="CM54" s="242"/>
      <c r="CN54" s="242"/>
      <c r="CO54" s="242"/>
      <c r="CP54" s="242"/>
      <c r="CQ54" s="242"/>
      <c r="CR54" s="243"/>
      <c r="CS54" s="243"/>
      <c r="CT54" s="243"/>
      <c r="CU54" s="243"/>
      <c r="CV54" s="243"/>
      <c r="CW54" s="243"/>
      <c r="CX54" s="243"/>
      <c r="CY54" s="242"/>
      <c r="CZ54" s="242"/>
      <c r="DA54" s="242"/>
      <c r="DB54" s="242"/>
      <c r="DC54" s="242"/>
      <c r="DD54" s="242"/>
      <c r="DE54" s="242"/>
      <c r="DF54" s="243"/>
      <c r="DG54" s="243"/>
      <c r="DH54" s="243"/>
      <c r="DI54" s="243"/>
      <c r="DJ54" s="243"/>
      <c r="DK54" s="243"/>
      <c r="DL54" s="243"/>
      <c r="DM54" s="242"/>
      <c r="DN54" s="242"/>
      <c r="DO54" s="242"/>
      <c r="DP54" s="242"/>
      <c r="DQ54" s="242"/>
      <c r="DR54" s="242"/>
      <c r="DS54" s="242"/>
      <c r="DT54" s="243"/>
      <c r="DU54" s="243"/>
      <c r="DV54" s="243"/>
      <c r="DW54" s="243"/>
      <c r="DX54" s="243"/>
      <c r="DY54" s="243"/>
      <c r="DZ54" s="243"/>
      <c r="EA54" s="242"/>
      <c r="EB54" s="242"/>
      <c r="EC54" s="242"/>
      <c r="ED54" s="242"/>
      <c r="EE54" s="242"/>
      <c r="EF54" s="242"/>
      <c r="EG54" s="242"/>
      <c r="EH54" s="243"/>
      <c r="EI54" s="243"/>
      <c r="EJ54" s="243"/>
      <c r="EK54" s="243"/>
      <c r="EL54" s="243"/>
      <c r="EM54" s="243"/>
      <c r="EN54" s="243"/>
      <c r="EO54" s="242"/>
      <c r="EP54" s="242"/>
      <c r="EQ54" s="242"/>
      <c r="ER54" s="242"/>
      <c r="ES54" s="242"/>
      <c r="ET54" s="242"/>
      <c r="EU54" s="242"/>
      <c r="EV54" s="243"/>
      <c r="EW54" s="243"/>
      <c r="EX54" s="243"/>
      <c r="EY54" s="243"/>
      <c r="EZ54" s="243"/>
      <c r="FA54" s="243"/>
      <c r="FB54" s="243"/>
      <c r="FC54" s="242"/>
      <c r="FD54" s="242">
        <v>24</v>
      </c>
      <c r="FE54" s="242">
        <v>24</v>
      </c>
      <c r="FF54" s="242">
        <v>24</v>
      </c>
      <c r="FG54" s="242">
        <v>24</v>
      </c>
      <c r="FH54" s="242"/>
      <c r="FI54" s="242"/>
      <c r="FJ54" s="243"/>
      <c r="FK54" s="243"/>
      <c r="FL54" s="243"/>
      <c r="FM54" s="243"/>
      <c r="FN54" s="243"/>
      <c r="FO54" s="243"/>
      <c r="FP54" s="243"/>
      <c r="FQ54" s="242"/>
      <c r="FR54" s="242"/>
      <c r="FS54" s="242"/>
      <c r="FT54" s="242"/>
      <c r="FU54" s="242"/>
      <c r="FV54" s="242"/>
      <c r="FW54" s="242"/>
      <c r="FX54" s="243"/>
      <c r="FY54" s="243"/>
      <c r="FZ54" s="243"/>
      <c r="GA54" s="243"/>
      <c r="GB54" s="243"/>
      <c r="GC54" s="243"/>
      <c r="GD54" s="243"/>
      <c r="GE54" s="242"/>
      <c r="GF54" s="242"/>
      <c r="GG54" s="242"/>
      <c r="GH54" s="242"/>
      <c r="GI54" s="242"/>
      <c r="GJ54" s="242"/>
      <c r="GK54" s="242"/>
      <c r="GL54" s="243"/>
      <c r="GM54" s="243"/>
      <c r="GN54" s="243"/>
      <c r="GO54" s="243"/>
      <c r="GP54" s="243"/>
      <c r="GQ54" s="243"/>
      <c r="GR54" s="243"/>
      <c r="GS54" s="242"/>
      <c r="GT54" s="242"/>
      <c r="GU54" s="242"/>
      <c r="GV54" s="242"/>
      <c r="GW54" s="242"/>
      <c r="GX54" s="242"/>
      <c r="GY54" s="242"/>
      <c r="GZ54" s="243"/>
      <c r="HA54" s="243"/>
      <c r="HB54" s="243"/>
      <c r="HC54" s="243"/>
      <c r="HD54" s="243"/>
      <c r="HE54" s="243"/>
      <c r="HF54" s="243"/>
      <c r="HG54" s="242"/>
      <c r="HH54" s="242"/>
      <c r="HI54" s="242"/>
      <c r="HJ54" s="242"/>
      <c r="HK54" s="242"/>
      <c r="HL54" s="242"/>
      <c r="HM54" s="242"/>
      <c r="HN54" s="243"/>
      <c r="HO54" s="243"/>
      <c r="HP54" s="243"/>
      <c r="HQ54" s="243"/>
      <c r="HR54" s="243"/>
      <c r="HS54" s="243"/>
      <c r="HT54" s="243"/>
      <c r="HU54" s="242"/>
      <c r="HV54" s="242"/>
      <c r="HW54" s="242"/>
      <c r="HX54" s="242"/>
      <c r="HY54" s="242"/>
      <c r="HZ54" s="242"/>
      <c r="IA54" s="242"/>
      <c r="IB54" s="243"/>
      <c r="IC54" s="243"/>
      <c r="ID54" s="243"/>
      <c r="IE54" s="243"/>
      <c r="IF54" s="243"/>
      <c r="IG54" s="243"/>
      <c r="IH54" s="243"/>
      <c r="II54" s="242"/>
      <c r="IJ54" s="242"/>
      <c r="IK54" s="242"/>
      <c r="IL54" s="242"/>
      <c r="IM54" s="242"/>
      <c r="IN54" s="242"/>
      <c r="IO54" s="242"/>
      <c r="IP54" s="243"/>
      <c r="IQ54" s="243"/>
      <c r="IR54" s="243"/>
      <c r="IS54" s="243"/>
      <c r="IT54" s="243"/>
      <c r="IU54" s="243"/>
      <c r="IV54" s="243"/>
      <c r="IW54" s="242"/>
      <c r="IX54" s="242"/>
      <c r="IY54" s="242"/>
      <c r="IZ54" s="242"/>
      <c r="JA54" s="242"/>
      <c r="JB54" s="242"/>
      <c r="JC54" s="242"/>
      <c r="JD54" s="243"/>
      <c r="JE54" s="243"/>
      <c r="JF54" s="243"/>
      <c r="JG54" s="243"/>
      <c r="JH54" s="243"/>
      <c r="JI54" s="243"/>
      <c r="JJ54" s="243"/>
      <c r="JK54" s="242"/>
      <c r="JL54" s="242"/>
      <c r="JM54" s="242"/>
      <c r="JN54" s="242"/>
      <c r="JO54" s="242"/>
      <c r="JP54" s="242"/>
      <c r="JQ54" s="242"/>
      <c r="JR54" s="243"/>
      <c r="JS54" s="243"/>
      <c r="JT54" s="243"/>
      <c r="JU54" s="243"/>
      <c r="JV54" s="243"/>
      <c r="JW54" s="243"/>
      <c r="JX54" s="243"/>
      <c r="JY54" s="242"/>
      <c r="JZ54" s="242"/>
      <c r="KA54" s="242"/>
      <c r="KB54" s="242"/>
      <c r="KC54" s="242"/>
      <c r="KD54" s="242"/>
      <c r="KE54" s="242"/>
      <c r="KF54" s="243"/>
      <c r="KG54" s="243"/>
      <c r="KH54" s="243"/>
      <c r="KI54" s="243"/>
      <c r="KJ54" s="243"/>
      <c r="KK54" s="243"/>
      <c r="KL54" s="243"/>
      <c r="KM54" s="242"/>
      <c r="KN54" s="242"/>
      <c r="KO54" s="242"/>
      <c r="KP54" s="242"/>
      <c r="KQ54" s="242"/>
      <c r="KR54" s="242"/>
      <c r="KS54" s="242"/>
      <c r="KT54" s="243"/>
      <c r="KU54" s="243"/>
      <c r="KV54" s="243"/>
      <c r="KW54" s="243"/>
      <c r="KX54" s="243"/>
      <c r="KY54" s="243"/>
      <c r="KZ54" s="243"/>
      <c r="LA54" s="242"/>
      <c r="LB54" s="242"/>
      <c r="LC54" s="242"/>
      <c r="LD54" s="242"/>
      <c r="LE54" s="242"/>
      <c r="LF54" s="242"/>
      <c r="LG54" s="242"/>
      <c r="LH54" s="243"/>
      <c r="LI54" s="243"/>
      <c r="LJ54" s="243"/>
      <c r="LK54" s="243"/>
      <c r="LL54" s="243"/>
      <c r="LM54" s="243"/>
      <c r="LN54" s="243"/>
      <c r="LO54" s="242"/>
      <c r="LP54" s="242"/>
      <c r="LQ54" s="242"/>
      <c r="LR54" s="242"/>
      <c r="LS54" s="242"/>
      <c r="LT54" s="242"/>
      <c r="LU54" s="242"/>
      <c r="LV54" s="243"/>
      <c r="LW54" s="243"/>
      <c r="LX54" s="243"/>
      <c r="LY54" s="243"/>
      <c r="LZ54" s="243"/>
      <c r="MA54" s="243"/>
      <c r="MB54" s="243"/>
      <c r="MC54" s="242"/>
      <c r="MD54" s="242"/>
      <c r="ME54" s="242"/>
      <c r="MF54" s="242"/>
      <c r="MG54" s="242"/>
      <c r="MH54" s="242"/>
      <c r="MI54" s="242"/>
      <c r="MJ54" s="243"/>
      <c r="MK54" s="243"/>
      <c r="ML54" s="243"/>
      <c r="MM54" s="243"/>
      <c r="MN54" s="243"/>
      <c r="MO54" s="243"/>
      <c r="MP54" s="243"/>
      <c r="MQ54" s="242"/>
      <c r="MR54" s="242"/>
      <c r="MS54" s="242"/>
      <c r="MT54" s="242"/>
      <c r="MU54" s="242"/>
      <c r="MV54" s="242"/>
      <c r="MW54" s="242"/>
      <c r="MX54" s="243"/>
      <c r="MY54" s="243"/>
      <c r="MZ54" s="243"/>
      <c r="NA54" s="243"/>
      <c r="NB54" s="243"/>
      <c r="NC54" s="243"/>
      <c r="ND54" s="243"/>
      <c r="NE54" s="242"/>
      <c r="NF54" s="242"/>
      <c r="NG54" s="242"/>
      <c r="NH54" s="243"/>
    </row>
    <row r="55" spans="1:372">
      <c r="A55" s="254" t="s">
        <v>972</v>
      </c>
      <c r="B55" s="239" t="s">
        <v>807</v>
      </c>
      <c r="C55" s="240" t="s">
        <v>674</v>
      </c>
      <c r="D55" s="240" t="s">
        <v>997</v>
      </c>
      <c r="E55" s="241">
        <v>225.59999999977438</v>
      </c>
      <c r="F55" s="252">
        <v>228</v>
      </c>
      <c r="G55" s="242"/>
      <c r="H55" s="242"/>
      <c r="I55" s="242"/>
      <c r="J55" s="242"/>
      <c r="K55" s="242"/>
      <c r="L55" s="243"/>
      <c r="M55" s="243"/>
      <c r="N55" s="243"/>
      <c r="O55" s="243"/>
      <c r="P55" s="243"/>
      <c r="Q55" s="243"/>
      <c r="R55" s="243"/>
      <c r="S55" s="242"/>
      <c r="T55" s="242"/>
      <c r="U55" s="242"/>
      <c r="V55" s="242"/>
      <c r="W55" s="242"/>
      <c r="X55" s="242"/>
      <c r="Y55" s="242"/>
      <c r="Z55" s="243"/>
      <c r="AA55" s="243"/>
      <c r="AB55" s="243"/>
      <c r="AC55" s="243"/>
      <c r="AD55" s="243"/>
      <c r="AE55" s="243"/>
      <c r="AF55" s="243"/>
      <c r="AG55" s="242"/>
      <c r="AH55" s="242"/>
      <c r="AI55" s="242"/>
      <c r="AJ55" s="242"/>
      <c r="AK55" s="242"/>
      <c r="AL55" s="242"/>
      <c r="AM55" s="242"/>
      <c r="AN55" s="243"/>
      <c r="AO55" s="243"/>
      <c r="AP55" s="243"/>
      <c r="AQ55" s="243"/>
      <c r="AR55" s="243"/>
      <c r="AS55" s="243"/>
      <c r="AT55" s="243"/>
      <c r="AU55" s="242"/>
      <c r="AV55" s="242"/>
      <c r="AW55" s="242"/>
      <c r="AX55" s="242"/>
      <c r="AY55" s="242"/>
      <c r="AZ55" s="242"/>
      <c r="BA55" s="242"/>
      <c r="BB55" s="243"/>
      <c r="BC55" s="243"/>
      <c r="BD55" s="243"/>
      <c r="BE55" s="243"/>
      <c r="BF55" s="243"/>
      <c r="BG55" s="243"/>
      <c r="BH55" s="243"/>
      <c r="BI55" s="242"/>
      <c r="BJ55" s="242"/>
      <c r="BK55" s="242"/>
      <c r="BL55" s="242"/>
      <c r="BM55" s="242"/>
      <c r="BN55" s="242"/>
      <c r="BO55" s="242"/>
      <c r="BP55" s="243"/>
      <c r="BQ55" s="243"/>
      <c r="BR55" s="243"/>
      <c r="BS55" s="243"/>
      <c r="BT55" s="243"/>
      <c r="BU55" s="243"/>
      <c r="BV55" s="243"/>
      <c r="BW55" s="242"/>
      <c r="BX55" s="242"/>
      <c r="BY55" s="242"/>
      <c r="BZ55" s="242"/>
      <c r="CA55" s="242"/>
      <c r="CB55" s="242"/>
      <c r="CC55" s="242"/>
      <c r="CD55" s="243"/>
      <c r="CE55" s="243"/>
      <c r="CF55" s="243"/>
      <c r="CG55" s="243"/>
      <c r="CH55" s="243"/>
      <c r="CI55" s="243"/>
      <c r="CJ55" s="243"/>
      <c r="CK55" s="242"/>
      <c r="CL55" s="242"/>
      <c r="CM55" s="242"/>
      <c r="CN55" s="242"/>
      <c r="CO55" s="242"/>
      <c r="CP55" s="242"/>
      <c r="CQ55" s="242"/>
      <c r="CR55" s="243"/>
      <c r="CS55" s="243"/>
      <c r="CT55" s="243"/>
      <c r="CU55" s="243"/>
      <c r="CV55" s="243"/>
      <c r="CW55" s="243"/>
      <c r="CX55" s="243"/>
      <c r="CY55" s="242"/>
      <c r="CZ55" s="242"/>
      <c r="DA55" s="242"/>
      <c r="DB55" s="242"/>
      <c r="DC55" s="242"/>
      <c r="DD55" s="242"/>
      <c r="DE55" s="242"/>
      <c r="DF55" s="243"/>
      <c r="DG55" s="243"/>
      <c r="DH55" s="243"/>
      <c r="DI55" s="243"/>
      <c r="DJ55" s="243"/>
      <c r="DK55" s="243"/>
      <c r="DL55" s="243"/>
      <c r="DM55" s="242"/>
      <c r="DN55" s="242"/>
      <c r="DO55" s="242"/>
      <c r="DP55" s="242"/>
      <c r="DQ55" s="242"/>
      <c r="DR55" s="242"/>
      <c r="DS55" s="242"/>
      <c r="DT55" s="243"/>
      <c r="DU55" s="243"/>
      <c r="DV55" s="243"/>
      <c r="DW55" s="243"/>
      <c r="DX55" s="243"/>
      <c r="DY55" s="243"/>
      <c r="DZ55" s="243"/>
      <c r="EA55" s="242"/>
      <c r="EB55" s="242"/>
      <c r="EC55" s="242"/>
      <c r="ED55" s="242"/>
      <c r="EE55" s="242"/>
      <c r="EF55" s="242"/>
      <c r="EG55" s="242"/>
      <c r="EH55" s="243"/>
      <c r="EI55" s="243"/>
      <c r="EJ55" s="243"/>
      <c r="EK55" s="243"/>
      <c r="EL55" s="243">
        <v>12</v>
      </c>
      <c r="EM55" s="243">
        <v>24</v>
      </c>
      <c r="EN55" s="243">
        <v>24</v>
      </c>
      <c r="EO55" s="242">
        <v>24</v>
      </c>
      <c r="EP55" s="242">
        <v>24</v>
      </c>
      <c r="EQ55" s="242">
        <v>24</v>
      </c>
      <c r="ER55" s="242">
        <v>24</v>
      </c>
      <c r="ES55" s="242">
        <v>24</v>
      </c>
      <c r="ET55" s="242">
        <v>24</v>
      </c>
      <c r="EU55" s="242">
        <v>24</v>
      </c>
      <c r="EV55" s="243"/>
      <c r="EW55" s="243"/>
      <c r="EX55" s="243"/>
      <c r="EY55" s="243"/>
      <c r="EZ55" s="243"/>
      <c r="FA55" s="243"/>
      <c r="FB55" s="243"/>
      <c r="FC55" s="242"/>
      <c r="FD55" s="242"/>
      <c r="FE55" s="242"/>
      <c r="FF55" s="242"/>
      <c r="FG55" s="242"/>
      <c r="FH55" s="242"/>
      <c r="FI55" s="242"/>
      <c r="FJ55" s="243"/>
      <c r="FK55" s="243"/>
      <c r="FL55" s="243"/>
      <c r="FM55" s="243"/>
      <c r="FN55" s="243"/>
      <c r="FO55" s="243"/>
      <c r="FP55" s="243"/>
      <c r="FQ55" s="242"/>
      <c r="FR55" s="242"/>
      <c r="FS55" s="242"/>
      <c r="FT55" s="242"/>
      <c r="FU55" s="242"/>
      <c r="FV55" s="242"/>
      <c r="FW55" s="242"/>
      <c r="FX55" s="243"/>
      <c r="FY55" s="243"/>
      <c r="FZ55" s="243"/>
      <c r="GA55" s="243"/>
      <c r="GB55" s="243"/>
      <c r="GC55" s="243"/>
      <c r="GD55" s="243"/>
      <c r="GE55" s="242"/>
      <c r="GF55" s="242"/>
      <c r="GG55" s="242"/>
      <c r="GH55" s="242"/>
      <c r="GI55" s="242"/>
      <c r="GJ55" s="242"/>
      <c r="GK55" s="242"/>
      <c r="GL55" s="243"/>
      <c r="GM55" s="243"/>
      <c r="GN55" s="243"/>
      <c r="GO55" s="243"/>
      <c r="GP55" s="243"/>
      <c r="GQ55" s="243"/>
      <c r="GR55" s="243"/>
      <c r="GS55" s="242"/>
      <c r="GT55" s="242"/>
      <c r="GU55" s="242"/>
      <c r="GV55" s="242"/>
      <c r="GW55" s="242"/>
      <c r="GX55" s="242"/>
      <c r="GY55" s="242"/>
      <c r="GZ55" s="243"/>
      <c r="HA55" s="243"/>
      <c r="HB55" s="243"/>
      <c r="HC55" s="243"/>
      <c r="HD55" s="243"/>
      <c r="HE55" s="243"/>
      <c r="HF55" s="243"/>
      <c r="HG55" s="242"/>
      <c r="HH55" s="242"/>
      <c r="HI55" s="242"/>
      <c r="HJ55" s="242"/>
      <c r="HK55" s="242"/>
      <c r="HL55" s="242"/>
      <c r="HM55" s="242"/>
      <c r="HN55" s="243"/>
      <c r="HO55" s="243"/>
      <c r="HP55" s="243"/>
      <c r="HQ55" s="243"/>
      <c r="HR55" s="243"/>
      <c r="HS55" s="243"/>
      <c r="HT55" s="243"/>
      <c r="HU55" s="242"/>
      <c r="HV55" s="242"/>
      <c r="HW55" s="242"/>
      <c r="HX55" s="242"/>
      <c r="HY55" s="242"/>
      <c r="HZ55" s="242"/>
      <c r="IA55" s="242"/>
      <c r="IB55" s="243"/>
      <c r="IC55" s="243"/>
      <c r="ID55" s="243"/>
      <c r="IE55" s="243"/>
      <c r="IF55" s="243"/>
      <c r="IG55" s="243"/>
      <c r="IH55" s="243"/>
      <c r="II55" s="242"/>
      <c r="IJ55" s="242"/>
      <c r="IK55" s="242"/>
      <c r="IL55" s="242"/>
      <c r="IM55" s="242"/>
      <c r="IN55" s="242"/>
      <c r="IO55" s="242"/>
      <c r="IP55" s="243"/>
      <c r="IQ55" s="243"/>
      <c r="IR55" s="243"/>
      <c r="IS55" s="243"/>
      <c r="IT55" s="243"/>
      <c r="IU55" s="243"/>
      <c r="IV55" s="243"/>
      <c r="IW55" s="242"/>
      <c r="IX55" s="242"/>
      <c r="IY55" s="242"/>
      <c r="IZ55" s="242"/>
      <c r="JA55" s="242"/>
      <c r="JB55" s="242"/>
      <c r="JC55" s="242"/>
      <c r="JD55" s="243"/>
      <c r="JE55" s="243"/>
      <c r="JF55" s="243"/>
      <c r="JG55" s="243"/>
      <c r="JH55" s="243"/>
      <c r="JI55" s="243"/>
      <c r="JJ55" s="243"/>
      <c r="JK55" s="242"/>
      <c r="JL55" s="242"/>
      <c r="JM55" s="242"/>
      <c r="JN55" s="242"/>
      <c r="JO55" s="242"/>
      <c r="JP55" s="242"/>
      <c r="JQ55" s="242"/>
      <c r="JR55" s="243"/>
      <c r="JS55" s="243"/>
      <c r="JT55" s="243"/>
      <c r="JU55" s="243"/>
      <c r="JV55" s="243"/>
      <c r="JW55" s="243"/>
      <c r="JX55" s="243"/>
      <c r="JY55" s="242"/>
      <c r="JZ55" s="242"/>
      <c r="KA55" s="242"/>
      <c r="KB55" s="242"/>
      <c r="KC55" s="242"/>
      <c r="KD55" s="242"/>
      <c r="KE55" s="242"/>
      <c r="KF55" s="243"/>
      <c r="KG55" s="243"/>
      <c r="KH55" s="243"/>
      <c r="KI55" s="243"/>
      <c r="KJ55" s="243"/>
      <c r="KK55" s="243"/>
      <c r="KL55" s="243"/>
      <c r="KM55" s="242"/>
      <c r="KN55" s="242"/>
      <c r="KO55" s="242"/>
      <c r="KP55" s="242"/>
      <c r="KQ55" s="242"/>
      <c r="KR55" s="242"/>
      <c r="KS55" s="242"/>
      <c r="KT55" s="243"/>
      <c r="KU55" s="243"/>
      <c r="KV55" s="243"/>
      <c r="KW55" s="243"/>
      <c r="KX55" s="243"/>
      <c r="KY55" s="243"/>
      <c r="KZ55" s="243"/>
      <c r="LA55" s="242"/>
      <c r="LB55" s="242"/>
      <c r="LC55" s="242"/>
      <c r="LD55" s="242"/>
      <c r="LE55" s="242"/>
      <c r="LF55" s="242"/>
      <c r="LG55" s="242"/>
      <c r="LH55" s="243"/>
      <c r="LI55" s="243"/>
      <c r="LJ55" s="243"/>
      <c r="LK55" s="243"/>
      <c r="LL55" s="243"/>
      <c r="LM55" s="243"/>
      <c r="LN55" s="243"/>
      <c r="LO55" s="242"/>
      <c r="LP55" s="242"/>
      <c r="LQ55" s="242"/>
      <c r="LR55" s="242"/>
      <c r="LS55" s="242"/>
      <c r="LT55" s="242"/>
      <c r="LU55" s="242"/>
      <c r="LV55" s="243"/>
      <c r="LW55" s="243"/>
      <c r="LX55" s="243"/>
      <c r="LY55" s="243"/>
      <c r="LZ55" s="243"/>
      <c r="MA55" s="243"/>
      <c r="MB55" s="243"/>
      <c r="MC55" s="242"/>
      <c r="MD55" s="242"/>
      <c r="ME55" s="242"/>
      <c r="MF55" s="242"/>
      <c r="MG55" s="242"/>
      <c r="MH55" s="242"/>
      <c r="MI55" s="242"/>
      <c r="MJ55" s="243"/>
      <c r="MK55" s="243"/>
      <c r="ML55" s="243"/>
      <c r="MM55" s="243"/>
      <c r="MN55" s="243"/>
      <c r="MO55" s="243"/>
      <c r="MP55" s="243"/>
      <c r="MQ55" s="242"/>
      <c r="MR55" s="242"/>
      <c r="MS55" s="242"/>
      <c r="MT55" s="242"/>
      <c r="MU55" s="242"/>
      <c r="MV55" s="242"/>
      <c r="MW55" s="242"/>
      <c r="MX55" s="243"/>
      <c r="MY55" s="243"/>
      <c r="MZ55" s="243"/>
      <c r="NA55" s="243"/>
      <c r="NB55" s="243"/>
      <c r="NC55" s="243"/>
      <c r="ND55" s="243"/>
      <c r="NE55" s="242"/>
      <c r="NF55" s="242"/>
      <c r="NG55" s="242"/>
      <c r="NH55" s="243"/>
    </row>
    <row r="56" spans="1:372">
      <c r="A56" s="254" t="s">
        <v>972</v>
      </c>
      <c r="B56" s="239" t="s">
        <v>808</v>
      </c>
      <c r="C56" s="240" t="s">
        <v>674</v>
      </c>
      <c r="D56" s="240" t="s">
        <v>997</v>
      </c>
      <c r="E56" s="241">
        <v>230.0516666650561</v>
      </c>
      <c r="F56" s="252">
        <v>228</v>
      </c>
      <c r="G56" s="242"/>
      <c r="H56" s="242"/>
      <c r="I56" s="242"/>
      <c r="J56" s="242"/>
      <c r="K56" s="242"/>
      <c r="L56" s="243"/>
      <c r="M56" s="243"/>
      <c r="N56" s="243"/>
      <c r="O56" s="243"/>
      <c r="P56" s="243"/>
      <c r="Q56" s="243"/>
      <c r="R56" s="243"/>
      <c r="S56" s="242"/>
      <c r="T56" s="242"/>
      <c r="U56" s="242"/>
      <c r="V56" s="242"/>
      <c r="W56" s="242"/>
      <c r="X56" s="242"/>
      <c r="Y56" s="242"/>
      <c r="Z56" s="243"/>
      <c r="AA56" s="243"/>
      <c r="AB56" s="243"/>
      <c r="AC56" s="243"/>
      <c r="AD56" s="243"/>
      <c r="AE56" s="243"/>
      <c r="AF56" s="243"/>
      <c r="AG56" s="242"/>
      <c r="AH56" s="242"/>
      <c r="AI56" s="242"/>
      <c r="AJ56" s="242"/>
      <c r="AK56" s="242"/>
      <c r="AL56" s="242"/>
      <c r="AM56" s="242"/>
      <c r="AN56" s="243"/>
      <c r="AO56" s="243"/>
      <c r="AP56" s="243"/>
      <c r="AQ56" s="243"/>
      <c r="AR56" s="243"/>
      <c r="AS56" s="243"/>
      <c r="AT56" s="243"/>
      <c r="AU56" s="242"/>
      <c r="AV56" s="242"/>
      <c r="AW56" s="242"/>
      <c r="AX56" s="242"/>
      <c r="AY56" s="242"/>
      <c r="AZ56" s="242"/>
      <c r="BA56" s="242"/>
      <c r="BB56" s="243"/>
      <c r="BC56" s="243"/>
      <c r="BD56" s="243"/>
      <c r="BE56" s="243"/>
      <c r="BF56" s="243"/>
      <c r="BG56" s="243"/>
      <c r="BH56" s="243"/>
      <c r="BI56" s="242"/>
      <c r="BJ56" s="242"/>
      <c r="BK56" s="242"/>
      <c r="BL56" s="242"/>
      <c r="BM56" s="242"/>
      <c r="BN56" s="242"/>
      <c r="BO56" s="242"/>
      <c r="BP56" s="243"/>
      <c r="BQ56" s="243"/>
      <c r="BR56" s="243"/>
      <c r="BS56" s="243"/>
      <c r="BT56" s="243"/>
      <c r="BU56" s="243"/>
      <c r="BV56" s="243"/>
      <c r="BW56" s="242"/>
      <c r="BX56" s="242"/>
      <c r="BY56" s="242"/>
      <c r="BZ56" s="242"/>
      <c r="CA56" s="242"/>
      <c r="CB56" s="242"/>
      <c r="CC56" s="242"/>
      <c r="CD56" s="243"/>
      <c r="CE56" s="243"/>
      <c r="CF56" s="243"/>
      <c r="CG56" s="243"/>
      <c r="CH56" s="243"/>
      <c r="CI56" s="243"/>
      <c r="CJ56" s="243"/>
      <c r="CK56" s="242"/>
      <c r="CL56" s="242"/>
      <c r="CM56" s="242"/>
      <c r="CN56" s="242"/>
      <c r="CO56" s="242"/>
      <c r="CP56" s="242"/>
      <c r="CQ56" s="242"/>
      <c r="CR56" s="243"/>
      <c r="CS56" s="243"/>
      <c r="CT56" s="243"/>
      <c r="CU56" s="243"/>
      <c r="CV56" s="243"/>
      <c r="CW56" s="243"/>
      <c r="CX56" s="243"/>
      <c r="CY56" s="242"/>
      <c r="CZ56" s="242"/>
      <c r="DA56" s="242"/>
      <c r="DB56" s="242"/>
      <c r="DC56" s="242"/>
      <c r="DD56" s="242"/>
      <c r="DE56" s="242"/>
      <c r="DF56" s="243"/>
      <c r="DG56" s="243"/>
      <c r="DH56" s="243"/>
      <c r="DI56" s="243"/>
      <c r="DJ56" s="243"/>
      <c r="DK56" s="243"/>
      <c r="DL56" s="243"/>
      <c r="DM56" s="242"/>
      <c r="DN56" s="242"/>
      <c r="DO56" s="242"/>
      <c r="DP56" s="242"/>
      <c r="DQ56" s="242"/>
      <c r="DR56" s="242"/>
      <c r="DS56" s="242"/>
      <c r="DT56" s="243"/>
      <c r="DU56" s="243"/>
      <c r="DV56" s="243"/>
      <c r="DW56" s="243"/>
      <c r="DX56" s="243"/>
      <c r="DY56" s="243"/>
      <c r="DZ56" s="243"/>
      <c r="EA56" s="242"/>
      <c r="EB56" s="242"/>
      <c r="EC56" s="242"/>
      <c r="ED56" s="242"/>
      <c r="EE56" s="242"/>
      <c r="EF56" s="242"/>
      <c r="EG56" s="242"/>
      <c r="EH56" s="243"/>
      <c r="EI56" s="243"/>
      <c r="EJ56" s="243"/>
      <c r="EK56" s="243"/>
      <c r="EL56" s="243">
        <v>12</v>
      </c>
      <c r="EM56" s="243">
        <v>24</v>
      </c>
      <c r="EN56" s="243">
        <v>24</v>
      </c>
      <c r="EO56" s="242">
        <v>24</v>
      </c>
      <c r="EP56" s="242">
        <v>24</v>
      </c>
      <c r="EQ56" s="242">
        <v>24</v>
      </c>
      <c r="ER56" s="242">
        <v>24</v>
      </c>
      <c r="ES56" s="242">
        <v>24</v>
      </c>
      <c r="ET56" s="242">
        <v>24</v>
      </c>
      <c r="EU56" s="242">
        <v>24</v>
      </c>
      <c r="EV56" s="243"/>
      <c r="EW56" s="243"/>
      <c r="EX56" s="243"/>
      <c r="EY56" s="243"/>
      <c r="EZ56" s="243"/>
      <c r="FA56" s="243"/>
      <c r="FB56" s="243"/>
      <c r="FC56" s="242"/>
      <c r="FD56" s="242"/>
      <c r="FE56" s="242"/>
      <c r="FF56" s="242"/>
      <c r="FG56" s="242"/>
      <c r="FH56" s="242"/>
      <c r="FI56" s="242"/>
      <c r="FJ56" s="243"/>
      <c r="FK56" s="243"/>
      <c r="FL56" s="243"/>
      <c r="FM56" s="243"/>
      <c r="FN56" s="243"/>
      <c r="FO56" s="243"/>
      <c r="FP56" s="243"/>
      <c r="FQ56" s="242"/>
      <c r="FR56" s="242"/>
      <c r="FS56" s="242"/>
      <c r="FT56" s="242"/>
      <c r="FU56" s="242"/>
      <c r="FV56" s="242"/>
      <c r="FW56" s="242"/>
      <c r="FX56" s="243"/>
      <c r="FY56" s="243"/>
      <c r="FZ56" s="243"/>
      <c r="GA56" s="243"/>
      <c r="GB56" s="243"/>
      <c r="GC56" s="243"/>
      <c r="GD56" s="243"/>
      <c r="GE56" s="242"/>
      <c r="GF56" s="242"/>
      <c r="GG56" s="242"/>
      <c r="GH56" s="242"/>
      <c r="GI56" s="242"/>
      <c r="GJ56" s="242"/>
      <c r="GK56" s="242"/>
      <c r="GL56" s="243"/>
      <c r="GM56" s="243"/>
      <c r="GN56" s="243"/>
      <c r="GO56" s="243"/>
      <c r="GP56" s="243"/>
      <c r="GQ56" s="243"/>
      <c r="GR56" s="243"/>
      <c r="GS56" s="242"/>
      <c r="GT56" s="242"/>
      <c r="GU56" s="242"/>
      <c r="GV56" s="242"/>
      <c r="GW56" s="242"/>
      <c r="GX56" s="242"/>
      <c r="GY56" s="242"/>
      <c r="GZ56" s="243"/>
      <c r="HA56" s="243"/>
      <c r="HB56" s="243"/>
      <c r="HC56" s="243"/>
      <c r="HD56" s="243"/>
      <c r="HE56" s="243"/>
      <c r="HF56" s="243"/>
      <c r="HG56" s="242"/>
      <c r="HH56" s="242"/>
      <c r="HI56" s="242"/>
      <c r="HJ56" s="242"/>
      <c r="HK56" s="242"/>
      <c r="HL56" s="242"/>
      <c r="HM56" s="242"/>
      <c r="HN56" s="243"/>
      <c r="HO56" s="243"/>
      <c r="HP56" s="243"/>
      <c r="HQ56" s="243"/>
      <c r="HR56" s="243"/>
      <c r="HS56" s="243"/>
      <c r="HT56" s="243"/>
      <c r="HU56" s="242"/>
      <c r="HV56" s="242"/>
      <c r="HW56" s="242"/>
      <c r="HX56" s="242"/>
      <c r="HY56" s="242"/>
      <c r="HZ56" s="242"/>
      <c r="IA56" s="242"/>
      <c r="IB56" s="243"/>
      <c r="IC56" s="243"/>
      <c r="ID56" s="243"/>
      <c r="IE56" s="243"/>
      <c r="IF56" s="243"/>
      <c r="IG56" s="243"/>
      <c r="IH56" s="243"/>
      <c r="II56" s="242"/>
      <c r="IJ56" s="242"/>
      <c r="IK56" s="242"/>
      <c r="IL56" s="242"/>
      <c r="IM56" s="242"/>
      <c r="IN56" s="242"/>
      <c r="IO56" s="242"/>
      <c r="IP56" s="243"/>
      <c r="IQ56" s="243"/>
      <c r="IR56" s="243"/>
      <c r="IS56" s="243"/>
      <c r="IT56" s="243"/>
      <c r="IU56" s="243"/>
      <c r="IV56" s="243"/>
      <c r="IW56" s="242"/>
      <c r="IX56" s="242"/>
      <c r="IY56" s="242"/>
      <c r="IZ56" s="242"/>
      <c r="JA56" s="242"/>
      <c r="JB56" s="242"/>
      <c r="JC56" s="242"/>
      <c r="JD56" s="243"/>
      <c r="JE56" s="243"/>
      <c r="JF56" s="243"/>
      <c r="JG56" s="243"/>
      <c r="JH56" s="243"/>
      <c r="JI56" s="243"/>
      <c r="JJ56" s="243"/>
      <c r="JK56" s="242"/>
      <c r="JL56" s="242"/>
      <c r="JM56" s="242"/>
      <c r="JN56" s="242"/>
      <c r="JO56" s="242"/>
      <c r="JP56" s="242"/>
      <c r="JQ56" s="242"/>
      <c r="JR56" s="243"/>
      <c r="JS56" s="243"/>
      <c r="JT56" s="243"/>
      <c r="JU56" s="243"/>
      <c r="JV56" s="243"/>
      <c r="JW56" s="243"/>
      <c r="JX56" s="243"/>
      <c r="JY56" s="242"/>
      <c r="JZ56" s="242"/>
      <c r="KA56" s="242"/>
      <c r="KB56" s="242"/>
      <c r="KC56" s="242"/>
      <c r="KD56" s="242"/>
      <c r="KE56" s="242"/>
      <c r="KF56" s="243"/>
      <c r="KG56" s="243"/>
      <c r="KH56" s="243"/>
      <c r="KI56" s="243"/>
      <c r="KJ56" s="243"/>
      <c r="KK56" s="243"/>
      <c r="KL56" s="243"/>
      <c r="KM56" s="242"/>
      <c r="KN56" s="242"/>
      <c r="KO56" s="242"/>
      <c r="KP56" s="242"/>
      <c r="KQ56" s="242"/>
      <c r="KR56" s="242"/>
      <c r="KS56" s="242"/>
      <c r="KT56" s="243"/>
      <c r="KU56" s="243"/>
      <c r="KV56" s="243"/>
      <c r="KW56" s="243"/>
      <c r="KX56" s="243"/>
      <c r="KY56" s="243"/>
      <c r="KZ56" s="243"/>
      <c r="LA56" s="242"/>
      <c r="LB56" s="242"/>
      <c r="LC56" s="242"/>
      <c r="LD56" s="242"/>
      <c r="LE56" s="242"/>
      <c r="LF56" s="242"/>
      <c r="LG56" s="242"/>
      <c r="LH56" s="243"/>
      <c r="LI56" s="243"/>
      <c r="LJ56" s="243"/>
      <c r="LK56" s="243"/>
      <c r="LL56" s="243"/>
      <c r="LM56" s="243"/>
      <c r="LN56" s="243"/>
      <c r="LO56" s="242"/>
      <c r="LP56" s="242"/>
      <c r="LQ56" s="242"/>
      <c r="LR56" s="242"/>
      <c r="LS56" s="242"/>
      <c r="LT56" s="242"/>
      <c r="LU56" s="242"/>
      <c r="LV56" s="243"/>
      <c r="LW56" s="243"/>
      <c r="LX56" s="243"/>
      <c r="LY56" s="243"/>
      <c r="LZ56" s="243"/>
      <c r="MA56" s="243"/>
      <c r="MB56" s="243"/>
      <c r="MC56" s="242"/>
      <c r="MD56" s="242"/>
      <c r="ME56" s="242"/>
      <c r="MF56" s="242"/>
      <c r="MG56" s="242"/>
      <c r="MH56" s="242"/>
      <c r="MI56" s="242"/>
      <c r="MJ56" s="243"/>
      <c r="MK56" s="243"/>
      <c r="ML56" s="243"/>
      <c r="MM56" s="243"/>
      <c r="MN56" s="243"/>
      <c r="MO56" s="243"/>
      <c r="MP56" s="243"/>
      <c r="MQ56" s="242"/>
      <c r="MR56" s="242"/>
      <c r="MS56" s="242"/>
      <c r="MT56" s="242"/>
      <c r="MU56" s="242"/>
      <c r="MV56" s="242"/>
      <c r="MW56" s="242"/>
      <c r="MX56" s="243"/>
      <c r="MY56" s="243"/>
      <c r="MZ56" s="243"/>
      <c r="NA56" s="243"/>
      <c r="NB56" s="243"/>
      <c r="NC56" s="243"/>
      <c r="ND56" s="243"/>
      <c r="NE56" s="242"/>
      <c r="NF56" s="242"/>
      <c r="NG56" s="242"/>
      <c r="NH56" s="243"/>
    </row>
    <row r="57" spans="1:372">
      <c r="A57" s="254" t="s">
        <v>972</v>
      </c>
      <c r="B57" s="239" t="s">
        <v>46</v>
      </c>
      <c r="C57" s="240" t="s">
        <v>674</v>
      </c>
      <c r="D57" s="240" t="s">
        <v>982</v>
      </c>
      <c r="E57" s="241">
        <v>172.92997221620885</v>
      </c>
      <c r="F57" s="252">
        <v>156</v>
      </c>
      <c r="G57" s="242"/>
      <c r="H57" s="242"/>
      <c r="I57" s="242"/>
      <c r="J57" s="242"/>
      <c r="K57" s="242"/>
      <c r="L57" s="243"/>
      <c r="M57" s="243"/>
      <c r="N57" s="243"/>
      <c r="O57" s="243"/>
      <c r="P57" s="243"/>
      <c r="Q57" s="243"/>
      <c r="R57" s="243"/>
      <c r="S57" s="242"/>
      <c r="T57" s="242"/>
      <c r="U57" s="242"/>
      <c r="V57" s="242"/>
      <c r="W57" s="242"/>
      <c r="X57" s="242"/>
      <c r="Y57" s="242"/>
      <c r="Z57" s="243"/>
      <c r="AA57" s="243"/>
      <c r="AB57" s="243"/>
      <c r="AC57" s="243"/>
      <c r="AD57" s="243"/>
      <c r="AE57" s="243"/>
      <c r="AF57" s="243"/>
      <c r="AG57" s="242"/>
      <c r="AH57" s="242"/>
      <c r="AI57" s="242"/>
      <c r="AJ57" s="242"/>
      <c r="AK57" s="242"/>
      <c r="AL57" s="242"/>
      <c r="AM57" s="242"/>
      <c r="AN57" s="243"/>
      <c r="AO57" s="243"/>
      <c r="AP57" s="243"/>
      <c r="AQ57" s="243"/>
      <c r="AR57" s="243"/>
      <c r="AS57" s="243"/>
      <c r="AT57" s="243"/>
      <c r="AU57" s="242"/>
      <c r="AV57" s="242"/>
      <c r="AW57" s="242"/>
      <c r="AX57" s="242"/>
      <c r="AY57" s="242"/>
      <c r="AZ57" s="242"/>
      <c r="BA57" s="242"/>
      <c r="BB57" s="243"/>
      <c r="BC57" s="243"/>
      <c r="BD57" s="243"/>
      <c r="BE57" s="243"/>
      <c r="BF57" s="243"/>
      <c r="BG57" s="243"/>
      <c r="BH57" s="243"/>
      <c r="BI57" s="242"/>
      <c r="BJ57" s="242"/>
      <c r="BK57" s="242"/>
      <c r="BL57" s="242"/>
      <c r="BM57" s="242"/>
      <c r="BN57" s="242"/>
      <c r="BO57" s="242"/>
      <c r="BP57" s="243"/>
      <c r="BQ57" s="243"/>
      <c r="BR57" s="243"/>
      <c r="BS57" s="243"/>
      <c r="BT57" s="243"/>
      <c r="BU57" s="243"/>
      <c r="BV57" s="243"/>
      <c r="BW57" s="242"/>
      <c r="BX57" s="242"/>
      <c r="BY57" s="242"/>
      <c r="BZ57" s="242"/>
      <c r="CA57" s="242"/>
      <c r="CB57" s="242"/>
      <c r="CC57" s="242"/>
      <c r="CD57" s="243"/>
      <c r="CE57" s="243"/>
      <c r="CF57" s="243"/>
      <c r="CG57" s="243"/>
      <c r="CH57" s="243"/>
      <c r="CI57" s="243"/>
      <c r="CJ57" s="243"/>
      <c r="CK57" s="242"/>
      <c r="CL57" s="242"/>
      <c r="CM57" s="242"/>
      <c r="CN57" s="242"/>
      <c r="CO57" s="242"/>
      <c r="CP57" s="242"/>
      <c r="CQ57" s="242"/>
      <c r="CR57" s="243"/>
      <c r="CS57" s="243"/>
      <c r="CT57" s="243"/>
      <c r="CU57" s="243"/>
      <c r="CV57" s="243"/>
      <c r="CW57" s="243"/>
      <c r="CX57" s="243"/>
      <c r="CY57" s="242"/>
      <c r="CZ57" s="242"/>
      <c r="DA57" s="242"/>
      <c r="DB57" s="242"/>
      <c r="DC57" s="242"/>
      <c r="DD57" s="242"/>
      <c r="DE57" s="242"/>
      <c r="DF57" s="243"/>
      <c r="DG57" s="243"/>
      <c r="DH57" s="243"/>
      <c r="DI57" s="243"/>
      <c r="DJ57" s="243"/>
      <c r="DK57" s="243"/>
      <c r="DL57" s="243"/>
      <c r="DM57" s="242"/>
      <c r="DN57" s="242"/>
      <c r="DO57" s="242"/>
      <c r="DP57" s="242"/>
      <c r="DQ57" s="242"/>
      <c r="DR57" s="242"/>
      <c r="DS57" s="242"/>
      <c r="DT57" s="243"/>
      <c r="DU57" s="243"/>
      <c r="DV57" s="243"/>
      <c r="DW57" s="243"/>
      <c r="DX57" s="243"/>
      <c r="DY57" s="243"/>
      <c r="DZ57" s="243"/>
      <c r="EA57" s="242"/>
      <c r="EB57" s="242"/>
      <c r="EC57" s="242"/>
      <c r="ED57" s="242"/>
      <c r="EE57" s="242"/>
      <c r="EF57" s="242"/>
      <c r="EG57" s="242"/>
      <c r="EH57" s="243"/>
      <c r="EI57" s="243"/>
      <c r="EJ57" s="243"/>
      <c r="EK57" s="243"/>
      <c r="EL57" s="243"/>
      <c r="EM57" s="243"/>
      <c r="EN57" s="243">
        <v>12</v>
      </c>
      <c r="EO57" s="242">
        <v>24</v>
      </c>
      <c r="EP57" s="242">
        <v>24</v>
      </c>
      <c r="EQ57" s="242">
        <v>24</v>
      </c>
      <c r="ER57" s="242">
        <v>24</v>
      </c>
      <c r="ES57" s="242">
        <v>24</v>
      </c>
      <c r="ET57" s="242">
        <v>24</v>
      </c>
      <c r="EU57" s="242"/>
      <c r="EV57" s="243"/>
      <c r="EW57" s="243"/>
      <c r="EX57" s="243"/>
      <c r="EY57" s="243"/>
      <c r="EZ57" s="243"/>
      <c r="FA57" s="243"/>
      <c r="FB57" s="243"/>
      <c r="FC57" s="242"/>
      <c r="FD57" s="242"/>
      <c r="FE57" s="242"/>
      <c r="FF57" s="242"/>
      <c r="FG57" s="242"/>
      <c r="FH57" s="242"/>
      <c r="FI57" s="242"/>
      <c r="FJ57" s="243"/>
      <c r="FK57" s="243"/>
      <c r="FL57" s="243"/>
      <c r="FM57" s="243"/>
      <c r="FN57" s="243"/>
      <c r="FO57" s="243"/>
      <c r="FP57" s="243"/>
      <c r="FQ57" s="242"/>
      <c r="FR57" s="242"/>
      <c r="FS57" s="242"/>
      <c r="FT57" s="242"/>
      <c r="FU57" s="242"/>
      <c r="FV57" s="242"/>
      <c r="FW57" s="242"/>
      <c r="FX57" s="243"/>
      <c r="FY57" s="243"/>
      <c r="FZ57" s="243"/>
      <c r="GA57" s="243"/>
      <c r="GB57" s="243"/>
      <c r="GC57" s="243"/>
      <c r="GD57" s="243"/>
      <c r="GE57" s="242"/>
      <c r="GF57" s="242"/>
      <c r="GG57" s="242"/>
      <c r="GH57" s="242"/>
      <c r="GI57" s="242"/>
      <c r="GJ57" s="242"/>
      <c r="GK57" s="242"/>
      <c r="GL57" s="243"/>
      <c r="GM57" s="243"/>
      <c r="GN57" s="243"/>
      <c r="GO57" s="243"/>
      <c r="GP57" s="243"/>
      <c r="GQ57" s="243"/>
      <c r="GR57" s="243"/>
      <c r="GS57" s="242"/>
      <c r="GT57" s="242"/>
      <c r="GU57" s="242"/>
      <c r="GV57" s="242"/>
      <c r="GW57" s="242"/>
      <c r="GX57" s="242"/>
      <c r="GY57" s="242"/>
      <c r="GZ57" s="243"/>
      <c r="HA57" s="243"/>
      <c r="HB57" s="243"/>
      <c r="HC57" s="243"/>
      <c r="HD57" s="243"/>
      <c r="HE57" s="243"/>
      <c r="HF57" s="243"/>
      <c r="HG57" s="242"/>
      <c r="HH57" s="242"/>
      <c r="HI57" s="242"/>
      <c r="HJ57" s="242"/>
      <c r="HK57" s="242"/>
      <c r="HL57" s="242"/>
      <c r="HM57" s="242"/>
      <c r="HN57" s="243"/>
      <c r="HO57" s="243"/>
      <c r="HP57" s="243"/>
      <c r="HQ57" s="243"/>
      <c r="HR57" s="243"/>
      <c r="HS57" s="243"/>
      <c r="HT57" s="243"/>
      <c r="HU57" s="242"/>
      <c r="HV57" s="242"/>
      <c r="HW57" s="242"/>
      <c r="HX57" s="242"/>
      <c r="HY57" s="242"/>
      <c r="HZ57" s="242"/>
      <c r="IA57" s="242"/>
      <c r="IB57" s="243"/>
      <c r="IC57" s="243"/>
      <c r="ID57" s="243"/>
      <c r="IE57" s="243"/>
      <c r="IF57" s="243"/>
      <c r="IG57" s="243"/>
      <c r="IH57" s="243"/>
      <c r="II57" s="242"/>
      <c r="IJ57" s="242"/>
      <c r="IK57" s="242"/>
      <c r="IL57" s="242"/>
      <c r="IM57" s="242"/>
      <c r="IN57" s="242"/>
      <c r="IO57" s="242"/>
      <c r="IP57" s="243"/>
      <c r="IQ57" s="243"/>
      <c r="IR57" s="243"/>
      <c r="IS57" s="243"/>
      <c r="IT57" s="243"/>
      <c r="IU57" s="243"/>
      <c r="IV57" s="243"/>
      <c r="IW57" s="242"/>
      <c r="IX57" s="242"/>
      <c r="IY57" s="242"/>
      <c r="IZ57" s="242"/>
      <c r="JA57" s="242"/>
      <c r="JB57" s="242"/>
      <c r="JC57" s="242"/>
      <c r="JD57" s="243"/>
      <c r="JE57" s="243"/>
      <c r="JF57" s="243"/>
      <c r="JG57" s="243"/>
      <c r="JH57" s="243"/>
      <c r="JI57" s="243"/>
      <c r="JJ57" s="243"/>
      <c r="JK57" s="242"/>
      <c r="JL57" s="242"/>
      <c r="JM57" s="242"/>
      <c r="JN57" s="242"/>
      <c r="JO57" s="242"/>
      <c r="JP57" s="242"/>
      <c r="JQ57" s="242"/>
      <c r="JR57" s="243"/>
      <c r="JS57" s="243"/>
      <c r="JT57" s="243"/>
      <c r="JU57" s="243"/>
      <c r="JV57" s="243"/>
      <c r="JW57" s="243"/>
      <c r="JX57" s="243"/>
      <c r="JY57" s="242"/>
      <c r="JZ57" s="242"/>
      <c r="KA57" s="242"/>
      <c r="KB57" s="242"/>
      <c r="KC57" s="242"/>
      <c r="KD57" s="242"/>
      <c r="KE57" s="242"/>
      <c r="KF57" s="243"/>
      <c r="KG57" s="243"/>
      <c r="KH57" s="243"/>
      <c r="KI57" s="243"/>
      <c r="KJ57" s="243"/>
      <c r="KK57" s="243"/>
      <c r="KL57" s="243"/>
      <c r="KM57" s="242"/>
      <c r="KN57" s="242"/>
      <c r="KO57" s="242"/>
      <c r="KP57" s="242"/>
      <c r="KQ57" s="242"/>
      <c r="KR57" s="242"/>
      <c r="KS57" s="242"/>
      <c r="KT57" s="243"/>
      <c r="KU57" s="243"/>
      <c r="KV57" s="243"/>
      <c r="KW57" s="243"/>
      <c r="KX57" s="243"/>
      <c r="KY57" s="243"/>
      <c r="KZ57" s="243"/>
      <c r="LA57" s="242"/>
      <c r="LB57" s="242"/>
      <c r="LC57" s="242"/>
      <c r="LD57" s="242"/>
      <c r="LE57" s="242"/>
      <c r="LF57" s="242"/>
      <c r="LG57" s="242"/>
      <c r="LH57" s="243"/>
      <c r="LI57" s="243"/>
      <c r="LJ57" s="243"/>
      <c r="LK57" s="243"/>
      <c r="LL57" s="243"/>
      <c r="LM57" s="243"/>
      <c r="LN57" s="243"/>
      <c r="LO57" s="242"/>
      <c r="LP57" s="242"/>
      <c r="LQ57" s="242"/>
      <c r="LR57" s="242"/>
      <c r="LS57" s="242"/>
      <c r="LT57" s="242"/>
      <c r="LU57" s="242"/>
      <c r="LV57" s="243"/>
      <c r="LW57" s="243"/>
      <c r="LX57" s="243"/>
      <c r="LY57" s="243"/>
      <c r="LZ57" s="243"/>
      <c r="MA57" s="243"/>
      <c r="MB57" s="243"/>
      <c r="MC57" s="242"/>
      <c r="MD57" s="242"/>
      <c r="ME57" s="242"/>
      <c r="MF57" s="242"/>
      <c r="MG57" s="242"/>
      <c r="MH57" s="242"/>
      <c r="MI57" s="242"/>
      <c r="MJ57" s="243"/>
      <c r="MK57" s="243"/>
      <c r="ML57" s="243"/>
      <c r="MM57" s="243"/>
      <c r="MN57" s="243"/>
      <c r="MO57" s="243"/>
      <c r="MP57" s="243"/>
      <c r="MQ57" s="242"/>
      <c r="MR57" s="242"/>
      <c r="MS57" s="242"/>
      <c r="MT57" s="242"/>
      <c r="MU57" s="242"/>
      <c r="MV57" s="242"/>
      <c r="MW57" s="242"/>
      <c r="MX57" s="243"/>
      <c r="MY57" s="243"/>
      <c r="MZ57" s="243"/>
      <c r="NA57" s="243"/>
      <c r="NB57" s="243"/>
      <c r="NC57" s="243"/>
      <c r="ND57" s="243"/>
      <c r="NE57" s="242"/>
      <c r="NF57" s="242"/>
      <c r="NG57" s="242"/>
      <c r="NH57" s="243"/>
    </row>
    <row r="58" spans="1:372">
      <c r="A58" s="254" t="s">
        <v>972</v>
      </c>
      <c r="B58" s="239" t="s">
        <v>114</v>
      </c>
      <c r="C58" s="240" t="s">
        <v>674</v>
      </c>
      <c r="D58" s="240" t="s">
        <v>982</v>
      </c>
      <c r="E58" s="241">
        <v>158.23333333254217</v>
      </c>
      <c r="F58" s="252">
        <v>156</v>
      </c>
      <c r="G58" s="242"/>
      <c r="H58" s="242"/>
      <c r="I58" s="242"/>
      <c r="J58" s="242"/>
      <c r="K58" s="242"/>
      <c r="L58" s="243"/>
      <c r="M58" s="243"/>
      <c r="N58" s="243"/>
      <c r="O58" s="243"/>
      <c r="P58" s="243"/>
      <c r="Q58" s="243"/>
      <c r="R58" s="243"/>
      <c r="S58" s="242"/>
      <c r="T58" s="242"/>
      <c r="U58" s="242"/>
      <c r="V58" s="242"/>
      <c r="W58" s="242"/>
      <c r="X58" s="242"/>
      <c r="Y58" s="242"/>
      <c r="Z58" s="243"/>
      <c r="AA58" s="243"/>
      <c r="AB58" s="243"/>
      <c r="AC58" s="243"/>
      <c r="AD58" s="243"/>
      <c r="AE58" s="243"/>
      <c r="AF58" s="243"/>
      <c r="AG58" s="242"/>
      <c r="AH58" s="242"/>
      <c r="AI58" s="242"/>
      <c r="AJ58" s="242"/>
      <c r="AK58" s="242"/>
      <c r="AL58" s="242"/>
      <c r="AM58" s="242"/>
      <c r="AN58" s="243"/>
      <c r="AO58" s="243"/>
      <c r="AP58" s="243"/>
      <c r="AQ58" s="243"/>
      <c r="AR58" s="243"/>
      <c r="AS58" s="243"/>
      <c r="AT58" s="243"/>
      <c r="AU58" s="242"/>
      <c r="AV58" s="242"/>
      <c r="AW58" s="242"/>
      <c r="AX58" s="242"/>
      <c r="AY58" s="242"/>
      <c r="AZ58" s="242"/>
      <c r="BA58" s="242"/>
      <c r="BB58" s="243"/>
      <c r="BC58" s="243"/>
      <c r="BD58" s="243"/>
      <c r="BE58" s="243"/>
      <c r="BF58" s="243"/>
      <c r="BG58" s="243"/>
      <c r="BH58" s="243"/>
      <c r="BI58" s="242"/>
      <c r="BJ58" s="242"/>
      <c r="BK58" s="242"/>
      <c r="BL58" s="242"/>
      <c r="BM58" s="242"/>
      <c r="BN58" s="242"/>
      <c r="BO58" s="242"/>
      <c r="BP58" s="243"/>
      <c r="BQ58" s="243"/>
      <c r="BR58" s="243"/>
      <c r="BS58" s="243"/>
      <c r="BT58" s="243"/>
      <c r="BU58" s="243"/>
      <c r="BV58" s="243"/>
      <c r="BW58" s="242"/>
      <c r="BX58" s="242"/>
      <c r="BY58" s="242"/>
      <c r="BZ58" s="242"/>
      <c r="CA58" s="242"/>
      <c r="CB58" s="242"/>
      <c r="CC58" s="242"/>
      <c r="CD58" s="243"/>
      <c r="CE58" s="243"/>
      <c r="CF58" s="243"/>
      <c r="CG58" s="243"/>
      <c r="CH58" s="243"/>
      <c r="CI58" s="243"/>
      <c r="CJ58" s="243"/>
      <c r="CK58" s="242"/>
      <c r="CL58" s="242"/>
      <c r="CM58" s="242"/>
      <c r="CN58" s="242"/>
      <c r="CO58" s="242"/>
      <c r="CP58" s="242"/>
      <c r="CQ58" s="242"/>
      <c r="CR58" s="243"/>
      <c r="CS58" s="243"/>
      <c r="CT58" s="243"/>
      <c r="CU58" s="243"/>
      <c r="CV58" s="243"/>
      <c r="CW58" s="243"/>
      <c r="CX58" s="243"/>
      <c r="CY58" s="242"/>
      <c r="CZ58" s="242"/>
      <c r="DA58" s="242"/>
      <c r="DB58" s="242"/>
      <c r="DC58" s="242"/>
      <c r="DD58" s="242"/>
      <c r="DE58" s="242"/>
      <c r="DF58" s="243"/>
      <c r="DG58" s="243"/>
      <c r="DH58" s="243"/>
      <c r="DI58" s="243"/>
      <c r="DJ58" s="243"/>
      <c r="DK58" s="243"/>
      <c r="DL58" s="243"/>
      <c r="DM58" s="242"/>
      <c r="DN58" s="242"/>
      <c r="DO58" s="242"/>
      <c r="DP58" s="242"/>
      <c r="DQ58" s="242"/>
      <c r="DR58" s="242"/>
      <c r="DS58" s="242"/>
      <c r="DT58" s="243"/>
      <c r="DU58" s="243"/>
      <c r="DV58" s="243"/>
      <c r="DW58" s="243"/>
      <c r="DX58" s="243"/>
      <c r="DY58" s="243"/>
      <c r="DZ58" s="243"/>
      <c r="EA58" s="242"/>
      <c r="EB58" s="242"/>
      <c r="EC58" s="242"/>
      <c r="ED58" s="242"/>
      <c r="EE58" s="242"/>
      <c r="EF58" s="242"/>
      <c r="EG58" s="242"/>
      <c r="EH58" s="243"/>
      <c r="EI58" s="243"/>
      <c r="EJ58" s="243"/>
      <c r="EK58" s="243"/>
      <c r="EL58" s="243"/>
      <c r="EM58" s="243"/>
      <c r="EN58" s="243">
        <v>12</v>
      </c>
      <c r="EO58" s="242">
        <v>24</v>
      </c>
      <c r="EP58" s="242">
        <v>24</v>
      </c>
      <c r="EQ58" s="242">
        <v>24</v>
      </c>
      <c r="ER58" s="242">
        <v>24</v>
      </c>
      <c r="ES58" s="242">
        <v>24</v>
      </c>
      <c r="ET58" s="242">
        <v>24</v>
      </c>
      <c r="EU58" s="242"/>
      <c r="EV58" s="243"/>
      <c r="EW58" s="243"/>
      <c r="EX58" s="243"/>
      <c r="EY58" s="243"/>
      <c r="EZ58" s="243"/>
      <c r="FA58" s="243"/>
      <c r="FB58" s="243"/>
      <c r="FC58" s="242"/>
      <c r="FD58" s="242"/>
      <c r="FE58" s="242"/>
      <c r="FF58" s="242"/>
      <c r="FG58" s="242"/>
      <c r="FH58" s="242"/>
      <c r="FI58" s="242"/>
      <c r="FJ58" s="243"/>
      <c r="FK58" s="243"/>
      <c r="FL58" s="243"/>
      <c r="FM58" s="243"/>
      <c r="FN58" s="243"/>
      <c r="FO58" s="243"/>
      <c r="FP58" s="243"/>
      <c r="FQ58" s="242"/>
      <c r="FR58" s="242"/>
      <c r="FS58" s="242"/>
      <c r="FT58" s="242"/>
      <c r="FU58" s="242"/>
      <c r="FV58" s="242"/>
      <c r="FW58" s="242"/>
      <c r="FX58" s="243"/>
      <c r="FY58" s="243"/>
      <c r="FZ58" s="243"/>
      <c r="GA58" s="243"/>
      <c r="GB58" s="243"/>
      <c r="GC58" s="243"/>
      <c r="GD58" s="243"/>
      <c r="GE58" s="242"/>
      <c r="GF58" s="242"/>
      <c r="GG58" s="242"/>
      <c r="GH58" s="242"/>
      <c r="GI58" s="242"/>
      <c r="GJ58" s="242"/>
      <c r="GK58" s="242"/>
      <c r="GL58" s="243"/>
      <c r="GM58" s="243"/>
      <c r="GN58" s="243"/>
      <c r="GO58" s="243"/>
      <c r="GP58" s="243"/>
      <c r="GQ58" s="243"/>
      <c r="GR58" s="243"/>
      <c r="GS58" s="242"/>
      <c r="GT58" s="242"/>
      <c r="GU58" s="242"/>
      <c r="GV58" s="242"/>
      <c r="GW58" s="242"/>
      <c r="GX58" s="242"/>
      <c r="GY58" s="242"/>
      <c r="GZ58" s="243"/>
      <c r="HA58" s="243"/>
      <c r="HB58" s="243"/>
      <c r="HC58" s="243"/>
      <c r="HD58" s="243"/>
      <c r="HE58" s="243"/>
      <c r="HF58" s="243"/>
      <c r="HG58" s="242"/>
      <c r="HH58" s="242"/>
      <c r="HI58" s="242"/>
      <c r="HJ58" s="242"/>
      <c r="HK58" s="242"/>
      <c r="HL58" s="242"/>
      <c r="HM58" s="242"/>
      <c r="HN58" s="243"/>
      <c r="HO58" s="243"/>
      <c r="HP58" s="243"/>
      <c r="HQ58" s="243"/>
      <c r="HR58" s="243"/>
      <c r="HS58" s="243"/>
      <c r="HT58" s="243"/>
      <c r="HU58" s="242"/>
      <c r="HV58" s="242"/>
      <c r="HW58" s="242"/>
      <c r="HX58" s="242"/>
      <c r="HY58" s="242"/>
      <c r="HZ58" s="242"/>
      <c r="IA58" s="242"/>
      <c r="IB58" s="243"/>
      <c r="IC58" s="243"/>
      <c r="ID58" s="243"/>
      <c r="IE58" s="243"/>
      <c r="IF58" s="243"/>
      <c r="IG58" s="243"/>
      <c r="IH58" s="243"/>
      <c r="II58" s="242"/>
      <c r="IJ58" s="242"/>
      <c r="IK58" s="242"/>
      <c r="IL58" s="242"/>
      <c r="IM58" s="242"/>
      <c r="IN58" s="242"/>
      <c r="IO58" s="242"/>
      <c r="IP58" s="243"/>
      <c r="IQ58" s="243"/>
      <c r="IR58" s="243"/>
      <c r="IS58" s="243"/>
      <c r="IT58" s="243"/>
      <c r="IU58" s="243"/>
      <c r="IV58" s="243"/>
      <c r="IW58" s="242"/>
      <c r="IX58" s="242"/>
      <c r="IY58" s="242"/>
      <c r="IZ58" s="242"/>
      <c r="JA58" s="242"/>
      <c r="JB58" s="242"/>
      <c r="JC58" s="242"/>
      <c r="JD58" s="243"/>
      <c r="JE58" s="243"/>
      <c r="JF58" s="243"/>
      <c r="JG58" s="243"/>
      <c r="JH58" s="243"/>
      <c r="JI58" s="243"/>
      <c r="JJ58" s="243"/>
      <c r="JK58" s="242"/>
      <c r="JL58" s="242"/>
      <c r="JM58" s="242"/>
      <c r="JN58" s="242"/>
      <c r="JO58" s="242"/>
      <c r="JP58" s="242"/>
      <c r="JQ58" s="242"/>
      <c r="JR58" s="243"/>
      <c r="JS58" s="243"/>
      <c r="JT58" s="243"/>
      <c r="JU58" s="243"/>
      <c r="JV58" s="243"/>
      <c r="JW58" s="243"/>
      <c r="JX58" s="243"/>
      <c r="JY58" s="242"/>
      <c r="JZ58" s="242"/>
      <c r="KA58" s="242"/>
      <c r="KB58" s="242"/>
      <c r="KC58" s="242"/>
      <c r="KD58" s="242"/>
      <c r="KE58" s="242"/>
      <c r="KF58" s="243"/>
      <c r="KG58" s="243"/>
      <c r="KH58" s="243"/>
      <c r="KI58" s="243"/>
      <c r="KJ58" s="243"/>
      <c r="KK58" s="243"/>
      <c r="KL58" s="243"/>
      <c r="KM58" s="242"/>
      <c r="KN58" s="242"/>
      <c r="KO58" s="242"/>
      <c r="KP58" s="242"/>
      <c r="KQ58" s="242"/>
      <c r="KR58" s="242"/>
      <c r="KS58" s="242"/>
      <c r="KT58" s="243"/>
      <c r="KU58" s="243"/>
      <c r="KV58" s="243"/>
      <c r="KW58" s="243"/>
      <c r="KX58" s="243"/>
      <c r="KY58" s="243"/>
      <c r="KZ58" s="243"/>
      <c r="LA58" s="242"/>
      <c r="LB58" s="242"/>
      <c r="LC58" s="242"/>
      <c r="LD58" s="242"/>
      <c r="LE58" s="242"/>
      <c r="LF58" s="242"/>
      <c r="LG58" s="242"/>
      <c r="LH58" s="243"/>
      <c r="LI58" s="243"/>
      <c r="LJ58" s="243"/>
      <c r="LK58" s="243"/>
      <c r="LL58" s="243"/>
      <c r="LM58" s="243"/>
      <c r="LN58" s="243"/>
      <c r="LO58" s="242"/>
      <c r="LP58" s="242"/>
      <c r="LQ58" s="242"/>
      <c r="LR58" s="242"/>
      <c r="LS58" s="242"/>
      <c r="LT58" s="242"/>
      <c r="LU58" s="242"/>
      <c r="LV58" s="243"/>
      <c r="LW58" s="243"/>
      <c r="LX58" s="243"/>
      <c r="LY58" s="243"/>
      <c r="LZ58" s="243"/>
      <c r="MA58" s="243"/>
      <c r="MB58" s="243"/>
      <c r="MC58" s="242"/>
      <c r="MD58" s="242"/>
      <c r="ME58" s="242"/>
      <c r="MF58" s="242"/>
      <c r="MG58" s="242"/>
      <c r="MH58" s="242"/>
      <c r="MI58" s="242"/>
      <c r="MJ58" s="243"/>
      <c r="MK58" s="243"/>
      <c r="ML58" s="243"/>
      <c r="MM58" s="243"/>
      <c r="MN58" s="243"/>
      <c r="MO58" s="243"/>
      <c r="MP58" s="243"/>
      <c r="MQ58" s="242"/>
      <c r="MR58" s="242"/>
      <c r="MS58" s="242"/>
      <c r="MT58" s="242"/>
      <c r="MU58" s="242"/>
      <c r="MV58" s="242"/>
      <c r="MW58" s="242"/>
      <c r="MX58" s="243"/>
      <c r="MY58" s="243"/>
      <c r="MZ58" s="243"/>
      <c r="NA58" s="243"/>
      <c r="NB58" s="243"/>
      <c r="NC58" s="243"/>
      <c r="ND58" s="243"/>
      <c r="NE58" s="242"/>
      <c r="NF58" s="242"/>
      <c r="NG58" s="242"/>
      <c r="NH58" s="243"/>
    </row>
    <row r="59" spans="1:372">
      <c r="A59" s="254" t="s">
        <v>973</v>
      </c>
      <c r="B59" s="239" t="s">
        <v>358</v>
      </c>
      <c r="C59" s="240" t="s">
        <v>674</v>
      </c>
      <c r="D59" s="240" t="s">
        <v>982</v>
      </c>
      <c r="E59" s="241">
        <v>0</v>
      </c>
      <c r="F59" s="252">
        <v>0</v>
      </c>
      <c r="G59" s="242"/>
      <c r="H59" s="242"/>
      <c r="I59" s="242"/>
      <c r="J59" s="242"/>
      <c r="K59" s="242"/>
      <c r="L59" s="243"/>
      <c r="M59" s="243"/>
      <c r="N59" s="243"/>
      <c r="O59" s="243"/>
      <c r="P59" s="243"/>
      <c r="Q59" s="243"/>
      <c r="R59" s="243"/>
      <c r="S59" s="242"/>
      <c r="T59" s="242"/>
      <c r="U59" s="242"/>
      <c r="V59" s="242"/>
      <c r="W59" s="242"/>
      <c r="X59" s="242"/>
      <c r="Y59" s="242"/>
      <c r="Z59" s="243"/>
      <c r="AA59" s="243"/>
      <c r="AB59" s="243"/>
      <c r="AC59" s="243"/>
      <c r="AD59" s="243"/>
      <c r="AE59" s="243"/>
      <c r="AF59" s="243"/>
      <c r="AG59" s="242"/>
      <c r="AH59" s="242"/>
      <c r="AI59" s="242"/>
      <c r="AJ59" s="242"/>
      <c r="AK59" s="242"/>
      <c r="AL59" s="242"/>
      <c r="AM59" s="242"/>
      <c r="AN59" s="243"/>
      <c r="AO59" s="243"/>
      <c r="AP59" s="243"/>
      <c r="AQ59" s="243"/>
      <c r="AR59" s="243"/>
      <c r="AS59" s="243"/>
      <c r="AT59" s="243"/>
      <c r="AU59" s="242"/>
      <c r="AV59" s="242"/>
      <c r="AW59" s="242"/>
      <c r="AX59" s="242"/>
      <c r="AY59" s="242"/>
      <c r="AZ59" s="242"/>
      <c r="BA59" s="242"/>
      <c r="BB59" s="243"/>
      <c r="BC59" s="243"/>
      <c r="BD59" s="243"/>
      <c r="BE59" s="243"/>
      <c r="BF59" s="243"/>
      <c r="BG59" s="243"/>
      <c r="BH59" s="243"/>
      <c r="BI59" s="242"/>
      <c r="BJ59" s="242"/>
      <c r="BK59" s="242"/>
      <c r="BL59" s="242"/>
      <c r="BM59" s="242"/>
      <c r="BN59" s="242"/>
      <c r="BO59" s="242"/>
      <c r="BP59" s="243"/>
      <c r="BQ59" s="243"/>
      <c r="BR59" s="243"/>
      <c r="BS59" s="243"/>
      <c r="BT59" s="243"/>
      <c r="BU59" s="243"/>
      <c r="BV59" s="243"/>
      <c r="BW59" s="242"/>
      <c r="BX59" s="242"/>
      <c r="BY59" s="242"/>
      <c r="BZ59" s="242"/>
      <c r="CA59" s="242"/>
      <c r="CB59" s="242"/>
      <c r="CC59" s="242"/>
      <c r="CD59" s="243"/>
      <c r="CE59" s="243"/>
      <c r="CF59" s="243"/>
      <c r="CG59" s="243"/>
      <c r="CH59" s="243"/>
      <c r="CI59" s="243"/>
      <c r="CJ59" s="243"/>
      <c r="CK59" s="242"/>
      <c r="CL59" s="242"/>
      <c r="CM59" s="242"/>
      <c r="CN59" s="242"/>
      <c r="CO59" s="242"/>
      <c r="CP59" s="242"/>
      <c r="CQ59" s="242"/>
      <c r="CR59" s="243"/>
      <c r="CS59" s="243"/>
      <c r="CT59" s="243"/>
      <c r="CU59" s="243"/>
      <c r="CV59" s="243"/>
      <c r="CW59" s="243"/>
      <c r="CX59" s="243"/>
      <c r="CY59" s="242"/>
      <c r="CZ59" s="242"/>
      <c r="DA59" s="242"/>
      <c r="DB59" s="242"/>
      <c r="DC59" s="242"/>
      <c r="DD59" s="242"/>
      <c r="DE59" s="242"/>
      <c r="DF59" s="243"/>
      <c r="DG59" s="243"/>
      <c r="DH59" s="243"/>
      <c r="DI59" s="243"/>
      <c r="DJ59" s="243"/>
      <c r="DK59" s="243"/>
      <c r="DL59" s="243"/>
      <c r="DM59" s="242"/>
      <c r="DN59" s="242"/>
      <c r="DO59" s="242"/>
      <c r="DP59" s="242"/>
      <c r="DQ59" s="242"/>
      <c r="DR59" s="242"/>
      <c r="DS59" s="242"/>
      <c r="DT59" s="243"/>
      <c r="DU59" s="243"/>
      <c r="DV59" s="243"/>
      <c r="DW59" s="243"/>
      <c r="DX59" s="243"/>
      <c r="DY59" s="243"/>
      <c r="DZ59" s="243"/>
      <c r="EA59" s="242"/>
      <c r="EB59" s="242"/>
      <c r="EC59" s="242"/>
      <c r="ED59" s="242"/>
      <c r="EE59" s="242"/>
      <c r="EF59" s="242"/>
      <c r="EG59" s="242"/>
      <c r="EH59" s="243"/>
      <c r="EI59" s="243"/>
      <c r="EJ59" s="243"/>
      <c r="EK59" s="243"/>
      <c r="EL59" s="243"/>
      <c r="EM59" s="243"/>
      <c r="EN59" s="243"/>
      <c r="EO59" s="242"/>
      <c r="EP59" s="242"/>
      <c r="EQ59" s="242"/>
      <c r="ER59" s="242"/>
      <c r="ES59" s="242"/>
      <c r="ET59" s="242"/>
      <c r="EU59" s="242"/>
      <c r="EV59" s="243"/>
      <c r="EW59" s="243"/>
      <c r="EX59" s="243"/>
      <c r="EY59" s="243"/>
      <c r="EZ59" s="243"/>
      <c r="FA59" s="243"/>
      <c r="FB59" s="243"/>
      <c r="FC59" s="242"/>
      <c r="FD59" s="242"/>
      <c r="FE59" s="242"/>
      <c r="FF59" s="242"/>
      <c r="FG59" s="242"/>
      <c r="FH59" s="242"/>
      <c r="FI59" s="242"/>
      <c r="FJ59" s="243"/>
      <c r="FK59" s="243"/>
      <c r="FL59" s="243"/>
      <c r="FM59" s="243"/>
      <c r="FN59" s="243"/>
      <c r="FO59" s="243"/>
      <c r="FP59" s="243"/>
      <c r="FQ59" s="242"/>
      <c r="FR59" s="242"/>
      <c r="FS59" s="242"/>
      <c r="FT59" s="242"/>
      <c r="FU59" s="242"/>
      <c r="FV59" s="242"/>
      <c r="FW59" s="242"/>
      <c r="FX59" s="243"/>
      <c r="FY59" s="243"/>
      <c r="FZ59" s="243"/>
      <c r="GA59" s="243"/>
      <c r="GB59" s="243"/>
      <c r="GC59" s="243"/>
      <c r="GD59" s="243"/>
      <c r="GE59" s="242"/>
      <c r="GF59" s="242"/>
      <c r="GG59" s="242"/>
      <c r="GH59" s="242"/>
      <c r="GI59" s="242"/>
      <c r="GJ59" s="242"/>
      <c r="GK59" s="242"/>
      <c r="GL59" s="243"/>
      <c r="GM59" s="243"/>
      <c r="GN59" s="243"/>
      <c r="GO59" s="243"/>
      <c r="GP59" s="243"/>
      <c r="GQ59" s="243"/>
      <c r="GR59" s="243"/>
      <c r="GS59" s="242"/>
      <c r="GT59" s="242"/>
      <c r="GU59" s="242"/>
      <c r="GV59" s="242"/>
      <c r="GW59" s="242"/>
      <c r="GX59" s="242"/>
      <c r="GY59" s="242"/>
      <c r="GZ59" s="243"/>
      <c r="HA59" s="243"/>
      <c r="HB59" s="243"/>
      <c r="HC59" s="243"/>
      <c r="HD59" s="243"/>
      <c r="HE59" s="243"/>
      <c r="HF59" s="243"/>
      <c r="HG59" s="242"/>
      <c r="HH59" s="242"/>
      <c r="HI59" s="242"/>
      <c r="HJ59" s="242"/>
      <c r="HK59" s="242"/>
      <c r="HL59" s="242"/>
      <c r="HM59" s="242"/>
      <c r="HN59" s="243"/>
      <c r="HO59" s="243"/>
      <c r="HP59" s="243"/>
      <c r="HQ59" s="243"/>
      <c r="HR59" s="243"/>
      <c r="HS59" s="243"/>
      <c r="HT59" s="243"/>
      <c r="HU59" s="242"/>
      <c r="HV59" s="242"/>
      <c r="HW59" s="242"/>
      <c r="HX59" s="242"/>
      <c r="HY59" s="242"/>
      <c r="HZ59" s="242"/>
      <c r="IA59" s="242"/>
      <c r="IB59" s="243"/>
      <c r="IC59" s="243"/>
      <c r="ID59" s="243"/>
      <c r="IE59" s="243"/>
      <c r="IF59" s="243"/>
      <c r="IG59" s="243"/>
      <c r="IH59" s="243"/>
      <c r="II59" s="242"/>
      <c r="IJ59" s="242"/>
      <c r="IK59" s="242"/>
      <c r="IL59" s="242"/>
      <c r="IM59" s="242"/>
      <c r="IN59" s="242"/>
      <c r="IO59" s="242"/>
      <c r="IP59" s="243"/>
      <c r="IQ59" s="243"/>
      <c r="IR59" s="243"/>
      <c r="IS59" s="243"/>
      <c r="IT59" s="243"/>
      <c r="IU59" s="243"/>
      <c r="IV59" s="243"/>
      <c r="IW59" s="242"/>
      <c r="IX59" s="242"/>
      <c r="IY59" s="242"/>
      <c r="IZ59" s="242"/>
      <c r="JA59" s="242"/>
      <c r="JB59" s="242"/>
      <c r="JC59" s="242"/>
      <c r="JD59" s="243"/>
      <c r="JE59" s="243"/>
      <c r="JF59" s="243"/>
      <c r="JG59" s="243"/>
      <c r="JH59" s="243"/>
      <c r="JI59" s="243"/>
      <c r="JJ59" s="243"/>
      <c r="JK59" s="242"/>
      <c r="JL59" s="242"/>
      <c r="JM59" s="242"/>
      <c r="JN59" s="242"/>
      <c r="JO59" s="242"/>
      <c r="JP59" s="242"/>
      <c r="JQ59" s="242"/>
      <c r="JR59" s="243"/>
      <c r="JS59" s="243"/>
      <c r="JT59" s="243"/>
      <c r="JU59" s="243"/>
      <c r="JV59" s="243"/>
      <c r="JW59" s="243"/>
      <c r="JX59" s="243"/>
      <c r="JY59" s="242"/>
      <c r="JZ59" s="242"/>
      <c r="KA59" s="242"/>
      <c r="KB59" s="242"/>
      <c r="KC59" s="242"/>
      <c r="KD59" s="242"/>
      <c r="KE59" s="242"/>
      <c r="KF59" s="243"/>
      <c r="KG59" s="243"/>
      <c r="KH59" s="243"/>
      <c r="KI59" s="243"/>
      <c r="KJ59" s="243"/>
      <c r="KK59" s="243"/>
      <c r="KL59" s="243"/>
      <c r="KM59" s="242"/>
      <c r="KN59" s="242"/>
      <c r="KO59" s="242"/>
      <c r="KP59" s="242"/>
      <c r="KQ59" s="242"/>
      <c r="KR59" s="242"/>
      <c r="KS59" s="242"/>
      <c r="KT59" s="243"/>
      <c r="KU59" s="243"/>
      <c r="KV59" s="243"/>
      <c r="KW59" s="243"/>
      <c r="KX59" s="243"/>
      <c r="KY59" s="243"/>
      <c r="KZ59" s="243"/>
      <c r="LA59" s="242"/>
      <c r="LB59" s="242"/>
      <c r="LC59" s="242"/>
      <c r="LD59" s="242"/>
      <c r="LE59" s="242"/>
      <c r="LF59" s="242"/>
      <c r="LG59" s="242"/>
      <c r="LH59" s="243"/>
      <c r="LI59" s="243"/>
      <c r="LJ59" s="243"/>
      <c r="LK59" s="243"/>
      <c r="LL59" s="243"/>
      <c r="LM59" s="243"/>
      <c r="LN59" s="243"/>
      <c r="LO59" s="242"/>
      <c r="LP59" s="242"/>
      <c r="LQ59" s="242"/>
      <c r="LR59" s="242"/>
      <c r="LS59" s="242"/>
      <c r="LT59" s="242"/>
      <c r="LU59" s="242"/>
      <c r="LV59" s="243"/>
      <c r="LW59" s="243"/>
      <c r="LX59" s="243"/>
      <c r="LY59" s="243"/>
      <c r="LZ59" s="243"/>
      <c r="MA59" s="243"/>
      <c r="MB59" s="243"/>
      <c r="MC59" s="242"/>
      <c r="MD59" s="242"/>
      <c r="ME59" s="242"/>
      <c r="MF59" s="242"/>
      <c r="MG59" s="242"/>
      <c r="MH59" s="242"/>
      <c r="MI59" s="242"/>
      <c r="MJ59" s="243"/>
      <c r="MK59" s="243"/>
      <c r="ML59" s="243"/>
      <c r="MM59" s="243"/>
      <c r="MN59" s="243"/>
      <c r="MO59" s="243"/>
      <c r="MP59" s="243"/>
      <c r="MQ59" s="242"/>
      <c r="MR59" s="242"/>
      <c r="MS59" s="242"/>
      <c r="MT59" s="242"/>
      <c r="MU59" s="242"/>
      <c r="MV59" s="242"/>
      <c r="MW59" s="242"/>
      <c r="MX59" s="243"/>
      <c r="MY59" s="243"/>
      <c r="MZ59" s="243"/>
      <c r="NA59" s="243"/>
      <c r="NB59" s="243"/>
      <c r="NC59" s="243"/>
      <c r="ND59" s="243"/>
      <c r="NE59" s="242"/>
      <c r="NF59" s="242"/>
      <c r="NG59" s="242"/>
      <c r="NH59" s="243"/>
    </row>
    <row r="60" spans="1:372">
      <c r="A60" s="254" t="s">
        <v>973</v>
      </c>
      <c r="B60" s="239" t="s">
        <v>359</v>
      </c>
      <c r="C60" s="240" t="s">
        <v>674</v>
      </c>
      <c r="D60" s="240" t="s">
        <v>982</v>
      </c>
      <c r="E60" s="241">
        <v>0</v>
      </c>
      <c r="F60" s="252">
        <v>0</v>
      </c>
      <c r="G60" s="242"/>
      <c r="H60" s="242"/>
      <c r="I60" s="242"/>
      <c r="J60" s="242"/>
      <c r="K60" s="242"/>
      <c r="L60" s="243"/>
      <c r="M60" s="243"/>
      <c r="N60" s="243"/>
      <c r="O60" s="243"/>
      <c r="P60" s="243"/>
      <c r="Q60" s="243"/>
      <c r="R60" s="243"/>
      <c r="S60" s="242"/>
      <c r="T60" s="242"/>
      <c r="U60" s="242"/>
      <c r="V60" s="242"/>
      <c r="W60" s="242"/>
      <c r="X60" s="242"/>
      <c r="Y60" s="242"/>
      <c r="Z60" s="243"/>
      <c r="AA60" s="243"/>
      <c r="AB60" s="243"/>
      <c r="AC60" s="243"/>
      <c r="AD60" s="243"/>
      <c r="AE60" s="243"/>
      <c r="AF60" s="243"/>
      <c r="AG60" s="242"/>
      <c r="AH60" s="242"/>
      <c r="AI60" s="242"/>
      <c r="AJ60" s="242"/>
      <c r="AK60" s="242"/>
      <c r="AL60" s="242"/>
      <c r="AM60" s="242"/>
      <c r="AN60" s="243"/>
      <c r="AO60" s="243"/>
      <c r="AP60" s="243"/>
      <c r="AQ60" s="243"/>
      <c r="AR60" s="243"/>
      <c r="AS60" s="243"/>
      <c r="AT60" s="243"/>
      <c r="AU60" s="242"/>
      <c r="AV60" s="242"/>
      <c r="AW60" s="242"/>
      <c r="AX60" s="242"/>
      <c r="AY60" s="242"/>
      <c r="AZ60" s="242"/>
      <c r="BA60" s="242"/>
      <c r="BB60" s="243"/>
      <c r="BC60" s="243"/>
      <c r="BD60" s="243"/>
      <c r="BE60" s="243"/>
      <c r="BF60" s="243"/>
      <c r="BG60" s="243"/>
      <c r="BH60" s="243"/>
      <c r="BI60" s="242"/>
      <c r="BJ60" s="242"/>
      <c r="BK60" s="242"/>
      <c r="BL60" s="242"/>
      <c r="BM60" s="242"/>
      <c r="BN60" s="242"/>
      <c r="BO60" s="242"/>
      <c r="BP60" s="243"/>
      <c r="BQ60" s="243"/>
      <c r="BR60" s="243"/>
      <c r="BS60" s="243"/>
      <c r="BT60" s="243"/>
      <c r="BU60" s="243"/>
      <c r="BV60" s="243"/>
      <c r="BW60" s="242"/>
      <c r="BX60" s="242"/>
      <c r="BY60" s="242"/>
      <c r="BZ60" s="242"/>
      <c r="CA60" s="242"/>
      <c r="CB60" s="242"/>
      <c r="CC60" s="242"/>
      <c r="CD60" s="243"/>
      <c r="CE60" s="243"/>
      <c r="CF60" s="243"/>
      <c r="CG60" s="243"/>
      <c r="CH60" s="243"/>
      <c r="CI60" s="243"/>
      <c r="CJ60" s="243"/>
      <c r="CK60" s="242"/>
      <c r="CL60" s="242"/>
      <c r="CM60" s="242"/>
      <c r="CN60" s="242"/>
      <c r="CO60" s="242"/>
      <c r="CP60" s="242"/>
      <c r="CQ60" s="242"/>
      <c r="CR60" s="243"/>
      <c r="CS60" s="243"/>
      <c r="CT60" s="243"/>
      <c r="CU60" s="243"/>
      <c r="CV60" s="243"/>
      <c r="CW60" s="243"/>
      <c r="CX60" s="243"/>
      <c r="CY60" s="242"/>
      <c r="CZ60" s="242"/>
      <c r="DA60" s="242"/>
      <c r="DB60" s="242"/>
      <c r="DC60" s="242"/>
      <c r="DD60" s="242"/>
      <c r="DE60" s="242"/>
      <c r="DF60" s="243"/>
      <c r="DG60" s="243"/>
      <c r="DH60" s="243"/>
      <c r="DI60" s="243"/>
      <c r="DJ60" s="243"/>
      <c r="DK60" s="243"/>
      <c r="DL60" s="243"/>
      <c r="DM60" s="242"/>
      <c r="DN60" s="242"/>
      <c r="DO60" s="242"/>
      <c r="DP60" s="242"/>
      <c r="DQ60" s="242"/>
      <c r="DR60" s="242"/>
      <c r="DS60" s="242"/>
      <c r="DT60" s="243"/>
      <c r="DU60" s="243"/>
      <c r="DV60" s="243"/>
      <c r="DW60" s="243"/>
      <c r="DX60" s="243"/>
      <c r="DY60" s="243"/>
      <c r="DZ60" s="243"/>
      <c r="EA60" s="242"/>
      <c r="EB60" s="242"/>
      <c r="EC60" s="242"/>
      <c r="ED60" s="242"/>
      <c r="EE60" s="242"/>
      <c r="EF60" s="242"/>
      <c r="EG60" s="242"/>
      <c r="EH60" s="243"/>
      <c r="EI60" s="243"/>
      <c r="EJ60" s="243"/>
      <c r="EK60" s="243"/>
      <c r="EL60" s="243"/>
      <c r="EM60" s="243"/>
      <c r="EN60" s="243"/>
      <c r="EO60" s="242"/>
      <c r="EP60" s="242"/>
      <c r="EQ60" s="242"/>
      <c r="ER60" s="242"/>
      <c r="ES60" s="242"/>
      <c r="ET60" s="242"/>
      <c r="EU60" s="242"/>
      <c r="EV60" s="243"/>
      <c r="EW60" s="243"/>
      <c r="EX60" s="243"/>
      <c r="EY60" s="243"/>
      <c r="EZ60" s="243"/>
      <c r="FA60" s="243"/>
      <c r="FB60" s="243"/>
      <c r="FC60" s="242"/>
      <c r="FD60" s="242"/>
      <c r="FE60" s="242"/>
      <c r="FF60" s="242"/>
      <c r="FG60" s="242"/>
      <c r="FH60" s="242"/>
      <c r="FI60" s="242"/>
      <c r="FJ60" s="243"/>
      <c r="FK60" s="243"/>
      <c r="FL60" s="243"/>
      <c r="FM60" s="243"/>
      <c r="FN60" s="243"/>
      <c r="FO60" s="243"/>
      <c r="FP60" s="243"/>
      <c r="FQ60" s="242"/>
      <c r="FR60" s="242"/>
      <c r="FS60" s="242"/>
      <c r="FT60" s="242"/>
      <c r="FU60" s="242"/>
      <c r="FV60" s="242"/>
      <c r="FW60" s="242"/>
      <c r="FX60" s="243"/>
      <c r="FY60" s="243"/>
      <c r="FZ60" s="243"/>
      <c r="GA60" s="243"/>
      <c r="GB60" s="243"/>
      <c r="GC60" s="243"/>
      <c r="GD60" s="243"/>
      <c r="GE60" s="242"/>
      <c r="GF60" s="242"/>
      <c r="GG60" s="242"/>
      <c r="GH60" s="242"/>
      <c r="GI60" s="242"/>
      <c r="GJ60" s="242"/>
      <c r="GK60" s="242"/>
      <c r="GL60" s="243"/>
      <c r="GM60" s="243"/>
      <c r="GN60" s="243"/>
      <c r="GO60" s="243"/>
      <c r="GP60" s="243"/>
      <c r="GQ60" s="243"/>
      <c r="GR60" s="243"/>
      <c r="GS60" s="242"/>
      <c r="GT60" s="242"/>
      <c r="GU60" s="242"/>
      <c r="GV60" s="242"/>
      <c r="GW60" s="242"/>
      <c r="GX60" s="242"/>
      <c r="GY60" s="242"/>
      <c r="GZ60" s="243"/>
      <c r="HA60" s="243"/>
      <c r="HB60" s="243"/>
      <c r="HC60" s="243"/>
      <c r="HD60" s="243"/>
      <c r="HE60" s="243"/>
      <c r="HF60" s="243"/>
      <c r="HG60" s="242"/>
      <c r="HH60" s="242"/>
      <c r="HI60" s="242"/>
      <c r="HJ60" s="242"/>
      <c r="HK60" s="242"/>
      <c r="HL60" s="242"/>
      <c r="HM60" s="242"/>
      <c r="HN60" s="243"/>
      <c r="HO60" s="243"/>
      <c r="HP60" s="243"/>
      <c r="HQ60" s="243"/>
      <c r="HR60" s="243"/>
      <c r="HS60" s="243"/>
      <c r="HT60" s="243"/>
      <c r="HU60" s="242"/>
      <c r="HV60" s="242"/>
      <c r="HW60" s="242"/>
      <c r="HX60" s="242"/>
      <c r="HY60" s="242"/>
      <c r="HZ60" s="242"/>
      <c r="IA60" s="242"/>
      <c r="IB60" s="243"/>
      <c r="IC60" s="243"/>
      <c r="ID60" s="243"/>
      <c r="IE60" s="243"/>
      <c r="IF60" s="243"/>
      <c r="IG60" s="243"/>
      <c r="IH60" s="243"/>
      <c r="II60" s="242"/>
      <c r="IJ60" s="242"/>
      <c r="IK60" s="242"/>
      <c r="IL60" s="242"/>
      <c r="IM60" s="242"/>
      <c r="IN60" s="242"/>
      <c r="IO60" s="242"/>
      <c r="IP60" s="243"/>
      <c r="IQ60" s="243"/>
      <c r="IR60" s="243"/>
      <c r="IS60" s="243"/>
      <c r="IT60" s="243"/>
      <c r="IU60" s="243"/>
      <c r="IV60" s="243"/>
      <c r="IW60" s="242"/>
      <c r="IX60" s="242"/>
      <c r="IY60" s="242"/>
      <c r="IZ60" s="242"/>
      <c r="JA60" s="242"/>
      <c r="JB60" s="242"/>
      <c r="JC60" s="242"/>
      <c r="JD60" s="243"/>
      <c r="JE60" s="243"/>
      <c r="JF60" s="243"/>
      <c r="JG60" s="243"/>
      <c r="JH60" s="243"/>
      <c r="JI60" s="243"/>
      <c r="JJ60" s="243"/>
      <c r="JK60" s="242"/>
      <c r="JL60" s="242"/>
      <c r="JM60" s="242"/>
      <c r="JN60" s="242"/>
      <c r="JO60" s="242"/>
      <c r="JP60" s="242"/>
      <c r="JQ60" s="242"/>
      <c r="JR60" s="243"/>
      <c r="JS60" s="243"/>
      <c r="JT60" s="243"/>
      <c r="JU60" s="243"/>
      <c r="JV60" s="243"/>
      <c r="JW60" s="243"/>
      <c r="JX60" s="243"/>
      <c r="JY60" s="242"/>
      <c r="JZ60" s="242"/>
      <c r="KA60" s="242"/>
      <c r="KB60" s="242"/>
      <c r="KC60" s="242"/>
      <c r="KD60" s="242"/>
      <c r="KE60" s="242"/>
      <c r="KF60" s="243"/>
      <c r="KG60" s="243"/>
      <c r="KH60" s="243"/>
      <c r="KI60" s="243"/>
      <c r="KJ60" s="243"/>
      <c r="KK60" s="243"/>
      <c r="KL60" s="243"/>
      <c r="KM60" s="242"/>
      <c r="KN60" s="242"/>
      <c r="KO60" s="242"/>
      <c r="KP60" s="242"/>
      <c r="KQ60" s="242"/>
      <c r="KR60" s="242"/>
      <c r="KS60" s="242"/>
      <c r="KT60" s="243"/>
      <c r="KU60" s="243"/>
      <c r="KV60" s="243"/>
      <c r="KW60" s="243"/>
      <c r="KX60" s="243"/>
      <c r="KY60" s="243"/>
      <c r="KZ60" s="243"/>
      <c r="LA60" s="242"/>
      <c r="LB60" s="242"/>
      <c r="LC60" s="242"/>
      <c r="LD60" s="242"/>
      <c r="LE60" s="242"/>
      <c r="LF60" s="242"/>
      <c r="LG60" s="242"/>
      <c r="LH60" s="243"/>
      <c r="LI60" s="243"/>
      <c r="LJ60" s="243"/>
      <c r="LK60" s="243"/>
      <c r="LL60" s="243"/>
      <c r="LM60" s="243"/>
      <c r="LN60" s="243"/>
      <c r="LO60" s="242"/>
      <c r="LP60" s="242"/>
      <c r="LQ60" s="242"/>
      <c r="LR60" s="242"/>
      <c r="LS60" s="242"/>
      <c r="LT60" s="242"/>
      <c r="LU60" s="242"/>
      <c r="LV60" s="243"/>
      <c r="LW60" s="243"/>
      <c r="LX60" s="243"/>
      <c r="LY60" s="243"/>
      <c r="LZ60" s="243"/>
      <c r="MA60" s="243"/>
      <c r="MB60" s="243"/>
      <c r="MC60" s="242"/>
      <c r="MD60" s="242"/>
      <c r="ME60" s="242"/>
      <c r="MF60" s="242"/>
      <c r="MG60" s="242"/>
      <c r="MH60" s="242"/>
      <c r="MI60" s="242"/>
      <c r="MJ60" s="243"/>
      <c r="MK60" s="243"/>
      <c r="ML60" s="243"/>
      <c r="MM60" s="243"/>
      <c r="MN60" s="243"/>
      <c r="MO60" s="243"/>
      <c r="MP60" s="243"/>
      <c r="MQ60" s="242"/>
      <c r="MR60" s="242"/>
      <c r="MS60" s="242"/>
      <c r="MT60" s="242"/>
      <c r="MU60" s="242"/>
      <c r="MV60" s="242"/>
      <c r="MW60" s="242"/>
      <c r="MX60" s="243"/>
      <c r="MY60" s="243"/>
      <c r="MZ60" s="243"/>
      <c r="NA60" s="243"/>
      <c r="NB60" s="243"/>
      <c r="NC60" s="243"/>
      <c r="ND60" s="243"/>
      <c r="NE60" s="242"/>
      <c r="NF60" s="242"/>
      <c r="NG60" s="242"/>
      <c r="NH60" s="243"/>
    </row>
    <row r="61" spans="1:372">
      <c r="A61" s="254" t="s">
        <v>973</v>
      </c>
      <c r="B61" s="239" t="s">
        <v>360</v>
      </c>
      <c r="C61" s="240" t="s">
        <v>674</v>
      </c>
      <c r="D61" s="240" t="s">
        <v>982</v>
      </c>
      <c r="E61" s="241">
        <v>0</v>
      </c>
      <c r="F61" s="252">
        <v>0</v>
      </c>
      <c r="G61" s="242"/>
      <c r="H61" s="242"/>
      <c r="I61" s="242"/>
      <c r="J61" s="242"/>
      <c r="K61" s="242"/>
      <c r="L61" s="243"/>
      <c r="M61" s="243"/>
      <c r="N61" s="243"/>
      <c r="O61" s="243"/>
      <c r="P61" s="243"/>
      <c r="Q61" s="243"/>
      <c r="R61" s="243"/>
      <c r="S61" s="242"/>
      <c r="T61" s="242"/>
      <c r="U61" s="242"/>
      <c r="V61" s="242"/>
      <c r="W61" s="242"/>
      <c r="X61" s="242"/>
      <c r="Y61" s="242"/>
      <c r="Z61" s="243"/>
      <c r="AA61" s="243"/>
      <c r="AB61" s="243"/>
      <c r="AC61" s="243"/>
      <c r="AD61" s="243"/>
      <c r="AE61" s="243"/>
      <c r="AF61" s="243"/>
      <c r="AG61" s="242"/>
      <c r="AH61" s="242"/>
      <c r="AI61" s="242"/>
      <c r="AJ61" s="242"/>
      <c r="AK61" s="242"/>
      <c r="AL61" s="242"/>
      <c r="AM61" s="242"/>
      <c r="AN61" s="243"/>
      <c r="AO61" s="243"/>
      <c r="AP61" s="243"/>
      <c r="AQ61" s="243"/>
      <c r="AR61" s="243"/>
      <c r="AS61" s="243"/>
      <c r="AT61" s="243"/>
      <c r="AU61" s="242"/>
      <c r="AV61" s="242"/>
      <c r="AW61" s="242"/>
      <c r="AX61" s="242"/>
      <c r="AY61" s="242"/>
      <c r="AZ61" s="242"/>
      <c r="BA61" s="242"/>
      <c r="BB61" s="243"/>
      <c r="BC61" s="243"/>
      <c r="BD61" s="243"/>
      <c r="BE61" s="243"/>
      <c r="BF61" s="243"/>
      <c r="BG61" s="243"/>
      <c r="BH61" s="243"/>
      <c r="BI61" s="242"/>
      <c r="BJ61" s="242"/>
      <c r="BK61" s="242"/>
      <c r="BL61" s="242"/>
      <c r="BM61" s="242"/>
      <c r="BN61" s="242"/>
      <c r="BO61" s="242"/>
      <c r="BP61" s="243"/>
      <c r="BQ61" s="243"/>
      <c r="BR61" s="243"/>
      <c r="BS61" s="243"/>
      <c r="BT61" s="243"/>
      <c r="BU61" s="243"/>
      <c r="BV61" s="243"/>
      <c r="BW61" s="242"/>
      <c r="BX61" s="242"/>
      <c r="BY61" s="242"/>
      <c r="BZ61" s="242"/>
      <c r="CA61" s="242"/>
      <c r="CB61" s="242"/>
      <c r="CC61" s="242"/>
      <c r="CD61" s="243"/>
      <c r="CE61" s="243"/>
      <c r="CF61" s="243"/>
      <c r="CG61" s="243"/>
      <c r="CH61" s="243"/>
      <c r="CI61" s="243"/>
      <c r="CJ61" s="243"/>
      <c r="CK61" s="242"/>
      <c r="CL61" s="242"/>
      <c r="CM61" s="242"/>
      <c r="CN61" s="242"/>
      <c r="CO61" s="242"/>
      <c r="CP61" s="242"/>
      <c r="CQ61" s="242"/>
      <c r="CR61" s="243"/>
      <c r="CS61" s="243"/>
      <c r="CT61" s="243"/>
      <c r="CU61" s="243"/>
      <c r="CV61" s="243"/>
      <c r="CW61" s="243"/>
      <c r="CX61" s="243"/>
      <c r="CY61" s="242"/>
      <c r="CZ61" s="242"/>
      <c r="DA61" s="242"/>
      <c r="DB61" s="242"/>
      <c r="DC61" s="242"/>
      <c r="DD61" s="242"/>
      <c r="DE61" s="242"/>
      <c r="DF61" s="243"/>
      <c r="DG61" s="243"/>
      <c r="DH61" s="243"/>
      <c r="DI61" s="243"/>
      <c r="DJ61" s="243"/>
      <c r="DK61" s="243"/>
      <c r="DL61" s="243"/>
      <c r="DM61" s="242"/>
      <c r="DN61" s="242"/>
      <c r="DO61" s="242"/>
      <c r="DP61" s="242"/>
      <c r="DQ61" s="242"/>
      <c r="DR61" s="242"/>
      <c r="DS61" s="242"/>
      <c r="DT61" s="243"/>
      <c r="DU61" s="243"/>
      <c r="DV61" s="243"/>
      <c r="DW61" s="243"/>
      <c r="DX61" s="243"/>
      <c r="DY61" s="243"/>
      <c r="DZ61" s="243"/>
      <c r="EA61" s="242"/>
      <c r="EB61" s="242"/>
      <c r="EC61" s="242"/>
      <c r="ED61" s="242"/>
      <c r="EE61" s="242"/>
      <c r="EF61" s="242"/>
      <c r="EG61" s="242"/>
      <c r="EH61" s="243"/>
      <c r="EI61" s="243"/>
      <c r="EJ61" s="243"/>
      <c r="EK61" s="243"/>
      <c r="EL61" s="243"/>
      <c r="EM61" s="243"/>
      <c r="EN61" s="243"/>
      <c r="EO61" s="242"/>
      <c r="EP61" s="242"/>
      <c r="EQ61" s="242"/>
      <c r="ER61" s="242"/>
      <c r="ES61" s="242"/>
      <c r="ET61" s="242"/>
      <c r="EU61" s="242"/>
      <c r="EV61" s="243"/>
      <c r="EW61" s="243"/>
      <c r="EX61" s="243"/>
      <c r="EY61" s="243"/>
      <c r="EZ61" s="243"/>
      <c r="FA61" s="243"/>
      <c r="FB61" s="243"/>
      <c r="FC61" s="242"/>
      <c r="FD61" s="242"/>
      <c r="FE61" s="242"/>
      <c r="FF61" s="242"/>
      <c r="FG61" s="242"/>
      <c r="FH61" s="242"/>
      <c r="FI61" s="242"/>
      <c r="FJ61" s="243"/>
      <c r="FK61" s="243"/>
      <c r="FL61" s="243"/>
      <c r="FM61" s="243"/>
      <c r="FN61" s="243"/>
      <c r="FO61" s="243"/>
      <c r="FP61" s="243"/>
      <c r="FQ61" s="242"/>
      <c r="FR61" s="242"/>
      <c r="FS61" s="242"/>
      <c r="FT61" s="242"/>
      <c r="FU61" s="242"/>
      <c r="FV61" s="242"/>
      <c r="FW61" s="242"/>
      <c r="FX61" s="243"/>
      <c r="FY61" s="243"/>
      <c r="FZ61" s="243"/>
      <c r="GA61" s="243"/>
      <c r="GB61" s="243"/>
      <c r="GC61" s="243"/>
      <c r="GD61" s="243"/>
      <c r="GE61" s="242"/>
      <c r="GF61" s="242"/>
      <c r="GG61" s="242"/>
      <c r="GH61" s="242"/>
      <c r="GI61" s="242"/>
      <c r="GJ61" s="242"/>
      <c r="GK61" s="242"/>
      <c r="GL61" s="243"/>
      <c r="GM61" s="243"/>
      <c r="GN61" s="243"/>
      <c r="GO61" s="243"/>
      <c r="GP61" s="243"/>
      <c r="GQ61" s="243"/>
      <c r="GR61" s="243"/>
      <c r="GS61" s="242"/>
      <c r="GT61" s="242"/>
      <c r="GU61" s="242"/>
      <c r="GV61" s="242"/>
      <c r="GW61" s="242"/>
      <c r="GX61" s="242"/>
      <c r="GY61" s="242"/>
      <c r="GZ61" s="243"/>
      <c r="HA61" s="243"/>
      <c r="HB61" s="243"/>
      <c r="HC61" s="243"/>
      <c r="HD61" s="243"/>
      <c r="HE61" s="243"/>
      <c r="HF61" s="243"/>
      <c r="HG61" s="242"/>
      <c r="HH61" s="242"/>
      <c r="HI61" s="242"/>
      <c r="HJ61" s="242"/>
      <c r="HK61" s="242"/>
      <c r="HL61" s="242"/>
      <c r="HM61" s="242"/>
      <c r="HN61" s="243"/>
      <c r="HO61" s="243"/>
      <c r="HP61" s="243"/>
      <c r="HQ61" s="243"/>
      <c r="HR61" s="243"/>
      <c r="HS61" s="243"/>
      <c r="HT61" s="243"/>
      <c r="HU61" s="242"/>
      <c r="HV61" s="242"/>
      <c r="HW61" s="242"/>
      <c r="HX61" s="242"/>
      <c r="HY61" s="242"/>
      <c r="HZ61" s="242"/>
      <c r="IA61" s="242"/>
      <c r="IB61" s="243"/>
      <c r="IC61" s="243"/>
      <c r="ID61" s="243"/>
      <c r="IE61" s="243"/>
      <c r="IF61" s="243"/>
      <c r="IG61" s="243"/>
      <c r="IH61" s="243"/>
      <c r="II61" s="242"/>
      <c r="IJ61" s="242"/>
      <c r="IK61" s="242"/>
      <c r="IL61" s="242"/>
      <c r="IM61" s="242"/>
      <c r="IN61" s="242"/>
      <c r="IO61" s="242"/>
      <c r="IP61" s="243"/>
      <c r="IQ61" s="243"/>
      <c r="IR61" s="243"/>
      <c r="IS61" s="243"/>
      <c r="IT61" s="243"/>
      <c r="IU61" s="243"/>
      <c r="IV61" s="243"/>
      <c r="IW61" s="242"/>
      <c r="IX61" s="242"/>
      <c r="IY61" s="242"/>
      <c r="IZ61" s="242"/>
      <c r="JA61" s="242"/>
      <c r="JB61" s="242"/>
      <c r="JC61" s="242"/>
      <c r="JD61" s="243"/>
      <c r="JE61" s="243"/>
      <c r="JF61" s="243"/>
      <c r="JG61" s="243"/>
      <c r="JH61" s="243"/>
      <c r="JI61" s="243"/>
      <c r="JJ61" s="243"/>
      <c r="JK61" s="242"/>
      <c r="JL61" s="242"/>
      <c r="JM61" s="242"/>
      <c r="JN61" s="242"/>
      <c r="JO61" s="242"/>
      <c r="JP61" s="242"/>
      <c r="JQ61" s="242"/>
      <c r="JR61" s="243"/>
      <c r="JS61" s="243"/>
      <c r="JT61" s="243"/>
      <c r="JU61" s="243"/>
      <c r="JV61" s="243"/>
      <c r="JW61" s="243"/>
      <c r="JX61" s="243"/>
      <c r="JY61" s="242"/>
      <c r="JZ61" s="242"/>
      <c r="KA61" s="242"/>
      <c r="KB61" s="242"/>
      <c r="KC61" s="242"/>
      <c r="KD61" s="242"/>
      <c r="KE61" s="242"/>
      <c r="KF61" s="243"/>
      <c r="KG61" s="243"/>
      <c r="KH61" s="243"/>
      <c r="KI61" s="243"/>
      <c r="KJ61" s="243"/>
      <c r="KK61" s="243"/>
      <c r="KL61" s="243"/>
      <c r="KM61" s="242"/>
      <c r="KN61" s="242"/>
      <c r="KO61" s="242"/>
      <c r="KP61" s="242"/>
      <c r="KQ61" s="242"/>
      <c r="KR61" s="242"/>
      <c r="KS61" s="242"/>
      <c r="KT61" s="243"/>
      <c r="KU61" s="243"/>
      <c r="KV61" s="243"/>
      <c r="KW61" s="243"/>
      <c r="KX61" s="243"/>
      <c r="KY61" s="243"/>
      <c r="KZ61" s="243"/>
      <c r="LA61" s="242"/>
      <c r="LB61" s="242"/>
      <c r="LC61" s="242"/>
      <c r="LD61" s="242"/>
      <c r="LE61" s="242"/>
      <c r="LF61" s="242"/>
      <c r="LG61" s="242"/>
      <c r="LH61" s="243"/>
      <c r="LI61" s="243"/>
      <c r="LJ61" s="243"/>
      <c r="LK61" s="243"/>
      <c r="LL61" s="243"/>
      <c r="LM61" s="243"/>
      <c r="LN61" s="243"/>
      <c r="LO61" s="242"/>
      <c r="LP61" s="242"/>
      <c r="LQ61" s="242"/>
      <c r="LR61" s="242"/>
      <c r="LS61" s="242"/>
      <c r="LT61" s="242"/>
      <c r="LU61" s="242"/>
      <c r="LV61" s="243"/>
      <c r="LW61" s="243"/>
      <c r="LX61" s="243"/>
      <c r="LY61" s="243"/>
      <c r="LZ61" s="243"/>
      <c r="MA61" s="243"/>
      <c r="MB61" s="243"/>
      <c r="MC61" s="242"/>
      <c r="MD61" s="242"/>
      <c r="ME61" s="242"/>
      <c r="MF61" s="242"/>
      <c r="MG61" s="242"/>
      <c r="MH61" s="242"/>
      <c r="MI61" s="242"/>
      <c r="MJ61" s="243"/>
      <c r="MK61" s="243"/>
      <c r="ML61" s="243"/>
      <c r="MM61" s="243"/>
      <c r="MN61" s="243"/>
      <c r="MO61" s="243"/>
      <c r="MP61" s="243"/>
      <c r="MQ61" s="242"/>
      <c r="MR61" s="242"/>
      <c r="MS61" s="242"/>
      <c r="MT61" s="242"/>
      <c r="MU61" s="242"/>
      <c r="MV61" s="242"/>
      <c r="MW61" s="242"/>
      <c r="MX61" s="243"/>
      <c r="MY61" s="243"/>
      <c r="MZ61" s="243"/>
      <c r="NA61" s="243"/>
      <c r="NB61" s="243"/>
      <c r="NC61" s="243"/>
      <c r="ND61" s="243"/>
      <c r="NE61" s="242"/>
      <c r="NF61" s="242"/>
      <c r="NG61" s="242"/>
      <c r="NH61" s="243"/>
    </row>
    <row r="62" spans="1:372">
      <c r="A62" s="254" t="s">
        <v>973</v>
      </c>
      <c r="B62" s="239" t="s">
        <v>361</v>
      </c>
      <c r="C62" s="240" t="s">
        <v>674</v>
      </c>
      <c r="D62" s="240" t="s">
        <v>982</v>
      </c>
      <c r="E62" s="241">
        <v>0</v>
      </c>
      <c r="F62" s="252">
        <v>0</v>
      </c>
      <c r="G62" s="242"/>
      <c r="H62" s="242"/>
      <c r="I62" s="242"/>
      <c r="J62" s="242"/>
      <c r="K62" s="242"/>
      <c r="L62" s="243"/>
      <c r="M62" s="243"/>
      <c r="N62" s="243"/>
      <c r="O62" s="243"/>
      <c r="P62" s="243"/>
      <c r="Q62" s="243"/>
      <c r="R62" s="243"/>
      <c r="S62" s="242"/>
      <c r="T62" s="242"/>
      <c r="U62" s="242"/>
      <c r="V62" s="242"/>
      <c r="W62" s="242"/>
      <c r="X62" s="242"/>
      <c r="Y62" s="242"/>
      <c r="Z62" s="243"/>
      <c r="AA62" s="243"/>
      <c r="AB62" s="243"/>
      <c r="AC62" s="243"/>
      <c r="AD62" s="243"/>
      <c r="AE62" s="243"/>
      <c r="AF62" s="243"/>
      <c r="AG62" s="242"/>
      <c r="AH62" s="242"/>
      <c r="AI62" s="242"/>
      <c r="AJ62" s="242"/>
      <c r="AK62" s="242"/>
      <c r="AL62" s="242"/>
      <c r="AM62" s="242"/>
      <c r="AN62" s="243"/>
      <c r="AO62" s="243"/>
      <c r="AP62" s="243"/>
      <c r="AQ62" s="243"/>
      <c r="AR62" s="243"/>
      <c r="AS62" s="243"/>
      <c r="AT62" s="243"/>
      <c r="AU62" s="242"/>
      <c r="AV62" s="242"/>
      <c r="AW62" s="242"/>
      <c r="AX62" s="242"/>
      <c r="AY62" s="242"/>
      <c r="AZ62" s="242"/>
      <c r="BA62" s="242"/>
      <c r="BB62" s="243"/>
      <c r="BC62" s="243"/>
      <c r="BD62" s="243"/>
      <c r="BE62" s="243"/>
      <c r="BF62" s="243"/>
      <c r="BG62" s="243"/>
      <c r="BH62" s="243"/>
      <c r="BI62" s="242"/>
      <c r="BJ62" s="242"/>
      <c r="BK62" s="242"/>
      <c r="BL62" s="242"/>
      <c r="BM62" s="242"/>
      <c r="BN62" s="242"/>
      <c r="BO62" s="242"/>
      <c r="BP62" s="243"/>
      <c r="BQ62" s="243"/>
      <c r="BR62" s="243"/>
      <c r="BS62" s="243"/>
      <c r="BT62" s="243"/>
      <c r="BU62" s="243"/>
      <c r="BV62" s="243"/>
      <c r="BW62" s="242"/>
      <c r="BX62" s="242"/>
      <c r="BY62" s="242"/>
      <c r="BZ62" s="242"/>
      <c r="CA62" s="242"/>
      <c r="CB62" s="242"/>
      <c r="CC62" s="242"/>
      <c r="CD62" s="243"/>
      <c r="CE62" s="243"/>
      <c r="CF62" s="243"/>
      <c r="CG62" s="243"/>
      <c r="CH62" s="243"/>
      <c r="CI62" s="243"/>
      <c r="CJ62" s="243"/>
      <c r="CK62" s="242"/>
      <c r="CL62" s="242"/>
      <c r="CM62" s="242"/>
      <c r="CN62" s="242"/>
      <c r="CO62" s="242"/>
      <c r="CP62" s="242"/>
      <c r="CQ62" s="242"/>
      <c r="CR62" s="243"/>
      <c r="CS62" s="243"/>
      <c r="CT62" s="243"/>
      <c r="CU62" s="243"/>
      <c r="CV62" s="243"/>
      <c r="CW62" s="243"/>
      <c r="CX62" s="243"/>
      <c r="CY62" s="242"/>
      <c r="CZ62" s="242"/>
      <c r="DA62" s="242"/>
      <c r="DB62" s="242"/>
      <c r="DC62" s="242"/>
      <c r="DD62" s="242"/>
      <c r="DE62" s="242"/>
      <c r="DF62" s="243"/>
      <c r="DG62" s="243"/>
      <c r="DH62" s="243"/>
      <c r="DI62" s="243"/>
      <c r="DJ62" s="243"/>
      <c r="DK62" s="243"/>
      <c r="DL62" s="243"/>
      <c r="DM62" s="242"/>
      <c r="DN62" s="242"/>
      <c r="DO62" s="242"/>
      <c r="DP62" s="242"/>
      <c r="DQ62" s="242"/>
      <c r="DR62" s="242"/>
      <c r="DS62" s="242"/>
      <c r="DT62" s="243"/>
      <c r="DU62" s="243"/>
      <c r="DV62" s="243"/>
      <c r="DW62" s="243"/>
      <c r="DX62" s="243"/>
      <c r="DY62" s="243"/>
      <c r="DZ62" s="243"/>
      <c r="EA62" s="242"/>
      <c r="EB62" s="242"/>
      <c r="EC62" s="242"/>
      <c r="ED62" s="242"/>
      <c r="EE62" s="242"/>
      <c r="EF62" s="242"/>
      <c r="EG62" s="242"/>
      <c r="EH62" s="243"/>
      <c r="EI62" s="243"/>
      <c r="EJ62" s="243"/>
      <c r="EK62" s="243"/>
      <c r="EL62" s="243"/>
      <c r="EM62" s="243"/>
      <c r="EN62" s="243"/>
      <c r="EO62" s="242"/>
      <c r="EP62" s="242"/>
      <c r="EQ62" s="242"/>
      <c r="ER62" s="242"/>
      <c r="ES62" s="242"/>
      <c r="ET62" s="242"/>
      <c r="EU62" s="242"/>
      <c r="EV62" s="243"/>
      <c r="EW62" s="243"/>
      <c r="EX62" s="243"/>
      <c r="EY62" s="243"/>
      <c r="EZ62" s="243"/>
      <c r="FA62" s="243"/>
      <c r="FB62" s="243"/>
      <c r="FC62" s="242"/>
      <c r="FD62" s="242"/>
      <c r="FE62" s="242"/>
      <c r="FF62" s="242"/>
      <c r="FG62" s="242"/>
      <c r="FH62" s="242"/>
      <c r="FI62" s="242"/>
      <c r="FJ62" s="243"/>
      <c r="FK62" s="243"/>
      <c r="FL62" s="243"/>
      <c r="FM62" s="243"/>
      <c r="FN62" s="243"/>
      <c r="FO62" s="243"/>
      <c r="FP62" s="243"/>
      <c r="FQ62" s="242"/>
      <c r="FR62" s="242"/>
      <c r="FS62" s="242"/>
      <c r="FT62" s="242"/>
      <c r="FU62" s="242"/>
      <c r="FV62" s="242"/>
      <c r="FW62" s="242"/>
      <c r="FX62" s="243"/>
      <c r="FY62" s="243"/>
      <c r="FZ62" s="243"/>
      <c r="GA62" s="243"/>
      <c r="GB62" s="243"/>
      <c r="GC62" s="243"/>
      <c r="GD62" s="243"/>
      <c r="GE62" s="242"/>
      <c r="GF62" s="242"/>
      <c r="GG62" s="242"/>
      <c r="GH62" s="242"/>
      <c r="GI62" s="242"/>
      <c r="GJ62" s="242"/>
      <c r="GK62" s="242"/>
      <c r="GL62" s="243"/>
      <c r="GM62" s="243"/>
      <c r="GN62" s="243"/>
      <c r="GO62" s="243"/>
      <c r="GP62" s="243"/>
      <c r="GQ62" s="243"/>
      <c r="GR62" s="243"/>
      <c r="GS62" s="242"/>
      <c r="GT62" s="242"/>
      <c r="GU62" s="242"/>
      <c r="GV62" s="242"/>
      <c r="GW62" s="242"/>
      <c r="GX62" s="242"/>
      <c r="GY62" s="242"/>
      <c r="GZ62" s="243"/>
      <c r="HA62" s="243"/>
      <c r="HB62" s="243"/>
      <c r="HC62" s="243"/>
      <c r="HD62" s="243"/>
      <c r="HE62" s="243"/>
      <c r="HF62" s="243"/>
      <c r="HG62" s="242"/>
      <c r="HH62" s="242"/>
      <c r="HI62" s="242"/>
      <c r="HJ62" s="242"/>
      <c r="HK62" s="242"/>
      <c r="HL62" s="242"/>
      <c r="HM62" s="242"/>
      <c r="HN62" s="243"/>
      <c r="HO62" s="243"/>
      <c r="HP62" s="243"/>
      <c r="HQ62" s="243"/>
      <c r="HR62" s="243"/>
      <c r="HS62" s="243"/>
      <c r="HT62" s="243"/>
      <c r="HU62" s="242"/>
      <c r="HV62" s="242"/>
      <c r="HW62" s="242"/>
      <c r="HX62" s="242"/>
      <c r="HY62" s="242"/>
      <c r="HZ62" s="242"/>
      <c r="IA62" s="242"/>
      <c r="IB62" s="243"/>
      <c r="IC62" s="243"/>
      <c r="ID62" s="243"/>
      <c r="IE62" s="243"/>
      <c r="IF62" s="243"/>
      <c r="IG62" s="243"/>
      <c r="IH62" s="243"/>
      <c r="II62" s="242"/>
      <c r="IJ62" s="242"/>
      <c r="IK62" s="242"/>
      <c r="IL62" s="242"/>
      <c r="IM62" s="242"/>
      <c r="IN62" s="242"/>
      <c r="IO62" s="242"/>
      <c r="IP62" s="243"/>
      <c r="IQ62" s="243"/>
      <c r="IR62" s="243"/>
      <c r="IS62" s="243"/>
      <c r="IT62" s="243"/>
      <c r="IU62" s="243"/>
      <c r="IV62" s="243"/>
      <c r="IW62" s="242"/>
      <c r="IX62" s="242"/>
      <c r="IY62" s="242"/>
      <c r="IZ62" s="242"/>
      <c r="JA62" s="242"/>
      <c r="JB62" s="242"/>
      <c r="JC62" s="242"/>
      <c r="JD62" s="243"/>
      <c r="JE62" s="243"/>
      <c r="JF62" s="243"/>
      <c r="JG62" s="243"/>
      <c r="JH62" s="243"/>
      <c r="JI62" s="243"/>
      <c r="JJ62" s="243"/>
      <c r="JK62" s="242"/>
      <c r="JL62" s="242"/>
      <c r="JM62" s="242"/>
      <c r="JN62" s="242"/>
      <c r="JO62" s="242"/>
      <c r="JP62" s="242"/>
      <c r="JQ62" s="242"/>
      <c r="JR62" s="243"/>
      <c r="JS62" s="243"/>
      <c r="JT62" s="243"/>
      <c r="JU62" s="243"/>
      <c r="JV62" s="243"/>
      <c r="JW62" s="243"/>
      <c r="JX62" s="243"/>
      <c r="JY62" s="242"/>
      <c r="JZ62" s="242"/>
      <c r="KA62" s="242"/>
      <c r="KB62" s="242"/>
      <c r="KC62" s="242"/>
      <c r="KD62" s="242"/>
      <c r="KE62" s="242"/>
      <c r="KF62" s="243"/>
      <c r="KG62" s="243"/>
      <c r="KH62" s="243"/>
      <c r="KI62" s="243"/>
      <c r="KJ62" s="243"/>
      <c r="KK62" s="243"/>
      <c r="KL62" s="243"/>
      <c r="KM62" s="242"/>
      <c r="KN62" s="242"/>
      <c r="KO62" s="242"/>
      <c r="KP62" s="242"/>
      <c r="KQ62" s="242"/>
      <c r="KR62" s="242"/>
      <c r="KS62" s="242"/>
      <c r="KT62" s="243"/>
      <c r="KU62" s="243"/>
      <c r="KV62" s="243"/>
      <c r="KW62" s="243"/>
      <c r="KX62" s="243"/>
      <c r="KY62" s="243"/>
      <c r="KZ62" s="243"/>
      <c r="LA62" s="242"/>
      <c r="LB62" s="242"/>
      <c r="LC62" s="242"/>
      <c r="LD62" s="242"/>
      <c r="LE62" s="242"/>
      <c r="LF62" s="242"/>
      <c r="LG62" s="242"/>
      <c r="LH62" s="243"/>
      <c r="LI62" s="243"/>
      <c r="LJ62" s="243"/>
      <c r="LK62" s="243"/>
      <c r="LL62" s="243"/>
      <c r="LM62" s="243"/>
      <c r="LN62" s="243"/>
      <c r="LO62" s="242"/>
      <c r="LP62" s="242"/>
      <c r="LQ62" s="242"/>
      <c r="LR62" s="242"/>
      <c r="LS62" s="242"/>
      <c r="LT62" s="242"/>
      <c r="LU62" s="242"/>
      <c r="LV62" s="243"/>
      <c r="LW62" s="243"/>
      <c r="LX62" s="243"/>
      <c r="LY62" s="243"/>
      <c r="LZ62" s="243"/>
      <c r="MA62" s="243"/>
      <c r="MB62" s="243"/>
      <c r="MC62" s="242"/>
      <c r="MD62" s="242"/>
      <c r="ME62" s="242"/>
      <c r="MF62" s="242"/>
      <c r="MG62" s="242"/>
      <c r="MH62" s="242"/>
      <c r="MI62" s="242"/>
      <c r="MJ62" s="243"/>
      <c r="MK62" s="243"/>
      <c r="ML62" s="243"/>
      <c r="MM62" s="243"/>
      <c r="MN62" s="243"/>
      <c r="MO62" s="243"/>
      <c r="MP62" s="243"/>
      <c r="MQ62" s="242"/>
      <c r="MR62" s="242"/>
      <c r="MS62" s="242"/>
      <c r="MT62" s="242"/>
      <c r="MU62" s="242"/>
      <c r="MV62" s="242"/>
      <c r="MW62" s="242"/>
      <c r="MX62" s="243"/>
      <c r="MY62" s="243"/>
      <c r="MZ62" s="243"/>
      <c r="NA62" s="243"/>
      <c r="NB62" s="243"/>
      <c r="NC62" s="243"/>
      <c r="ND62" s="243"/>
      <c r="NE62" s="242"/>
      <c r="NF62" s="242"/>
      <c r="NG62" s="242"/>
      <c r="NH62" s="243"/>
    </row>
    <row r="63" spans="1:372">
      <c r="A63" s="254" t="s">
        <v>973</v>
      </c>
      <c r="B63" s="239" t="s">
        <v>362</v>
      </c>
      <c r="C63" s="240" t="s">
        <v>674</v>
      </c>
      <c r="D63" s="240" t="s">
        <v>982</v>
      </c>
      <c r="E63" s="241">
        <v>0</v>
      </c>
      <c r="F63" s="252">
        <v>0</v>
      </c>
      <c r="G63" s="242"/>
      <c r="H63" s="242"/>
      <c r="I63" s="242"/>
      <c r="J63" s="242"/>
      <c r="K63" s="242"/>
      <c r="L63" s="243"/>
      <c r="M63" s="243"/>
      <c r="N63" s="243"/>
      <c r="O63" s="243"/>
      <c r="P63" s="243"/>
      <c r="Q63" s="243"/>
      <c r="R63" s="243"/>
      <c r="S63" s="242"/>
      <c r="T63" s="242"/>
      <c r="U63" s="242"/>
      <c r="V63" s="242"/>
      <c r="W63" s="242"/>
      <c r="X63" s="242"/>
      <c r="Y63" s="242"/>
      <c r="Z63" s="243"/>
      <c r="AA63" s="243"/>
      <c r="AB63" s="243"/>
      <c r="AC63" s="243"/>
      <c r="AD63" s="243"/>
      <c r="AE63" s="243"/>
      <c r="AF63" s="243"/>
      <c r="AG63" s="242"/>
      <c r="AH63" s="242"/>
      <c r="AI63" s="242"/>
      <c r="AJ63" s="242"/>
      <c r="AK63" s="242"/>
      <c r="AL63" s="242"/>
      <c r="AM63" s="242"/>
      <c r="AN63" s="243"/>
      <c r="AO63" s="243"/>
      <c r="AP63" s="243"/>
      <c r="AQ63" s="243"/>
      <c r="AR63" s="243"/>
      <c r="AS63" s="243"/>
      <c r="AT63" s="243"/>
      <c r="AU63" s="242"/>
      <c r="AV63" s="242"/>
      <c r="AW63" s="242"/>
      <c r="AX63" s="242"/>
      <c r="AY63" s="242"/>
      <c r="AZ63" s="242"/>
      <c r="BA63" s="242"/>
      <c r="BB63" s="243"/>
      <c r="BC63" s="243"/>
      <c r="BD63" s="243"/>
      <c r="BE63" s="243"/>
      <c r="BF63" s="243"/>
      <c r="BG63" s="243"/>
      <c r="BH63" s="243"/>
      <c r="BI63" s="242"/>
      <c r="BJ63" s="242"/>
      <c r="BK63" s="242"/>
      <c r="BL63" s="242"/>
      <c r="BM63" s="242"/>
      <c r="BN63" s="242"/>
      <c r="BO63" s="242"/>
      <c r="BP63" s="243"/>
      <c r="BQ63" s="243"/>
      <c r="BR63" s="243"/>
      <c r="BS63" s="243"/>
      <c r="BT63" s="243"/>
      <c r="BU63" s="243"/>
      <c r="BV63" s="243"/>
      <c r="BW63" s="242"/>
      <c r="BX63" s="242"/>
      <c r="BY63" s="242"/>
      <c r="BZ63" s="242"/>
      <c r="CA63" s="242"/>
      <c r="CB63" s="242"/>
      <c r="CC63" s="242"/>
      <c r="CD63" s="243"/>
      <c r="CE63" s="243"/>
      <c r="CF63" s="243"/>
      <c r="CG63" s="243"/>
      <c r="CH63" s="243"/>
      <c r="CI63" s="243"/>
      <c r="CJ63" s="243"/>
      <c r="CK63" s="242"/>
      <c r="CL63" s="242"/>
      <c r="CM63" s="242"/>
      <c r="CN63" s="242"/>
      <c r="CO63" s="242"/>
      <c r="CP63" s="242"/>
      <c r="CQ63" s="242"/>
      <c r="CR63" s="243"/>
      <c r="CS63" s="243"/>
      <c r="CT63" s="243"/>
      <c r="CU63" s="243"/>
      <c r="CV63" s="243"/>
      <c r="CW63" s="243"/>
      <c r="CX63" s="243"/>
      <c r="CY63" s="242"/>
      <c r="CZ63" s="242"/>
      <c r="DA63" s="242"/>
      <c r="DB63" s="242"/>
      <c r="DC63" s="242"/>
      <c r="DD63" s="242"/>
      <c r="DE63" s="242"/>
      <c r="DF63" s="243"/>
      <c r="DG63" s="243"/>
      <c r="DH63" s="243"/>
      <c r="DI63" s="243"/>
      <c r="DJ63" s="243"/>
      <c r="DK63" s="243"/>
      <c r="DL63" s="243"/>
      <c r="DM63" s="242"/>
      <c r="DN63" s="242"/>
      <c r="DO63" s="242"/>
      <c r="DP63" s="242"/>
      <c r="DQ63" s="242"/>
      <c r="DR63" s="242"/>
      <c r="DS63" s="242"/>
      <c r="DT63" s="243"/>
      <c r="DU63" s="243"/>
      <c r="DV63" s="243"/>
      <c r="DW63" s="243"/>
      <c r="DX63" s="243"/>
      <c r="DY63" s="243"/>
      <c r="DZ63" s="243"/>
      <c r="EA63" s="242"/>
      <c r="EB63" s="242"/>
      <c r="EC63" s="242"/>
      <c r="ED63" s="242"/>
      <c r="EE63" s="242"/>
      <c r="EF63" s="242"/>
      <c r="EG63" s="242"/>
      <c r="EH63" s="243"/>
      <c r="EI63" s="243"/>
      <c r="EJ63" s="243"/>
      <c r="EK63" s="243"/>
      <c r="EL63" s="243"/>
      <c r="EM63" s="243"/>
      <c r="EN63" s="243"/>
      <c r="EO63" s="242"/>
      <c r="EP63" s="242"/>
      <c r="EQ63" s="242"/>
      <c r="ER63" s="242"/>
      <c r="ES63" s="242"/>
      <c r="ET63" s="242"/>
      <c r="EU63" s="242"/>
      <c r="EV63" s="243"/>
      <c r="EW63" s="243"/>
      <c r="EX63" s="243"/>
      <c r="EY63" s="243"/>
      <c r="EZ63" s="243"/>
      <c r="FA63" s="243"/>
      <c r="FB63" s="243"/>
      <c r="FC63" s="242"/>
      <c r="FD63" s="242"/>
      <c r="FE63" s="242"/>
      <c r="FF63" s="242"/>
      <c r="FG63" s="242"/>
      <c r="FH63" s="242"/>
      <c r="FI63" s="242"/>
      <c r="FJ63" s="243"/>
      <c r="FK63" s="243"/>
      <c r="FL63" s="243"/>
      <c r="FM63" s="243"/>
      <c r="FN63" s="243"/>
      <c r="FO63" s="243"/>
      <c r="FP63" s="243"/>
      <c r="FQ63" s="242"/>
      <c r="FR63" s="242"/>
      <c r="FS63" s="242"/>
      <c r="FT63" s="242"/>
      <c r="FU63" s="242"/>
      <c r="FV63" s="242"/>
      <c r="FW63" s="242"/>
      <c r="FX63" s="243"/>
      <c r="FY63" s="243"/>
      <c r="FZ63" s="243"/>
      <c r="GA63" s="243"/>
      <c r="GB63" s="243"/>
      <c r="GC63" s="243"/>
      <c r="GD63" s="243"/>
      <c r="GE63" s="242"/>
      <c r="GF63" s="242"/>
      <c r="GG63" s="242"/>
      <c r="GH63" s="242"/>
      <c r="GI63" s="242"/>
      <c r="GJ63" s="242"/>
      <c r="GK63" s="242"/>
      <c r="GL63" s="243"/>
      <c r="GM63" s="243"/>
      <c r="GN63" s="243"/>
      <c r="GO63" s="243"/>
      <c r="GP63" s="243"/>
      <c r="GQ63" s="243"/>
      <c r="GR63" s="243"/>
      <c r="GS63" s="242"/>
      <c r="GT63" s="242"/>
      <c r="GU63" s="242"/>
      <c r="GV63" s="242"/>
      <c r="GW63" s="242"/>
      <c r="GX63" s="242"/>
      <c r="GY63" s="242"/>
      <c r="GZ63" s="243"/>
      <c r="HA63" s="243"/>
      <c r="HB63" s="243"/>
      <c r="HC63" s="243"/>
      <c r="HD63" s="243"/>
      <c r="HE63" s="243"/>
      <c r="HF63" s="243"/>
      <c r="HG63" s="242"/>
      <c r="HH63" s="242"/>
      <c r="HI63" s="242"/>
      <c r="HJ63" s="242"/>
      <c r="HK63" s="242"/>
      <c r="HL63" s="242"/>
      <c r="HM63" s="242"/>
      <c r="HN63" s="243"/>
      <c r="HO63" s="243"/>
      <c r="HP63" s="243"/>
      <c r="HQ63" s="243"/>
      <c r="HR63" s="243"/>
      <c r="HS63" s="243"/>
      <c r="HT63" s="243"/>
      <c r="HU63" s="242"/>
      <c r="HV63" s="242"/>
      <c r="HW63" s="242"/>
      <c r="HX63" s="242"/>
      <c r="HY63" s="242"/>
      <c r="HZ63" s="242"/>
      <c r="IA63" s="242"/>
      <c r="IB63" s="243"/>
      <c r="IC63" s="243"/>
      <c r="ID63" s="243"/>
      <c r="IE63" s="243"/>
      <c r="IF63" s="243"/>
      <c r="IG63" s="243"/>
      <c r="IH63" s="243"/>
      <c r="II63" s="242"/>
      <c r="IJ63" s="242"/>
      <c r="IK63" s="242"/>
      <c r="IL63" s="242"/>
      <c r="IM63" s="242"/>
      <c r="IN63" s="242"/>
      <c r="IO63" s="242"/>
      <c r="IP63" s="243"/>
      <c r="IQ63" s="243"/>
      <c r="IR63" s="243"/>
      <c r="IS63" s="243"/>
      <c r="IT63" s="243"/>
      <c r="IU63" s="243"/>
      <c r="IV63" s="243"/>
      <c r="IW63" s="242"/>
      <c r="IX63" s="242"/>
      <c r="IY63" s="242"/>
      <c r="IZ63" s="242"/>
      <c r="JA63" s="242"/>
      <c r="JB63" s="242"/>
      <c r="JC63" s="242"/>
      <c r="JD63" s="243"/>
      <c r="JE63" s="243"/>
      <c r="JF63" s="243"/>
      <c r="JG63" s="243"/>
      <c r="JH63" s="243"/>
      <c r="JI63" s="243"/>
      <c r="JJ63" s="243"/>
      <c r="JK63" s="242"/>
      <c r="JL63" s="242"/>
      <c r="JM63" s="242"/>
      <c r="JN63" s="242"/>
      <c r="JO63" s="242"/>
      <c r="JP63" s="242"/>
      <c r="JQ63" s="242"/>
      <c r="JR63" s="243"/>
      <c r="JS63" s="243"/>
      <c r="JT63" s="243"/>
      <c r="JU63" s="243"/>
      <c r="JV63" s="243"/>
      <c r="JW63" s="243"/>
      <c r="JX63" s="243"/>
      <c r="JY63" s="242"/>
      <c r="JZ63" s="242"/>
      <c r="KA63" s="242"/>
      <c r="KB63" s="242"/>
      <c r="KC63" s="242"/>
      <c r="KD63" s="242"/>
      <c r="KE63" s="242"/>
      <c r="KF63" s="243"/>
      <c r="KG63" s="243"/>
      <c r="KH63" s="243"/>
      <c r="KI63" s="243"/>
      <c r="KJ63" s="243"/>
      <c r="KK63" s="243"/>
      <c r="KL63" s="243"/>
      <c r="KM63" s="242"/>
      <c r="KN63" s="242"/>
      <c r="KO63" s="242"/>
      <c r="KP63" s="242"/>
      <c r="KQ63" s="242"/>
      <c r="KR63" s="242"/>
      <c r="KS63" s="242"/>
      <c r="KT63" s="243"/>
      <c r="KU63" s="243"/>
      <c r="KV63" s="243"/>
      <c r="KW63" s="243"/>
      <c r="KX63" s="243"/>
      <c r="KY63" s="243"/>
      <c r="KZ63" s="243"/>
      <c r="LA63" s="242"/>
      <c r="LB63" s="242"/>
      <c r="LC63" s="242"/>
      <c r="LD63" s="242"/>
      <c r="LE63" s="242"/>
      <c r="LF63" s="242"/>
      <c r="LG63" s="242"/>
      <c r="LH63" s="243"/>
      <c r="LI63" s="243"/>
      <c r="LJ63" s="243"/>
      <c r="LK63" s="243"/>
      <c r="LL63" s="243"/>
      <c r="LM63" s="243"/>
      <c r="LN63" s="243"/>
      <c r="LO63" s="242"/>
      <c r="LP63" s="242"/>
      <c r="LQ63" s="242"/>
      <c r="LR63" s="242"/>
      <c r="LS63" s="242"/>
      <c r="LT63" s="242"/>
      <c r="LU63" s="242"/>
      <c r="LV63" s="243"/>
      <c r="LW63" s="243"/>
      <c r="LX63" s="243"/>
      <c r="LY63" s="243"/>
      <c r="LZ63" s="243"/>
      <c r="MA63" s="243"/>
      <c r="MB63" s="243"/>
      <c r="MC63" s="242"/>
      <c r="MD63" s="242"/>
      <c r="ME63" s="242"/>
      <c r="MF63" s="242"/>
      <c r="MG63" s="242"/>
      <c r="MH63" s="242"/>
      <c r="MI63" s="242"/>
      <c r="MJ63" s="243"/>
      <c r="MK63" s="243"/>
      <c r="ML63" s="243"/>
      <c r="MM63" s="243"/>
      <c r="MN63" s="243"/>
      <c r="MO63" s="243"/>
      <c r="MP63" s="243"/>
      <c r="MQ63" s="242"/>
      <c r="MR63" s="242"/>
      <c r="MS63" s="242"/>
      <c r="MT63" s="242"/>
      <c r="MU63" s="242"/>
      <c r="MV63" s="242"/>
      <c r="MW63" s="242"/>
      <c r="MX63" s="243"/>
      <c r="MY63" s="243"/>
      <c r="MZ63" s="243"/>
      <c r="NA63" s="243"/>
      <c r="NB63" s="243"/>
      <c r="NC63" s="243"/>
      <c r="ND63" s="243"/>
      <c r="NE63" s="242"/>
      <c r="NF63" s="242"/>
      <c r="NG63" s="242"/>
      <c r="NH63" s="243"/>
    </row>
    <row r="64" spans="1:372">
      <c r="A64" s="254" t="s">
        <v>973</v>
      </c>
      <c r="B64" s="239" t="s">
        <v>363</v>
      </c>
      <c r="C64" s="240" t="s">
        <v>674</v>
      </c>
      <c r="D64" s="240" t="s">
        <v>982</v>
      </c>
      <c r="E64" s="241">
        <v>0</v>
      </c>
      <c r="F64" s="252">
        <v>0</v>
      </c>
      <c r="G64" s="242"/>
      <c r="H64" s="242"/>
      <c r="I64" s="242"/>
      <c r="J64" s="242"/>
      <c r="K64" s="242"/>
      <c r="L64" s="243"/>
      <c r="M64" s="243"/>
      <c r="N64" s="243"/>
      <c r="O64" s="243"/>
      <c r="P64" s="243"/>
      <c r="Q64" s="243"/>
      <c r="R64" s="243"/>
      <c r="S64" s="242"/>
      <c r="T64" s="242"/>
      <c r="U64" s="242"/>
      <c r="V64" s="242"/>
      <c r="W64" s="242"/>
      <c r="X64" s="242"/>
      <c r="Y64" s="242"/>
      <c r="Z64" s="243"/>
      <c r="AA64" s="243"/>
      <c r="AB64" s="243"/>
      <c r="AC64" s="243"/>
      <c r="AD64" s="243"/>
      <c r="AE64" s="243"/>
      <c r="AF64" s="243"/>
      <c r="AG64" s="242"/>
      <c r="AH64" s="242"/>
      <c r="AI64" s="242"/>
      <c r="AJ64" s="242"/>
      <c r="AK64" s="242"/>
      <c r="AL64" s="242"/>
      <c r="AM64" s="242"/>
      <c r="AN64" s="243"/>
      <c r="AO64" s="243"/>
      <c r="AP64" s="243"/>
      <c r="AQ64" s="243"/>
      <c r="AR64" s="243"/>
      <c r="AS64" s="243"/>
      <c r="AT64" s="243"/>
      <c r="AU64" s="242"/>
      <c r="AV64" s="242"/>
      <c r="AW64" s="242"/>
      <c r="AX64" s="242"/>
      <c r="AY64" s="242"/>
      <c r="AZ64" s="242"/>
      <c r="BA64" s="242"/>
      <c r="BB64" s="243"/>
      <c r="BC64" s="243"/>
      <c r="BD64" s="243"/>
      <c r="BE64" s="243"/>
      <c r="BF64" s="243"/>
      <c r="BG64" s="243"/>
      <c r="BH64" s="243"/>
      <c r="BI64" s="242"/>
      <c r="BJ64" s="242"/>
      <c r="BK64" s="242"/>
      <c r="BL64" s="242"/>
      <c r="BM64" s="242"/>
      <c r="BN64" s="242"/>
      <c r="BO64" s="242"/>
      <c r="BP64" s="243"/>
      <c r="BQ64" s="243"/>
      <c r="BR64" s="243"/>
      <c r="BS64" s="243"/>
      <c r="BT64" s="243"/>
      <c r="BU64" s="243"/>
      <c r="BV64" s="243"/>
      <c r="BW64" s="242"/>
      <c r="BX64" s="242"/>
      <c r="BY64" s="242"/>
      <c r="BZ64" s="242"/>
      <c r="CA64" s="242"/>
      <c r="CB64" s="242"/>
      <c r="CC64" s="242"/>
      <c r="CD64" s="243"/>
      <c r="CE64" s="243"/>
      <c r="CF64" s="243"/>
      <c r="CG64" s="243"/>
      <c r="CH64" s="243"/>
      <c r="CI64" s="243"/>
      <c r="CJ64" s="243"/>
      <c r="CK64" s="242"/>
      <c r="CL64" s="242"/>
      <c r="CM64" s="242"/>
      <c r="CN64" s="242"/>
      <c r="CO64" s="242"/>
      <c r="CP64" s="242"/>
      <c r="CQ64" s="242"/>
      <c r="CR64" s="243"/>
      <c r="CS64" s="243"/>
      <c r="CT64" s="243"/>
      <c r="CU64" s="243"/>
      <c r="CV64" s="243"/>
      <c r="CW64" s="243"/>
      <c r="CX64" s="243"/>
      <c r="CY64" s="242"/>
      <c r="CZ64" s="242"/>
      <c r="DA64" s="242"/>
      <c r="DB64" s="242"/>
      <c r="DC64" s="242"/>
      <c r="DD64" s="242"/>
      <c r="DE64" s="242"/>
      <c r="DF64" s="243"/>
      <c r="DG64" s="243"/>
      <c r="DH64" s="243"/>
      <c r="DI64" s="243"/>
      <c r="DJ64" s="243"/>
      <c r="DK64" s="243"/>
      <c r="DL64" s="243"/>
      <c r="DM64" s="242"/>
      <c r="DN64" s="242"/>
      <c r="DO64" s="242"/>
      <c r="DP64" s="242"/>
      <c r="DQ64" s="242"/>
      <c r="DR64" s="242"/>
      <c r="DS64" s="242"/>
      <c r="DT64" s="243"/>
      <c r="DU64" s="243"/>
      <c r="DV64" s="243"/>
      <c r="DW64" s="243"/>
      <c r="DX64" s="243"/>
      <c r="DY64" s="243"/>
      <c r="DZ64" s="243"/>
      <c r="EA64" s="242"/>
      <c r="EB64" s="242"/>
      <c r="EC64" s="242"/>
      <c r="ED64" s="242"/>
      <c r="EE64" s="242"/>
      <c r="EF64" s="242"/>
      <c r="EG64" s="242"/>
      <c r="EH64" s="243"/>
      <c r="EI64" s="243"/>
      <c r="EJ64" s="243"/>
      <c r="EK64" s="243"/>
      <c r="EL64" s="243"/>
      <c r="EM64" s="243"/>
      <c r="EN64" s="243"/>
      <c r="EO64" s="242"/>
      <c r="EP64" s="242"/>
      <c r="EQ64" s="242"/>
      <c r="ER64" s="242"/>
      <c r="ES64" s="242"/>
      <c r="ET64" s="242"/>
      <c r="EU64" s="242"/>
      <c r="EV64" s="243"/>
      <c r="EW64" s="243"/>
      <c r="EX64" s="243"/>
      <c r="EY64" s="243"/>
      <c r="EZ64" s="243"/>
      <c r="FA64" s="243"/>
      <c r="FB64" s="243"/>
      <c r="FC64" s="242"/>
      <c r="FD64" s="242"/>
      <c r="FE64" s="242"/>
      <c r="FF64" s="242"/>
      <c r="FG64" s="242"/>
      <c r="FH64" s="242"/>
      <c r="FI64" s="242"/>
      <c r="FJ64" s="243"/>
      <c r="FK64" s="243"/>
      <c r="FL64" s="243"/>
      <c r="FM64" s="243"/>
      <c r="FN64" s="243"/>
      <c r="FO64" s="243"/>
      <c r="FP64" s="243"/>
      <c r="FQ64" s="242"/>
      <c r="FR64" s="242"/>
      <c r="FS64" s="242"/>
      <c r="FT64" s="242"/>
      <c r="FU64" s="242"/>
      <c r="FV64" s="242"/>
      <c r="FW64" s="242"/>
      <c r="FX64" s="243"/>
      <c r="FY64" s="243"/>
      <c r="FZ64" s="243"/>
      <c r="GA64" s="243"/>
      <c r="GB64" s="243"/>
      <c r="GC64" s="243"/>
      <c r="GD64" s="243"/>
      <c r="GE64" s="242"/>
      <c r="GF64" s="242"/>
      <c r="GG64" s="242"/>
      <c r="GH64" s="242"/>
      <c r="GI64" s="242"/>
      <c r="GJ64" s="242"/>
      <c r="GK64" s="242"/>
      <c r="GL64" s="243"/>
      <c r="GM64" s="243"/>
      <c r="GN64" s="243"/>
      <c r="GO64" s="243"/>
      <c r="GP64" s="243"/>
      <c r="GQ64" s="243"/>
      <c r="GR64" s="243"/>
      <c r="GS64" s="242"/>
      <c r="GT64" s="242"/>
      <c r="GU64" s="242"/>
      <c r="GV64" s="242"/>
      <c r="GW64" s="242"/>
      <c r="GX64" s="242"/>
      <c r="GY64" s="242"/>
      <c r="GZ64" s="243"/>
      <c r="HA64" s="243"/>
      <c r="HB64" s="243"/>
      <c r="HC64" s="243"/>
      <c r="HD64" s="243"/>
      <c r="HE64" s="243"/>
      <c r="HF64" s="243"/>
      <c r="HG64" s="242"/>
      <c r="HH64" s="242"/>
      <c r="HI64" s="242"/>
      <c r="HJ64" s="242"/>
      <c r="HK64" s="242"/>
      <c r="HL64" s="242"/>
      <c r="HM64" s="242"/>
      <c r="HN64" s="243"/>
      <c r="HO64" s="243"/>
      <c r="HP64" s="243"/>
      <c r="HQ64" s="243"/>
      <c r="HR64" s="243"/>
      <c r="HS64" s="243"/>
      <c r="HT64" s="243"/>
      <c r="HU64" s="242"/>
      <c r="HV64" s="242"/>
      <c r="HW64" s="242"/>
      <c r="HX64" s="242"/>
      <c r="HY64" s="242"/>
      <c r="HZ64" s="242"/>
      <c r="IA64" s="242"/>
      <c r="IB64" s="243"/>
      <c r="IC64" s="243"/>
      <c r="ID64" s="243"/>
      <c r="IE64" s="243"/>
      <c r="IF64" s="243"/>
      <c r="IG64" s="243"/>
      <c r="IH64" s="243"/>
      <c r="II64" s="242"/>
      <c r="IJ64" s="242"/>
      <c r="IK64" s="242"/>
      <c r="IL64" s="242"/>
      <c r="IM64" s="242"/>
      <c r="IN64" s="242"/>
      <c r="IO64" s="242"/>
      <c r="IP64" s="243"/>
      <c r="IQ64" s="243"/>
      <c r="IR64" s="243"/>
      <c r="IS64" s="243"/>
      <c r="IT64" s="243"/>
      <c r="IU64" s="243"/>
      <c r="IV64" s="243"/>
      <c r="IW64" s="242"/>
      <c r="IX64" s="242"/>
      <c r="IY64" s="242"/>
      <c r="IZ64" s="242"/>
      <c r="JA64" s="242"/>
      <c r="JB64" s="242"/>
      <c r="JC64" s="242"/>
      <c r="JD64" s="243"/>
      <c r="JE64" s="243"/>
      <c r="JF64" s="243"/>
      <c r="JG64" s="243"/>
      <c r="JH64" s="243"/>
      <c r="JI64" s="243"/>
      <c r="JJ64" s="243"/>
      <c r="JK64" s="242"/>
      <c r="JL64" s="242"/>
      <c r="JM64" s="242"/>
      <c r="JN64" s="242"/>
      <c r="JO64" s="242"/>
      <c r="JP64" s="242"/>
      <c r="JQ64" s="242"/>
      <c r="JR64" s="243"/>
      <c r="JS64" s="243"/>
      <c r="JT64" s="243"/>
      <c r="JU64" s="243"/>
      <c r="JV64" s="243"/>
      <c r="JW64" s="243"/>
      <c r="JX64" s="243"/>
      <c r="JY64" s="242"/>
      <c r="JZ64" s="242"/>
      <c r="KA64" s="242"/>
      <c r="KB64" s="242"/>
      <c r="KC64" s="242"/>
      <c r="KD64" s="242"/>
      <c r="KE64" s="242"/>
      <c r="KF64" s="243"/>
      <c r="KG64" s="243"/>
      <c r="KH64" s="243"/>
      <c r="KI64" s="243"/>
      <c r="KJ64" s="243"/>
      <c r="KK64" s="243"/>
      <c r="KL64" s="243"/>
      <c r="KM64" s="242"/>
      <c r="KN64" s="242"/>
      <c r="KO64" s="242"/>
      <c r="KP64" s="242"/>
      <c r="KQ64" s="242"/>
      <c r="KR64" s="242"/>
      <c r="KS64" s="242"/>
      <c r="KT64" s="243"/>
      <c r="KU64" s="243"/>
      <c r="KV64" s="243"/>
      <c r="KW64" s="243"/>
      <c r="KX64" s="243"/>
      <c r="KY64" s="243"/>
      <c r="KZ64" s="243"/>
      <c r="LA64" s="242"/>
      <c r="LB64" s="242"/>
      <c r="LC64" s="242"/>
      <c r="LD64" s="242"/>
      <c r="LE64" s="242"/>
      <c r="LF64" s="242"/>
      <c r="LG64" s="242"/>
      <c r="LH64" s="243"/>
      <c r="LI64" s="243"/>
      <c r="LJ64" s="243"/>
      <c r="LK64" s="243"/>
      <c r="LL64" s="243"/>
      <c r="LM64" s="243"/>
      <c r="LN64" s="243"/>
      <c r="LO64" s="242"/>
      <c r="LP64" s="242"/>
      <c r="LQ64" s="242"/>
      <c r="LR64" s="242"/>
      <c r="LS64" s="242"/>
      <c r="LT64" s="242"/>
      <c r="LU64" s="242"/>
      <c r="LV64" s="243"/>
      <c r="LW64" s="243"/>
      <c r="LX64" s="243"/>
      <c r="LY64" s="243"/>
      <c r="LZ64" s="243"/>
      <c r="MA64" s="243"/>
      <c r="MB64" s="243"/>
      <c r="MC64" s="242"/>
      <c r="MD64" s="242"/>
      <c r="ME64" s="242"/>
      <c r="MF64" s="242"/>
      <c r="MG64" s="242"/>
      <c r="MH64" s="242"/>
      <c r="MI64" s="242"/>
      <c r="MJ64" s="243"/>
      <c r="MK64" s="243"/>
      <c r="ML64" s="243"/>
      <c r="MM64" s="243"/>
      <c r="MN64" s="243"/>
      <c r="MO64" s="243"/>
      <c r="MP64" s="243"/>
      <c r="MQ64" s="242"/>
      <c r="MR64" s="242"/>
      <c r="MS64" s="242"/>
      <c r="MT64" s="242"/>
      <c r="MU64" s="242"/>
      <c r="MV64" s="242"/>
      <c r="MW64" s="242"/>
      <c r="MX64" s="243"/>
      <c r="MY64" s="243"/>
      <c r="MZ64" s="243"/>
      <c r="NA64" s="243"/>
      <c r="NB64" s="243"/>
      <c r="NC64" s="243"/>
      <c r="ND64" s="243"/>
      <c r="NE64" s="242"/>
      <c r="NF64" s="242"/>
      <c r="NG64" s="242"/>
      <c r="NH64" s="243"/>
    </row>
    <row r="65" spans="1:372">
      <c r="A65" s="254" t="s">
        <v>973</v>
      </c>
      <c r="B65" s="239" t="s">
        <v>364</v>
      </c>
      <c r="C65" s="240" t="s">
        <v>674</v>
      </c>
      <c r="D65" s="240" t="s">
        <v>982</v>
      </c>
      <c r="E65" s="241">
        <v>0</v>
      </c>
      <c r="F65" s="252">
        <v>0</v>
      </c>
      <c r="G65" s="242"/>
      <c r="H65" s="242"/>
      <c r="I65" s="242"/>
      <c r="J65" s="242"/>
      <c r="K65" s="242"/>
      <c r="L65" s="243"/>
      <c r="M65" s="243"/>
      <c r="N65" s="243"/>
      <c r="O65" s="243"/>
      <c r="P65" s="243"/>
      <c r="Q65" s="243"/>
      <c r="R65" s="243"/>
      <c r="S65" s="242"/>
      <c r="T65" s="242"/>
      <c r="U65" s="242"/>
      <c r="V65" s="242"/>
      <c r="W65" s="242"/>
      <c r="X65" s="242"/>
      <c r="Y65" s="242"/>
      <c r="Z65" s="243"/>
      <c r="AA65" s="243"/>
      <c r="AB65" s="243"/>
      <c r="AC65" s="243"/>
      <c r="AD65" s="243"/>
      <c r="AE65" s="243"/>
      <c r="AF65" s="243"/>
      <c r="AG65" s="242"/>
      <c r="AH65" s="242"/>
      <c r="AI65" s="242"/>
      <c r="AJ65" s="242"/>
      <c r="AK65" s="242"/>
      <c r="AL65" s="242"/>
      <c r="AM65" s="242"/>
      <c r="AN65" s="243"/>
      <c r="AO65" s="243"/>
      <c r="AP65" s="243"/>
      <c r="AQ65" s="243"/>
      <c r="AR65" s="243"/>
      <c r="AS65" s="243"/>
      <c r="AT65" s="243"/>
      <c r="AU65" s="242"/>
      <c r="AV65" s="242"/>
      <c r="AW65" s="242"/>
      <c r="AX65" s="242"/>
      <c r="AY65" s="242"/>
      <c r="AZ65" s="242"/>
      <c r="BA65" s="242"/>
      <c r="BB65" s="243"/>
      <c r="BC65" s="243"/>
      <c r="BD65" s="243"/>
      <c r="BE65" s="243"/>
      <c r="BF65" s="243"/>
      <c r="BG65" s="243"/>
      <c r="BH65" s="243"/>
      <c r="BI65" s="242"/>
      <c r="BJ65" s="242"/>
      <c r="BK65" s="242"/>
      <c r="BL65" s="242"/>
      <c r="BM65" s="242"/>
      <c r="BN65" s="242"/>
      <c r="BO65" s="242"/>
      <c r="BP65" s="243"/>
      <c r="BQ65" s="243"/>
      <c r="BR65" s="243"/>
      <c r="BS65" s="243"/>
      <c r="BT65" s="243"/>
      <c r="BU65" s="243"/>
      <c r="BV65" s="243"/>
      <c r="BW65" s="242"/>
      <c r="BX65" s="242"/>
      <c r="BY65" s="242"/>
      <c r="BZ65" s="242"/>
      <c r="CA65" s="242"/>
      <c r="CB65" s="242"/>
      <c r="CC65" s="242"/>
      <c r="CD65" s="243"/>
      <c r="CE65" s="243"/>
      <c r="CF65" s="243"/>
      <c r="CG65" s="243"/>
      <c r="CH65" s="243"/>
      <c r="CI65" s="243"/>
      <c r="CJ65" s="243"/>
      <c r="CK65" s="242"/>
      <c r="CL65" s="242"/>
      <c r="CM65" s="242"/>
      <c r="CN65" s="242"/>
      <c r="CO65" s="242"/>
      <c r="CP65" s="242"/>
      <c r="CQ65" s="242"/>
      <c r="CR65" s="243"/>
      <c r="CS65" s="243"/>
      <c r="CT65" s="243"/>
      <c r="CU65" s="243"/>
      <c r="CV65" s="243"/>
      <c r="CW65" s="243"/>
      <c r="CX65" s="243"/>
      <c r="CY65" s="242"/>
      <c r="CZ65" s="242"/>
      <c r="DA65" s="242"/>
      <c r="DB65" s="242"/>
      <c r="DC65" s="242"/>
      <c r="DD65" s="242"/>
      <c r="DE65" s="242"/>
      <c r="DF65" s="243"/>
      <c r="DG65" s="243"/>
      <c r="DH65" s="243"/>
      <c r="DI65" s="243"/>
      <c r="DJ65" s="243"/>
      <c r="DK65" s="243"/>
      <c r="DL65" s="243"/>
      <c r="DM65" s="242"/>
      <c r="DN65" s="242"/>
      <c r="DO65" s="242"/>
      <c r="DP65" s="242"/>
      <c r="DQ65" s="242"/>
      <c r="DR65" s="242"/>
      <c r="DS65" s="242"/>
      <c r="DT65" s="243"/>
      <c r="DU65" s="243"/>
      <c r="DV65" s="243"/>
      <c r="DW65" s="243"/>
      <c r="DX65" s="243"/>
      <c r="DY65" s="243"/>
      <c r="DZ65" s="243"/>
      <c r="EA65" s="242"/>
      <c r="EB65" s="242"/>
      <c r="EC65" s="242"/>
      <c r="ED65" s="242"/>
      <c r="EE65" s="242"/>
      <c r="EF65" s="242"/>
      <c r="EG65" s="242"/>
      <c r="EH65" s="243"/>
      <c r="EI65" s="243"/>
      <c r="EJ65" s="243"/>
      <c r="EK65" s="243"/>
      <c r="EL65" s="243"/>
      <c r="EM65" s="243"/>
      <c r="EN65" s="243"/>
      <c r="EO65" s="242"/>
      <c r="EP65" s="242"/>
      <c r="EQ65" s="242"/>
      <c r="ER65" s="242"/>
      <c r="ES65" s="242"/>
      <c r="ET65" s="242"/>
      <c r="EU65" s="242"/>
      <c r="EV65" s="243"/>
      <c r="EW65" s="243"/>
      <c r="EX65" s="243"/>
      <c r="EY65" s="243"/>
      <c r="EZ65" s="243"/>
      <c r="FA65" s="243"/>
      <c r="FB65" s="243"/>
      <c r="FC65" s="242"/>
      <c r="FD65" s="242"/>
      <c r="FE65" s="242"/>
      <c r="FF65" s="242"/>
      <c r="FG65" s="242"/>
      <c r="FH65" s="242"/>
      <c r="FI65" s="242"/>
      <c r="FJ65" s="243"/>
      <c r="FK65" s="243"/>
      <c r="FL65" s="243"/>
      <c r="FM65" s="243"/>
      <c r="FN65" s="243"/>
      <c r="FO65" s="243"/>
      <c r="FP65" s="243"/>
      <c r="FQ65" s="242"/>
      <c r="FR65" s="242"/>
      <c r="FS65" s="242"/>
      <c r="FT65" s="242"/>
      <c r="FU65" s="242"/>
      <c r="FV65" s="242"/>
      <c r="FW65" s="242"/>
      <c r="FX65" s="243"/>
      <c r="FY65" s="243"/>
      <c r="FZ65" s="243"/>
      <c r="GA65" s="243"/>
      <c r="GB65" s="243"/>
      <c r="GC65" s="243"/>
      <c r="GD65" s="243"/>
      <c r="GE65" s="242"/>
      <c r="GF65" s="242"/>
      <c r="GG65" s="242"/>
      <c r="GH65" s="242"/>
      <c r="GI65" s="242"/>
      <c r="GJ65" s="242"/>
      <c r="GK65" s="242"/>
      <c r="GL65" s="243"/>
      <c r="GM65" s="243"/>
      <c r="GN65" s="243"/>
      <c r="GO65" s="243"/>
      <c r="GP65" s="243"/>
      <c r="GQ65" s="243"/>
      <c r="GR65" s="243"/>
      <c r="GS65" s="242"/>
      <c r="GT65" s="242"/>
      <c r="GU65" s="242"/>
      <c r="GV65" s="242"/>
      <c r="GW65" s="242"/>
      <c r="GX65" s="242"/>
      <c r="GY65" s="242"/>
      <c r="GZ65" s="243"/>
      <c r="HA65" s="243"/>
      <c r="HB65" s="243"/>
      <c r="HC65" s="243"/>
      <c r="HD65" s="243"/>
      <c r="HE65" s="243"/>
      <c r="HF65" s="243"/>
      <c r="HG65" s="242"/>
      <c r="HH65" s="242"/>
      <c r="HI65" s="242"/>
      <c r="HJ65" s="242"/>
      <c r="HK65" s="242"/>
      <c r="HL65" s="242"/>
      <c r="HM65" s="242"/>
      <c r="HN65" s="243"/>
      <c r="HO65" s="243"/>
      <c r="HP65" s="243"/>
      <c r="HQ65" s="243"/>
      <c r="HR65" s="243"/>
      <c r="HS65" s="243"/>
      <c r="HT65" s="243"/>
      <c r="HU65" s="242"/>
      <c r="HV65" s="242"/>
      <c r="HW65" s="242"/>
      <c r="HX65" s="242"/>
      <c r="HY65" s="242"/>
      <c r="HZ65" s="242"/>
      <c r="IA65" s="242"/>
      <c r="IB65" s="243"/>
      <c r="IC65" s="243"/>
      <c r="ID65" s="243"/>
      <c r="IE65" s="243"/>
      <c r="IF65" s="243"/>
      <c r="IG65" s="243"/>
      <c r="IH65" s="243"/>
      <c r="II65" s="242"/>
      <c r="IJ65" s="242"/>
      <c r="IK65" s="242"/>
      <c r="IL65" s="242"/>
      <c r="IM65" s="242"/>
      <c r="IN65" s="242"/>
      <c r="IO65" s="242"/>
      <c r="IP65" s="243"/>
      <c r="IQ65" s="243"/>
      <c r="IR65" s="243"/>
      <c r="IS65" s="243"/>
      <c r="IT65" s="243"/>
      <c r="IU65" s="243"/>
      <c r="IV65" s="243"/>
      <c r="IW65" s="242"/>
      <c r="IX65" s="242"/>
      <c r="IY65" s="242"/>
      <c r="IZ65" s="242"/>
      <c r="JA65" s="242"/>
      <c r="JB65" s="242"/>
      <c r="JC65" s="242"/>
      <c r="JD65" s="243"/>
      <c r="JE65" s="243"/>
      <c r="JF65" s="243"/>
      <c r="JG65" s="243"/>
      <c r="JH65" s="243"/>
      <c r="JI65" s="243"/>
      <c r="JJ65" s="243"/>
      <c r="JK65" s="242"/>
      <c r="JL65" s="242"/>
      <c r="JM65" s="242"/>
      <c r="JN65" s="242"/>
      <c r="JO65" s="242"/>
      <c r="JP65" s="242"/>
      <c r="JQ65" s="242"/>
      <c r="JR65" s="243"/>
      <c r="JS65" s="243"/>
      <c r="JT65" s="243"/>
      <c r="JU65" s="243"/>
      <c r="JV65" s="243"/>
      <c r="JW65" s="243"/>
      <c r="JX65" s="243"/>
      <c r="JY65" s="242"/>
      <c r="JZ65" s="242"/>
      <c r="KA65" s="242"/>
      <c r="KB65" s="242"/>
      <c r="KC65" s="242"/>
      <c r="KD65" s="242"/>
      <c r="KE65" s="242"/>
      <c r="KF65" s="243"/>
      <c r="KG65" s="243"/>
      <c r="KH65" s="243"/>
      <c r="KI65" s="243"/>
      <c r="KJ65" s="243"/>
      <c r="KK65" s="243"/>
      <c r="KL65" s="243"/>
      <c r="KM65" s="242"/>
      <c r="KN65" s="242"/>
      <c r="KO65" s="242"/>
      <c r="KP65" s="242"/>
      <c r="KQ65" s="242"/>
      <c r="KR65" s="242"/>
      <c r="KS65" s="242"/>
      <c r="KT65" s="243"/>
      <c r="KU65" s="243"/>
      <c r="KV65" s="243"/>
      <c r="KW65" s="243"/>
      <c r="KX65" s="243"/>
      <c r="KY65" s="243"/>
      <c r="KZ65" s="243"/>
      <c r="LA65" s="242"/>
      <c r="LB65" s="242"/>
      <c r="LC65" s="242"/>
      <c r="LD65" s="242"/>
      <c r="LE65" s="242"/>
      <c r="LF65" s="242"/>
      <c r="LG65" s="242"/>
      <c r="LH65" s="243"/>
      <c r="LI65" s="243"/>
      <c r="LJ65" s="243"/>
      <c r="LK65" s="243"/>
      <c r="LL65" s="243"/>
      <c r="LM65" s="243"/>
      <c r="LN65" s="243"/>
      <c r="LO65" s="242"/>
      <c r="LP65" s="242"/>
      <c r="LQ65" s="242"/>
      <c r="LR65" s="242"/>
      <c r="LS65" s="242"/>
      <c r="LT65" s="242"/>
      <c r="LU65" s="242"/>
      <c r="LV65" s="243"/>
      <c r="LW65" s="243"/>
      <c r="LX65" s="243"/>
      <c r="LY65" s="243"/>
      <c r="LZ65" s="243"/>
      <c r="MA65" s="243"/>
      <c r="MB65" s="243"/>
      <c r="MC65" s="242"/>
      <c r="MD65" s="242"/>
      <c r="ME65" s="242"/>
      <c r="MF65" s="242"/>
      <c r="MG65" s="242"/>
      <c r="MH65" s="242"/>
      <c r="MI65" s="242"/>
      <c r="MJ65" s="243"/>
      <c r="MK65" s="243"/>
      <c r="ML65" s="243"/>
      <c r="MM65" s="243"/>
      <c r="MN65" s="243"/>
      <c r="MO65" s="243"/>
      <c r="MP65" s="243"/>
      <c r="MQ65" s="242"/>
      <c r="MR65" s="242"/>
      <c r="MS65" s="242"/>
      <c r="MT65" s="242"/>
      <c r="MU65" s="242"/>
      <c r="MV65" s="242"/>
      <c r="MW65" s="242"/>
      <c r="MX65" s="243"/>
      <c r="MY65" s="243"/>
      <c r="MZ65" s="243"/>
      <c r="NA65" s="243"/>
      <c r="NB65" s="243"/>
      <c r="NC65" s="243"/>
      <c r="ND65" s="243"/>
      <c r="NE65" s="242"/>
      <c r="NF65" s="242"/>
      <c r="NG65" s="242"/>
      <c r="NH65" s="243"/>
    </row>
    <row r="66" spans="1:372">
      <c r="A66" s="254" t="s">
        <v>973</v>
      </c>
      <c r="B66" s="239" t="s">
        <v>592</v>
      </c>
      <c r="C66" s="240" t="s">
        <v>674</v>
      </c>
      <c r="D66" s="240" t="s">
        <v>982</v>
      </c>
      <c r="E66" s="241">
        <v>0</v>
      </c>
      <c r="F66" s="252">
        <v>0</v>
      </c>
      <c r="G66" s="242"/>
      <c r="H66" s="242"/>
      <c r="I66" s="242"/>
      <c r="J66" s="242"/>
      <c r="K66" s="242"/>
      <c r="L66" s="243"/>
      <c r="M66" s="243"/>
      <c r="N66" s="243"/>
      <c r="O66" s="243"/>
      <c r="P66" s="243"/>
      <c r="Q66" s="243"/>
      <c r="R66" s="243"/>
      <c r="S66" s="242"/>
      <c r="T66" s="242"/>
      <c r="U66" s="242"/>
      <c r="V66" s="242"/>
      <c r="W66" s="242"/>
      <c r="X66" s="242"/>
      <c r="Y66" s="242"/>
      <c r="Z66" s="243"/>
      <c r="AA66" s="243"/>
      <c r="AB66" s="243"/>
      <c r="AC66" s="243"/>
      <c r="AD66" s="243"/>
      <c r="AE66" s="243"/>
      <c r="AF66" s="243"/>
      <c r="AG66" s="242"/>
      <c r="AH66" s="242"/>
      <c r="AI66" s="242"/>
      <c r="AJ66" s="242"/>
      <c r="AK66" s="242"/>
      <c r="AL66" s="242"/>
      <c r="AM66" s="242"/>
      <c r="AN66" s="243"/>
      <c r="AO66" s="243"/>
      <c r="AP66" s="243"/>
      <c r="AQ66" s="243"/>
      <c r="AR66" s="243"/>
      <c r="AS66" s="243"/>
      <c r="AT66" s="243"/>
      <c r="AU66" s="242"/>
      <c r="AV66" s="242"/>
      <c r="AW66" s="242"/>
      <c r="AX66" s="242"/>
      <c r="AY66" s="242"/>
      <c r="AZ66" s="242"/>
      <c r="BA66" s="242"/>
      <c r="BB66" s="243"/>
      <c r="BC66" s="243"/>
      <c r="BD66" s="243"/>
      <c r="BE66" s="243"/>
      <c r="BF66" s="243"/>
      <c r="BG66" s="243"/>
      <c r="BH66" s="243"/>
      <c r="BI66" s="242"/>
      <c r="BJ66" s="242"/>
      <c r="BK66" s="242"/>
      <c r="BL66" s="242"/>
      <c r="BM66" s="242"/>
      <c r="BN66" s="242"/>
      <c r="BO66" s="242"/>
      <c r="BP66" s="243"/>
      <c r="BQ66" s="243"/>
      <c r="BR66" s="243"/>
      <c r="BS66" s="243"/>
      <c r="BT66" s="243"/>
      <c r="BU66" s="243"/>
      <c r="BV66" s="243"/>
      <c r="BW66" s="242"/>
      <c r="BX66" s="242"/>
      <c r="BY66" s="242"/>
      <c r="BZ66" s="242"/>
      <c r="CA66" s="242"/>
      <c r="CB66" s="242"/>
      <c r="CC66" s="242"/>
      <c r="CD66" s="243"/>
      <c r="CE66" s="243"/>
      <c r="CF66" s="243"/>
      <c r="CG66" s="243"/>
      <c r="CH66" s="243"/>
      <c r="CI66" s="243"/>
      <c r="CJ66" s="243"/>
      <c r="CK66" s="242"/>
      <c r="CL66" s="242"/>
      <c r="CM66" s="242"/>
      <c r="CN66" s="242"/>
      <c r="CO66" s="242"/>
      <c r="CP66" s="242"/>
      <c r="CQ66" s="242"/>
      <c r="CR66" s="243"/>
      <c r="CS66" s="243"/>
      <c r="CT66" s="243"/>
      <c r="CU66" s="243"/>
      <c r="CV66" s="243"/>
      <c r="CW66" s="243"/>
      <c r="CX66" s="243"/>
      <c r="CY66" s="242"/>
      <c r="CZ66" s="242"/>
      <c r="DA66" s="242"/>
      <c r="DB66" s="242"/>
      <c r="DC66" s="242"/>
      <c r="DD66" s="242"/>
      <c r="DE66" s="242"/>
      <c r="DF66" s="243"/>
      <c r="DG66" s="243"/>
      <c r="DH66" s="243"/>
      <c r="DI66" s="243"/>
      <c r="DJ66" s="243"/>
      <c r="DK66" s="243"/>
      <c r="DL66" s="243"/>
      <c r="DM66" s="242"/>
      <c r="DN66" s="242"/>
      <c r="DO66" s="242"/>
      <c r="DP66" s="242"/>
      <c r="DQ66" s="242"/>
      <c r="DR66" s="242"/>
      <c r="DS66" s="242"/>
      <c r="DT66" s="243"/>
      <c r="DU66" s="243"/>
      <c r="DV66" s="243"/>
      <c r="DW66" s="243"/>
      <c r="DX66" s="243"/>
      <c r="DY66" s="243"/>
      <c r="DZ66" s="243"/>
      <c r="EA66" s="242"/>
      <c r="EB66" s="242"/>
      <c r="EC66" s="242"/>
      <c r="ED66" s="242"/>
      <c r="EE66" s="242"/>
      <c r="EF66" s="242"/>
      <c r="EG66" s="242"/>
      <c r="EH66" s="243"/>
      <c r="EI66" s="243"/>
      <c r="EJ66" s="243"/>
      <c r="EK66" s="243"/>
      <c r="EL66" s="243"/>
      <c r="EM66" s="243"/>
      <c r="EN66" s="243"/>
      <c r="EO66" s="242"/>
      <c r="EP66" s="242"/>
      <c r="EQ66" s="242"/>
      <c r="ER66" s="242"/>
      <c r="ES66" s="242"/>
      <c r="ET66" s="242"/>
      <c r="EU66" s="242"/>
      <c r="EV66" s="243"/>
      <c r="EW66" s="243"/>
      <c r="EX66" s="243"/>
      <c r="EY66" s="243"/>
      <c r="EZ66" s="243"/>
      <c r="FA66" s="243"/>
      <c r="FB66" s="243"/>
      <c r="FC66" s="242"/>
      <c r="FD66" s="242"/>
      <c r="FE66" s="242"/>
      <c r="FF66" s="242"/>
      <c r="FG66" s="242"/>
      <c r="FH66" s="242"/>
      <c r="FI66" s="242"/>
      <c r="FJ66" s="243"/>
      <c r="FK66" s="243"/>
      <c r="FL66" s="243"/>
      <c r="FM66" s="243"/>
      <c r="FN66" s="243"/>
      <c r="FO66" s="243"/>
      <c r="FP66" s="243"/>
      <c r="FQ66" s="242"/>
      <c r="FR66" s="242"/>
      <c r="FS66" s="242"/>
      <c r="FT66" s="242"/>
      <c r="FU66" s="242"/>
      <c r="FV66" s="242"/>
      <c r="FW66" s="242"/>
      <c r="FX66" s="243"/>
      <c r="FY66" s="243"/>
      <c r="FZ66" s="243"/>
      <c r="GA66" s="243"/>
      <c r="GB66" s="243"/>
      <c r="GC66" s="243"/>
      <c r="GD66" s="243"/>
      <c r="GE66" s="242"/>
      <c r="GF66" s="242"/>
      <c r="GG66" s="242"/>
      <c r="GH66" s="242"/>
      <c r="GI66" s="242"/>
      <c r="GJ66" s="242"/>
      <c r="GK66" s="242"/>
      <c r="GL66" s="243"/>
      <c r="GM66" s="243"/>
      <c r="GN66" s="243"/>
      <c r="GO66" s="243"/>
      <c r="GP66" s="243"/>
      <c r="GQ66" s="243"/>
      <c r="GR66" s="243"/>
      <c r="GS66" s="242"/>
      <c r="GT66" s="242"/>
      <c r="GU66" s="242"/>
      <c r="GV66" s="242"/>
      <c r="GW66" s="242"/>
      <c r="GX66" s="242"/>
      <c r="GY66" s="242"/>
      <c r="GZ66" s="243"/>
      <c r="HA66" s="243"/>
      <c r="HB66" s="243"/>
      <c r="HC66" s="243"/>
      <c r="HD66" s="243"/>
      <c r="HE66" s="243"/>
      <c r="HF66" s="243"/>
      <c r="HG66" s="242"/>
      <c r="HH66" s="242"/>
      <c r="HI66" s="242"/>
      <c r="HJ66" s="242"/>
      <c r="HK66" s="242"/>
      <c r="HL66" s="242"/>
      <c r="HM66" s="242"/>
      <c r="HN66" s="243"/>
      <c r="HO66" s="243"/>
      <c r="HP66" s="243"/>
      <c r="HQ66" s="243"/>
      <c r="HR66" s="243"/>
      <c r="HS66" s="243"/>
      <c r="HT66" s="243"/>
      <c r="HU66" s="242"/>
      <c r="HV66" s="242"/>
      <c r="HW66" s="242"/>
      <c r="HX66" s="242"/>
      <c r="HY66" s="242"/>
      <c r="HZ66" s="242"/>
      <c r="IA66" s="242"/>
      <c r="IB66" s="243"/>
      <c r="IC66" s="243"/>
      <c r="ID66" s="243"/>
      <c r="IE66" s="243"/>
      <c r="IF66" s="243"/>
      <c r="IG66" s="243"/>
      <c r="IH66" s="243"/>
      <c r="II66" s="242"/>
      <c r="IJ66" s="242"/>
      <c r="IK66" s="242"/>
      <c r="IL66" s="242"/>
      <c r="IM66" s="242"/>
      <c r="IN66" s="242"/>
      <c r="IO66" s="242"/>
      <c r="IP66" s="243"/>
      <c r="IQ66" s="243"/>
      <c r="IR66" s="243"/>
      <c r="IS66" s="243"/>
      <c r="IT66" s="243"/>
      <c r="IU66" s="243"/>
      <c r="IV66" s="243"/>
      <c r="IW66" s="242"/>
      <c r="IX66" s="242"/>
      <c r="IY66" s="242"/>
      <c r="IZ66" s="242"/>
      <c r="JA66" s="242"/>
      <c r="JB66" s="242"/>
      <c r="JC66" s="242"/>
      <c r="JD66" s="243"/>
      <c r="JE66" s="243"/>
      <c r="JF66" s="243"/>
      <c r="JG66" s="243"/>
      <c r="JH66" s="243"/>
      <c r="JI66" s="243"/>
      <c r="JJ66" s="243"/>
      <c r="JK66" s="242"/>
      <c r="JL66" s="242"/>
      <c r="JM66" s="242"/>
      <c r="JN66" s="242"/>
      <c r="JO66" s="242"/>
      <c r="JP66" s="242"/>
      <c r="JQ66" s="242"/>
      <c r="JR66" s="243"/>
      <c r="JS66" s="243"/>
      <c r="JT66" s="243"/>
      <c r="JU66" s="243"/>
      <c r="JV66" s="243"/>
      <c r="JW66" s="243"/>
      <c r="JX66" s="243"/>
      <c r="JY66" s="242"/>
      <c r="JZ66" s="242"/>
      <c r="KA66" s="242"/>
      <c r="KB66" s="242"/>
      <c r="KC66" s="242"/>
      <c r="KD66" s="242"/>
      <c r="KE66" s="242"/>
      <c r="KF66" s="243"/>
      <c r="KG66" s="243"/>
      <c r="KH66" s="243"/>
      <c r="KI66" s="243"/>
      <c r="KJ66" s="243"/>
      <c r="KK66" s="243"/>
      <c r="KL66" s="243"/>
      <c r="KM66" s="242"/>
      <c r="KN66" s="242"/>
      <c r="KO66" s="242"/>
      <c r="KP66" s="242"/>
      <c r="KQ66" s="242"/>
      <c r="KR66" s="242"/>
      <c r="KS66" s="242"/>
      <c r="KT66" s="243"/>
      <c r="KU66" s="243"/>
      <c r="KV66" s="243"/>
      <c r="KW66" s="243"/>
      <c r="KX66" s="243"/>
      <c r="KY66" s="243"/>
      <c r="KZ66" s="243"/>
      <c r="LA66" s="242"/>
      <c r="LB66" s="242"/>
      <c r="LC66" s="242"/>
      <c r="LD66" s="242"/>
      <c r="LE66" s="242"/>
      <c r="LF66" s="242"/>
      <c r="LG66" s="242"/>
      <c r="LH66" s="243"/>
      <c r="LI66" s="243"/>
      <c r="LJ66" s="243"/>
      <c r="LK66" s="243"/>
      <c r="LL66" s="243"/>
      <c r="LM66" s="243"/>
      <c r="LN66" s="243"/>
      <c r="LO66" s="242"/>
      <c r="LP66" s="242"/>
      <c r="LQ66" s="242"/>
      <c r="LR66" s="242"/>
      <c r="LS66" s="242"/>
      <c r="LT66" s="242"/>
      <c r="LU66" s="242"/>
      <c r="LV66" s="243"/>
      <c r="LW66" s="243"/>
      <c r="LX66" s="243"/>
      <c r="LY66" s="243"/>
      <c r="LZ66" s="243"/>
      <c r="MA66" s="243"/>
      <c r="MB66" s="243"/>
      <c r="MC66" s="242"/>
      <c r="MD66" s="242"/>
      <c r="ME66" s="242"/>
      <c r="MF66" s="242"/>
      <c r="MG66" s="242"/>
      <c r="MH66" s="242"/>
      <c r="MI66" s="242"/>
      <c r="MJ66" s="243"/>
      <c r="MK66" s="243"/>
      <c r="ML66" s="243"/>
      <c r="MM66" s="243"/>
      <c r="MN66" s="243"/>
      <c r="MO66" s="243"/>
      <c r="MP66" s="243"/>
      <c r="MQ66" s="242"/>
      <c r="MR66" s="242"/>
      <c r="MS66" s="242"/>
      <c r="MT66" s="242"/>
      <c r="MU66" s="242"/>
      <c r="MV66" s="242"/>
      <c r="MW66" s="242"/>
      <c r="MX66" s="243"/>
      <c r="MY66" s="243"/>
      <c r="MZ66" s="243"/>
      <c r="NA66" s="243"/>
      <c r="NB66" s="243"/>
      <c r="NC66" s="243"/>
      <c r="ND66" s="243"/>
      <c r="NE66" s="242"/>
      <c r="NF66" s="242"/>
      <c r="NG66" s="242"/>
      <c r="NH66" s="243"/>
    </row>
    <row r="67" spans="1:372">
      <c r="A67" s="254" t="s">
        <v>973</v>
      </c>
      <c r="B67" s="239" t="s">
        <v>593</v>
      </c>
      <c r="C67" s="240" t="s">
        <v>674</v>
      </c>
      <c r="D67" s="240" t="s">
        <v>982</v>
      </c>
      <c r="E67" s="241">
        <v>0</v>
      </c>
      <c r="F67" s="252">
        <v>0</v>
      </c>
      <c r="G67" s="242"/>
      <c r="H67" s="242"/>
      <c r="I67" s="242"/>
      <c r="J67" s="242"/>
      <c r="K67" s="242"/>
      <c r="L67" s="243"/>
      <c r="M67" s="243"/>
      <c r="N67" s="243"/>
      <c r="O67" s="243"/>
      <c r="P67" s="243"/>
      <c r="Q67" s="243"/>
      <c r="R67" s="243"/>
      <c r="S67" s="242"/>
      <c r="T67" s="242"/>
      <c r="U67" s="242"/>
      <c r="V67" s="242"/>
      <c r="W67" s="242"/>
      <c r="X67" s="242"/>
      <c r="Y67" s="242"/>
      <c r="Z67" s="243"/>
      <c r="AA67" s="243"/>
      <c r="AB67" s="243"/>
      <c r="AC67" s="243"/>
      <c r="AD67" s="243"/>
      <c r="AE67" s="243"/>
      <c r="AF67" s="243"/>
      <c r="AG67" s="242"/>
      <c r="AH67" s="242"/>
      <c r="AI67" s="242"/>
      <c r="AJ67" s="242"/>
      <c r="AK67" s="242"/>
      <c r="AL67" s="242"/>
      <c r="AM67" s="242"/>
      <c r="AN67" s="243"/>
      <c r="AO67" s="243"/>
      <c r="AP67" s="243"/>
      <c r="AQ67" s="243"/>
      <c r="AR67" s="243"/>
      <c r="AS67" s="243"/>
      <c r="AT67" s="243"/>
      <c r="AU67" s="242"/>
      <c r="AV67" s="242"/>
      <c r="AW67" s="242"/>
      <c r="AX67" s="242"/>
      <c r="AY67" s="242"/>
      <c r="AZ67" s="242"/>
      <c r="BA67" s="242"/>
      <c r="BB67" s="243"/>
      <c r="BC67" s="243"/>
      <c r="BD67" s="243"/>
      <c r="BE67" s="243"/>
      <c r="BF67" s="243"/>
      <c r="BG67" s="243"/>
      <c r="BH67" s="243"/>
      <c r="BI67" s="242"/>
      <c r="BJ67" s="242"/>
      <c r="BK67" s="242"/>
      <c r="BL67" s="242"/>
      <c r="BM67" s="242"/>
      <c r="BN67" s="242"/>
      <c r="BO67" s="242"/>
      <c r="BP67" s="243"/>
      <c r="BQ67" s="243"/>
      <c r="BR67" s="243"/>
      <c r="BS67" s="243"/>
      <c r="BT67" s="243"/>
      <c r="BU67" s="243"/>
      <c r="BV67" s="243"/>
      <c r="BW67" s="242"/>
      <c r="BX67" s="242"/>
      <c r="BY67" s="242"/>
      <c r="BZ67" s="242"/>
      <c r="CA67" s="242"/>
      <c r="CB67" s="242"/>
      <c r="CC67" s="242"/>
      <c r="CD67" s="243"/>
      <c r="CE67" s="243"/>
      <c r="CF67" s="243"/>
      <c r="CG67" s="243"/>
      <c r="CH67" s="243"/>
      <c r="CI67" s="243"/>
      <c r="CJ67" s="243"/>
      <c r="CK67" s="242"/>
      <c r="CL67" s="242"/>
      <c r="CM67" s="242"/>
      <c r="CN67" s="242"/>
      <c r="CO67" s="242"/>
      <c r="CP67" s="242"/>
      <c r="CQ67" s="242"/>
      <c r="CR67" s="243"/>
      <c r="CS67" s="243"/>
      <c r="CT67" s="243"/>
      <c r="CU67" s="243"/>
      <c r="CV67" s="243"/>
      <c r="CW67" s="243"/>
      <c r="CX67" s="243"/>
      <c r="CY67" s="242"/>
      <c r="CZ67" s="242"/>
      <c r="DA67" s="242"/>
      <c r="DB67" s="242"/>
      <c r="DC67" s="242"/>
      <c r="DD67" s="242"/>
      <c r="DE67" s="242"/>
      <c r="DF67" s="243"/>
      <c r="DG67" s="243"/>
      <c r="DH67" s="243"/>
      <c r="DI67" s="243"/>
      <c r="DJ67" s="243"/>
      <c r="DK67" s="243"/>
      <c r="DL67" s="243"/>
      <c r="DM67" s="242"/>
      <c r="DN67" s="242"/>
      <c r="DO67" s="242"/>
      <c r="DP67" s="242"/>
      <c r="DQ67" s="242"/>
      <c r="DR67" s="242"/>
      <c r="DS67" s="242"/>
      <c r="DT67" s="243"/>
      <c r="DU67" s="243"/>
      <c r="DV67" s="243"/>
      <c r="DW67" s="243"/>
      <c r="DX67" s="243"/>
      <c r="DY67" s="243"/>
      <c r="DZ67" s="243"/>
      <c r="EA67" s="242"/>
      <c r="EB67" s="242"/>
      <c r="EC67" s="242"/>
      <c r="ED67" s="242"/>
      <c r="EE67" s="242"/>
      <c r="EF67" s="242"/>
      <c r="EG67" s="242"/>
      <c r="EH67" s="243"/>
      <c r="EI67" s="243"/>
      <c r="EJ67" s="243"/>
      <c r="EK67" s="243"/>
      <c r="EL67" s="243"/>
      <c r="EM67" s="243"/>
      <c r="EN67" s="243"/>
      <c r="EO67" s="242"/>
      <c r="EP67" s="242"/>
      <c r="EQ67" s="242"/>
      <c r="ER67" s="242"/>
      <c r="ES67" s="242"/>
      <c r="ET67" s="242"/>
      <c r="EU67" s="242"/>
      <c r="EV67" s="243"/>
      <c r="EW67" s="243"/>
      <c r="EX67" s="243"/>
      <c r="EY67" s="243"/>
      <c r="EZ67" s="243"/>
      <c r="FA67" s="243"/>
      <c r="FB67" s="243"/>
      <c r="FC67" s="242"/>
      <c r="FD67" s="242"/>
      <c r="FE67" s="242"/>
      <c r="FF67" s="242"/>
      <c r="FG67" s="242"/>
      <c r="FH67" s="242"/>
      <c r="FI67" s="242"/>
      <c r="FJ67" s="243"/>
      <c r="FK67" s="243"/>
      <c r="FL67" s="243"/>
      <c r="FM67" s="243"/>
      <c r="FN67" s="243"/>
      <c r="FO67" s="243"/>
      <c r="FP67" s="243"/>
      <c r="FQ67" s="242"/>
      <c r="FR67" s="242"/>
      <c r="FS67" s="242"/>
      <c r="FT67" s="242"/>
      <c r="FU67" s="242"/>
      <c r="FV67" s="242"/>
      <c r="FW67" s="242"/>
      <c r="FX67" s="243"/>
      <c r="FY67" s="243"/>
      <c r="FZ67" s="243"/>
      <c r="GA67" s="243"/>
      <c r="GB67" s="243"/>
      <c r="GC67" s="243"/>
      <c r="GD67" s="243"/>
      <c r="GE67" s="242"/>
      <c r="GF67" s="242"/>
      <c r="GG67" s="242"/>
      <c r="GH67" s="242"/>
      <c r="GI67" s="242"/>
      <c r="GJ67" s="242"/>
      <c r="GK67" s="242"/>
      <c r="GL67" s="243"/>
      <c r="GM67" s="243"/>
      <c r="GN67" s="243"/>
      <c r="GO67" s="243"/>
      <c r="GP67" s="243"/>
      <c r="GQ67" s="243"/>
      <c r="GR67" s="243"/>
      <c r="GS67" s="242"/>
      <c r="GT67" s="242"/>
      <c r="GU67" s="242"/>
      <c r="GV67" s="242"/>
      <c r="GW67" s="242"/>
      <c r="GX67" s="242"/>
      <c r="GY67" s="242"/>
      <c r="GZ67" s="243"/>
      <c r="HA67" s="243"/>
      <c r="HB67" s="243"/>
      <c r="HC67" s="243"/>
      <c r="HD67" s="243"/>
      <c r="HE67" s="243"/>
      <c r="HF67" s="243"/>
      <c r="HG67" s="242"/>
      <c r="HH67" s="242"/>
      <c r="HI67" s="242"/>
      <c r="HJ67" s="242"/>
      <c r="HK67" s="242"/>
      <c r="HL67" s="242"/>
      <c r="HM67" s="242"/>
      <c r="HN67" s="243"/>
      <c r="HO67" s="243"/>
      <c r="HP67" s="243"/>
      <c r="HQ67" s="243"/>
      <c r="HR67" s="243"/>
      <c r="HS67" s="243"/>
      <c r="HT67" s="243"/>
      <c r="HU67" s="242"/>
      <c r="HV67" s="242"/>
      <c r="HW67" s="242"/>
      <c r="HX67" s="242"/>
      <c r="HY67" s="242"/>
      <c r="HZ67" s="242"/>
      <c r="IA67" s="242"/>
      <c r="IB67" s="243"/>
      <c r="IC67" s="243"/>
      <c r="ID67" s="243"/>
      <c r="IE67" s="243"/>
      <c r="IF67" s="243"/>
      <c r="IG67" s="243"/>
      <c r="IH67" s="243"/>
      <c r="II67" s="242"/>
      <c r="IJ67" s="242"/>
      <c r="IK67" s="242"/>
      <c r="IL67" s="242"/>
      <c r="IM67" s="242"/>
      <c r="IN67" s="242"/>
      <c r="IO67" s="242"/>
      <c r="IP67" s="243"/>
      <c r="IQ67" s="243"/>
      <c r="IR67" s="243"/>
      <c r="IS67" s="243"/>
      <c r="IT67" s="243"/>
      <c r="IU67" s="243"/>
      <c r="IV67" s="243"/>
      <c r="IW67" s="242"/>
      <c r="IX67" s="242"/>
      <c r="IY67" s="242"/>
      <c r="IZ67" s="242"/>
      <c r="JA67" s="242"/>
      <c r="JB67" s="242"/>
      <c r="JC67" s="242"/>
      <c r="JD67" s="243"/>
      <c r="JE67" s="243"/>
      <c r="JF67" s="243"/>
      <c r="JG67" s="243"/>
      <c r="JH67" s="243"/>
      <c r="JI67" s="243"/>
      <c r="JJ67" s="243"/>
      <c r="JK67" s="242"/>
      <c r="JL67" s="242"/>
      <c r="JM67" s="242"/>
      <c r="JN67" s="242"/>
      <c r="JO67" s="242"/>
      <c r="JP67" s="242"/>
      <c r="JQ67" s="242"/>
      <c r="JR67" s="243"/>
      <c r="JS67" s="243"/>
      <c r="JT67" s="243"/>
      <c r="JU67" s="243"/>
      <c r="JV67" s="243"/>
      <c r="JW67" s="243"/>
      <c r="JX67" s="243"/>
      <c r="JY67" s="242"/>
      <c r="JZ67" s="242"/>
      <c r="KA67" s="242"/>
      <c r="KB67" s="242"/>
      <c r="KC67" s="242"/>
      <c r="KD67" s="242"/>
      <c r="KE67" s="242"/>
      <c r="KF67" s="243"/>
      <c r="KG67" s="243"/>
      <c r="KH67" s="243"/>
      <c r="KI67" s="243"/>
      <c r="KJ67" s="243"/>
      <c r="KK67" s="243"/>
      <c r="KL67" s="243"/>
      <c r="KM67" s="242"/>
      <c r="KN67" s="242"/>
      <c r="KO67" s="242"/>
      <c r="KP67" s="242"/>
      <c r="KQ67" s="242"/>
      <c r="KR67" s="242"/>
      <c r="KS67" s="242"/>
      <c r="KT67" s="243"/>
      <c r="KU67" s="243"/>
      <c r="KV67" s="243"/>
      <c r="KW67" s="243"/>
      <c r="KX67" s="243"/>
      <c r="KY67" s="243"/>
      <c r="KZ67" s="243"/>
      <c r="LA67" s="242"/>
      <c r="LB67" s="242"/>
      <c r="LC67" s="242"/>
      <c r="LD67" s="242"/>
      <c r="LE67" s="242"/>
      <c r="LF67" s="242"/>
      <c r="LG67" s="242"/>
      <c r="LH67" s="243"/>
      <c r="LI67" s="243"/>
      <c r="LJ67" s="243"/>
      <c r="LK67" s="243"/>
      <c r="LL67" s="243"/>
      <c r="LM67" s="243"/>
      <c r="LN67" s="243"/>
      <c r="LO67" s="242"/>
      <c r="LP67" s="242"/>
      <c r="LQ67" s="242"/>
      <c r="LR67" s="242"/>
      <c r="LS67" s="242"/>
      <c r="LT67" s="242"/>
      <c r="LU67" s="242"/>
      <c r="LV67" s="243"/>
      <c r="LW67" s="243"/>
      <c r="LX67" s="243"/>
      <c r="LY67" s="243"/>
      <c r="LZ67" s="243"/>
      <c r="MA67" s="243"/>
      <c r="MB67" s="243"/>
      <c r="MC67" s="242"/>
      <c r="MD67" s="242"/>
      <c r="ME67" s="242"/>
      <c r="MF67" s="242"/>
      <c r="MG67" s="242"/>
      <c r="MH67" s="242"/>
      <c r="MI67" s="242"/>
      <c r="MJ67" s="243"/>
      <c r="MK67" s="243"/>
      <c r="ML67" s="243"/>
      <c r="MM67" s="243"/>
      <c r="MN67" s="243"/>
      <c r="MO67" s="243"/>
      <c r="MP67" s="243"/>
      <c r="MQ67" s="242"/>
      <c r="MR67" s="242"/>
      <c r="MS67" s="242"/>
      <c r="MT67" s="242"/>
      <c r="MU67" s="242"/>
      <c r="MV67" s="242"/>
      <c r="MW67" s="242"/>
      <c r="MX67" s="243"/>
      <c r="MY67" s="243"/>
      <c r="MZ67" s="243"/>
      <c r="NA67" s="243"/>
      <c r="NB67" s="243"/>
      <c r="NC67" s="243"/>
      <c r="ND67" s="243"/>
      <c r="NE67" s="242"/>
      <c r="NF67" s="242"/>
      <c r="NG67" s="242"/>
      <c r="NH67" s="243"/>
    </row>
    <row r="68" spans="1:372">
      <c r="A68" s="254" t="s">
        <v>973</v>
      </c>
      <c r="B68" s="239" t="s">
        <v>594</v>
      </c>
      <c r="C68" s="240" t="s">
        <v>674</v>
      </c>
      <c r="D68" s="240" t="s">
        <v>982</v>
      </c>
      <c r="E68" s="241">
        <v>0</v>
      </c>
      <c r="F68" s="252">
        <v>0</v>
      </c>
      <c r="G68" s="242"/>
      <c r="H68" s="242"/>
      <c r="I68" s="242"/>
      <c r="J68" s="242"/>
      <c r="K68" s="242"/>
      <c r="L68" s="243"/>
      <c r="M68" s="243"/>
      <c r="N68" s="243"/>
      <c r="O68" s="243"/>
      <c r="P68" s="243"/>
      <c r="Q68" s="243"/>
      <c r="R68" s="243"/>
      <c r="S68" s="242"/>
      <c r="T68" s="242"/>
      <c r="U68" s="242"/>
      <c r="V68" s="242"/>
      <c r="W68" s="242"/>
      <c r="X68" s="242"/>
      <c r="Y68" s="242"/>
      <c r="Z68" s="243"/>
      <c r="AA68" s="243"/>
      <c r="AB68" s="243"/>
      <c r="AC68" s="243"/>
      <c r="AD68" s="243"/>
      <c r="AE68" s="243"/>
      <c r="AF68" s="243"/>
      <c r="AG68" s="242"/>
      <c r="AH68" s="242"/>
      <c r="AI68" s="242"/>
      <c r="AJ68" s="242"/>
      <c r="AK68" s="242"/>
      <c r="AL68" s="242"/>
      <c r="AM68" s="242"/>
      <c r="AN68" s="243"/>
      <c r="AO68" s="243"/>
      <c r="AP68" s="243"/>
      <c r="AQ68" s="243"/>
      <c r="AR68" s="243"/>
      <c r="AS68" s="243"/>
      <c r="AT68" s="243"/>
      <c r="AU68" s="242"/>
      <c r="AV68" s="242"/>
      <c r="AW68" s="242"/>
      <c r="AX68" s="242"/>
      <c r="AY68" s="242"/>
      <c r="AZ68" s="242"/>
      <c r="BA68" s="242"/>
      <c r="BB68" s="243"/>
      <c r="BC68" s="243"/>
      <c r="BD68" s="243"/>
      <c r="BE68" s="243"/>
      <c r="BF68" s="243"/>
      <c r="BG68" s="243"/>
      <c r="BH68" s="243"/>
      <c r="BI68" s="242"/>
      <c r="BJ68" s="242"/>
      <c r="BK68" s="242"/>
      <c r="BL68" s="242"/>
      <c r="BM68" s="242"/>
      <c r="BN68" s="242"/>
      <c r="BO68" s="242"/>
      <c r="BP68" s="243"/>
      <c r="BQ68" s="243"/>
      <c r="BR68" s="243"/>
      <c r="BS68" s="243"/>
      <c r="BT68" s="243"/>
      <c r="BU68" s="243"/>
      <c r="BV68" s="243"/>
      <c r="BW68" s="242"/>
      <c r="BX68" s="242"/>
      <c r="BY68" s="242"/>
      <c r="BZ68" s="242"/>
      <c r="CA68" s="242"/>
      <c r="CB68" s="242"/>
      <c r="CC68" s="242"/>
      <c r="CD68" s="243"/>
      <c r="CE68" s="243"/>
      <c r="CF68" s="243"/>
      <c r="CG68" s="243"/>
      <c r="CH68" s="243"/>
      <c r="CI68" s="243"/>
      <c r="CJ68" s="243"/>
      <c r="CK68" s="242"/>
      <c r="CL68" s="242"/>
      <c r="CM68" s="242"/>
      <c r="CN68" s="242"/>
      <c r="CO68" s="242"/>
      <c r="CP68" s="242"/>
      <c r="CQ68" s="242"/>
      <c r="CR68" s="243"/>
      <c r="CS68" s="243"/>
      <c r="CT68" s="243"/>
      <c r="CU68" s="243"/>
      <c r="CV68" s="243"/>
      <c r="CW68" s="243"/>
      <c r="CX68" s="243"/>
      <c r="CY68" s="242"/>
      <c r="CZ68" s="242"/>
      <c r="DA68" s="242"/>
      <c r="DB68" s="242"/>
      <c r="DC68" s="242"/>
      <c r="DD68" s="242"/>
      <c r="DE68" s="242"/>
      <c r="DF68" s="243"/>
      <c r="DG68" s="243"/>
      <c r="DH68" s="243"/>
      <c r="DI68" s="243"/>
      <c r="DJ68" s="243"/>
      <c r="DK68" s="243"/>
      <c r="DL68" s="243"/>
      <c r="DM68" s="242"/>
      <c r="DN68" s="242"/>
      <c r="DO68" s="242"/>
      <c r="DP68" s="242"/>
      <c r="DQ68" s="242"/>
      <c r="DR68" s="242"/>
      <c r="DS68" s="242"/>
      <c r="DT68" s="243"/>
      <c r="DU68" s="243"/>
      <c r="DV68" s="243"/>
      <c r="DW68" s="243"/>
      <c r="DX68" s="243"/>
      <c r="DY68" s="243"/>
      <c r="DZ68" s="243"/>
      <c r="EA68" s="242"/>
      <c r="EB68" s="242"/>
      <c r="EC68" s="242"/>
      <c r="ED68" s="242"/>
      <c r="EE68" s="242"/>
      <c r="EF68" s="242"/>
      <c r="EG68" s="242"/>
      <c r="EH68" s="243"/>
      <c r="EI68" s="243"/>
      <c r="EJ68" s="243"/>
      <c r="EK68" s="243"/>
      <c r="EL68" s="243"/>
      <c r="EM68" s="243"/>
      <c r="EN68" s="243"/>
      <c r="EO68" s="242"/>
      <c r="EP68" s="242"/>
      <c r="EQ68" s="242"/>
      <c r="ER68" s="242"/>
      <c r="ES68" s="242"/>
      <c r="ET68" s="242"/>
      <c r="EU68" s="242"/>
      <c r="EV68" s="243"/>
      <c r="EW68" s="243"/>
      <c r="EX68" s="243"/>
      <c r="EY68" s="243"/>
      <c r="EZ68" s="243"/>
      <c r="FA68" s="243"/>
      <c r="FB68" s="243"/>
      <c r="FC68" s="242"/>
      <c r="FD68" s="242"/>
      <c r="FE68" s="242"/>
      <c r="FF68" s="242"/>
      <c r="FG68" s="242"/>
      <c r="FH68" s="242"/>
      <c r="FI68" s="242"/>
      <c r="FJ68" s="243"/>
      <c r="FK68" s="243"/>
      <c r="FL68" s="243"/>
      <c r="FM68" s="243"/>
      <c r="FN68" s="243"/>
      <c r="FO68" s="243"/>
      <c r="FP68" s="243"/>
      <c r="FQ68" s="242"/>
      <c r="FR68" s="242"/>
      <c r="FS68" s="242"/>
      <c r="FT68" s="242"/>
      <c r="FU68" s="242"/>
      <c r="FV68" s="242"/>
      <c r="FW68" s="242"/>
      <c r="FX68" s="243"/>
      <c r="FY68" s="243"/>
      <c r="FZ68" s="243"/>
      <c r="GA68" s="243"/>
      <c r="GB68" s="243"/>
      <c r="GC68" s="243"/>
      <c r="GD68" s="243"/>
      <c r="GE68" s="242"/>
      <c r="GF68" s="242"/>
      <c r="GG68" s="242"/>
      <c r="GH68" s="242"/>
      <c r="GI68" s="242"/>
      <c r="GJ68" s="242"/>
      <c r="GK68" s="242"/>
      <c r="GL68" s="243"/>
      <c r="GM68" s="243"/>
      <c r="GN68" s="243"/>
      <c r="GO68" s="243"/>
      <c r="GP68" s="243"/>
      <c r="GQ68" s="243"/>
      <c r="GR68" s="243"/>
      <c r="GS68" s="242"/>
      <c r="GT68" s="242"/>
      <c r="GU68" s="242"/>
      <c r="GV68" s="242"/>
      <c r="GW68" s="242"/>
      <c r="GX68" s="242"/>
      <c r="GY68" s="242"/>
      <c r="GZ68" s="243"/>
      <c r="HA68" s="243"/>
      <c r="HB68" s="243"/>
      <c r="HC68" s="243"/>
      <c r="HD68" s="243"/>
      <c r="HE68" s="243"/>
      <c r="HF68" s="243"/>
      <c r="HG68" s="242"/>
      <c r="HH68" s="242"/>
      <c r="HI68" s="242"/>
      <c r="HJ68" s="242"/>
      <c r="HK68" s="242"/>
      <c r="HL68" s="242"/>
      <c r="HM68" s="242"/>
      <c r="HN68" s="243"/>
      <c r="HO68" s="243"/>
      <c r="HP68" s="243"/>
      <c r="HQ68" s="243"/>
      <c r="HR68" s="243"/>
      <c r="HS68" s="243"/>
      <c r="HT68" s="243"/>
      <c r="HU68" s="242"/>
      <c r="HV68" s="242"/>
      <c r="HW68" s="242"/>
      <c r="HX68" s="242"/>
      <c r="HY68" s="242"/>
      <c r="HZ68" s="242"/>
      <c r="IA68" s="242"/>
      <c r="IB68" s="243"/>
      <c r="IC68" s="243"/>
      <c r="ID68" s="243"/>
      <c r="IE68" s="243"/>
      <c r="IF68" s="243"/>
      <c r="IG68" s="243"/>
      <c r="IH68" s="243"/>
      <c r="II68" s="242"/>
      <c r="IJ68" s="242"/>
      <c r="IK68" s="242"/>
      <c r="IL68" s="242"/>
      <c r="IM68" s="242"/>
      <c r="IN68" s="242"/>
      <c r="IO68" s="242"/>
      <c r="IP68" s="243"/>
      <c r="IQ68" s="243"/>
      <c r="IR68" s="243"/>
      <c r="IS68" s="243"/>
      <c r="IT68" s="243"/>
      <c r="IU68" s="243"/>
      <c r="IV68" s="243"/>
      <c r="IW68" s="242"/>
      <c r="IX68" s="242"/>
      <c r="IY68" s="242"/>
      <c r="IZ68" s="242"/>
      <c r="JA68" s="242"/>
      <c r="JB68" s="242"/>
      <c r="JC68" s="242"/>
      <c r="JD68" s="243"/>
      <c r="JE68" s="243"/>
      <c r="JF68" s="243"/>
      <c r="JG68" s="243"/>
      <c r="JH68" s="243"/>
      <c r="JI68" s="243"/>
      <c r="JJ68" s="243"/>
      <c r="JK68" s="242"/>
      <c r="JL68" s="242"/>
      <c r="JM68" s="242"/>
      <c r="JN68" s="242"/>
      <c r="JO68" s="242"/>
      <c r="JP68" s="242"/>
      <c r="JQ68" s="242"/>
      <c r="JR68" s="243"/>
      <c r="JS68" s="243"/>
      <c r="JT68" s="243"/>
      <c r="JU68" s="243"/>
      <c r="JV68" s="243"/>
      <c r="JW68" s="243"/>
      <c r="JX68" s="243"/>
      <c r="JY68" s="242"/>
      <c r="JZ68" s="242"/>
      <c r="KA68" s="242"/>
      <c r="KB68" s="242"/>
      <c r="KC68" s="242"/>
      <c r="KD68" s="242"/>
      <c r="KE68" s="242"/>
      <c r="KF68" s="243"/>
      <c r="KG68" s="243"/>
      <c r="KH68" s="243"/>
      <c r="KI68" s="243"/>
      <c r="KJ68" s="243"/>
      <c r="KK68" s="243"/>
      <c r="KL68" s="243"/>
      <c r="KM68" s="242"/>
      <c r="KN68" s="242"/>
      <c r="KO68" s="242"/>
      <c r="KP68" s="242"/>
      <c r="KQ68" s="242"/>
      <c r="KR68" s="242"/>
      <c r="KS68" s="242"/>
      <c r="KT68" s="243"/>
      <c r="KU68" s="243"/>
      <c r="KV68" s="243"/>
      <c r="KW68" s="243"/>
      <c r="KX68" s="243"/>
      <c r="KY68" s="243"/>
      <c r="KZ68" s="243"/>
      <c r="LA68" s="242"/>
      <c r="LB68" s="242"/>
      <c r="LC68" s="242"/>
      <c r="LD68" s="242"/>
      <c r="LE68" s="242"/>
      <c r="LF68" s="242"/>
      <c r="LG68" s="242"/>
      <c r="LH68" s="243"/>
      <c r="LI68" s="243"/>
      <c r="LJ68" s="243"/>
      <c r="LK68" s="243"/>
      <c r="LL68" s="243"/>
      <c r="LM68" s="243"/>
      <c r="LN68" s="243"/>
      <c r="LO68" s="242"/>
      <c r="LP68" s="242"/>
      <c r="LQ68" s="242"/>
      <c r="LR68" s="242"/>
      <c r="LS68" s="242"/>
      <c r="LT68" s="242"/>
      <c r="LU68" s="242"/>
      <c r="LV68" s="243"/>
      <c r="LW68" s="243"/>
      <c r="LX68" s="243"/>
      <c r="LY68" s="243"/>
      <c r="LZ68" s="243"/>
      <c r="MA68" s="243"/>
      <c r="MB68" s="243"/>
      <c r="MC68" s="242"/>
      <c r="MD68" s="242"/>
      <c r="ME68" s="242"/>
      <c r="MF68" s="242"/>
      <c r="MG68" s="242"/>
      <c r="MH68" s="242"/>
      <c r="MI68" s="242"/>
      <c r="MJ68" s="243"/>
      <c r="MK68" s="243"/>
      <c r="ML68" s="243"/>
      <c r="MM68" s="243"/>
      <c r="MN68" s="243"/>
      <c r="MO68" s="243"/>
      <c r="MP68" s="243"/>
      <c r="MQ68" s="242"/>
      <c r="MR68" s="242"/>
      <c r="MS68" s="242"/>
      <c r="MT68" s="242"/>
      <c r="MU68" s="242"/>
      <c r="MV68" s="242"/>
      <c r="MW68" s="242"/>
      <c r="MX68" s="243"/>
      <c r="MY68" s="243"/>
      <c r="MZ68" s="243"/>
      <c r="NA68" s="243"/>
      <c r="NB68" s="243"/>
      <c r="NC68" s="243"/>
      <c r="ND68" s="243"/>
      <c r="NE68" s="242"/>
      <c r="NF68" s="242"/>
      <c r="NG68" s="242"/>
      <c r="NH68" s="243"/>
    </row>
    <row r="69" spans="1:372">
      <c r="A69" s="254" t="s">
        <v>973</v>
      </c>
      <c r="B69" s="239" t="s">
        <v>586</v>
      </c>
      <c r="C69" s="240" t="s">
        <v>674</v>
      </c>
      <c r="D69" s="240" t="s">
        <v>982</v>
      </c>
      <c r="E69" s="241">
        <v>0</v>
      </c>
      <c r="F69" s="252">
        <v>0</v>
      </c>
      <c r="G69" s="242"/>
      <c r="H69" s="242"/>
      <c r="I69" s="242"/>
      <c r="J69" s="242"/>
      <c r="K69" s="242"/>
      <c r="L69" s="243"/>
      <c r="M69" s="243"/>
      <c r="N69" s="243"/>
      <c r="O69" s="243"/>
      <c r="P69" s="243"/>
      <c r="Q69" s="243"/>
      <c r="R69" s="243"/>
      <c r="S69" s="242"/>
      <c r="T69" s="242"/>
      <c r="U69" s="242"/>
      <c r="V69" s="242"/>
      <c r="W69" s="242"/>
      <c r="X69" s="242"/>
      <c r="Y69" s="242"/>
      <c r="Z69" s="243"/>
      <c r="AA69" s="243"/>
      <c r="AB69" s="243"/>
      <c r="AC69" s="243"/>
      <c r="AD69" s="243"/>
      <c r="AE69" s="243"/>
      <c r="AF69" s="243"/>
      <c r="AG69" s="242"/>
      <c r="AH69" s="242"/>
      <c r="AI69" s="242"/>
      <c r="AJ69" s="242"/>
      <c r="AK69" s="242"/>
      <c r="AL69" s="242"/>
      <c r="AM69" s="242"/>
      <c r="AN69" s="243"/>
      <c r="AO69" s="243"/>
      <c r="AP69" s="243"/>
      <c r="AQ69" s="243"/>
      <c r="AR69" s="243"/>
      <c r="AS69" s="243"/>
      <c r="AT69" s="243"/>
      <c r="AU69" s="242"/>
      <c r="AV69" s="242"/>
      <c r="AW69" s="242"/>
      <c r="AX69" s="242"/>
      <c r="AY69" s="242"/>
      <c r="AZ69" s="242"/>
      <c r="BA69" s="242"/>
      <c r="BB69" s="243"/>
      <c r="BC69" s="243"/>
      <c r="BD69" s="243"/>
      <c r="BE69" s="243"/>
      <c r="BF69" s="243"/>
      <c r="BG69" s="243"/>
      <c r="BH69" s="243"/>
      <c r="BI69" s="242"/>
      <c r="BJ69" s="242"/>
      <c r="BK69" s="242"/>
      <c r="BL69" s="242"/>
      <c r="BM69" s="242"/>
      <c r="BN69" s="242"/>
      <c r="BO69" s="242"/>
      <c r="BP69" s="243"/>
      <c r="BQ69" s="243"/>
      <c r="BR69" s="243"/>
      <c r="BS69" s="243"/>
      <c r="BT69" s="243"/>
      <c r="BU69" s="243"/>
      <c r="BV69" s="243"/>
      <c r="BW69" s="242"/>
      <c r="BX69" s="242"/>
      <c r="BY69" s="242"/>
      <c r="BZ69" s="242"/>
      <c r="CA69" s="242"/>
      <c r="CB69" s="242"/>
      <c r="CC69" s="242"/>
      <c r="CD69" s="243"/>
      <c r="CE69" s="243"/>
      <c r="CF69" s="243"/>
      <c r="CG69" s="243"/>
      <c r="CH69" s="243"/>
      <c r="CI69" s="243"/>
      <c r="CJ69" s="243"/>
      <c r="CK69" s="242"/>
      <c r="CL69" s="242"/>
      <c r="CM69" s="242"/>
      <c r="CN69" s="242"/>
      <c r="CO69" s="242"/>
      <c r="CP69" s="242"/>
      <c r="CQ69" s="242"/>
      <c r="CR69" s="243"/>
      <c r="CS69" s="243"/>
      <c r="CT69" s="243"/>
      <c r="CU69" s="243"/>
      <c r="CV69" s="243"/>
      <c r="CW69" s="243"/>
      <c r="CX69" s="243"/>
      <c r="CY69" s="242"/>
      <c r="CZ69" s="242"/>
      <c r="DA69" s="242"/>
      <c r="DB69" s="242"/>
      <c r="DC69" s="242"/>
      <c r="DD69" s="242"/>
      <c r="DE69" s="242"/>
      <c r="DF69" s="243"/>
      <c r="DG69" s="243"/>
      <c r="DH69" s="243"/>
      <c r="DI69" s="243"/>
      <c r="DJ69" s="243"/>
      <c r="DK69" s="243"/>
      <c r="DL69" s="243"/>
      <c r="DM69" s="242"/>
      <c r="DN69" s="242"/>
      <c r="DO69" s="242"/>
      <c r="DP69" s="242"/>
      <c r="DQ69" s="242"/>
      <c r="DR69" s="242"/>
      <c r="DS69" s="242"/>
      <c r="DT69" s="243"/>
      <c r="DU69" s="243"/>
      <c r="DV69" s="243"/>
      <c r="DW69" s="243"/>
      <c r="DX69" s="243"/>
      <c r="DY69" s="243"/>
      <c r="DZ69" s="243"/>
      <c r="EA69" s="242"/>
      <c r="EB69" s="242"/>
      <c r="EC69" s="242"/>
      <c r="ED69" s="242"/>
      <c r="EE69" s="242"/>
      <c r="EF69" s="242"/>
      <c r="EG69" s="242"/>
      <c r="EH69" s="243"/>
      <c r="EI69" s="243"/>
      <c r="EJ69" s="243"/>
      <c r="EK69" s="243"/>
      <c r="EL69" s="243"/>
      <c r="EM69" s="243"/>
      <c r="EN69" s="243"/>
      <c r="EO69" s="242"/>
      <c r="EP69" s="242"/>
      <c r="EQ69" s="242"/>
      <c r="ER69" s="242"/>
      <c r="ES69" s="242"/>
      <c r="ET69" s="242"/>
      <c r="EU69" s="242"/>
      <c r="EV69" s="243"/>
      <c r="EW69" s="243"/>
      <c r="EX69" s="243"/>
      <c r="EY69" s="243"/>
      <c r="EZ69" s="243"/>
      <c r="FA69" s="243"/>
      <c r="FB69" s="243"/>
      <c r="FC69" s="242"/>
      <c r="FD69" s="242"/>
      <c r="FE69" s="242"/>
      <c r="FF69" s="242"/>
      <c r="FG69" s="242"/>
      <c r="FH69" s="242"/>
      <c r="FI69" s="242"/>
      <c r="FJ69" s="243"/>
      <c r="FK69" s="243"/>
      <c r="FL69" s="243"/>
      <c r="FM69" s="243"/>
      <c r="FN69" s="243"/>
      <c r="FO69" s="243"/>
      <c r="FP69" s="243"/>
      <c r="FQ69" s="242"/>
      <c r="FR69" s="242"/>
      <c r="FS69" s="242"/>
      <c r="FT69" s="242"/>
      <c r="FU69" s="242"/>
      <c r="FV69" s="242"/>
      <c r="FW69" s="242"/>
      <c r="FX69" s="243"/>
      <c r="FY69" s="243"/>
      <c r="FZ69" s="243"/>
      <c r="GA69" s="243"/>
      <c r="GB69" s="243"/>
      <c r="GC69" s="243"/>
      <c r="GD69" s="243"/>
      <c r="GE69" s="242"/>
      <c r="GF69" s="242"/>
      <c r="GG69" s="242"/>
      <c r="GH69" s="242"/>
      <c r="GI69" s="242"/>
      <c r="GJ69" s="242"/>
      <c r="GK69" s="242"/>
      <c r="GL69" s="243"/>
      <c r="GM69" s="243"/>
      <c r="GN69" s="243"/>
      <c r="GO69" s="243"/>
      <c r="GP69" s="243"/>
      <c r="GQ69" s="243"/>
      <c r="GR69" s="243"/>
      <c r="GS69" s="242"/>
      <c r="GT69" s="242"/>
      <c r="GU69" s="242"/>
      <c r="GV69" s="242"/>
      <c r="GW69" s="242"/>
      <c r="GX69" s="242"/>
      <c r="GY69" s="242"/>
      <c r="GZ69" s="243"/>
      <c r="HA69" s="243"/>
      <c r="HB69" s="243"/>
      <c r="HC69" s="243"/>
      <c r="HD69" s="243"/>
      <c r="HE69" s="243"/>
      <c r="HF69" s="243"/>
      <c r="HG69" s="242"/>
      <c r="HH69" s="242"/>
      <c r="HI69" s="242"/>
      <c r="HJ69" s="242"/>
      <c r="HK69" s="242"/>
      <c r="HL69" s="242"/>
      <c r="HM69" s="242"/>
      <c r="HN69" s="243"/>
      <c r="HO69" s="243"/>
      <c r="HP69" s="243"/>
      <c r="HQ69" s="243"/>
      <c r="HR69" s="243"/>
      <c r="HS69" s="243"/>
      <c r="HT69" s="243"/>
      <c r="HU69" s="242"/>
      <c r="HV69" s="242"/>
      <c r="HW69" s="242"/>
      <c r="HX69" s="242"/>
      <c r="HY69" s="242"/>
      <c r="HZ69" s="242"/>
      <c r="IA69" s="242"/>
      <c r="IB69" s="243"/>
      <c r="IC69" s="243"/>
      <c r="ID69" s="243"/>
      <c r="IE69" s="243"/>
      <c r="IF69" s="243"/>
      <c r="IG69" s="243"/>
      <c r="IH69" s="243"/>
      <c r="II69" s="242"/>
      <c r="IJ69" s="242"/>
      <c r="IK69" s="242"/>
      <c r="IL69" s="242"/>
      <c r="IM69" s="242"/>
      <c r="IN69" s="242"/>
      <c r="IO69" s="242"/>
      <c r="IP69" s="243"/>
      <c r="IQ69" s="243"/>
      <c r="IR69" s="243"/>
      <c r="IS69" s="243"/>
      <c r="IT69" s="243"/>
      <c r="IU69" s="243"/>
      <c r="IV69" s="243"/>
      <c r="IW69" s="242"/>
      <c r="IX69" s="242"/>
      <c r="IY69" s="242"/>
      <c r="IZ69" s="242"/>
      <c r="JA69" s="242"/>
      <c r="JB69" s="242"/>
      <c r="JC69" s="242"/>
      <c r="JD69" s="243"/>
      <c r="JE69" s="243"/>
      <c r="JF69" s="243"/>
      <c r="JG69" s="243"/>
      <c r="JH69" s="243"/>
      <c r="JI69" s="243"/>
      <c r="JJ69" s="243"/>
      <c r="JK69" s="242"/>
      <c r="JL69" s="242"/>
      <c r="JM69" s="242"/>
      <c r="JN69" s="242"/>
      <c r="JO69" s="242"/>
      <c r="JP69" s="242"/>
      <c r="JQ69" s="242"/>
      <c r="JR69" s="243"/>
      <c r="JS69" s="243"/>
      <c r="JT69" s="243"/>
      <c r="JU69" s="243"/>
      <c r="JV69" s="243"/>
      <c r="JW69" s="243"/>
      <c r="JX69" s="243"/>
      <c r="JY69" s="242"/>
      <c r="JZ69" s="242"/>
      <c r="KA69" s="242"/>
      <c r="KB69" s="242"/>
      <c r="KC69" s="242"/>
      <c r="KD69" s="242"/>
      <c r="KE69" s="242"/>
      <c r="KF69" s="243"/>
      <c r="KG69" s="243"/>
      <c r="KH69" s="243"/>
      <c r="KI69" s="243"/>
      <c r="KJ69" s="243"/>
      <c r="KK69" s="243"/>
      <c r="KL69" s="243"/>
      <c r="KM69" s="242"/>
      <c r="KN69" s="242"/>
      <c r="KO69" s="242"/>
      <c r="KP69" s="242"/>
      <c r="KQ69" s="242"/>
      <c r="KR69" s="242"/>
      <c r="KS69" s="242"/>
      <c r="KT69" s="243"/>
      <c r="KU69" s="243"/>
      <c r="KV69" s="243"/>
      <c r="KW69" s="243"/>
      <c r="KX69" s="243"/>
      <c r="KY69" s="243"/>
      <c r="KZ69" s="243"/>
      <c r="LA69" s="242"/>
      <c r="LB69" s="242"/>
      <c r="LC69" s="242"/>
      <c r="LD69" s="242"/>
      <c r="LE69" s="242"/>
      <c r="LF69" s="242"/>
      <c r="LG69" s="242"/>
      <c r="LH69" s="243"/>
      <c r="LI69" s="243"/>
      <c r="LJ69" s="243"/>
      <c r="LK69" s="243"/>
      <c r="LL69" s="243"/>
      <c r="LM69" s="243"/>
      <c r="LN69" s="243"/>
      <c r="LO69" s="242"/>
      <c r="LP69" s="242"/>
      <c r="LQ69" s="242"/>
      <c r="LR69" s="242"/>
      <c r="LS69" s="242"/>
      <c r="LT69" s="242"/>
      <c r="LU69" s="242"/>
      <c r="LV69" s="243"/>
      <c r="LW69" s="243"/>
      <c r="LX69" s="243"/>
      <c r="LY69" s="243"/>
      <c r="LZ69" s="243"/>
      <c r="MA69" s="243"/>
      <c r="MB69" s="243"/>
      <c r="MC69" s="242"/>
      <c r="MD69" s="242"/>
      <c r="ME69" s="242"/>
      <c r="MF69" s="242"/>
      <c r="MG69" s="242"/>
      <c r="MH69" s="242"/>
      <c r="MI69" s="242"/>
      <c r="MJ69" s="243"/>
      <c r="MK69" s="243"/>
      <c r="ML69" s="243"/>
      <c r="MM69" s="243"/>
      <c r="MN69" s="243"/>
      <c r="MO69" s="243"/>
      <c r="MP69" s="243"/>
      <c r="MQ69" s="242"/>
      <c r="MR69" s="242"/>
      <c r="MS69" s="242"/>
      <c r="MT69" s="242"/>
      <c r="MU69" s="242"/>
      <c r="MV69" s="242"/>
      <c r="MW69" s="242"/>
      <c r="MX69" s="243"/>
      <c r="MY69" s="243"/>
      <c r="MZ69" s="243"/>
      <c r="NA69" s="243"/>
      <c r="NB69" s="243"/>
      <c r="NC69" s="243"/>
      <c r="ND69" s="243"/>
      <c r="NE69" s="242"/>
      <c r="NF69" s="242"/>
      <c r="NG69" s="242"/>
      <c r="NH69" s="243"/>
    </row>
    <row r="70" spans="1:372">
      <c r="A70" s="254" t="s">
        <v>973</v>
      </c>
      <c r="B70" s="239" t="s">
        <v>587</v>
      </c>
      <c r="C70" s="240" t="s">
        <v>674</v>
      </c>
      <c r="D70" s="240" t="s">
        <v>982</v>
      </c>
      <c r="E70" s="241">
        <v>0</v>
      </c>
      <c r="F70" s="252">
        <v>0</v>
      </c>
      <c r="G70" s="242"/>
      <c r="H70" s="242"/>
      <c r="I70" s="242"/>
      <c r="J70" s="242"/>
      <c r="K70" s="242"/>
      <c r="L70" s="243"/>
      <c r="M70" s="243"/>
      <c r="N70" s="243"/>
      <c r="O70" s="243"/>
      <c r="P70" s="243"/>
      <c r="Q70" s="243"/>
      <c r="R70" s="243"/>
      <c r="S70" s="242"/>
      <c r="T70" s="242"/>
      <c r="U70" s="242"/>
      <c r="V70" s="242"/>
      <c r="W70" s="242"/>
      <c r="X70" s="242"/>
      <c r="Y70" s="242"/>
      <c r="Z70" s="243"/>
      <c r="AA70" s="243"/>
      <c r="AB70" s="243"/>
      <c r="AC70" s="243"/>
      <c r="AD70" s="243"/>
      <c r="AE70" s="243"/>
      <c r="AF70" s="243"/>
      <c r="AG70" s="242"/>
      <c r="AH70" s="242"/>
      <c r="AI70" s="242"/>
      <c r="AJ70" s="242"/>
      <c r="AK70" s="242"/>
      <c r="AL70" s="242"/>
      <c r="AM70" s="242"/>
      <c r="AN70" s="243"/>
      <c r="AO70" s="243"/>
      <c r="AP70" s="243"/>
      <c r="AQ70" s="243"/>
      <c r="AR70" s="243"/>
      <c r="AS70" s="243"/>
      <c r="AT70" s="243"/>
      <c r="AU70" s="242"/>
      <c r="AV70" s="242"/>
      <c r="AW70" s="242"/>
      <c r="AX70" s="242"/>
      <c r="AY70" s="242"/>
      <c r="AZ70" s="242"/>
      <c r="BA70" s="242"/>
      <c r="BB70" s="243"/>
      <c r="BC70" s="243"/>
      <c r="BD70" s="243"/>
      <c r="BE70" s="243"/>
      <c r="BF70" s="243"/>
      <c r="BG70" s="243"/>
      <c r="BH70" s="243"/>
      <c r="BI70" s="242"/>
      <c r="BJ70" s="242"/>
      <c r="BK70" s="242"/>
      <c r="BL70" s="242"/>
      <c r="BM70" s="242"/>
      <c r="BN70" s="242"/>
      <c r="BO70" s="242"/>
      <c r="BP70" s="243"/>
      <c r="BQ70" s="243"/>
      <c r="BR70" s="243"/>
      <c r="BS70" s="243"/>
      <c r="BT70" s="243"/>
      <c r="BU70" s="243"/>
      <c r="BV70" s="243"/>
      <c r="BW70" s="242"/>
      <c r="BX70" s="242"/>
      <c r="BY70" s="242"/>
      <c r="BZ70" s="242"/>
      <c r="CA70" s="242"/>
      <c r="CB70" s="242"/>
      <c r="CC70" s="242"/>
      <c r="CD70" s="243"/>
      <c r="CE70" s="243"/>
      <c r="CF70" s="243"/>
      <c r="CG70" s="243"/>
      <c r="CH70" s="243"/>
      <c r="CI70" s="243"/>
      <c r="CJ70" s="243"/>
      <c r="CK70" s="242"/>
      <c r="CL70" s="242"/>
      <c r="CM70" s="242"/>
      <c r="CN70" s="242"/>
      <c r="CO70" s="242"/>
      <c r="CP70" s="242"/>
      <c r="CQ70" s="242"/>
      <c r="CR70" s="243"/>
      <c r="CS70" s="243"/>
      <c r="CT70" s="243"/>
      <c r="CU70" s="243"/>
      <c r="CV70" s="243"/>
      <c r="CW70" s="243"/>
      <c r="CX70" s="243"/>
      <c r="CY70" s="242"/>
      <c r="CZ70" s="242"/>
      <c r="DA70" s="242"/>
      <c r="DB70" s="242"/>
      <c r="DC70" s="242"/>
      <c r="DD70" s="242"/>
      <c r="DE70" s="242"/>
      <c r="DF70" s="243"/>
      <c r="DG70" s="243"/>
      <c r="DH70" s="243"/>
      <c r="DI70" s="243"/>
      <c r="DJ70" s="243"/>
      <c r="DK70" s="243"/>
      <c r="DL70" s="243"/>
      <c r="DM70" s="242"/>
      <c r="DN70" s="242"/>
      <c r="DO70" s="242"/>
      <c r="DP70" s="242"/>
      <c r="DQ70" s="242"/>
      <c r="DR70" s="242"/>
      <c r="DS70" s="242"/>
      <c r="DT70" s="243"/>
      <c r="DU70" s="243"/>
      <c r="DV70" s="243"/>
      <c r="DW70" s="243"/>
      <c r="DX70" s="243"/>
      <c r="DY70" s="243"/>
      <c r="DZ70" s="243"/>
      <c r="EA70" s="242"/>
      <c r="EB70" s="242"/>
      <c r="EC70" s="242"/>
      <c r="ED70" s="242"/>
      <c r="EE70" s="242"/>
      <c r="EF70" s="242"/>
      <c r="EG70" s="242"/>
      <c r="EH70" s="243"/>
      <c r="EI70" s="243"/>
      <c r="EJ70" s="243"/>
      <c r="EK70" s="243"/>
      <c r="EL70" s="243"/>
      <c r="EM70" s="243"/>
      <c r="EN70" s="243"/>
      <c r="EO70" s="242"/>
      <c r="EP70" s="242"/>
      <c r="EQ70" s="242"/>
      <c r="ER70" s="242"/>
      <c r="ES70" s="242"/>
      <c r="ET70" s="242"/>
      <c r="EU70" s="242"/>
      <c r="EV70" s="243"/>
      <c r="EW70" s="243"/>
      <c r="EX70" s="243"/>
      <c r="EY70" s="243"/>
      <c r="EZ70" s="243"/>
      <c r="FA70" s="243"/>
      <c r="FB70" s="243"/>
      <c r="FC70" s="242"/>
      <c r="FD70" s="242"/>
      <c r="FE70" s="242"/>
      <c r="FF70" s="242"/>
      <c r="FG70" s="242"/>
      <c r="FH70" s="242"/>
      <c r="FI70" s="242"/>
      <c r="FJ70" s="243"/>
      <c r="FK70" s="243"/>
      <c r="FL70" s="243"/>
      <c r="FM70" s="243"/>
      <c r="FN70" s="243"/>
      <c r="FO70" s="243"/>
      <c r="FP70" s="243"/>
      <c r="FQ70" s="242"/>
      <c r="FR70" s="242"/>
      <c r="FS70" s="242"/>
      <c r="FT70" s="242"/>
      <c r="FU70" s="242"/>
      <c r="FV70" s="242"/>
      <c r="FW70" s="242"/>
      <c r="FX70" s="243"/>
      <c r="FY70" s="243"/>
      <c r="FZ70" s="243"/>
      <c r="GA70" s="243"/>
      <c r="GB70" s="243"/>
      <c r="GC70" s="243"/>
      <c r="GD70" s="243"/>
      <c r="GE70" s="242"/>
      <c r="GF70" s="242"/>
      <c r="GG70" s="242"/>
      <c r="GH70" s="242"/>
      <c r="GI70" s="242"/>
      <c r="GJ70" s="242"/>
      <c r="GK70" s="242"/>
      <c r="GL70" s="243"/>
      <c r="GM70" s="243"/>
      <c r="GN70" s="243"/>
      <c r="GO70" s="243"/>
      <c r="GP70" s="243"/>
      <c r="GQ70" s="243"/>
      <c r="GR70" s="243"/>
      <c r="GS70" s="242"/>
      <c r="GT70" s="242"/>
      <c r="GU70" s="242"/>
      <c r="GV70" s="242"/>
      <c r="GW70" s="242"/>
      <c r="GX70" s="242"/>
      <c r="GY70" s="242"/>
      <c r="GZ70" s="243"/>
      <c r="HA70" s="243"/>
      <c r="HB70" s="243"/>
      <c r="HC70" s="243"/>
      <c r="HD70" s="243"/>
      <c r="HE70" s="243"/>
      <c r="HF70" s="243"/>
      <c r="HG70" s="242"/>
      <c r="HH70" s="242"/>
      <c r="HI70" s="242"/>
      <c r="HJ70" s="242"/>
      <c r="HK70" s="242"/>
      <c r="HL70" s="242"/>
      <c r="HM70" s="242"/>
      <c r="HN70" s="243"/>
      <c r="HO70" s="243"/>
      <c r="HP70" s="243"/>
      <c r="HQ70" s="243"/>
      <c r="HR70" s="243"/>
      <c r="HS70" s="243"/>
      <c r="HT70" s="243"/>
      <c r="HU70" s="242"/>
      <c r="HV70" s="242"/>
      <c r="HW70" s="242"/>
      <c r="HX70" s="242"/>
      <c r="HY70" s="242"/>
      <c r="HZ70" s="242"/>
      <c r="IA70" s="242"/>
      <c r="IB70" s="243"/>
      <c r="IC70" s="243"/>
      <c r="ID70" s="243"/>
      <c r="IE70" s="243"/>
      <c r="IF70" s="243"/>
      <c r="IG70" s="243"/>
      <c r="IH70" s="243"/>
      <c r="II70" s="242"/>
      <c r="IJ70" s="242"/>
      <c r="IK70" s="242"/>
      <c r="IL70" s="242"/>
      <c r="IM70" s="242"/>
      <c r="IN70" s="242"/>
      <c r="IO70" s="242"/>
      <c r="IP70" s="243"/>
      <c r="IQ70" s="243"/>
      <c r="IR70" s="243"/>
      <c r="IS70" s="243"/>
      <c r="IT70" s="243"/>
      <c r="IU70" s="243"/>
      <c r="IV70" s="243"/>
      <c r="IW70" s="242"/>
      <c r="IX70" s="242"/>
      <c r="IY70" s="242"/>
      <c r="IZ70" s="242"/>
      <c r="JA70" s="242"/>
      <c r="JB70" s="242"/>
      <c r="JC70" s="242"/>
      <c r="JD70" s="243"/>
      <c r="JE70" s="243"/>
      <c r="JF70" s="243"/>
      <c r="JG70" s="243"/>
      <c r="JH70" s="243"/>
      <c r="JI70" s="243"/>
      <c r="JJ70" s="243"/>
      <c r="JK70" s="242"/>
      <c r="JL70" s="242"/>
      <c r="JM70" s="242"/>
      <c r="JN70" s="242"/>
      <c r="JO70" s="242"/>
      <c r="JP70" s="242"/>
      <c r="JQ70" s="242"/>
      <c r="JR70" s="243"/>
      <c r="JS70" s="243"/>
      <c r="JT70" s="243"/>
      <c r="JU70" s="243"/>
      <c r="JV70" s="243"/>
      <c r="JW70" s="243"/>
      <c r="JX70" s="243"/>
      <c r="JY70" s="242"/>
      <c r="JZ70" s="242"/>
      <c r="KA70" s="242"/>
      <c r="KB70" s="242"/>
      <c r="KC70" s="242"/>
      <c r="KD70" s="242"/>
      <c r="KE70" s="242"/>
      <c r="KF70" s="243"/>
      <c r="KG70" s="243"/>
      <c r="KH70" s="243"/>
      <c r="KI70" s="243"/>
      <c r="KJ70" s="243"/>
      <c r="KK70" s="243"/>
      <c r="KL70" s="243"/>
      <c r="KM70" s="242"/>
      <c r="KN70" s="242"/>
      <c r="KO70" s="242"/>
      <c r="KP70" s="242"/>
      <c r="KQ70" s="242"/>
      <c r="KR70" s="242"/>
      <c r="KS70" s="242"/>
      <c r="KT70" s="243"/>
      <c r="KU70" s="243"/>
      <c r="KV70" s="243"/>
      <c r="KW70" s="243"/>
      <c r="KX70" s="243"/>
      <c r="KY70" s="243"/>
      <c r="KZ70" s="243"/>
      <c r="LA70" s="242"/>
      <c r="LB70" s="242"/>
      <c r="LC70" s="242"/>
      <c r="LD70" s="242"/>
      <c r="LE70" s="242"/>
      <c r="LF70" s="242"/>
      <c r="LG70" s="242"/>
      <c r="LH70" s="243"/>
      <c r="LI70" s="243"/>
      <c r="LJ70" s="243"/>
      <c r="LK70" s="243"/>
      <c r="LL70" s="243"/>
      <c r="LM70" s="243"/>
      <c r="LN70" s="243"/>
      <c r="LO70" s="242"/>
      <c r="LP70" s="242"/>
      <c r="LQ70" s="242"/>
      <c r="LR70" s="242"/>
      <c r="LS70" s="242"/>
      <c r="LT70" s="242"/>
      <c r="LU70" s="242"/>
      <c r="LV70" s="243"/>
      <c r="LW70" s="243"/>
      <c r="LX70" s="243"/>
      <c r="LY70" s="243"/>
      <c r="LZ70" s="243"/>
      <c r="MA70" s="243"/>
      <c r="MB70" s="243"/>
      <c r="MC70" s="242"/>
      <c r="MD70" s="242"/>
      <c r="ME70" s="242"/>
      <c r="MF70" s="242"/>
      <c r="MG70" s="242"/>
      <c r="MH70" s="242"/>
      <c r="MI70" s="242"/>
      <c r="MJ70" s="243"/>
      <c r="MK70" s="243"/>
      <c r="ML70" s="243"/>
      <c r="MM70" s="243"/>
      <c r="MN70" s="243"/>
      <c r="MO70" s="243"/>
      <c r="MP70" s="243"/>
      <c r="MQ70" s="242"/>
      <c r="MR70" s="242"/>
      <c r="MS70" s="242"/>
      <c r="MT70" s="242"/>
      <c r="MU70" s="242"/>
      <c r="MV70" s="242"/>
      <c r="MW70" s="242"/>
      <c r="MX70" s="243"/>
      <c r="MY70" s="243"/>
      <c r="MZ70" s="243"/>
      <c r="NA70" s="243"/>
      <c r="NB70" s="243"/>
      <c r="NC70" s="243"/>
      <c r="ND70" s="243"/>
      <c r="NE70" s="242"/>
      <c r="NF70" s="242"/>
      <c r="NG70" s="242"/>
      <c r="NH70" s="243"/>
    </row>
    <row r="71" spans="1:372">
      <c r="A71" s="254" t="s">
        <v>973</v>
      </c>
      <c r="B71" s="239" t="s">
        <v>588</v>
      </c>
      <c r="C71" s="240" t="s">
        <v>674</v>
      </c>
      <c r="D71" s="240" t="s">
        <v>982</v>
      </c>
      <c r="E71" s="241">
        <v>0</v>
      </c>
      <c r="F71" s="252">
        <v>0</v>
      </c>
      <c r="G71" s="242"/>
      <c r="H71" s="242"/>
      <c r="I71" s="242"/>
      <c r="J71" s="242"/>
      <c r="K71" s="242"/>
      <c r="L71" s="243"/>
      <c r="M71" s="243"/>
      <c r="N71" s="243"/>
      <c r="O71" s="243"/>
      <c r="P71" s="243"/>
      <c r="Q71" s="243"/>
      <c r="R71" s="243"/>
      <c r="S71" s="242"/>
      <c r="T71" s="242"/>
      <c r="U71" s="242"/>
      <c r="V71" s="242"/>
      <c r="W71" s="242"/>
      <c r="X71" s="242"/>
      <c r="Y71" s="242"/>
      <c r="Z71" s="243"/>
      <c r="AA71" s="243"/>
      <c r="AB71" s="243"/>
      <c r="AC71" s="243"/>
      <c r="AD71" s="243"/>
      <c r="AE71" s="243"/>
      <c r="AF71" s="243"/>
      <c r="AG71" s="242"/>
      <c r="AH71" s="242"/>
      <c r="AI71" s="242"/>
      <c r="AJ71" s="242"/>
      <c r="AK71" s="242"/>
      <c r="AL71" s="242"/>
      <c r="AM71" s="242"/>
      <c r="AN71" s="243"/>
      <c r="AO71" s="243"/>
      <c r="AP71" s="243"/>
      <c r="AQ71" s="243"/>
      <c r="AR71" s="243"/>
      <c r="AS71" s="243"/>
      <c r="AT71" s="243"/>
      <c r="AU71" s="242"/>
      <c r="AV71" s="242"/>
      <c r="AW71" s="242"/>
      <c r="AX71" s="242"/>
      <c r="AY71" s="242"/>
      <c r="AZ71" s="242"/>
      <c r="BA71" s="242"/>
      <c r="BB71" s="243"/>
      <c r="BC71" s="243"/>
      <c r="BD71" s="243"/>
      <c r="BE71" s="243"/>
      <c r="BF71" s="243"/>
      <c r="BG71" s="243"/>
      <c r="BH71" s="243"/>
      <c r="BI71" s="242"/>
      <c r="BJ71" s="242"/>
      <c r="BK71" s="242"/>
      <c r="BL71" s="242"/>
      <c r="BM71" s="242"/>
      <c r="BN71" s="242"/>
      <c r="BO71" s="242"/>
      <c r="BP71" s="243"/>
      <c r="BQ71" s="243"/>
      <c r="BR71" s="243"/>
      <c r="BS71" s="243"/>
      <c r="BT71" s="243"/>
      <c r="BU71" s="243"/>
      <c r="BV71" s="243"/>
      <c r="BW71" s="242"/>
      <c r="BX71" s="242"/>
      <c r="BY71" s="242"/>
      <c r="BZ71" s="242"/>
      <c r="CA71" s="242"/>
      <c r="CB71" s="242"/>
      <c r="CC71" s="242"/>
      <c r="CD71" s="243"/>
      <c r="CE71" s="243"/>
      <c r="CF71" s="243"/>
      <c r="CG71" s="243"/>
      <c r="CH71" s="243"/>
      <c r="CI71" s="243"/>
      <c r="CJ71" s="243"/>
      <c r="CK71" s="242"/>
      <c r="CL71" s="242"/>
      <c r="CM71" s="242"/>
      <c r="CN71" s="242"/>
      <c r="CO71" s="242"/>
      <c r="CP71" s="242"/>
      <c r="CQ71" s="242"/>
      <c r="CR71" s="243"/>
      <c r="CS71" s="243"/>
      <c r="CT71" s="243"/>
      <c r="CU71" s="243"/>
      <c r="CV71" s="243"/>
      <c r="CW71" s="243"/>
      <c r="CX71" s="243"/>
      <c r="CY71" s="242"/>
      <c r="CZ71" s="242"/>
      <c r="DA71" s="242"/>
      <c r="DB71" s="242"/>
      <c r="DC71" s="242"/>
      <c r="DD71" s="242"/>
      <c r="DE71" s="242"/>
      <c r="DF71" s="243"/>
      <c r="DG71" s="243"/>
      <c r="DH71" s="243"/>
      <c r="DI71" s="243"/>
      <c r="DJ71" s="243"/>
      <c r="DK71" s="243"/>
      <c r="DL71" s="243"/>
      <c r="DM71" s="242"/>
      <c r="DN71" s="242"/>
      <c r="DO71" s="242"/>
      <c r="DP71" s="242"/>
      <c r="DQ71" s="242"/>
      <c r="DR71" s="242"/>
      <c r="DS71" s="242"/>
      <c r="DT71" s="243"/>
      <c r="DU71" s="243"/>
      <c r="DV71" s="243"/>
      <c r="DW71" s="243"/>
      <c r="DX71" s="243"/>
      <c r="DY71" s="243"/>
      <c r="DZ71" s="243"/>
      <c r="EA71" s="242"/>
      <c r="EB71" s="242"/>
      <c r="EC71" s="242"/>
      <c r="ED71" s="242"/>
      <c r="EE71" s="242"/>
      <c r="EF71" s="242"/>
      <c r="EG71" s="242"/>
      <c r="EH71" s="243"/>
      <c r="EI71" s="243"/>
      <c r="EJ71" s="243"/>
      <c r="EK71" s="243"/>
      <c r="EL71" s="243"/>
      <c r="EM71" s="243"/>
      <c r="EN71" s="243"/>
      <c r="EO71" s="242"/>
      <c r="EP71" s="242"/>
      <c r="EQ71" s="242"/>
      <c r="ER71" s="242"/>
      <c r="ES71" s="242"/>
      <c r="ET71" s="242"/>
      <c r="EU71" s="242"/>
      <c r="EV71" s="243"/>
      <c r="EW71" s="243"/>
      <c r="EX71" s="243"/>
      <c r="EY71" s="243"/>
      <c r="EZ71" s="243"/>
      <c r="FA71" s="243"/>
      <c r="FB71" s="243"/>
      <c r="FC71" s="242"/>
      <c r="FD71" s="242"/>
      <c r="FE71" s="242"/>
      <c r="FF71" s="242"/>
      <c r="FG71" s="242"/>
      <c r="FH71" s="242"/>
      <c r="FI71" s="242"/>
      <c r="FJ71" s="243"/>
      <c r="FK71" s="243"/>
      <c r="FL71" s="243"/>
      <c r="FM71" s="243"/>
      <c r="FN71" s="243"/>
      <c r="FO71" s="243"/>
      <c r="FP71" s="243"/>
      <c r="FQ71" s="242"/>
      <c r="FR71" s="242"/>
      <c r="FS71" s="242"/>
      <c r="FT71" s="242"/>
      <c r="FU71" s="242"/>
      <c r="FV71" s="242"/>
      <c r="FW71" s="242"/>
      <c r="FX71" s="243"/>
      <c r="FY71" s="243"/>
      <c r="FZ71" s="243"/>
      <c r="GA71" s="243"/>
      <c r="GB71" s="243"/>
      <c r="GC71" s="243"/>
      <c r="GD71" s="243"/>
      <c r="GE71" s="242"/>
      <c r="GF71" s="242"/>
      <c r="GG71" s="242"/>
      <c r="GH71" s="242"/>
      <c r="GI71" s="242"/>
      <c r="GJ71" s="242"/>
      <c r="GK71" s="242"/>
      <c r="GL71" s="243"/>
      <c r="GM71" s="243"/>
      <c r="GN71" s="243"/>
      <c r="GO71" s="243"/>
      <c r="GP71" s="243"/>
      <c r="GQ71" s="243"/>
      <c r="GR71" s="243"/>
      <c r="GS71" s="242"/>
      <c r="GT71" s="242"/>
      <c r="GU71" s="242"/>
      <c r="GV71" s="242"/>
      <c r="GW71" s="242"/>
      <c r="GX71" s="242"/>
      <c r="GY71" s="242"/>
      <c r="GZ71" s="243"/>
      <c r="HA71" s="243"/>
      <c r="HB71" s="243"/>
      <c r="HC71" s="243"/>
      <c r="HD71" s="243"/>
      <c r="HE71" s="243"/>
      <c r="HF71" s="243"/>
      <c r="HG71" s="242"/>
      <c r="HH71" s="242"/>
      <c r="HI71" s="242"/>
      <c r="HJ71" s="242"/>
      <c r="HK71" s="242"/>
      <c r="HL71" s="242"/>
      <c r="HM71" s="242"/>
      <c r="HN71" s="243"/>
      <c r="HO71" s="243"/>
      <c r="HP71" s="243"/>
      <c r="HQ71" s="243"/>
      <c r="HR71" s="243"/>
      <c r="HS71" s="243"/>
      <c r="HT71" s="243"/>
      <c r="HU71" s="242"/>
      <c r="HV71" s="242"/>
      <c r="HW71" s="242"/>
      <c r="HX71" s="242"/>
      <c r="HY71" s="242"/>
      <c r="HZ71" s="242"/>
      <c r="IA71" s="242"/>
      <c r="IB71" s="243"/>
      <c r="IC71" s="243"/>
      <c r="ID71" s="243"/>
      <c r="IE71" s="243"/>
      <c r="IF71" s="243"/>
      <c r="IG71" s="243"/>
      <c r="IH71" s="243"/>
      <c r="II71" s="242"/>
      <c r="IJ71" s="242"/>
      <c r="IK71" s="242"/>
      <c r="IL71" s="242"/>
      <c r="IM71" s="242"/>
      <c r="IN71" s="242"/>
      <c r="IO71" s="242"/>
      <c r="IP71" s="243"/>
      <c r="IQ71" s="243"/>
      <c r="IR71" s="243"/>
      <c r="IS71" s="243"/>
      <c r="IT71" s="243"/>
      <c r="IU71" s="243"/>
      <c r="IV71" s="243"/>
      <c r="IW71" s="242"/>
      <c r="IX71" s="242"/>
      <c r="IY71" s="242"/>
      <c r="IZ71" s="242"/>
      <c r="JA71" s="242"/>
      <c r="JB71" s="242"/>
      <c r="JC71" s="242"/>
      <c r="JD71" s="243"/>
      <c r="JE71" s="243"/>
      <c r="JF71" s="243"/>
      <c r="JG71" s="243"/>
      <c r="JH71" s="243"/>
      <c r="JI71" s="243"/>
      <c r="JJ71" s="243"/>
      <c r="JK71" s="242"/>
      <c r="JL71" s="242"/>
      <c r="JM71" s="242"/>
      <c r="JN71" s="242"/>
      <c r="JO71" s="242"/>
      <c r="JP71" s="242"/>
      <c r="JQ71" s="242"/>
      <c r="JR71" s="243"/>
      <c r="JS71" s="243"/>
      <c r="JT71" s="243"/>
      <c r="JU71" s="243"/>
      <c r="JV71" s="243"/>
      <c r="JW71" s="243"/>
      <c r="JX71" s="243"/>
      <c r="JY71" s="242"/>
      <c r="JZ71" s="242"/>
      <c r="KA71" s="242"/>
      <c r="KB71" s="242"/>
      <c r="KC71" s="242"/>
      <c r="KD71" s="242"/>
      <c r="KE71" s="242"/>
      <c r="KF71" s="243"/>
      <c r="KG71" s="243"/>
      <c r="KH71" s="243"/>
      <c r="KI71" s="243"/>
      <c r="KJ71" s="243"/>
      <c r="KK71" s="243"/>
      <c r="KL71" s="243"/>
      <c r="KM71" s="242"/>
      <c r="KN71" s="242"/>
      <c r="KO71" s="242"/>
      <c r="KP71" s="242"/>
      <c r="KQ71" s="242"/>
      <c r="KR71" s="242"/>
      <c r="KS71" s="242"/>
      <c r="KT71" s="243"/>
      <c r="KU71" s="243"/>
      <c r="KV71" s="243"/>
      <c r="KW71" s="243"/>
      <c r="KX71" s="243"/>
      <c r="KY71" s="243"/>
      <c r="KZ71" s="243"/>
      <c r="LA71" s="242"/>
      <c r="LB71" s="242"/>
      <c r="LC71" s="242"/>
      <c r="LD71" s="242"/>
      <c r="LE71" s="242"/>
      <c r="LF71" s="242"/>
      <c r="LG71" s="242"/>
      <c r="LH71" s="243"/>
      <c r="LI71" s="243"/>
      <c r="LJ71" s="243"/>
      <c r="LK71" s="243"/>
      <c r="LL71" s="243"/>
      <c r="LM71" s="243"/>
      <c r="LN71" s="243"/>
      <c r="LO71" s="242"/>
      <c r="LP71" s="242"/>
      <c r="LQ71" s="242"/>
      <c r="LR71" s="242"/>
      <c r="LS71" s="242"/>
      <c r="LT71" s="242"/>
      <c r="LU71" s="242"/>
      <c r="LV71" s="243"/>
      <c r="LW71" s="243"/>
      <c r="LX71" s="243"/>
      <c r="LY71" s="243"/>
      <c r="LZ71" s="243"/>
      <c r="MA71" s="243"/>
      <c r="MB71" s="243"/>
      <c r="MC71" s="242"/>
      <c r="MD71" s="242"/>
      <c r="ME71" s="242"/>
      <c r="MF71" s="242"/>
      <c r="MG71" s="242"/>
      <c r="MH71" s="242"/>
      <c r="MI71" s="242"/>
      <c r="MJ71" s="243"/>
      <c r="MK71" s="243"/>
      <c r="ML71" s="243"/>
      <c r="MM71" s="243"/>
      <c r="MN71" s="243"/>
      <c r="MO71" s="243"/>
      <c r="MP71" s="243"/>
      <c r="MQ71" s="242"/>
      <c r="MR71" s="242"/>
      <c r="MS71" s="242"/>
      <c r="MT71" s="242"/>
      <c r="MU71" s="242"/>
      <c r="MV71" s="242"/>
      <c r="MW71" s="242"/>
      <c r="MX71" s="243"/>
      <c r="MY71" s="243"/>
      <c r="MZ71" s="243"/>
      <c r="NA71" s="243"/>
      <c r="NB71" s="243"/>
      <c r="NC71" s="243"/>
      <c r="ND71" s="243"/>
      <c r="NE71" s="242"/>
      <c r="NF71" s="242"/>
      <c r="NG71" s="242"/>
      <c r="NH71" s="243"/>
    </row>
    <row r="72" spans="1:372">
      <c r="A72" s="254" t="s">
        <v>973</v>
      </c>
      <c r="B72" s="239" t="s">
        <v>589</v>
      </c>
      <c r="C72" s="240" t="s">
        <v>674</v>
      </c>
      <c r="D72" s="240" t="s">
        <v>982</v>
      </c>
      <c r="E72" s="241">
        <v>0</v>
      </c>
      <c r="F72" s="252">
        <v>0</v>
      </c>
      <c r="G72" s="242"/>
      <c r="H72" s="242"/>
      <c r="I72" s="242"/>
      <c r="J72" s="242"/>
      <c r="K72" s="242"/>
      <c r="L72" s="243"/>
      <c r="M72" s="243"/>
      <c r="N72" s="243"/>
      <c r="O72" s="243"/>
      <c r="P72" s="243"/>
      <c r="Q72" s="243"/>
      <c r="R72" s="243"/>
      <c r="S72" s="242"/>
      <c r="T72" s="242"/>
      <c r="U72" s="242"/>
      <c r="V72" s="242"/>
      <c r="W72" s="242"/>
      <c r="X72" s="242"/>
      <c r="Y72" s="242"/>
      <c r="Z72" s="243"/>
      <c r="AA72" s="243"/>
      <c r="AB72" s="243"/>
      <c r="AC72" s="243"/>
      <c r="AD72" s="243"/>
      <c r="AE72" s="243"/>
      <c r="AF72" s="243"/>
      <c r="AG72" s="242"/>
      <c r="AH72" s="242"/>
      <c r="AI72" s="242"/>
      <c r="AJ72" s="242"/>
      <c r="AK72" s="242"/>
      <c r="AL72" s="242"/>
      <c r="AM72" s="242"/>
      <c r="AN72" s="243"/>
      <c r="AO72" s="243"/>
      <c r="AP72" s="243"/>
      <c r="AQ72" s="243"/>
      <c r="AR72" s="243"/>
      <c r="AS72" s="243"/>
      <c r="AT72" s="243"/>
      <c r="AU72" s="242"/>
      <c r="AV72" s="242"/>
      <c r="AW72" s="242"/>
      <c r="AX72" s="242"/>
      <c r="AY72" s="242"/>
      <c r="AZ72" s="242"/>
      <c r="BA72" s="242"/>
      <c r="BB72" s="243"/>
      <c r="BC72" s="243"/>
      <c r="BD72" s="243"/>
      <c r="BE72" s="243"/>
      <c r="BF72" s="243"/>
      <c r="BG72" s="243"/>
      <c r="BH72" s="243"/>
      <c r="BI72" s="242"/>
      <c r="BJ72" s="242"/>
      <c r="BK72" s="242"/>
      <c r="BL72" s="242"/>
      <c r="BM72" s="242"/>
      <c r="BN72" s="242"/>
      <c r="BO72" s="242"/>
      <c r="BP72" s="243"/>
      <c r="BQ72" s="243"/>
      <c r="BR72" s="243"/>
      <c r="BS72" s="243"/>
      <c r="BT72" s="243"/>
      <c r="BU72" s="243"/>
      <c r="BV72" s="243"/>
      <c r="BW72" s="242"/>
      <c r="BX72" s="242"/>
      <c r="BY72" s="242"/>
      <c r="BZ72" s="242"/>
      <c r="CA72" s="242"/>
      <c r="CB72" s="242"/>
      <c r="CC72" s="242"/>
      <c r="CD72" s="243"/>
      <c r="CE72" s="243"/>
      <c r="CF72" s="243"/>
      <c r="CG72" s="243"/>
      <c r="CH72" s="243"/>
      <c r="CI72" s="243"/>
      <c r="CJ72" s="243"/>
      <c r="CK72" s="242"/>
      <c r="CL72" s="242"/>
      <c r="CM72" s="242"/>
      <c r="CN72" s="242"/>
      <c r="CO72" s="242"/>
      <c r="CP72" s="242"/>
      <c r="CQ72" s="242"/>
      <c r="CR72" s="243"/>
      <c r="CS72" s="243"/>
      <c r="CT72" s="243"/>
      <c r="CU72" s="243"/>
      <c r="CV72" s="243"/>
      <c r="CW72" s="243"/>
      <c r="CX72" s="243"/>
      <c r="CY72" s="242"/>
      <c r="CZ72" s="242"/>
      <c r="DA72" s="242"/>
      <c r="DB72" s="242"/>
      <c r="DC72" s="242"/>
      <c r="DD72" s="242"/>
      <c r="DE72" s="242"/>
      <c r="DF72" s="243"/>
      <c r="DG72" s="243"/>
      <c r="DH72" s="243"/>
      <c r="DI72" s="243"/>
      <c r="DJ72" s="243"/>
      <c r="DK72" s="243"/>
      <c r="DL72" s="243"/>
      <c r="DM72" s="242"/>
      <c r="DN72" s="242"/>
      <c r="DO72" s="242"/>
      <c r="DP72" s="242"/>
      <c r="DQ72" s="242"/>
      <c r="DR72" s="242"/>
      <c r="DS72" s="242"/>
      <c r="DT72" s="243"/>
      <c r="DU72" s="243"/>
      <c r="DV72" s="243"/>
      <c r="DW72" s="243"/>
      <c r="DX72" s="243"/>
      <c r="DY72" s="243"/>
      <c r="DZ72" s="243"/>
      <c r="EA72" s="242"/>
      <c r="EB72" s="242"/>
      <c r="EC72" s="242"/>
      <c r="ED72" s="242"/>
      <c r="EE72" s="242"/>
      <c r="EF72" s="242"/>
      <c r="EG72" s="242"/>
      <c r="EH72" s="243"/>
      <c r="EI72" s="243"/>
      <c r="EJ72" s="243"/>
      <c r="EK72" s="243"/>
      <c r="EL72" s="243"/>
      <c r="EM72" s="243"/>
      <c r="EN72" s="243"/>
      <c r="EO72" s="242"/>
      <c r="EP72" s="242"/>
      <c r="EQ72" s="242"/>
      <c r="ER72" s="242"/>
      <c r="ES72" s="242"/>
      <c r="ET72" s="242"/>
      <c r="EU72" s="242"/>
      <c r="EV72" s="243"/>
      <c r="EW72" s="243"/>
      <c r="EX72" s="243"/>
      <c r="EY72" s="243"/>
      <c r="EZ72" s="243"/>
      <c r="FA72" s="243"/>
      <c r="FB72" s="243"/>
      <c r="FC72" s="242"/>
      <c r="FD72" s="242"/>
      <c r="FE72" s="242"/>
      <c r="FF72" s="242"/>
      <c r="FG72" s="242"/>
      <c r="FH72" s="242"/>
      <c r="FI72" s="242"/>
      <c r="FJ72" s="243"/>
      <c r="FK72" s="243"/>
      <c r="FL72" s="243"/>
      <c r="FM72" s="243"/>
      <c r="FN72" s="243"/>
      <c r="FO72" s="243"/>
      <c r="FP72" s="243"/>
      <c r="FQ72" s="242"/>
      <c r="FR72" s="242"/>
      <c r="FS72" s="242"/>
      <c r="FT72" s="242"/>
      <c r="FU72" s="242"/>
      <c r="FV72" s="242"/>
      <c r="FW72" s="242"/>
      <c r="FX72" s="243"/>
      <c r="FY72" s="243"/>
      <c r="FZ72" s="243"/>
      <c r="GA72" s="243"/>
      <c r="GB72" s="243"/>
      <c r="GC72" s="243"/>
      <c r="GD72" s="243"/>
      <c r="GE72" s="242"/>
      <c r="GF72" s="242"/>
      <c r="GG72" s="242"/>
      <c r="GH72" s="242"/>
      <c r="GI72" s="242"/>
      <c r="GJ72" s="242"/>
      <c r="GK72" s="242"/>
      <c r="GL72" s="243"/>
      <c r="GM72" s="243"/>
      <c r="GN72" s="243"/>
      <c r="GO72" s="243"/>
      <c r="GP72" s="243"/>
      <c r="GQ72" s="243"/>
      <c r="GR72" s="243"/>
      <c r="GS72" s="242"/>
      <c r="GT72" s="242"/>
      <c r="GU72" s="242"/>
      <c r="GV72" s="242"/>
      <c r="GW72" s="242"/>
      <c r="GX72" s="242"/>
      <c r="GY72" s="242"/>
      <c r="GZ72" s="243"/>
      <c r="HA72" s="243"/>
      <c r="HB72" s="243"/>
      <c r="HC72" s="243"/>
      <c r="HD72" s="243"/>
      <c r="HE72" s="243"/>
      <c r="HF72" s="243"/>
      <c r="HG72" s="242"/>
      <c r="HH72" s="242"/>
      <c r="HI72" s="242"/>
      <c r="HJ72" s="242"/>
      <c r="HK72" s="242"/>
      <c r="HL72" s="242"/>
      <c r="HM72" s="242"/>
      <c r="HN72" s="243"/>
      <c r="HO72" s="243"/>
      <c r="HP72" s="243"/>
      <c r="HQ72" s="243"/>
      <c r="HR72" s="243"/>
      <c r="HS72" s="243"/>
      <c r="HT72" s="243"/>
      <c r="HU72" s="242"/>
      <c r="HV72" s="242"/>
      <c r="HW72" s="242"/>
      <c r="HX72" s="242"/>
      <c r="HY72" s="242"/>
      <c r="HZ72" s="242"/>
      <c r="IA72" s="242"/>
      <c r="IB72" s="243"/>
      <c r="IC72" s="243"/>
      <c r="ID72" s="243"/>
      <c r="IE72" s="243"/>
      <c r="IF72" s="243"/>
      <c r="IG72" s="243"/>
      <c r="IH72" s="243"/>
      <c r="II72" s="242"/>
      <c r="IJ72" s="242"/>
      <c r="IK72" s="242"/>
      <c r="IL72" s="242"/>
      <c r="IM72" s="242"/>
      <c r="IN72" s="242"/>
      <c r="IO72" s="242"/>
      <c r="IP72" s="243"/>
      <c r="IQ72" s="243"/>
      <c r="IR72" s="243"/>
      <c r="IS72" s="243"/>
      <c r="IT72" s="243"/>
      <c r="IU72" s="243"/>
      <c r="IV72" s="243"/>
      <c r="IW72" s="242"/>
      <c r="IX72" s="242"/>
      <c r="IY72" s="242"/>
      <c r="IZ72" s="242"/>
      <c r="JA72" s="242"/>
      <c r="JB72" s="242"/>
      <c r="JC72" s="242"/>
      <c r="JD72" s="243"/>
      <c r="JE72" s="243"/>
      <c r="JF72" s="243"/>
      <c r="JG72" s="243"/>
      <c r="JH72" s="243"/>
      <c r="JI72" s="243"/>
      <c r="JJ72" s="243"/>
      <c r="JK72" s="242"/>
      <c r="JL72" s="242"/>
      <c r="JM72" s="242"/>
      <c r="JN72" s="242"/>
      <c r="JO72" s="242"/>
      <c r="JP72" s="242"/>
      <c r="JQ72" s="242"/>
      <c r="JR72" s="243"/>
      <c r="JS72" s="243"/>
      <c r="JT72" s="243"/>
      <c r="JU72" s="243"/>
      <c r="JV72" s="243"/>
      <c r="JW72" s="243"/>
      <c r="JX72" s="243"/>
      <c r="JY72" s="242"/>
      <c r="JZ72" s="242"/>
      <c r="KA72" s="242"/>
      <c r="KB72" s="242"/>
      <c r="KC72" s="242"/>
      <c r="KD72" s="242"/>
      <c r="KE72" s="242"/>
      <c r="KF72" s="243"/>
      <c r="KG72" s="243"/>
      <c r="KH72" s="243"/>
      <c r="KI72" s="243"/>
      <c r="KJ72" s="243"/>
      <c r="KK72" s="243"/>
      <c r="KL72" s="243"/>
      <c r="KM72" s="242"/>
      <c r="KN72" s="242"/>
      <c r="KO72" s="242"/>
      <c r="KP72" s="242"/>
      <c r="KQ72" s="242"/>
      <c r="KR72" s="242"/>
      <c r="KS72" s="242"/>
      <c r="KT72" s="243"/>
      <c r="KU72" s="243"/>
      <c r="KV72" s="243"/>
      <c r="KW72" s="243"/>
      <c r="KX72" s="243"/>
      <c r="KY72" s="243"/>
      <c r="KZ72" s="243"/>
      <c r="LA72" s="242"/>
      <c r="LB72" s="242"/>
      <c r="LC72" s="242"/>
      <c r="LD72" s="242"/>
      <c r="LE72" s="242"/>
      <c r="LF72" s="242"/>
      <c r="LG72" s="242"/>
      <c r="LH72" s="243"/>
      <c r="LI72" s="243"/>
      <c r="LJ72" s="243"/>
      <c r="LK72" s="243"/>
      <c r="LL72" s="243"/>
      <c r="LM72" s="243"/>
      <c r="LN72" s="243"/>
      <c r="LO72" s="242"/>
      <c r="LP72" s="242"/>
      <c r="LQ72" s="242"/>
      <c r="LR72" s="242"/>
      <c r="LS72" s="242"/>
      <c r="LT72" s="242"/>
      <c r="LU72" s="242"/>
      <c r="LV72" s="243"/>
      <c r="LW72" s="243"/>
      <c r="LX72" s="243"/>
      <c r="LY72" s="243"/>
      <c r="LZ72" s="243"/>
      <c r="MA72" s="243"/>
      <c r="MB72" s="243"/>
      <c r="MC72" s="242"/>
      <c r="MD72" s="242"/>
      <c r="ME72" s="242"/>
      <c r="MF72" s="242"/>
      <c r="MG72" s="242"/>
      <c r="MH72" s="242"/>
      <c r="MI72" s="242"/>
      <c r="MJ72" s="243"/>
      <c r="MK72" s="243"/>
      <c r="ML72" s="243"/>
      <c r="MM72" s="243"/>
      <c r="MN72" s="243"/>
      <c r="MO72" s="243"/>
      <c r="MP72" s="243"/>
      <c r="MQ72" s="242"/>
      <c r="MR72" s="242"/>
      <c r="MS72" s="242"/>
      <c r="MT72" s="242"/>
      <c r="MU72" s="242"/>
      <c r="MV72" s="242"/>
      <c r="MW72" s="242"/>
      <c r="MX72" s="243"/>
      <c r="MY72" s="243"/>
      <c r="MZ72" s="243"/>
      <c r="NA72" s="243"/>
      <c r="NB72" s="243"/>
      <c r="NC72" s="243"/>
      <c r="ND72" s="243"/>
      <c r="NE72" s="242"/>
      <c r="NF72" s="242"/>
      <c r="NG72" s="242"/>
      <c r="NH72" s="243"/>
    </row>
    <row r="73" spans="1:372">
      <c r="A73" s="254" t="s">
        <v>973</v>
      </c>
      <c r="B73" s="239" t="s">
        <v>590</v>
      </c>
      <c r="C73" s="240" t="s">
        <v>674</v>
      </c>
      <c r="D73" s="240" t="s">
        <v>982</v>
      </c>
      <c r="E73" s="241">
        <v>0</v>
      </c>
      <c r="F73" s="252">
        <v>0</v>
      </c>
      <c r="G73" s="242"/>
      <c r="H73" s="242"/>
      <c r="I73" s="242"/>
      <c r="J73" s="242"/>
      <c r="K73" s="242"/>
      <c r="L73" s="243"/>
      <c r="M73" s="243"/>
      <c r="N73" s="243"/>
      <c r="O73" s="243"/>
      <c r="P73" s="243"/>
      <c r="Q73" s="243"/>
      <c r="R73" s="243"/>
      <c r="S73" s="242"/>
      <c r="T73" s="242"/>
      <c r="U73" s="242"/>
      <c r="V73" s="242"/>
      <c r="W73" s="242"/>
      <c r="X73" s="242"/>
      <c r="Y73" s="242"/>
      <c r="Z73" s="243"/>
      <c r="AA73" s="243"/>
      <c r="AB73" s="243"/>
      <c r="AC73" s="243"/>
      <c r="AD73" s="243"/>
      <c r="AE73" s="243"/>
      <c r="AF73" s="243"/>
      <c r="AG73" s="242"/>
      <c r="AH73" s="242"/>
      <c r="AI73" s="242"/>
      <c r="AJ73" s="242"/>
      <c r="AK73" s="242"/>
      <c r="AL73" s="242"/>
      <c r="AM73" s="242"/>
      <c r="AN73" s="243"/>
      <c r="AO73" s="243"/>
      <c r="AP73" s="243"/>
      <c r="AQ73" s="243"/>
      <c r="AR73" s="243"/>
      <c r="AS73" s="243"/>
      <c r="AT73" s="243"/>
      <c r="AU73" s="242"/>
      <c r="AV73" s="242"/>
      <c r="AW73" s="242"/>
      <c r="AX73" s="242"/>
      <c r="AY73" s="242"/>
      <c r="AZ73" s="242"/>
      <c r="BA73" s="242"/>
      <c r="BB73" s="243"/>
      <c r="BC73" s="243"/>
      <c r="BD73" s="243"/>
      <c r="BE73" s="243"/>
      <c r="BF73" s="243"/>
      <c r="BG73" s="243"/>
      <c r="BH73" s="243"/>
      <c r="BI73" s="242"/>
      <c r="BJ73" s="242"/>
      <c r="BK73" s="242"/>
      <c r="BL73" s="242"/>
      <c r="BM73" s="242"/>
      <c r="BN73" s="242"/>
      <c r="BO73" s="242"/>
      <c r="BP73" s="243"/>
      <c r="BQ73" s="243"/>
      <c r="BR73" s="243"/>
      <c r="BS73" s="243"/>
      <c r="BT73" s="243"/>
      <c r="BU73" s="243"/>
      <c r="BV73" s="243"/>
      <c r="BW73" s="242"/>
      <c r="BX73" s="242"/>
      <c r="BY73" s="242"/>
      <c r="BZ73" s="242"/>
      <c r="CA73" s="242"/>
      <c r="CB73" s="242"/>
      <c r="CC73" s="242"/>
      <c r="CD73" s="243"/>
      <c r="CE73" s="243"/>
      <c r="CF73" s="243"/>
      <c r="CG73" s="243"/>
      <c r="CH73" s="243"/>
      <c r="CI73" s="243"/>
      <c r="CJ73" s="243"/>
      <c r="CK73" s="242"/>
      <c r="CL73" s="242"/>
      <c r="CM73" s="242"/>
      <c r="CN73" s="242"/>
      <c r="CO73" s="242"/>
      <c r="CP73" s="242"/>
      <c r="CQ73" s="242"/>
      <c r="CR73" s="243"/>
      <c r="CS73" s="243"/>
      <c r="CT73" s="243"/>
      <c r="CU73" s="243"/>
      <c r="CV73" s="243"/>
      <c r="CW73" s="243"/>
      <c r="CX73" s="243"/>
      <c r="CY73" s="242"/>
      <c r="CZ73" s="242"/>
      <c r="DA73" s="242"/>
      <c r="DB73" s="242"/>
      <c r="DC73" s="242"/>
      <c r="DD73" s="242"/>
      <c r="DE73" s="242"/>
      <c r="DF73" s="243"/>
      <c r="DG73" s="243"/>
      <c r="DH73" s="243"/>
      <c r="DI73" s="243"/>
      <c r="DJ73" s="243"/>
      <c r="DK73" s="243"/>
      <c r="DL73" s="243"/>
      <c r="DM73" s="242"/>
      <c r="DN73" s="242"/>
      <c r="DO73" s="242"/>
      <c r="DP73" s="242"/>
      <c r="DQ73" s="242"/>
      <c r="DR73" s="242"/>
      <c r="DS73" s="242"/>
      <c r="DT73" s="243"/>
      <c r="DU73" s="243"/>
      <c r="DV73" s="243"/>
      <c r="DW73" s="243"/>
      <c r="DX73" s="243"/>
      <c r="DY73" s="243"/>
      <c r="DZ73" s="243"/>
      <c r="EA73" s="242"/>
      <c r="EB73" s="242"/>
      <c r="EC73" s="242"/>
      <c r="ED73" s="242"/>
      <c r="EE73" s="242"/>
      <c r="EF73" s="242"/>
      <c r="EG73" s="242"/>
      <c r="EH73" s="243"/>
      <c r="EI73" s="243"/>
      <c r="EJ73" s="243"/>
      <c r="EK73" s="243"/>
      <c r="EL73" s="243"/>
      <c r="EM73" s="243"/>
      <c r="EN73" s="243"/>
      <c r="EO73" s="242"/>
      <c r="EP73" s="242"/>
      <c r="EQ73" s="242"/>
      <c r="ER73" s="242"/>
      <c r="ES73" s="242"/>
      <c r="ET73" s="242"/>
      <c r="EU73" s="242"/>
      <c r="EV73" s="243"/>
      <c r="EW73" s="243"/>
      <c r="EX73" s="243"/>
      <c r="EY73" s="243"/>
      <c r="EZ73" s="243"/>
      <c r="FA73" s="243"/>
      <c r="FB73" s="243"/>
      <c r="FC73" s="242"/>
      <c r="FD73" s="242"/>
      <c r="FE73" s="242"/>
      <c r="FF73" s="242"/>
      <c r="FG73" s="242"/>
      <c r="FH73" s="242"/>
      <c r="FI73" s="242"/>
      <c r="FJ73" s="243"/>
      <c r="FK73" s="243"/>
      <c r="FL73" s="243"/>
      <c r="FM73" s="243"/>
      <c r="FN73" s="243"/>
      <c r="FO73" s="243"/>
      <c r="FP73" s="243"/>
      <c r="FQ73" s="242"/>
      <c r="FR73" s="242"/>
      <c r="FS73" s="242"/>
      <c r="FT73" s="242"/>
      <c r="FU73" s="242"/>
      <c r="FV73" s="242"/>
      <c r="FW73" s="242"/>
      <c r="FX73" s="243"/>
      <c r="FY73" s="243"/>
      <c r="FZ73" s="243"/>
      <c r="GA73" s="243"/>
      <c r="GB73" s="243"/>
      <c r="GC73" s="243"/>
      <c r="GD73" s="243"/>
      <c r="GE73" s="242"/>
      <c r="GF73" s="242"/>
      <c r="GG73" s="242"/>
      <c r="GH73" s="242"/>
      <c r="GI73" s="242"/>
      <c r="GJ73" s="242"/>
      <c r="GK73" s="242"/>
      <c r="GL73" s="243"/>
      <c r="GM73" s="243"/>
      <c r="GN73" s="243"/>
      <c r="GO73" s="243"/>
      <c r="GP73" s="243"/>
      <c r="GQ73" s="243"/>
      <c r="GR73" s="243"/>
      <c r="GS73" s="242"/>
      <c r="GT73" s="242"/>
      <c r="GU73" s="242"/>
      <c r="GV73" s="242"/>
      <c r="GW73" s="242"/>
      <c r="GX73" s="242"/>
      <c r="GY73" s="242"/>
      <c r="GZ73" s="243"/>
      <c r="HA73" s="243"/>
      <c r="HB73" s="243"/>
      <c r="HC73" s="243"/>
      <c r="HD73" s="243"/>
      <c r="HE73" s="243"/>
      <c r="HF73" s="243"/>
      <c r="HG73" s="242"/>
      <c r="HH73" s="242"/>
      <c r="HI73" s="242"/>
      <c r="HJ73" s="242"/>
      <c r="HK73" s="242"/>
      <c r="HL73" s="242"/>
      <c r="HM73" s="242"/>
      <c r="HN73" s="243"/>
      <c r="HO73" s="243"/>
      <c r="HP73" s="243"/>
      <c r="HQ73" s="243"/>
      <c r="HR73" s="243"/>
      <c r="HS73" s="243"/>
      <c r="HT73" s="243"/>
      <c r="HU73" s="242"/>
      <c r="HV73" s="242"/>
      <c r="HW73" s="242"/>
      <c r="HX73" s="242"/>
      <c r="HY73" s="242"/>
      <c r="HZ73" s="242"/>
      <c r="IA73" s="242"/>
      <c r="IB73" s="243"/>
      <c r="IC73" s="243"/>
      <c r="ID73" s="243"/>
      <c r="IE73" s="243"/>
      <c r="IF73" s="243"/>
      <c r="IG73" s="243"/>
      <c r="IH73" s="243"/>
      <c r="II73" s="242"/>
      <c r="IJ73" s="242"/>
      <c r="IK73" s="242"/>
      <c r="IL73" s="242"/>
      <c r="IM73" s="242"/>
      <c r="IN73" s="242"/>
      <c r="IO73" s="242"/>
      <c r="IP73" s="243"/>
      <c r="IQ73" s="243"/>
      <c r="IR73" s="243"/>
      <c r="IS73" s="243"/>
      <c r="IT73" s="243"/>
      <c r="IU73" s="243"/>
      <c r="IV73" s="243"/>
      <c r="IW73" s="242"/>
      <c r="IX73" s="242"/>
      <c r="IY73" s="242"/>
      <c r="IZ73" s="242"/>
      <c r="JA73" s="242"/>
      <c r="JB73" s="242"/>
      <c r="JC73" s="242"/>
      <c r="JD73" s="243"/>
      <c r="JE73" s="243"/>
      <c r="JF73" s="243"/>
      <c r="JG73" s="243"/>
      <c r="JH73" s="243"/>
      <c r="JI73" s="243"/>
      <c r="JJ73" s="243"/>
      <c r="JK73" s="242"/>
      <c r="JL73" s="242"/>
      <c r="JM73" s="242"/>
      <c r="JN73" s="242"/>
      <c r="JO73" s="242"/>
      <c r="JP73" s="242"/>
      <c r="JQ73" s="242"/>
      <c r="JR73" s="243"/>
      <c r="JS73" s="243"/>
      <c r="JT73" s="243"/>
      <c r="JU73" s="243"/>
      <c r="JV73" s="243"/>
      <c r="JW73" s="243"/>
      <c r="JX73" s="243"/>
      <c r="JY73" s="242"/>
      <c r="JZ73" s="242"/>
      <c r="KA73" s="242"/>
      <c r="KB73" s="242"/>
      <c r="KC73" s="242"/>
      <c r="KD73" s="242"/>
      <c r="KE73" s="242"/>
      <c r="KF73" s="243"/>
      <c r="KG73" s="243"/>
      <c r="KH73" s="243"/>
      <c r="KI73" s="243"/>
      <c r="KJ73" s="243"/>
      <c r="KK73" s="243"/>
      <c r="KL73" s="243"/>
      <c r="KM73" s="242"/>
      <c r="KN73" s="242"/>
      <c r="KO73" s="242"/>
      <c r="KP73" s="242"/>
      <c r="KQ73" s="242"/>
      <c r="KR73" s="242"/>
      <c r="KS73" s="242"/>
      <c r="KT73" s="243"/>
      <c r="KU73" s="243"/>
      <c r="KV73" s="243"/>
      <c r="KW73" s="243"/>
      <c r="KX73" s="243"/>
      <c r="KY73" s="243"/>
      <c r="KZ73" s="243"/>
      <c r="LA73" s="242"/>
      <c r="LB73" s="242"/>
      <c r="LC73" s="242"/>
      <c r="LD73" s="242"/>
      <c r="LE73" s="242"/>
      <c r="LF73" s="242"/>
      <c r="LG73" s="242"/>
      <c r="LH73" s="243"/>
      <c r="LI73" s="243"/>
      <c r="LJ73" s="243"/>
      <c r="LK73" s="243"/>
      <c r="LL73" s="243"/>
      <c r="LM73" s="243"/>
      <c r="LN73" s="243"/>
      <c r="LO73" s="242"/>
      <c r="LP73" s="242"/>
      <c r="LQ73" s="242"/>
      <c r="LR73" s="242"/>
      <c r="LS73" s="242"/>
      <c r="LT73" s="242"/>
      <c r="LU73" s="242"/>
      <c r="LV73" s="243"/>
      <c r="LW73" s="243"/>
      <c r="LX73" s="243"/>
      <c r="LY73" s="243"/>
      <c r="LZ73" s="243"/>
      <c r="MA73" s="243"/>
      <c r="MB73" s="243"/>
      <c r="MC73" s="242"/>
      <c r="MD73" s="242"/>
      <c r="ME73" s="242"/>
      <c r="MF73" s="242"/>
      <c r="MG73" s="242"/>
      <c r="MH73" s="242"/>
      <c r="MI73" s="242"/>
      <c r="MJ73" s="243"/>
      <c r="MK73" s="243"/>
      <c r="ML73" s="243"/>
      <c r="MM73" s="243"/>
      <c r="MN73" s="243"/>
      <c r="MO73" s="243"/>
      <c r="MP73" s="243"/>
      <c r="MQ73" s="242"/>
      <c r="MR73" s="242"/>
      <c r="MS73" s="242"/>
      <c r="MT73" s="242"/>
      <c r="MU73" s="242"/>
      <c r="MV73" s="242"/>
      <c r="MW73" s="242"/>
      <c r="MX73" s="243"/>
      <c r="MY73" s="243"/>
      <c r="MZ73" s="243"/>
      <c r="NA73" s="243"/>
      <c r="NB73" s="243"/>
      <c r="NC73" s="243"/>
      <c r="ND73" s="243"/>
      <c r="NE73" s="242"/>
      <c r="NF73" s="242"/>
      <c r="NG73" s="242"/>
      <c r="NH73" s="243"/>
    </row>
    <row r="74" spans="1:372">
      <c r="A74" s="254" t="s">
        <v>973</v>
      </c>
      <c r="B74" s="239" t="s">
        <v>591</v>
      </c>
      <c r="C74" s="240" t="s">
        <v>674</v>
      </c>
      <c r="D74" s="240" t="s">
        <v>982</v>
      </c>
      <c r="E74" s="241">
        <v>0</v>
      </c>
      <c r="F74" s="252">
        <v>0</v>
      </c>
      <c r="G74" s="242"/>
      <c r="H74" s="242"/>
      <c r="I74" s="242"/>
      <c r="J74" s="242"/>
      <c r="K74" s="242"/>
      <c r="L74" s="243"/>
      <c r="M74" s="243"/>
      <c r="N74" s="243"/>
      <c r="O74" s="243"/>
      <c r="P74" s="243"/>
      <c r="Q74" s="243"/>
      <c r="R74" s="243"/>
      <c r="S74" s="242"/>
      <c r="T74" s="242"/>
      <c r="U74" s="242"/>
      <c r="V74" s="242"/>
      <c r="W74" s="242"/>
      <c r="X74" s="242"/>
      <c r="Y74" s="242"/>
      <c r="Z74" s="243"/>
      <c r="AA74" s="243"/>
      <c r="AB74" s="243"/>
      <c r="AC74" s="243"/>
      <c r="AD74" s="243"/>
      <c r="AE74" s="243"/>
      <c r="AF74" s="243"/>
      <c r="AG74" s="242"/>
      <c r="AH74" s="242"/>
      <c r="AI74" s="242"/>
      <c r="AJ74" s="242"/>
      <c r="AK74" s="242"/>
      <c r="AL74" s="242"/>
      <c r="AM74" s="242"/>
      <c r="AN74" s="243"/>
      <c r="AO74" s="243"/>
      <c r="AP74" s="243"/>
      <c r="AQ74" s="243"/>
      <c r="AR74" s="243"/>
      <c r="AS74" s="243"/>
      <c r="AT74" s="243"/>
      <c r="AU74" s="242"/>
      <c r="AV74" s="242"/>
      <c r="AW74" s="242"/>
      <c r="AX74" s="242"/>
      <c r="AY74" s="242"/>
      <c r="AZ74" s="242"/>
      <c r="BA74" s="242"/>
      <c r="BB74" s="243"/>
      <c r="BC74" s="243"/>
      <c r="BD74" s="243"/>
      <c r="BE74" s="243"/>
      <c r="BF74" s="243"/>
      <c r="BG74" s="243"/>
      <c r="BH74" s="243"/>
      <c r="BI74" s="242"/>
      <c r="BJ74" s="242"/>
      <c r="BK74" s="242"/>
      <c r="BL74" s="242"/>
      <c r="BM74" s="242"/>
      <c r="BN74" s="242"/>
      <c r="BO74" s="242"/>
      <c r="BP74" s="243"/>
      <c r="BQ74" s="243"/>
      <c r="BR74" s="243"/>
      <c r="BS74" s="243"/>
      <c r="BT74" s="243"/>
      <c r="BU74" s="243"/>
      <c r="BV74" s="243"/>
      <c r="BW74" s="242"/>
      <c r="BX74" s="242"/>
      <c r="BY74" s="242"/>
      <c r="BZ74" s="242"/>
      <c r="CA74" s="242"/>
      <c r="CB74" s="242"/>
      <c r="CC74" s="242"/>
      <c r="CD74" s="243"/>
      <c r="CE74" s="243"/>
      <c r="CF74" s="243"/>
      <c r="CG74" s="243"/>
      <c r="CH74" s="243"/>
      <c r="CI74" s="243"/>
      <c r="CJ74" s="243"/>
      <c r="CK74" s="242"/>
      <c r="CL74" s="242"/>
      <c r="CM74" s="242"/>
      <c r="CN74" s="242"/>
      <c r="CO74" s="242"/>
      <c r="CP74" s="242"/>
      <c r="CQ74" s="242"/>
      <c r="CR74" s="243"/>
      <c r="CS74" s="243"/>
      <c r="CT74" s="243"/>
      <c r="CU74" s="243"/>
      <c r="CV74" s="243"/>
      <c r="CW74" s="243"/>
      <c r="CX74" s="243"/>
      <c r="CY74" s="242"/>
      <c r="CZ74" s="242"/>
      <c r="DA74" s="242"/>
      <c r="DB74" s="242"/>
      <c r="DC74" s="242"/>
      <c r="DD74" s="242"/>
      <c r="DE74" s="242"/>
      <c r="DF74" s="243"/>
      <c r="DG74" s="243"/>
      <c r="DH74" s="243"/>
      <c r="DI74" s="243"/>
      <c r="DJ74" s="243"/>
      <c r="DK74" s="243"/>
      <c r="DL74" s="243"/>
      <c r="DM74" s="242"/>
      <c r="DN74" s="242"/>
      <c r="DO74" s="242"/>
      <c r="DP74" s="242"/>
      <c r="DQ74" s="242"/>
      <c r="DR74" s="242"/>
      <c r="DS74" s="242"/>
      <c r="DT74" s="243"/>
      <c r="DU74" s="243"/>
      <c r="DV74" s="243"/>
      <c r="DW74" s="243"/>
      <c r="DX74" s="243"/>
      <c r="DY74" s="243"/>
      <c r="DZ74" s="243"/>
      <c r="EA74" s="242"/>
      <c r="EB74" s="242"/>
      <c r="EC74" s="242"/>
      <c r="ED74" s="242"/>
      <c r="EE74" s="242"/>
      <c r="EF74" s="242"/>
      <c r="EG74" s="242"/>
      <c r="EH74" s="243"/>
      <c r="EI74" s="243"/>
      <c r="EJ74" s="243"/>
      <c r="EK74" s="243"/>
      <c r="EL74" s="243"/>
      <c r="EM74" s="243"/>
      <c r="EN74" s="243"/>
      <c r="EO74" s="242"/>
      <c r="EP74" s="242"/>
      <c r="EQ74" s="242"/>
      <c r="ER74" s="242"/>
      <c r="ES74" s="242"/>
      <c r="ET74" s="242"/>
      <c r="EU74" s="242"/>
      <c r="EV74" s="243"/>
      <c r="EW74" s="243"/>
      <c r="EX74" s="243"/>
      <c r="EY74" s="243"/>
      <c r="EZ74" s="243"/>
      <c r="FA74" s="243"/>
      <c r="FB74" s="243"/>
      <c r="FC74" s="242"/>
      <c r="FD74" s="242"/>
      <c r="FE74" s="242"/>
      <c r="FF74" s="242"/>
      <c r="FG74" s="242"/>
      <c r="FH74" s="242"/>
      <c r="FI74" s="242"/>
      <c r="FJ74" s="243"/>
      <c r="FK74" s="243"/>
      <c r="FL74" s="243"/>
      <c r="FM74" s="243"/>
      <c r="FN74" s="243"/>
      <c r="FO74" s="243"/>
      <c r="FP74" s="243"/>
      <c r="FQ74" s="242"/>
      <c r="FR74" s="242"/>
      <c r="FS74" s="242"/>
      <c r="FT74" s="242"/>
      <c r="FU74" s="242"/>
      <c r="FV74" s="242"/>
      <c r="FW74" s="242"/>
      <c r="FX74" s="243"/>
      <c r="FY74" s="243"/>
      <c r="FZ74" s="243"/>
      <c r="GA74" s="243"/>
      <c r="GB74" s="243"/>
      <c r="GC74" s="243"/>
      <c r="GD74" s="243"/>
      <c r="GE74" s="242"/>
      <c r="GF74" s="242"/>
      <c r="GG74" s="242"/>
      <c r="GH74" s="242"/>
      <c r="GI74" s="242"/>
      <c r="GJ74" s="242"/>
      <c r="GK74" s="242"/>
      <c r="GL74" s="243"/>
      <c r="GM74" s="243"/>
      <c r="GN74" s="243"/>
      <c r="GO74" s="243"/>
      <c r="GP74" s="243"/>
      <c r="GQ74" s="243"/>
      <c r="GR74" s="243"/>
      <c r="GS74" s="242"/>
      <c r="GT74" s="242"/>
      <c r="GU74" s="242"/>
      <c r="GV74" s="242"/>
      <c r="GW74" s="242"/>
      <c r="GX74" s="242"/>
      <c r="GY74" s="242"/>
      <c r="GZ74" s="243"/>
      <c r="HA74" s="243"/>
      <c r="HB74" s="243"/>
      <c r="HC74" s="243"/>
      <c r="HD74" s="243"/>
      <c r="HE74" s="243"/>
      <c r="HF74" s="243"/>
      <c r="HG74" s="242"/>
      <c r="HH74" s="242"/>
      <c r="HI74" s="242"/>
      <c r="HJ74" s="242"/>
      <c r="HK74" s="242"/>
      <c r="HL74" s="242"/>
      <c r="HM74" s="242"/>
      <c r="HN74" s="243"/>
      <c r="HO74" s="243"/>
      <c r="HP74" s="243"/>
      <c r="HQ74" s="243"/>
      <c r="HR74" s="243"/>
      <c r="HS74" s="243"/>
      <c r="HT74" s="243"/>
      <c r="HU74" s="242"/>
      <c r="HV74" s="242"/>
      <c r="HW74" s="242"/>
      <c r="HX74" s="242"/>
      <c r="HY74" s="242"/>
      <c r="HZ74" s="242"/>
      <c r="IA74" s="242"/>
      <c r="IB74" s="243"/>
      <c r="IC74" s="243"/>
      <c r="ID74" s="243"/>
      <c r="IE74" s="243"/>
      <c r="IF74" s="243"/>
      <c r="IG74" s="243"/>
      <c r="IH74" s="243"/>
      <c r="II74" s="242"/>
      <c r="IJ74" s="242"/>
      <c r="IK74" s="242"/>
      <c r="IL74" s="242"/>
      <c r="IM74" s="242"/>
      <c r="IN74" s="242"/>
      <c r="IO74" s="242"/>
      <c r="IP74" s="243"/>
      <c r="IQ74" s="243"/>
      <c r="IR74" s="243"/>
      <c r="IS74" s="243"/>
      <c r="IT74" s="243"/>
      <c r="IU74" s="243"/>
      <c r="IV74" s="243"/>
      <c r="IW74" s="242"/>
      <c r="IX74" s="242"/>
      <c r="IY74" s="242"/>
      <c r="IZ74" s="242"/>
      <c r="JA74" s="242"/>
      <c r="JB74" s="242"/>
      <c r="JC74" s="242"/>
      <c r="JD74" s="243"/>
      <c r="JE74" s="243"/>
      <c r="JF74" s="243"/>
      <c r="JG74" s="243"/>
      <c r="JH74" s="243"/>
      <c r="JI74" s="243"/>
      <c r="JJ74" s="243"/>
      <c r="JK74" s="242"/>
      <c r="JL74" s="242"/>
      <c r="JM74" s="242"/>
      <c r="JN74" s="242"/>
      <c r="JO74" s="242"/>
      <c r="JP74" s="242"/>
      <c r="JQ74" s="242"/>
      <c r="JR74" s="243"/>
      <c r="JS74" s="243"/>
      <c r="JT74" s="243"/>
      <c r="JU74" s="243"/>
      <c r="JV74" s="243"/>
      <c r="JW74" s="243"/>
      <c r="JX74" s="243"/>
      <c r="JY74" s="242"/>
      <c r="JZ74" s="242"/>
      <c r="KA74" s="242"/>
      <c r="KB74" s="242"/>
      <c r="KC74" s="242"/>
      <c r="KD74" s="242"/>
      <c r="KE74" s="242"/>
      <c r="KF74" s="243"/>
      <c r="KG74" s="243"/>
      <c r="KH74" s="243"/>
      <c r="KI74" s="243"/>
      <c r="KJ74" s="243"/>
      <c r="KK74" s="243"/>
      <c r="KL74" s="243"/>
      <c r="KM74" s="242"/>
      <c r="KN74" s="242"/>
      <c r="KO74" s="242"/>
      <c r="KP74" s="242"/>
      <c r="KQ74" s="242"/>
      <c r="KR74" s="242"/>
      <c r="KS74" s="242"/>
      <c r="KT74" s="243"/>
      <c r="KU74" s="243"/>
      <c r="KV74" s="243"/>
      <c r="KW74" s="243"/>
      <c r="KX74" s="243"/>
      <c r="KY74" s="243"/>
      <c r="KZ74" s="243"/>
      <c r="LA74" s="242"/>
      <c r="LB74" s="242"/>
      <c r="LC74" s="242"/>
      <c r="LD74" s="242"/>
      <c r="LE74" s="242"/>
      <c r="LF74" s="242"/>
      <c r="LG74" s="242"/>
      <c r="LH74" s="243"/>
      <c r="LI74" s="243"/>
      <c r="LJ74" s="243"/>
      <c r="LK74" s="243"/>
      <c r="LL74" s="243"/>
      <c r="LM74" s="243"/>
      <c r="LN74" s="243"/>
      <c r="LO74" s="242"/>
      <c r="LP74" s="242"/>
      <c r="LQ74" s="242"/>
      <c r="LR74" s="242"/>
      <c r="LS74" s="242"/>
      <c r="LT74" s="242"/>
      <c r="LU74" s="242"/>
      <c r="LV74" s="243"/>
      <c r="LW74" s="243"/>
      <c r="LX74" s="243"/>
      <c r="LY74" s="243"/>
      <c r="LZ74" s="243"/>
      <c r="MA74" s="243"/>
      <c r="MB74" s="243"/>
      <c r="MC74" s="242"/>
      <c r="MD74" s="242"/>
      <c r="ME74" s="242"/>
      <c r="MF74" s="242"/>
      <c r="MG74" s="242"/>
      <c r="MH74" s="242"/>
      <c r="MI74" s="242"/>
      <c r="MJ74" s="243"/>
      <c r="MK74" s="243"/>
      <c r="ML74" s="243"/>
      <c r="MM74" s="243"/>
      <c r="MN74" s="243"/>
      <c r="MO74" s="243"/>
      <c r="MP74" s="243"/>
      <c r="MQ74" s="242"/>
      <c r="MR74" s="242"/>
      <c r="MS74" s="242"/>
      <c r="MT74" s="242"/>
      <c r="MU74" s="242"/>
      <c r="MV74" s="242"/>
      <c r="MW74" s="242"/>
      <c r="MX74" s="243"/>
      <c r="MY74" s="243"/>
      <c r="MZ74" s="243"/>
      <c r="NA74" s="243"/>
      <c r="NB74" s="243"/>
      <c r="NC74" s="243"/>
      <c r="ND74" s="243"/>
      <c r="NE74" s="242"/>
      <c r="NF74" s="242"/>
      <c r="NG74" s="242"/>
      <c r="NH74" s="243"/>
    </row>
    <row r="75" spans="1:372">
      <c r="A75" s="254" t="s">
        <v>974</v>
      </c>
      <c r="B75" s="239" t="s">
        <v>54</v>
      </c>
      <c r="C75" s="240" t="s">
        <v>674</v>
      </c>
      <c r="D75" s="240" t="s">
        <v>982</v>
      </c>
      <c r="E75" s="241">
        <v>393.02261666482741</v>
      </c>
      <c r="F75" s="252">
        <v>384</v>
      </c>
      <c r="G75" s="244"/>
      <c r="H75" s="244"/>
      <c r="I75" s="244"/>
      <c r="J75" s="244"/>
      <c r="K75" s="244"/>
      <c r="L75" s="245"/>
      <c r="M75" s="245"/>
      <c r="N75" s="245"/>
      <c r="O75" s="245"/>
      <c r="P75" s="245"/>
      <c r="Q75" s="245"/>
      <c r="R75" s="245"/>
      <c r="S75" s="244"/>
      <c r="T75" s="244"/>
      <c r="U75" s="244"/>
      <c r="V75" s="244"/>
      <c r="W75" s="244"/>
      <c r="X75" s="244"/>
      <c r="Y75" s="244"/>
      <c r="Z75" s="245"/>
      <c r="AA75" s="245"/>
      <c r="AB75" s="245"/>
      <c r="AC75" s="245"/>
      <c r="AD75" s="245"/>
      <c r="AE75" s="245"/>
      <c r="AF75" s="245"/>
      <c r="AG75" s="244"/>
      <c r="AH75" s="244"/>
      <c r="AI75" s="244"/>
      <c r="AJ75" s="244"/>
      <c r="AK75" s="244"/>
      <c r="AL75" s="244"/>
      <c r="AM75" s="244"/>
      <c r="AN75" s="245"/>
      <c r="AO75" s="245"/>
      <c r="AP75" s="245"/>
      <c r="AQ75" s="245"/>
      <c r="AR75" s="245"/>
      <c r="AS75" s="245"/>
      <c r="AT75" s="245"/>
      <c r="AU75" s="244"/>
      <c r="AV75" s="244"/>
      <c r="AW75" s="244"/>
      <c r="AX75" s="244"/>
      <c r="AY75" s="244"/>
      <c r="AZ75" s="244"/>
      <c r="BA75" s="244"/>
      <c r="BB75" s="245"/>
      <c r="BC75" s="245"/>
      <c r="BD75" s="245"/>
      <c r="BE75" s="245"/>
      <c r="BF75" s="245"/>
      <c r="BG75" s="245"/>
      <c r="BH75" s="245"/>
      <c r="BI75" s="244"/>
      <c r="BJ75" s="244"/>
      <c r="BK75" s="244"/>
      <c r="BL75" s="244"/>
      <c r="BM75" s="244"/>
      <c r="BN75" s="244"/>
      <c r="BO75" s="244"/>
      <c r="BP75" s="245"/>
      <c r="BQ75" s="245"/>
      <c r="BR75" s="245"/>
      <c r="BS75" s="245"/>
      <c r="BT75" s="245"/>
      <c r="BU75" s="245"/>
      <c r="BV75" s="245"/>
      <c r="BW75" s="244"/>
      <c r="BX75" s="244"/>
      <c r="BY75" s="244"/>
      <c r="BZ75" s="244"/>
      <c r="CA75" s="244"/>
      <c r="CB75" s="244"/>
      <c r="CC75" s="244"/>
      <c r="CD75" s="245"/>
      <c r="CE75" s="245"/>
      <c r="CF75" s="245"/>
      <c r="CG75" s="245"/>
      <c r="CH75" s="245"/>
      <c r="CI75" s="245"/>
      <c r="CJ75" s="245"/>
      <c r="CK75" s="244"/>
      <c r="CL75" s="244"/>
      <c r="CM75" s="244"/>
      <c r="CN75" s="244"/>
      <c r="CO75" s="244"/>
      <c r="CP75" s="244"/>
      <c r="CQ75" s="244"/>
      <c r="CR75" s="245"/>
      <c r="CS75" s="245"/>
      <c r="CT75" s="245"/>
      <c r="CU75" s="245"/>
      <c r="CV75" s="245"/>
      <c r="CW75" s="245"/>
      <c r="CX75" s="245"/>
      <c r="CY75" s="244"/>
      <c r="CZ75" s="244"/>
      <c r="DA75" s="244"/>
      <c r="DB75" s="244"/>
      <c r="DC75" s="244"/>
      <c r="DD75" s="244"/>
      <c r="DE75" s="244"/>
      <c r="DF75" s="245"/>
      <c r="DG75" s="245"/>
      <c r="DH75" s="245"/>
      <c r="DI75" s="245"/>
      <c r="DJ75" s="245"/>
      <c r="DK75" s="245"/>
      <c r="DL75" s="245"/>
      <c r="DM75" s="244"/>
      <c r="DN75" s="244"/>
      <c r="DO75" s="244"/>
      <c r="DP75" s="244"/>
      <c r="DQ75" s="244"/>
      <c r="DR75" s="244"/>
      <c r="DS75" s="244"/>
      <c r="DT75" s="245"/>
      <c r="DU75" s="245"/>
      <c r="DV75" s="245"/>
      <c r="DW75" s="245"/>
      <c r="DX75" s="245"/>
      <c r="DY75" s="245"/>
      <c r="DZ75" s="245"/>
      <c r="EA75" s="244"/>
      <c r="EB75" s="244"/>
      <c r="EC75" s="244"/>
      <c r="ED75" s="244"/>
      <c r="EE75" s="244"/>
      <c r="EF75" s="244"/>
      <c r="EG75" s="244"/>
      <c r="EH75" s="245"/>
      <c r="EI75" s="245"/>
      <c r="EJ75" s="245"/>
      <c r="EK75" s="245"/>
      <c r="EL75" s="245"/>
      <c r="EM75" s="245"/>
      <c r="EN75" s="245"/>
      <c r="EO75" s="244"/>
      <c r="EP75" s="244"/>
      <c r="EQ75" s="244"/>
      <c r="ER75" s="244"/>
      <c r="ES75" s="244"/>
      <c r="ET75" s="244"/>
      <c r="EU75" s="244"/>
      <c r="EV75" s="245"/>
      <c r="EW75" s="245"/>
      <c r="EX75" s="245"/>
      <c r="EY75" s="245"/>
      <c r="EZ75" s="245"/>
      <c r="FA75" s="245"/>
      <c r="FB75" s="245"/>
      <c r="FC75" s="244"/>
      <c r="FD75" s="244"/>
      <c r="FE75" s="244"/>
      <c r="FF75" s="244"/>
      <c r="FG75" s="244"/>
      <c r="FH75" s="244"/>
      <c r="FI75" s="244"/>
      <c r="FJ75" s="245"/>
      <c r="FK75" s="245"/>
      <c r="FL75" s="245"/>
      <c r="FM75" s="245"/>
      <c r="FN75" s="245"/>
      <c r="FO75" s="245"/>
      <c r="FP75" s="245"/>
      <c r="FQ75" s="244"/>
      <c r="FR75" s="244"/>
      <c r="FS75" s="244"/>
      <c r="FT75" s="244"/>
      <c r="FU75" s="244"/>
      <c r="FV75" s="244">
        <v>24</v>
      </c>
      <c r="FW75" s="244">
        <v>24</v>
      </c>
      <c r="FX75" s="245">
        <v>24</v>
      </c>
      <c r="FY75" s="245">
        <v>24</v>
      </c>
      <c r="FZ75" s="245">
        <v>24</v>
      </c>
      <c r="GA75" s="245">
        <v>24</v>
      </c>
      <c r="GB75" s="245">
        <v>24</v>
      </c>
      <c r="GC75" s="245">
        <v>24</v>
      </c>
      <c r="GD75" s="245">
        <v>24</v>
      </c>
      <c r="GE75" s="244">
        <v>24</v>
      </c>
      <c r="GF75" s="244">
        <v>24</v>
      </c>
      <c r="GG75" s="244">
        <v>24</v>
      </c>
      <c r="GH75" s="244">
        <v>24</v>
      </c>
      <c r="GI75" s="244">
        <v>24</v>
      </c>
      <c r="GJ75" s="244">
        <v>24</v>
      </c>
      <c r="GK75" s="244">
        <v>24</v>
      </c>
      <c r="GL75" s="245"/>
      <c r="GM75" s="245"/>
      <c r="GN75" s="245"/>
      <c r="GO75" s="245"/>
      <c r="GP75" s="245"/>
      <c r="GQ75" s="245"/>
      <c r="GR75" s="245"/>
      <c r="GS75" s="244"/>
      <c r="GT75" s="244"/>
      <c r="GU75" s="244"/>
      <c r="GV75" s="244"/>
      <c r="GW75" s="244"/>
      <c r="GX75" s="244"/>
      <c r="GY75" s="244"/>
      <c r="GZ75" s="245"/>
      <c r="HA75" s="245"/>
      <c r="HB75" s="245"/>
      <c r="HC75" s="245"/>
      <c r="HD75" s="245"/>
      <c r="HE75" s="245"/>
      <c r="HF75" s="245"/>
      <c r="HG75" s="244"/>
      <c r="HH75" s="244"/>
      <c r="HI75" s="244"/>
      <c r="HJ75" s="244"/>
      <c r="HK75" s="244"/>
      <c r="HL75" s="244"/>
      <c r="HM75" s="244"/>
      <c r="HN75" s="245"/>
      <c r="HO75" s="245"/>
      <c r="HP75" s="245"/>
      <c r="HQ75" s="245"/>
      <c r="HR75" s="245"/>
      <c r="HS75" s="245"/>
      <c r="HT75" s="245"/>
      <c r="HU75" s="244"/>
      <c r="HV75" s="244"/>
      <c r="HW75" s="244"/>
      <c r="HX75" s="244"/>
      <c r="HY75" s="244"/>
      <c r="HZ75" s="244"/>
      <c r="IA75" s="244"/>
      <c r="IB75" s="245"/>
      <c r="IC75" s="245"/>
      <c r="ID75" s="245"/>
      <c r="IE75" s="245"/>
      <c r="IF75" s="245"/>
      <c r="IG75" s="245"/>
      <c r="IH75" s="245"/>
      <c r="II75" s="244"/>
      <c r="IJ75" s="244"/>
      <c r="IK75" s="244"/>
      <c r="IL75" s="244"/>
      <c r="IM75" s="244"/>
      <c r="IN75" s="244"/>
      <c r="IO75" s="244"/>
      <c r="IP75" s="245"/>
      <c r="IQ75" s="245"/>
      <c r="IR75" s="245"/>
      <c r="IS75" s="245"/>
      <c r="IT75" s="245"/>
      <c r="IU75" s="245"/>
      <c r="IV75" s="245"/>
      <c r="IW75" s="244"/>
      <c r="IX75" s="244"/>
      <c r="IY75" s="244"/>
      <c r="IZ75" s="244"/>
      <c r="JA75" s="244"/>
      <c r="JB75" s="244"/>
      <c r="JC75" s="244"/>
      <c r="JD75" s="245"/>
      <c r="JE75" s="245"/>
      <c r="JF75" s="245"/>
      <c r="JG75" s="245"/>
      <c r="JH75" s="245"/>
      <c r="JI75" s="245"/>
      <c r="JJ75" s="245"/>
      <c r="JK75" s="244"/>
      <c r="JL75" s="244"/>
      <c r="JM75" s="244"/>
      <c r="JN75" s="244"/>
      <c r="JO75" s="244"/>
      <c r="JP75" s="244"/>
      <c r="JQ75" s="244"/>
      <c r="JR75" s="245"/>
      <c r="JS75" s="245"/>
      <c r="JT75" s="245"/>
      <c r="JU75" s="245"/>
      <c r="JV75" s="245"/>
      <c r="JW75" s="245"/>
      <c r="JX75" s="245"/>
      <c r="JY75" s="244"/>
      <c r="JZ75" s="244"/>
      <c r="KA75" s="244"/>
      <c r="KB75" s="244"/>
      <c r="KC75" s="244"/>
      <c r="KD75" s="244"/>
      <c r="KE75" s="244"/>
      <c r="KF75" s="245"/>
      <c r="KG75" s="245"/>
      <c r="KH75" s="245"/>
      <c r="KI75" s="245"/>
      <c r="KJ75" s="245"/>
      <c r="KK75" s="245"/>
      <c r="KL75" s="245"/>
      <c r="KM75" s="244"/>
      <c r="KN75" s="244"/>
      <c r="KO75" s="244"/>
      <c r="KP75" s="244"/>
      <c r="KQ75" s="244"/>
      <c r="KR75" s="244"/>
      <c r="KS75" s="244"/>
      <c r="KT75" s="245"/>
      <c r="KU75" s="245"/>
      <c r="KV75" s="245"/>
      <c r="KW75" s="245"/>
      <c r="KX75" s="245"/>
      <c r="KY75" s="245"/>
      <c r="KZ75" s="245"/>
      <c r="LA75" s="244"/>
      <c r="LB75" s="244"/>
      <c r="LC75" s="244"/>
      <c r="LD75" s="244"/>
      <c r="LE75" s="244"/>
      <c r="LF75" s="244"/>
      <c r="LG75" s="244"/>
      <c r="LH75" s="245"/>
      <c r="LI75" s="245"/>
      <c r="LJ75" s="245"/>
      <c r="LK75" s="245"/>
      <c r="LL75" s="245"/>
      <c r="LM75" s="245"/>
      <c r="LN75" s="245"/>
      <c r="LO75" s="244"/>
      <c r="LP75" s="244"/>
      <c r="LQ75" s="244"/>
      <c r="LR75" s="244"/>
      <c r="LS75" s="244"/>
      <c r="LT75" s="244"/>
      <c r="LU75" s="244"/>
      <c r="LV75" s="245"/>
      <c r="LW75" s="245"/>
      <c r="LX75" s="245"/>
      <c r="LY75" s="245"/>
      <c r="LZ75" s="245"/>
      <c r="MA75" s="245"/>
      <c r="MB75" s="245"/>
      <c r="MC75" s="244"/>
      <c r="MD75" s="244"/>
      <c r="ME75" s="244"/>
      <c r="MF75" s="244"/>
      <c r="MG75" s="244"/>
      <c r="MH75" s="244"/>
      <c r="MI75" s="244"/>
      <c r="MJ75" s="245"/>
      <c r="MK75" s="245"/>
      <c r="ML75" s="245"/>
      <c r="MM75" s="245"/>
      <c r="MN75" s="245"/>
      <c r="MO75" s="245"/>
      <c r="MP75" s="245"/>
      <c r="MQ75" s="244"/>
      <c r="MR75" s="244"/>
      <c r="MS75" s="244"/>
      <c r="MT75" s="244"/>
      <c r="MU75" s="244"/>
      <c r="MV75" s="244"/>
      <c r="MW75" s="244"/>
      <c r="MX75" s="245"/>
      <c r="MY75" s="245"/>
      <c r="MZ75" s="245"/>
      <c r="NA75" s="245"/>
      <c r="NB75" s="245"/>
      <c r="NC75" s="245"/>
      <c r="ND75" s="245"/>
      <c r="NE75" s="244"/>
      <c r="NF75" s="244"/>
      <c r="NG75" s="244"/>
      <c r="NH75" s="245" t="s">
        <v>1146</v>
      </c>
    </row>
    <row r="76" spans="1:372">
      <c r="A76" s="254" t="s">
        <v>974</v>
      </c>
      <c r="B76" s="239" t="s">
        <v>55</v>
      </c>
      <c r="C76" s="240" t="s">
        <v>674</v>
      </c>
      <c r="D76" s="240" t="s">
        <v>982</v>
      </c>
      <c r="E76" s="241">
        <v>395.37000553255712</v>
      </c>
      <c r="F76" s="252">
        <v>384</v>
      </c>
      <c r="G76" s="246"/>
      <c r="H76" s="246"/>
      <c r="I76" s="246"/>
      <c r="J76" s="246"/>
      <c r="K76" s="246"/>
      <c r="L76" s="247"/>
      <c r="M76" s="247"/>
      <c r="N76" s="247"/>
      <c r="O76" s="247"/>
      <c r="P76" s="247"/>
      <c r="Q76" s="247"/>
      <c r="R76" s="247"/>
      <c r="S76" s="246"/>
      <c r="T76" s="246"/>
      <c r="U76" s="246"/>
      <c r="V76" s="246"/>
      <c r="W76" s="246"/>
      <c r="X76" s="246"/>
      <c r="Y76" s="246"/>
      <c r="Z76" s="247"/>
      <c r="AA76" s="247"/>
      <c r="AB76" s="247"/>
      <c r="AC76" s="247"/>
      <c r="AD76" s="247"/>
      <c r="AE76" s="247"/>
      <c r="AF76" s="247"/>
      <c r="AG76" s="246"/>
      <c r="AH76" s="246"/>
      <c r="AI76" s="246"/>
      <c r="AJ76" s="246"/>
      <c r="AK76" s="246"/>
      <c r="AL76" s="246"/>
      <c r="AM76" s="246"/>
      <c r="AN76" s="247"/>
      <c r="AO76" s="247"/>
      <c r="AP76" s="247"/>
      <c r="AQ76" s="247"/>
      <c r="AR76" s="247"/>
      <c r="AS76" s="247"/>
      <c r="AT76" s="247"/>
      <c r="AU76" s="246"/>
      <c r="AV76" s="246"/>
      <c r="AW76" s="246"/>
      <c r="AX76" s="246"/>
      <c r="AY76" s="246"/>
      <c r="AZ76" s="246"/>
      <c r="BA76" s="246"/>
      <c r="BB76" s="247"/>
      <c r="BC76" s="247"/>
      <c r="BD76" s="247"/>
      <c r="BE76" s="247"/>
      <c r="BF76" s="247"/>
      <c r="BG76" s="247"/>
      <c r="BH76" s="247"/>
      <c r="BI76" s="246"/>
      <c r="BJ76" s="246"/>
      <c r="BK76" s="246"/>
      <c r="BL76" s="246"/>
      <c r="BM76" s="246"/>
      <c r="BN76" s="246"/>
      <c r="BO76" s="246"/>
      <c r="BP76" s="247"/>
      <c r="BQ76" s="247"/>
      <c r="BR76" s="247"/>
      <c r="BS76" s="247"/>
      <c r="BT76" s="247"/>
      <c r="BU76" s="247"/>
      <c r="BV76" s="247"/>
      <c r="BW76" s="246"/>
      <c r="BX76" s="246"/>
      <c r="BY76" s="246"/>
      <c r="BZ76" s="246"/>
      <c r="CA76" s="246"/>
      <c r="CB76" s="246"/>
      <c r="CC76" s="246"/>
      <c r="CD76" s="247"/>
      <c r="CE76" s="247"/>
      <c r="CF76" s="247"/>
      <c r="CG76" s="247"/>
      <c r="CH76" s="247"/>
      <c r="CI76" s="247"/>
      <c r="CJ76" s="247"/>
      <c r="CK76" s="246"/>
      <c r="CL76" s="246"/>
      <c r="CM76" s="246"/>
      <c r="CN76" s="246"/>
      <c r="CO76" s="246"/>
      <c r="CP76" s="246"/>
      <c r="CQ76" s="246"/>
      <c r="CR76" s="247"/>
      <c r="CS76" s="247"/>
      <c r="CT76" s="247"/>
      <c r="CU76" s="247"/>
      <c r="CV76" s="247"/>
      <c r="CW76" s="247"/>
      <c r="CX76" s="247"/>
      <c r="CY76" s="246"/>
      <c r="CZ76" s="246"/>
      <c r="DA76" s="246"/>
      <c r="DB76" s="246"/>
      <c r="DC76" s="246"/>
      <c r="DD76" s="246"/>
      <c r="DE76" s="246"/>
      <c r="DF76" s="247"/>
      <c r="DG76" s="247"/>
      <c r="DH76" s="247"/>
      <c r="DI76" s="247"/>
      <c r="DJ76" s="247"/>
      <c r="DK76" s="247"/>
      <c r="DL76" s="247"/>
      <c r="DM76" s="246"/>
      <c r="DN76" s="246"/>
      <c r="DO76" s="246"/>
      <c r="DP76" s="246"/>
      <c r="DQ76" s="246"/>
      <c r="DR76" s="246"/>
      <c r="DS76" s="246"/>
      <c r="DT76" s="247"/>
      <c r="DU76" s="247"/>
      <c r="DV76" s="247"/>
      <c r="DW76" s="247"/>
      <c r="DX76" s="247"/>
      <c r="DY76" s="247"/>
      <c r="DZ76" s="247"/>
      <c r="EA76" s="246"/>
      <c r="EB76" s="246"/>
      <c r="EC76" s="246"/>
      <c r="ED76" s="246"/>
      <c r="EE76" s="246"/>
      <c r="EF76" s="246"/>
      <c r="EG76" s="246"/>
      <c r="EH76" s="247"/>
      <c r="EI76" s="247"/>
      <c r="EJ76" s="247"/>
      <c r="EK76" s="247"/>
      <c r="EL76" s="247"/>
      <c r="EM76" s="247"/>
      <c r="EN76" s="247"/>
      <c r="EO76" s="246"/>
      <c r="EP76" s="246"/>
      <c r="EQ76" s="246"/>
      <c r="ER76" s="246"/>
      <c r="ES76" s="246"/>
      <c r="ET76" s="246"/>
      <c r="EU76" s="246"/>
      <c r="EV76" s="247"/>
      <c r="EW76" s="247"/>
      <c r="EX76" s="247"/>
      <c r="EY76" s="247"/>
      <c r="EZ76" s="247"/>
      <c r="FA76" s="247"/>
      <c r="FB76" s="247"/>
      <c r="FC76" s="246"/>
      <c r="FD76" s="246"/>
      <c r="FE76" s="246"/>
      <c r="FF76" s="246"/>
      <c r="FG76" s="246"/>
      <c r="FH76" s="246"/>
      <c r="FI76" s="246"/>
      <c r="FJ76" s="247"/>
      <c r="FK76" s="247"/>
      <c r="FL76" s="247"/>
      <c r="FM76" s="247"/>
      <c r="FN76" s="247"/>
      <c r="FO76" s="247"/>
      <c r="FP76" s="247"/>
      <c r="FQ76" s="246"/>
      <c r="FR76" s="246"/>
      <c r="FS76" s="246"/>
      <c r="FT76" s="246"/>
      <c r="FU76" s="246"/>
      <c r="FV76" s="246">
        <v>24</v>
      </c>
      <c r="FW76" s="246">
        <v>24</v>
      </c>
      <c r="FX76" s="247">
        <v>24</v>
      </c>
      <c r="FY76" s="247">
        <v>24</v>
      </c>
      <c r="FZ76" s="247">
        <v>24</v>
      </c>
      <c r="GA76" s="247">
        <v>24</v>
      </c>
      <c r="GB76" s="247">
        <v>24</v>
      </c>
      <c r="GC76" s="247">
        <v>24</v>
      </c>
      <c r="GD76" s="247">
        <v>24</v>
      </c>
      <c r="GE76" s="246">
        <v>24</v>
      </c>
      <c r="GF76" s="246">
        <v>24</v>
      </c>
      <c r="GG76" s="246">
        <v>24</v>
      </c>
      <c r="GH76" s="246">
        <v>24</v>
      </c>
      <c r="GI76" s="246">
        <v>24</v>
      </c>
      <c r="GJ76" s="246">
        <v>24</v>
      </c>
      <c r="GK76" s="246">
        <v>24</v>
      </c>
      <c r="GL76" s="247"/>
      <c r="GM76" s="247"/>
      <c r="GN76" s="247"/>
      <c r="GO76" s="247"/>
      <c r="GP76" s="247"/>
      <c r="GQ76" s="247"/>
      <c r="GR76" s="247"/>
      <c r="GS76" s="246"/>
      <c r="GT76" s="246"/>
      <c r="GU76" s="246"/>
      <c r="GV76" s="246"/>
      <c r="GW76" s="246"/>
      <c r="GX76" s="246"/>
      <c r="GY76" s="246"/>
      <c r="GZ76" s="247"/>
      <c r="HA76" s="247"/>
      <c r="HB76" s="247"/>
      <c r="HC76" s="247"/>
      <c r="HD76" s="247"/>
      <c r="HE76" s="247"/>
      <c r="HF76" s="247"/>
      <c r="HG76" s="246"/>
      <c r="HH76" s="246"/>
      <c r="HI76" s="246"/>
      <c r="HJ76" s="246"/>
      <c r="HK76" s="246"/>
      <c r="HL76" s="246"/>
      <c r="HM76" s="246"/>
      <c r="HN76" s="247"/>
      <c r="HO76" s="247"/>
      <c r="HP76" s="247"/>
      <c r="HQ76" s="247"/>
      <c r="HR76" s="247"/>
      <c r="HS76" s="247"/>
      <c r="HT76" s="247"/>
      <c r="HU76" s="246"/>
      <c r="HV76" s="246"/>
      <c r="HW76" s="246"/>
      <c r="HX76" s="246"/>
      <c r="HY76" s="246"/>
      <c r="HZ76" s="246"/>
      <c r="IA76" s="246"/>
      <c r="IB76" s="247"/>
      <c r="IC76" s="247"/>
      <c r="ID76" s="247"/>
      <c r="IE76" s="247"/>
      <c r="IF76" s="247"/>
      <c r="IG76" s="247"/>
      <c r="IH76" s="247"/>
      <c r="II76" s="246"/>
      <c r="IJ76" s="246"/>
      <c r="IK76" s="246"/>
      <c r="IL76" s="246"/>
      <c r="IM76" s="246"/>
      <c r="IN76" s="246"/>
      <c r="IO76" s="246"/>
      <c r="IP76" s="247"/>
      <c r="IQ76" s="247"/>
      <c r="IR76" s="247"/>
      <c r="IS76" s="247"/>
      <c r="IT76" s="247"/>
      <c r="IU76" s="247"/>
      <c r="IV76" s="247"/>
      <c r="IW76" s="246"/>
      <c r="IX76" s="246"/>
      <c r="IY76" s="246"/>
      <c r="IZ76" s="246"/>
      <c r="JA76" s="246"/>
      <c r="JB76" s="246"/>
      <c r="JC76" s="246"/>
      <c r="JD76" s="247"/>
      <c r="JE76" s="247"/>
      <c r="JF76" s="247"/>
      <c r="JG76" s="247"/>
      <c r="JH76" s="247"/>
      <c r="JI76" s="247"/>
      <c r="JJ76" s="247"/>
      <c r="JK76" s="246"/>
      <c r="JL76" s="246"/>
      <c r="JM76" s="246"/>
      <c r="JN76" s="246"/>
      <c r="JO76" s="246"/>
      <c r="JP76" s="246"/>
      <c r="JQ76" s="246"/>
      <c r="JR76" s="247"/>
      <c r="JS76" s="247"/>
      <c r="JT76" s="247"/>
      <c r="JU76" s="247"/>
      <c r="JV76" s="247"/>
      <c r="JW76" s="247"/>
      <c r="JX76" s="247"/>
      <c r="JY76" s="246"/>
      <c r="JZ76" s="246"/>
      <c r="KA76" s="246"/>
      <c r="KB76" s="246"/>
      <c r="KC76" s="246"/>
      <c r="KD76" s="246"/>
      <c r="KE76" s="246"/>
      <c r="KF76" s="247"/>
      <c r="KG76" s="247"/>
      <c r="KH76" s="247"/>
      <c r="KI76" s="247"/>
      <c r="KJ76" s="247"/>
      <c r="KK76" s="247"/>
      <c r="KL76" s="247"/>
      <c r="KM76" s="246"/>
      <c r="KN76" s="246"/>
      <c r="KO76" s="246"/>
      <c r="KP76" s="246"/>
      <c r="KQ76" s="246"/>
      <c r="KR76" s="246"/>
      <c r="KS76" s="246"/>
      <c r="KT76" s="247"/>
      <c r="KU76" s="247"/>
      <c r="KV76" s="247"/>
      <c r="KW76" s="247"/>
      <c r="KX76" s="247"/>
      <c r="KY76" s="247"/>
      <c r="KZ76" s="247"/>
      <c r="LA76" s="246"/>
      <c r="LB76" s="246"/>
      <c r="LC76" s="246"/>
      <c r="LD76" s="246"/>
      <c r="LE76" s="246"/>
      <c r="LF76" s="246"/>
      <c r="LG76" s="246"/>
      <c r="LH76" s="247"/>
      <c r="LI76" s="247"/>
      <c r="LJ76" s="247"/>
      <c r="LK76" s="247"/>
      <c r="LL76" s="247"/>
      <c r="LM76" s="247"/>
      <c r="LN76" s="247"/>
      <c r="LO76" s="246"/>
      <c r="LP76" s="246"/>
      <c r="LQ76" s="246"/>
      <c r="LR76" s="246"/>
      <c r="LS76" s="246"/>
      <c r="LT76" s="246"/>
      <c r="LU76" s="246"/>
      <c r="LV76" s="247"/>
      <c r="LW76" s="247"/>
      <c r="LX76" s="247"/>
      <c r="LY76" s="247"/>
      <c r="LZ76" s="247"/>
      <c r="MA76" s="247"/>
      <c r="MB76" s="247"/>
      <c r="MC76" s="246"/>
      <c r="MD76" s="246"/>
      <c r="ME76" s="246"/>
      <c r="MF76" s="246"/>
      <c r="MG76" s="246"/>
      <c r="MH76" s="246"/>
      <c r="MI76" s="246"/>
      <c r="MJ76" s="247"/>
      <c r="MK76" s="247"/>
      <c r="ML76" s="247"/>
      <c r="MM76" s="247"/>
      <c r="MN76" s="247"/>
      <c r="MO76" s="247"/>
      <c r="MP76" s="247"/>
      <c r="MQ76" s="246"/>
      <c r="MR76" s="246"/>
      <c r="MS76" s="246"/>
      <c r="MT76" s="246"/>
      <c r="MU76" s="246"/>
      <c r="MV76" s="246"/>
      <c r="MW76" s="246"/>
      <c r="MX76" s="247"/>
      <c r="MY76" s="247"/>
      <c r="MZ76" s="247"/>
      <c r="NA76" s="247"/>
      <c r="NB76" s="247"/>
      <c r="NC76" s="247"/>
      <c r="ND76" s="247"/>
      <c r="NE76" s="246"/>
      <c r="NF76" s="246"/>
      <c r="NG76" s="246"/>
      <c r="NH76" s="247" t="s">
        <v>1146</v>
      </c>
    </row>
    <row r="77" spans="1:372">
      <c r="A77" s="254" t="s">
        <v>974</v>
      </c>
      <c r="B77" s="239" t="s">
        <v>57</v>
      </c>
      <c r="C77" s="240" t="s">
        <v>674</v>
      </c>
      <c r="D77" s="240" t="s">
        <v>982</v>
      </c>
      <c r="E77" s="241">
        <v>135.35999999999999</v>
      </c>
      <c r="F77" s="252">
        <v>192</v>
      </c>
      <c r="G77" s="246"/>
      <c r="H77" s="246"/>
      <c r="I77" s="246"/>
      <c r="J77" s="246"/>
      <c r="K77" s="246"/>
      <c r="L77" s="247"/>
      <c r="M77" s="247"/>
      <c r="N77" s="247"/>
      <c r="O77" s="247"/>
      <c r="P77" s="247"/>
      <c r="Q77" s="247"/>
      <c r="R77" s="247"/>
      <c r="S77" s="246"/>
      <c r="T77" s="246"/>
      <c r="U77" s="246"/>
      <c r="V77" s="246"/>
      <c r="W77" s="246"/>
      <c r="X77" s="246"/>
      <c r="Y77" s="246"/>
      <c r="Z77" s="247"/>
      <c r="AA77" s="247"/>
      <c r="AB77" s="247"/>
      <c r="AC77" s="247"/>
      <c r="AD77" s="247"/>
      <c r="AE77" s="247"/>
      <c r="AF77" s="247"/>
      <c r="AG77" s="246"/>
      <c r="AH77" s="246"/>
      <c r="AI77" s="246"/>
      <c r="AJ77" s="246"/>
      <c r="AK77" s="246"/>
      <c r="AL77" s="246"/>
      <c r="AM77" s="246"/>
      <c r="AN77" s="247"/>
      <c r="AO77" s="247"/>
      <c r="AP77" s="247"/>
      <c r="AQ77" s="247"/>
      <c r="AR77" s="247"/>
      <c r="AS77" s="247"/>
      <c r="AT77" s="247"/>
      <c r="AU77" s="246"/>
      <c r="AV77" s="246"/>
      <c r="AW77" s="246"/>
      <c r="AX77" s="246"/>
      <c r="AY77" s="246"/>
      <c r="AZ77" s="246"/>
      <c r="BA77" s="246"/>
      <c r="BB77" s="247"/>
      <c r="BC77" s="247"/>
      <c r="BD77" s="247"/>
      <c r="BE77" s="247"/>
      <c r="BF77" s="247"/>
      <c r="BG77" s="247"/>
      <c r="BH77" s="247"/>
      <c r="BI77" s="246"/>
      <c r="BJ77" s="246"/>
      <c r="BK77" s="246"/>
      <c r="BL77" s="246"/>
      <c r="BM77" s="246"/>
      <c r="BN77" s="246"/>
      <c r="BO77" s="246"/>
      <c r="BP77" s="247"/>
      <c r="BQ77" s="247"/>
      <c r="BR77" s="247"/>
      <c r="BS77" s="247"/>
      <c r="BT77" s="247"/>
      <c r="BU77" s="247"/>
      <c r="BV77" s="247"/>
      <c r="BW77" s="246"/>
      <c r="BX77" s="246"/>
      <c r="BY77" s="246"/>
      <c r="BZ77" s="246"/>
      <c r="CA77" s="246"/>
      <c r="CB77" s="246"/>
      <c r="CC77" s="246"/>
      <c r="CD77" s="247"/>
      <c r="CE77" s="247"/>
      <c r="CF77" s="247"/>
      <c r="CG77" s="247"/>
      <c r="CH77" s="247"/>
      <c r="CI77" s="247"/>
      <c r="CJ77" s="247"/>
      <c r="CK77" s="246"/>
      <c r="CL77" s="246"/>
      <c r="CM77" s="246"/>
      <c r="CN77" s="246"/>
      <c r="CO77" s="246"/>
      <c r="CP77" s="246"/>
      <c r="CQ77" s="246"/>
      <c r="CR77" s="247"/>
      <c r="CS77" s="247"/>
      <c r="CT77" s="247"/>
      <c r="CU77" s="247"/>
      <c r="CV77" s="247"/>
      <c r="CW77" s="247"/>
      <c r="CX77" s="247"/>
      <c r="CY77" s="246"/>
      <c r="CZ77" s="246"/>
      <c r="DA77" s="246"/>
      <c r="DB77" s="246"/>
      <c r="DC77" s="246"/>
      <c r="DD77" s="246"/>
      <c r="DE77" s="246"/>
      <c r="DF77" s="247"/>
      <c r="DG77" s="247"/>
      <c r="DH77" s="247"/>
      <c r="DI77" s="247"/>
      <c r="DJ77" s="247"/>
      <c r="DK77" s="247"/>
      <c r="DL77" s="247"/>
      <c r="DM77" s="246"/>
      <c r="DN77" s="246"/>
      <c r="DO77" s="246"/>
      <c r="DP77" s="246"/>
      <c r="DQ77" s="246"/>
      <c r="DR77" s="246"/>
      <c r="DS77" s="246"/>
      <c r="DT77" s="247"/>
      <c r="DU77" s="247"/>
      <c r="DV77" s="247"/>
      <c r="DW77" s="247"/>
      <c r="DX77" s="247"/>
      <c r="DY77" s="247"/>
      <c r="DZ77" s="247"/>
      <c r="EA77" s="246"/>
      <c r="EB77" s="246"/>
      <c r="EC77" s="246"/>
      <c r="ED77" s="246"/>
      <c r="EE77" s="246"/>
      <c r="EF77" s="246"/>
      <c r="EG77" s="246"/>
      <c r="EH77" s="247"/>
      <c r="EI77" s="247"/>
      <c r="EJ77" s="247"/>
      <c r="EK77" s="247"/>
      <c r="EL77" s="247"/>
      <c r="EM77" s="247">
        <v>24</v>
      </c>
      <c r="EN77" s="247">
        <v>24</v>
      </c>
      <c r="EO77" s="246">
        <v>24</v>
      </c>
      <c r="EP77" s="246">
        <v>24</v>
      </c>
      <c r="EQ77" s="246">
        <v>24</v>
      </c>
      <c r="ER77" s="246">
        <v>24</v>
      </c>
      <c r="ES77" s="246">
        <v>24</v>
      </c>
      <c r="ET77" s="246">
        <v>24</v>
      </c>
      <c r="EU77" s="246"/>
      <c r="EV77" s="247"/>
      <c r="EW77" s="247"/>
      <c r="EX77" s="247"/>
      <c r="EY77" s="247"/>
      <c r="EZ77" s="247"/>
      <c r="FA77" s="247"/>
      <c r="FB77" s="247"/>
      <c r="FC77" s="246"/>
      <c r="FD77" s="246"/>
      <c r="FE77" s="246"/>
      <c r="FF77" s="246"/>
      <c r="FG77" s="246"/>
      <c r="FH77" s="246"/>
      <c r="FI77" s="246"/>
      <c r="FJ77" s="247"/>
      <c r="FK77" s="247"/>
      <c r="FL77" s="247"/>
      <c r="FM77" s="247"/>
      <c r="FN77" s="247"/>
      <c r="FO77" s="247"/>
      <c r="FP77" s="247"/>
      <c r="FQ77" s="246"/>
      <c r="FR77" s="246"/>
      <c r="FS77" s="246"/>
      <c r="FT77" s="246"/>
      <c r="FU77" s="246"/>
      <c r="FV77" s="246"/>
      <c r="FW77" s="246"/>
      <c r="FX77" s="247"/>
      <c r="FY77" s="247"/>
      <c r="FZ77" s="247"/>
      <c r="GA77" s="247"/>
      <c r="GB77" s="247"/>
      <c r="GC77" s="247"/>
      <c r="GD77" s="247"/>
      <c r="GE77" s="246"/>
      <c r="GF77" s="246"/>
      <c r="GG77" s="246"/>
      <c r="GH77" s="246"/>
      <c r="GI77" s="246"/>
      <c r="GJ77" s="246"/>
      <c r="GK77" s="246"/>
      <c r="GL77" s="247"/>
      <c r="GM77" s="247"/>
      <c r="GN77" s="247"/>
      <c r="GO77" s="247"/>
      <c r="GP77" s="247"/>
      <c r="GQ77" s="247"/>
      <c r="GR77" s="247"/>
      <c r="GS77" s="246"/>
      <c r="GT77" s="246"/>
      <c r="GU77" s="246"/>
      <c r="GV77" s="246"/>
      <c r="GW77" s="246"/>
      <c r="GX77" s="246"/>
      <c r="GY77" s="246"/>
      <c r="GZ77" s="247"/>
      <c r="HA77" s="247"/>
      <c r="HB77" s="247"/>
      <c r="HC77" s="247"/>
      <c r="HD77" s="247"/>
      <c r="HE77" s="247"/>
      <c r="HF77" s="247"/>
      <c r="HG77" s="246"/>
      <c r="HH77" s="246"/>
      <c r="HI77" s="246"/>
      <c r="HJ77" s="246"/>
      <c r="HK77" s="246"/>
      <c r="HL77" s="246"/>
      <c r="HM77" s="246"/>
      <c r="HN77" s="247"/>
      <c r="HO77" s="247"/>
      <c r="HP77" s="247"/>
      <c r="HQ77" s="247"/>
      <c r="HR77" s="247"/>
      <c r="HS77" s="247"/>
      <c r="HT77" s="247"/>
      <c r="HU77" s="246"/>
      <c r="HV77" s="246"/>
      <c r="HW77" s="246"/>
      <c r="HX77" s="246"/>
      <c r="HY77" s="246"/>
      <c r="HZ77" s="246"/>
      <c r="IA77" s="246"/>
      <c r="IB77" s="247"/>
      <c r="IC77" s="247"/>
      <c r="ID77" s="247"/>
      <c r="IE77" s="247"/>
      <c r="IF77" s="247"/>
      <c r="IG77" s="247"/>
      <c r="IH77" s="247"/>
      <c r="II77" s="246"/>
      <c r="IJ77" s="246"/>
      <c r="IK77" s="246"/>
      <c r="IL77" s="246"/>
      <c r="IM77" s="246"/>
      <c r="IN77" s="246"/>
      <c r="IO77" s="246"/>
      <c r="IP77" s="247"/>
      <c r="IQ77" s="247"/>
      <c r="IR77" s="247"/>
      <c r="IS77" s="247"/>
      <c r="IT77" s="247"/>
      <c r="IU77" s="247"/>
      <c r="IV77" s="247"/>
      <c r="IW77" s="246"/>
      <c r="IX77" s="246"/>
      <c r="IY77" s="246"/>
      <c r="IZ77" s="246"/>
      <c r="JA77" s="246"/>
      <c r="JB77" s="246"/>
      <c r="JC77" s="246"/>
      <c r="JD77" s="247"/>
      <c r="JE77" s="247"/>
      <c r="JF77" s="247"/>
      <c r="JG77" s="247"/>
      <c r="JH77" s="247"/>
      <c r="JI77" s="247"/>
      <c r="JJ77" s="247"/>
      <c r="JK77" s="246"/>
      <c r="JL77" s="246"/>
      <c r="JM77" s="246"/>
      <c r="JN77" s="246"/>
      <c r="JO77" s="246"/>
      <c r="JP77" s="246"/>
      <c r="JQ77" s="246"/>
      <c r="JR77" s="247"/>
      <c r="JS77" s="247"/>
      <c r="JT77" s="247"/>
      <c r="JU77" s="247"/>
      <c r="JV77" s="247"/>
      <c r="JW77" s="247"/>
      <c r="JX77" s="247"/>
      <c r="JY77" s="246"/>
      <c r="JZ77" s="246"/>
      <c r="KA77" s="246"/>
      <c r="KB77" s="246"/>
      <c r="KC77" s="246"/>
      <c r="KD77" s="246"/>
      <c r="KE77" s="246"/>
      <c r="KF77" s="247"/>
      <c r="KG77" s="247"/>
      <c r="KH77" s="247"/>
      <c r="KI77" s="247"/>
      <c r="KJ77" s="247"/>
      <c r="KK77" s="247"/>
      <c r="KL77" s="247"/>
      <c r="KM77" s="246"/>
      <c r="KN77" s="246"/>
      <c r="KO77" s="246"/>
      <c r="KP77" s="246"/>
      <c r="KQ77" s="246"/>
      <c r="KR77" s="246"/>
      <c r="KS77" s="246"/>
      <c r="KT77" s="247"/>
      <c r="KU77" s="247"/>
      <c r="KV77" s="247"/>
      <c r="KW77" s="247"/>
      <c r="KX77" s="247"/>
      <c r="KY77" s="247"/>
      <c r="KZ77" s="247"/>
      <c r="LA77" s="246"/>
      <c r="LB77" s="246"/>
      <c r="LC77" s="246"/>
      <c r="LD77" s="246"/>
      <c r="LE77" s="246"/>
      <c r="LF77" s="246"/>
      <c r="LG77" s="246"/>
      <c r="LH77" s="247"/>
      <c r="LI77" s="247"/>
      <c r="LJ77" s="247"/>
      <c r="LK77" s="247"/>
      <c r="LL77" s="247"/>
      <c r="LM77" s="247"/>
      <c r="LN77" s="247"/>
      <c r="LO77" s="246"/>
      <c r="LP77" s="246"/>
      <c r="LQ77" s="246"/>
      <c r="LR77" s="246"/>
      <c r="LS77" s="246"/>
      <c r="LT77" s="246"/>
      <c r="LU77" s="246"/>
      <c r="LV77" s="247"/>
      <c r="LW77" s="247"/>
      <c r="LX77" s="247"/>
      <c r="LY77" s="247"/>
      <c r="LZ77" s="247"/>
      <c r="MA77" s="247"/>
      <c r="MB77" s="247"/>
      <c r="MC77" s="246"/>
      <c r="MD77" s="246"/>
      <c r="ME77" s="246"/>
      <c r="MF77" s="246"/>
      <c r="MG77" s="246"/>
      <c r="MH77" s="246"/>
      <c r="MI77" s="246"/>
      <c r="MJ77" s="247"/>
      <c r="MK77" s="247"/>
      <c r="ML77" s="247"/>
      <c r="MM77" s="247"/>
      <c r="MN77" s="247"/>
      <c r="MO77" s="247"/>
      <c r="MP77" s="247"/>
      <c r="MQ77" s="246"/>
      <c r="MR77" s="246"/>
      <c r="MS77" s="246"/>
      <c r="MT77" s="246"/>
      <c r="MU77" s="246"/>
      <c r="MV77" s="246"/>
      <c r="MW77" s="246"/>
      <c r="MX77" s="247"/>
      <c r="MY77" s="247"/>
      <c r="MZ77" s="247"/>
      <c r="NA77" s="247"/>
      <c r="NB77" s="247"/>
      <c r="NC77" s="247"/>
      <c r="ND77" s="247"/>
      <c r="NE77" s="246"/>
      <c r="NF77" s="246"/>
      <c r="NG77" s="246"/>
      <c r="NH77" s="247" t="s">
        <v>1147</v>
      </c>
    </row>
    <row r="78" spans="1:372">
      <c r="A78" s="254" t="s">
        <v>974</v>
      </c>
      <c r="B78" s="239" t="s">
        <v>58</v>
      </c>
      <c r="C78" s="240" t="s">
        <v>674</v>
      </c>
      <c r="D78" s="240" t="s">
        <v>982</v>
      </c>
      <c r="E78" s="241">
        <v>315.83999999999997</v>
      </c>
      <c r="F78" s="252">
        <v>408</v>
      </c>
      <c r="G78" s="246"/>
      <c r="H78" s="246"/>
      <c r="I78" s="246"/>
      <c r="J78" s="246"/>
      <c r="K78" s="246"/>
      <c r="L78" s="247"/>
      <c r="M78" s="247"/>
      <c r="N78" s="247"/>
      <c r="O78" s="247"/>
      <c r="P78" s="247"/>
      <c r="Q78" s="247"/>
      <c r="R78" s="247"/>
      <c r="S78" s="246"/>
      <c r="T78" s="246"/>
      <c r="U78" s="246"/>
      <c r="V78" s="246"/>
      <c r="W78" s="246"/>
      <c r="X78" s="246"/>
      <c r="Y78" s="246"/>
      <c r="Z78" s="247"/>
      <c r="AA78" s="247"/>
      <c r="AB78" s="247"/>
      <c r="AC78" s="247"/>
      <c r="AD78" s="247"/>
      <c r="AE78" s="247"/>
      <c r="AF78" s="247"/>
      <c r="AG78" s="246"/>
      <c r="AH78" s="246"/>
      <c r="AI78" s="246"/>
      <c r="AJ78" s="246"/>
      <c r="AK78" s="246"/>
      <c r="AL78" s="246"/>
      <c r="AM78" s="246"/>
      <c r="AN78" s="247"/>
      <c r="AO78" s="247"/>
      <c r="AP78" s="247"/>
      <c r="AQ78" s="247"/>
      <c r="AR78" s="247"/>
      <c r="AS78" s="247"/>
      <c r="AT78" s="247"/>
      <c r="AU78" s="246"/>
      <c r="AV78" s="246"/>
      <c r="AW78" s="246"/>
      <c r="AX78" s="246"/>
      <c r="AY78" s="246"/>
      <c r="AZ78" s="246"/>
      <c r="BA78" s="246"/>
      <c r="BB78" s="247"/>
      <c r="BC78" s="247"/>
      <c r="BD78" s="247"/>
      <c r="BE78" s="247"/>
      <c r="BF78" s="247"/>
      <c r="BG78" s="247"/>
      <c r="BH78" s="247"/>
      <c r="BI78" s="246"/>
      <c r="BJ78" s="246"/>
      <c r="BK78" s="246"/>
      <c r="BL78" s="246"/>
      <c r="BM78" s="246"/>
      <c r="BN78" s="246"/>
      <c r="BO78" s="246"/>
      <c r="BP78" s="247"/>
      <c r="BQ78" s="247"/>
      <c r="BR78" s="247"/>
      <c r="BS78" s="247"/>
      <c r="BT78" s="247"/>
      <c r="BU78" s="247"/>
      <c r="BV78" s="247"/>
      <c r="BW78" s="246"/>
      <c r="BX78" s="246"/>
      <c r="BY78" s="246"/>
      <c r="BZ78" s="246"/>
      <c r="CA78" s="246"/>
      <c r="CB78" s="246"/>
      <c r="CC78" s="246"/>
      <c r="CD78" s="247"/>
      <c r="CE78" s="247"/>
      <c r="CF78" s="247"/>
      <c r="CG78" s="247"/>
      <c r="CH78" s="247"/>
      <c r="CI78" s="247"/>
      <c r="CJ78" s="247"/>
      <c r="CK78" s="246"/>
      <c r="CL78" s="246"/>
      <c r="CM78" s="246"/>
      <c r="CN78" s="246"/>
      <c r="CO78" s="246"/>
      <c r="CP78" s="246"/>
      <c r="CQ78" s="246"/>
      <c r="CR78" s="247"/>
      <c r="CS78" s="247"/>
      <c r="CT78" s="247"/>
      <c r="CU78" s="247"/>
      <c r="CV78" s="247"/>
      <c r="CW78" s="247"/>
      <c r="CX78" s="247"/>
      <c r="CY78" s="246"/>
      <c r="CZ78" s="246"/>
      <c r="DA78" s="246"/>
      <c r="DB78" s="246"/>
      <c r="DC78" s="246"/>
      <c r="DD78" s="246"/>
      <c r="DE78" s="246"/>
      <c r="DF78" s="247"/>
      <c r="DG78" s="247"/>
      <c r="DH78" s="247"/>
      <c r="DI78" s="247"/>
      <c r="DJ78" s="247"/>
      <c r="DK78" s="247"/>
      <c r="DL78" s="247"/>
      <c r="DM78" s="246"/>
      <c r="DN78" s="246"/>
      <c r="DO78" s="246"/>
      <c r="DP78" s="246"/>
      <c r="DQ78" s="246"/>
      <c r="DR78" s="246"/>
      <c r="DS78" s="246"/>
      <c r="DT78" s="247"/>
      <c r="DU78" s="247"/>
      <c r="DV78" s="247"/>
      <c r="DW78" s="247"/>
      <c r="DX78" s="247"/>
      <c r="DY78" s="247"/>
      <c r="DZ78" s="247"/>
      <c r="EA78" s="246"/>
      <c r="EB78" s="246"/>
      <c r="EC78" s="246"/>
      <c r="ED78" s="246"/>
      <c r="EE78" s="246"/>
      <c r="EF78" s="246"/>
      <c r="EG78" s="246"/>
      <c r="EH78" s="247"/>
      <c r="EI78" s="247"/>
      <c r="EJ78" s="247"/>
      <c r="EK78" s="247"/>
      <c r="EL78" s="247"/>
      <c r="EM78" s="247"/>
      <c r="EN78" s="247"/>
      <c r="EO78" s="246"/>
      <c r="EP78" s="246"/>
      <c r="EQ78" s="246"/>
      <c r="ER78" s="246"/>
      <c r="ES78" s="246"/>
      <c r="ET78" s="246"/>
      <c r="EU78" s="246"/>
      <c r="EV78" s="247"/>
      <c r="EW78" s="247"/>
      <c r="EX78" s="247"/>
      <c r="EY78" s="247"/>
      <c r="EZ78" s="247"/>
      <c r="FA78" s="247"/>
      <c r="FB78" s="247"/>
      <c r="FC78" s="246"/>
      <c r="FD78" s="246"/>
      <c r="FE78" s="246"/>
      <c r="FF78" s="246"/>
      <c r="FG78" s="246"/>
      <c r="FH78" s="246"/>
      <c r="FI78" s="246"/>
      <c r="FJ78" s="247"/>
      <c r="FK78" s="247"/>
      <c r="FL78" s="247"/>
      <c r="FM78" s="247"/>
      <c r="FN78" s="247"/>
      <c r="FO78" s="247"/>
      <c r="FP78" s="247"/>
      <c r="FQ78" s="246"/>
      <c r="FR78" s="246"/>
      <c r="FS78" s="246"/>
      <c r="FT78" s="246"/>
      <c r="FU78" s="246"/>
      <c r="FV78" s="246"/>
      <c r="FW78" s="246"/>
      <c r="FX78" s="247"/>
      <c r="FY78" s="247"/>
      <c r="FZ78" s="247"/>
      <c r="GA78" s="247"/>
      <c r="GB78" s="247"/>
      <c r="GC78" s="247"/>
      <c r="GD78" s="247"/>
      <c r="GE78" s="246"/>
      <c r="GF78" s="246"/>
      <c r="GG78" s="246"/>
      <c r="GH78" s="246"/>
      <c r="GI78" s="246"/>
      <c r="GJ78" s="246"/>
      <c r="GK78" s="246"/>
      <c r="GL78" s="247"/>
      <c r="GM78" s="247"/>
      <c r="GN78" s="247"/>
      <c r="GO78" s="247"/>
      <c r="GP78" s="247"/>
      <c r="GQ78" s="247"/>
      <c r="GR78" s="247"/>
      <c r="GS78" s="246"/>
      <c r="GT78" s="246"/>
      <c r="GU78" s="246"/>
      <c r="GV78" s="246"/>
      <c r="GW78" s="246"/>
      <c r="GX78" s="246"/>
      <c r="GY78" s="246"/>
      <c r="GZ78" s="247"/>
      <c r="HA78" s="247"/>
      <c r="HB78" s="247"/>
      <c r="HC78" s="247"/>
      <c r="HD78" s="247"/>
      <c r="HE78" s="247"/>
      <c r="HF78" s="247"/>
      <c r="HG78" s="246"/>
      <c r="HH78" s="246"/>
      <c r="HI78" s="246"/>
      <c r="HJ78" s="246"/>
      <c r="HK78" s="246"/>
      <c r="HL78" s="246"/>
      <c r="HM78" s="246"/>
      <c r="HN78" s="247"/>
      <c r="HO78" s="247"/>
      <c r="HP78" s="247"/>
      <c r="HQ78" s="247"/>
      <c r="HR78" s="247"/>
      <c r="HS78" s="247"/>
      <c r="HT78" s="247"/>
      <c r="HU78" s="246"/>
      <c r="HV78" s="246"/>
      <c r="HW78" s="246"/>
      <c r="HX78" s="246"/>
      <c r="HY78" s="246"/>
      <c r="HZ78" s="246"/>
      <c r="IA78" s="246"/>
      <c r="IB78" s="247"/>
      <c r="IC78" s="247"/>
      <c r="ID78" s="247"/>
      <c r="IE78" s="247"/>
      <c r="IF78" s="247"/>
      <c r="IG78" s="247"/>
      <c r="IH78" s="247"/>
      <c r="II78" s="246"/>
      <c r="IJ78" s="246"/>
      <c r="IK78" s="246"/>
      <c r="IL78" s="246"/>
      <c r="IM78" s="246"/>
      <c r="IN78" s="246"/>
      <c r="IO78" s="246"/>
      <c r="IP78" s="247"/>
      <c r="IQ78" s="247"/>
      <c r="IR78" s="247"/>
      <c r="IS78" s="247"/>
      <c r="IT78" s="247">
        <v>24</v>
      </c>
      <c r="IU78" s="247">
        <v>24</v>
      </c>
      <c r="IV78" s="247">
        <v>24</v>
      </c>
      <c r="IW78" s="246">
        <v>24</v>
      </c>
      <c r="IX78" s="246">
        <v>24</v>
      </c>
      <c r="IY78" s="246">
        <v>24</v>
      </c>
      <c r="IZ78" s="246">
        <v>24</v>
      </c>
      <c r="JA78" s="246">
        <v>24</v>
      </c>
      <c r="JB78" s="246">
        <v>24</v>
      </c>
      <c r="JC78" s="246">
        <v>24</v>
      </c>
      <c r="JD78" s="247">
        <v>24</v>
      </c>
      <c r="JE78" s="247">
        <v>24</v>
      </c>
      <c r="JF78" s="247">
        <v>24</v>
      </c>
      <c r="JG78" s="247">
        <v>24</v>
      </c>
      <c r="JH78" s="247">
        <v>24</v>
      </c>
      <c r="JI78" s="247">
        <v>24</v>
      </c>
      <c r="JJ78" s="247">
        <v>24</v>
      </c>
      <c r="JK78" s="246"/>
      <c r="JL78" s="246"/>
      <c r="JM78" s="246"/>
      <c r="JN78" s="246"/>
      <c r="JO78" s="246"/>
      <c r="JP78" s="246"/>
      <c r="JQ78" s="246"/>
      <c r="JR78" s="247"/>
      <c r="JS78" s="247"/>
      <c r="JT78" s="247"/>
      <c r="JU78" s="247"/>
      <c r="JV78" s="247"/>
      <c r="JW78" s="247"/>
      <c r="JX78" s="247"/>
      <c r="JY78" s="246"/>
      <c r="JZ78" s="246"/>
      <c r="KA78" s="246"/>
      <c r="KB78" s="246"/>
      <c r="KC78" s="246"/>
      <c r="KD78" s="246"/>
      <c r="KE78" s="246"/>
      <c r="KF78" s="247"/>
      <c r="KG78" s="247"/>
      <c r="KH78" s="247"/>
      <c r="KI78" s="247"/>
      <c r="KJ78" s="247"/>
      <c r="KK78" s="247"/>
      <c r="KL78" s="247"/>
      <c r="KM78" s="246"/>
      <c r="KN78" s="246"/>
      <c r="KO78" s="246"/>
      <c r="KP78" s="246"/>
      <c r="KQ78" s="246"/>
      <c r="KR78" s="246"/>
      <c r="KS78" s="246"/>
      <c r="KT78" s="247"/>
      <c r="KU78" s="247"/>
      <c r="KV78" s="247"/>
      <c r="KW78" s="247"/>
      <c r="KX78" s="247"/>
      <c r="KY78" s="247"/>
      <c r="KZ78" s="247"/>
      <c r="LA78" s="246"/>
      <c r="LB78" s="246"/>
      <c r="LC78" s="246"/>
      <c r="LD78" s="246"/>
      <c r="LE78" s="246"/>
      <c r="LF78" s="246"/>
      <c r="LG78" s="246"/>
      <c r="LH78" s="247"/>
      <c r="LI78" s="247"/>
      <c r="LJ78" s="247"/>
      <c r="LK78" s="247"/>
      <c r="LL78" s="247"/>
      <c r="LM78" s="247"/>
      <c r="LN78" s="247"/>
      <c r="LO78" s="246"/>
      <c r="LP78" s="246"/>
      <c r="LQ78" s="246"/>
      <c r="LR78" s="246"/>
      <c r="LS78" s="246"/>
      <c r="LT78" s="246"/>
      <c r="LU78" s="246"/>
      <c r="LV78" s="247"/>
      <c r="LW78" s="247"/>
      <c r="LX78" s="247"/>
      <c r="LY78" s="247"/>
      <c r="LZ78" s="247"/>
      <c r="MA78" s="247"/>
      <c r="MB78" s="247"/>
      <c r="MC78" s="246"/>
      <c r="MD78" s="246"/>
      <c r="ME78" s="246"/>
      <c r="MF78" s="246"/>
      <c r="MG78" s="246"/>
      <c r="MH78" s="246"/>
      <c r="MI78" s="246"/>
      <c r="MJ78" s="247"/>
      <c r="MK78" s="247"/>
      <c r="ML78" s="247"/>
      <c r="MM78" s="247"/>
      <c r="MN78" s="247"/>
      <c r="MO78" s="247"/>
      <c r="MP78" s="247"/>
      <c r="MQ78" s="246"/>
      <c r="MR78" s="246"/>
      <c r="MS78" s="246"/>
      <c r="MT78" s="246"/>
      <c r="MU78" s="246"/>
      <c r="MV78" s="246"/>
      <c r="MW78" s="246"/>
      <c r="MX78" s="247"/>
      <c r="MY78" s="247"/>
      <c r="MZ78" s="247"/>
      <c r="NA78" s="247"/>
      <c r="NB78" s="247"/>
      <c r="NC78" s="247"/>
      <c r="ND78" s="247"/>
      <c r="NE78" s="246"/>
      <c r="NF78" s="246"/>
      <c r="NG78" s="246"/>
      <c r="NH78" s="248" t="s">
        <v>1148</v>
      </c>
    </row>
    <row r="79" spans="1:372">
      <c r="A79" s="254" t="s">
        <v>974</v>
      </c>
      <c r="B79" s="239" t="s">
        <v>59</v>
      </c>
      <c r="C79" s="240" t="s">
        <v>674</v>
      </c>
      <c r="D79" s="240" t="s">
        <v>982</v>
      </c>
      <c r="E79" s="241">
        <v>315.83999999999997</v>
      </c>
      <c r="F79" s="252">
        <v>408</v>
      </c>
      <c r="G79" s="246"/>
      <c r="H79" s="246"/>
      <c r="I79" s="246"/>
      <c r="J79" s="246"/>
      <c r="K79" s="246"/>
      <c r="L79" s="247"/>
      <c r="M79" s="247"/>
      <c r="N79" s="247"/>
      <c r="O79" s="247"/>
      <c r="P79" s="247"/>
      <c r="Q79" s="247"/>
      <c r="R79" s="247"/>
      <c r="S79" s="246"/>
      <c r="T79" s="246"/>
      <c r="U79" s="246"/>
      <c r="V79" s="246"/>
      <c r="W79" s="246"/>
      <c r="X79" s="246"/>
      <c r="Y79" s="246"/>
      <c r="Z79" s="247"/>
      <c r="AA79" s="247"/>
      <c r="AB79" s="247"/>
      <c r="AC79" s="247"/>
      <c r="AD79" s="247"/>
      <c r="AE79" s="247"/>
      <c r="AF79" s="247"/>
      <c r="AG79" s="246"/>
      <c r="AH79" s="246"/>
      <c r="AI79" s="246"/>
      <c r="AJ79" s="246"/>
      <c r="AK79" s="246"/>
      <c r="AL79" s="246"/>
      <c r="AM79" s="246"/>
      <c r="AN79" s="247"/>
      <c r="AO79" s="247"/>
      <c r="AP79" s="247"/>
      <c r="AQ79" s="247"/>
      <c r="AR79" s="247"/>
      <c r="AS79" s="247"/>
      <c r="AT79" s="247"/>
      <c r="AU79" s="246"/>
      <c r="AV79" s="246"/>
      <c r="AW79" s="246"/>
      <c r="AX79" s="246"/>
      <c r="AY79" s="246"/>
      <c r="AZ79" s="246"/>
      <c r="BA79" s="246"/>
      <c r="BB79" s="247"/>
      <c r="BC79" s="247"/>
      <c r="BD79" s="247"/>
      <c r="BE79" s="247"/>
      <c r="BF79" s="247"/>
      <c r="BG79" s="247"/>
      <c r="BH79" s="247"/>
      <c r="BI79" s="246"/>
      <c r="BJ79" s="246"/>
      <c r="BK79" s="246"/>
      <c r="BL79" s="246"/>
      <c r="BM79" s="246"/>
      <c r="BN79" s="246"/>
      <c r="BO79" s="246"/>
      <c r="BP79" s="247"/>
      <c r="BQ79" s="247"/>
      <c r="BR79" s="247"/>
      <c r="BS79" s="247"/>
      <c r="BT79" s="247"/>
      <c r="BU79" s="247"/>
      <c r="BV79" s="247"/>
      <c r="BW79" s="246"/>
      <c r="BX79" s="246"/>
      <c r="BY79" s="246"/>
      <c r="BZ79" s="246"/>
      <c r="CA79" s="246"/>
      <c r="CB79" s="246"/>
      <c r="CC79" s="246"/>
      <c r="CD79" s="247"/>
      <c r="CE79" s="247"/>
      <c r="CF79" s="247"/>
      <c r="CG79" s="247"/>
      <c r="CH79" s="247"/>
      <c r="CI79" s="247"/>
      <c r="CJ79" s="247"/>
      <c r="CK79" s="246"/>
      <c r="CL79" s="246"/>
      <c r="CM79" s="246"/>
      <c r="CN79" s="246"/>
      <c r="CO79" s="246"/>
      <c r="CP79" s="246"/>
      <c r="CQ79" s="246"/>
      <c r="CR79" s="247"/>
      <c r="CS79" s="247"/>
      <c r="CT79" s="247"/>
      <c r="CU79" s="247"/>
      <c r="CV79" s="247"/>
      <c r="CW79" s="247"/>
      <c r="CX79" s="247"/>
      <c r="CY79" s="246"/>
      <c r="CZ79" s="246"/>
      <c r="DA79" s="246"/>
      <c r="DB79" s="246"/>
      <c r="DC79" s="246"/>
      <c r="DD79" s="246"/>
      <c r="DE79" s="246"/>
      <c r="DF79" s="247"/>
      <c r="DG79" s="247"/>
      <c r="DH79" s="247"/>
      <c r="DI79" s="247"/>
      <c r="DJ79" s="247"/>
      <c r="DK79" s="247"/>
      <c r="DL79" s="247"/>
      <c r="DM79" s="246"/>
      <c r="DN79" s="246"/>
      <c r="DO79" s="246"/>
      <c r="DP79" s="246"/>
      <c r="DQ79" s="246"/>
      <c r="DR79" s="246"/>
      <c r="DS79" s="246"/>
      <c r="DT79" s="247"/>
      <c r="DU79" s="247"/>
      <c r="DV79" s="247"/>
      <c r="DW79" s="247"/>
      <c r="DX79" s="247"/>
      <c r="DY79" s="247"/>
      <c r="DZ79" s="247"/>
      <c r="EA79" s="246"/>
      <c r="EB79" s="246"/>
      <c r="EC79" s="246"/>
      <c r="ED79" s="246"/>
      <c r="EE79" s="246"/>
      <c r="EF79" s="246"/>
      <c r="EG79" s="246"/>
      <c r="EH79" s="247"/>
      <c r="EI79" s="247"/>
      <c r="EJ79" s="247"/>
      <c r="EK79" s="247"/>
      <c r="EL79" s="247"/>
      <c r="EM79" s="247"/>
      <c r="EN79" s="247"/>
      <c r="EO79" s="246"/>
      <c r="EP79" s="246"/>
      <c r="EQ79" s="246"/>
      <c r="ER79" s="246"/>
      <c r="ES79" s="246"/>
      <c r="ET79" s="246"/>
      <c r="EU79" s="246"/>
      <c r="EV79" s="247"/>
      <c r="EW79" s="247"/>
      <c r="EX79" s="247"/>
      <c r="EY79" s="247"/>
      <c r="EZ79" s="247"/>
      <c r="FA79" s="247"/>
      <c r="FB79" s="247"/>
      <c r="FC79" s="246"/>
      <c r="FD79" s="246"/>
      <c r="FE79" s="246"/>
      <c r="FF79" s="246"/>
      <c r="FG79" s="246"/>
      <c r="FH79" s="246"/>
      <c r="FI79" s="246"/>
      <c r="FJ79" s="247"/>
      <c r="FK79" s="247"/>
      <c r="FL79" s="247"/>
      <c r="FM79" s="247"/>
      <c r="FN79" s="247"/>
      <c r="FO79" s="247"/>
      <c r="FP79" s="247"/>
      <c r="FQ79" s="246"/>
      <c r="FR79" s="246"/>
      <c r="FS79" s="246"/>
      <c r="FT79" s="246"/>
      <c r="FU79" s="246"/>
      <c r="FV79" s="246"/>
      <c r="FW79" s="246"/>
      <c r="FX79" s="247"/>
      <c r="FY79" s="247"/>
      <c r="FZ79" s="247"/>
      <c r="GA79" s="247"/>
      <c r="GB79" s="247"/>
      <c r="GC79" s="247"/>
      <c r="GD79" s="247"/>
      <c r="GE79" s="246"/>
      <c r="GF79" s="246"/>
      <c r="GG79" s="246"/>
      <c r="GH79" s="246"/>
      <c r="GI79" s="246"/>
      <c r="GJ79" s="246"/>
      <c r="GK79" s="246"/>
      <c r="GL79" s="247"/>
      <c r="GM79" s="247"/>
      <c r="GN79" s="247"/>
      <c r="GO79" s="247"/>
      <c r="GP79" s="247"/>
      <c r="GQ79" s="247"/>
      <c r="GR79" s="247"/>
      <c r="GS79" s="246"/>
      <c r="GT79" s="246"/>
      <c r="GU79" s="246"/>
      <c r="GV79" s="246"/>
      <c r="GW79" s="246"/>
      <c r="GX79" s="246"/>
      <c r="GY79" s="246"/>
      <c r="GZ79" s="247"/>
      <c r="HA79" s="247"/>
      <c r="HB79" s="247"/>
      <c r="HC79" s="247"/>
      <c r="HD79" s="247"/>
      <c r="HE79" s="247"/>
      <c r="HF79" s="247"/>
      <c r="HG79" s="246"/>
      <c r="HH79" s="246"/>
      <c r="HI79" s="246"/>
      <c r="HJ79" s="246"/>
      <c r="HK79" s="246"/>
      <c r="HL79" s="246"/>
      <c r="HM79" s="246"/>
      <c r="HN79" s="247"/>
      <c r="HO79" s="247"/>
      <c r="HP79" s="247"/>
      <c r="HQ79" s="247"/>
      <c r="HR79" s="247"/>
      <c r="HS79" s="247"/>
      <c r="HT79" s="247"/>
      <c r="HU79" s="246"/>
      <c r="HV79" s="246"/>
      <c r="HW79" s="246"/>
      <c r="HX79" s="246"/>
      <c r="HY79" s="246"/>
      <c r="HZ79" s="246"/>
      <c r="IA79" s="246"/>
      <c r="IB79" s="247"/>
      <c r="IC79" s="247"/>
      <c r="ID79" s="247"/>
      <c r="IE79" s="247"/>
      <c r="IF79" s="247"/>
      <c r="IG79" s="247"/>
      <c r="IH79" s="247"/>
      <c r="II79" s="246"/>
      <c r="IJ79" s="246"/>
      <c r="IK79" s="246"/>
      <c r="IL79" s="246"/>
      <c r="IM79" s="246"/>
      <c r="IN79" s="246"/>
      <c r="IO79" s="246"/>
      <c r="IP79" s="247"/>
      <c r="IQ79" s="247"/>
      <c r="IR79" s="247"/>
      <c r="IS79" s="247"/>
      <c r="IT79" s="247">
        <v>24</v>
      </c>
      <c r="IU79" s="247">
        <v>24</v>
      </c>
      <c r="IV79" s="247">
        <v>24</v>
      </c>
      <c r="IW79" s="246">
        <v>24</v>
      </c>
      <c r="IX79" s="246">
        <v>24</v>
      </c>
      <c r="IY79" s="246">
        <v>24</v>
      </c>
      <c r="IZ79" s="246">
        <v>24</v>
      </c>
      <c r="JA79" s="246">
        <v>24</v>
      </c>
      <c r="JB79" s="246">
        <v>24</v>
      </c>
      <c r="JC79" s="246">
        <v>24</v>
      </c>
      <c r="JD79" s="247">
        <v>24</v>
      </c>
      <c r="JE79" s="247">
        <v>24</v>
      </c>
      <c r="JF79" s="247">
        <v>24</v>
      </c>
      <c r="JG79" s="247">
        <v>24</v>
      </c>
      <c r="JH79" s="247">
        <v>24</v>
      </c>
      <c r="JI79" s="247">
        <v>24</v>
      </c>
      <c r="JJ79" s="247">
        <v>24</v>
      </c>
      <c r="JK79" s="246"/>
      <c r="JL79" s="246"/>
      <c r="JM79" s="246"/>
      <c r="JN79" s="246"/>
      <c r="JO79" s="246"/>
      <c r="JP79" s="246"/>
      <c r="JQ79" s="246"/>
      <c r="JR79" s="247"/>
      <c r="JS79" s="247"/>
      <c r="JT79" s="247"/>
      <c r="JU79" s="247"/>
      <c r="JV79" s="247"/>
      <c r="JW79" s="247"/>
      <c r="JX79" s="247"/>
      <c r="JY79" s="246"/>
      <c r="JZ79" s="246"/>
      <c r="KA79" s="246"/>
      <c r="KB79" s="246"/>
      <c r="KC79" s="246"/>
      <c r="KD79" s="246"/>
      <c r="KE79" s="246"/>
      <c r="KF79" s="247"/>
      <c r="KG79" s="247"/>
      <c r="KH79" s="247"/>
      <c r="KI79" s="247"/>
      <c r="KJ79" s="247"/>
      <c r="KK79" s="247"/>
      <c r="KL79" s="247"/>
      <c r="KM79" s="246"/>
      <c r="KN79" s="246"/>
      <c r="KO79" s="246"/>
      <c r="KP79" s="246"/>
      <c r="KQ79" s="246"/>
      <c r="KR79" s="246"/>
      <c r="KS79" s="246"/>
      <c r="KT79" s="247"/>
      <c r="KU79" s="247"/>
      <c r="KV79" s="247"/>
      <c r="KW79" s="247"/>
      <c r="KX79" s="247"/>
      <c r="KY79" s="247"/>
      <c r="KZ79" s="247"/>
      <c r="LA79" s="246"/>
      <c r="LB79" s="246"/>
      <c r="LC79" s="246"/>
      <c r="LD79" s="246"/>
      <c r="LE79" s="246"/>
      <c r="LF79" s="246"/>
      <c r="LG79" s="246"/>
      <c r="LH79" s="247"/>
      <c r="LI79" s="247"/>
      <c r="LJ79" s="247"/>
      <c r="LK79" s="247"/>
      <c r="LL79" s="247"/>
      <c r="LM79" s="247"/>
      <c r="LN79" s="247"/>
      <c r="LO79" s="246"/>
      <c r="LP79" s="246"/>
      <c r="LQ79" s="246"/>
      <c r="LR79" s="246"/>
      <c r="LS79" s="246"/>
      <c r="LT79" s="246"/>
      <c r="LU79" s="246"/>
      <c r="LV79" s="247"/>
      <c r="LW79" s="247"/>
      <c r="LX79" s="247"/>
      <c r="LY79" s="247"/>
      <c r="LZ79" s="247"/>
      <c r="MA79" s="247"/>
      <c r="MB79" s="247"/>
      <c r="MC79" s="246"/>
      <c r="MD79" s="246"/>
      <c r="ME79" s="246"/>
      <c r="MF79" s="246"/>
      <c r="MG79" s="246"/>
      <c r="MH79" s="246"/>
      <c r="MI79" s="246"/>
      <c r="MJ79" s="247"/>
      <c r="MK79" s="247"/>
      <c r="ML79" s="247"/>
      <c r="MM79" s="247"/>
      <c r="MN79" s="247"/>
      <c r="MO79" s="247"/>
      <c r="MP79" s="247"/>
      <c r="MQ79" s="246"/>
      <c r="MR79" s="246"/>
      <c r="MS79" s="246"/>
      <c r="MT79" s="246"/>
      <c r="MU79" s="246"/>
      <c r="MV79" s="246"/>
      <c r="MW79" s="246"/>
      <c r="MX79" s="247"/>
      <c r="MY79" s="247"/>
      <c r="MZ79" s="247"/>
      <c r="NA79" s="247"/>
      <c r="NB79" s="247"/>
      <c r="NC79" s="247"/>
      <c r="ND79" s="247"/>
      <c r="NE79" s="246"/>
      <c r="NF79" s="246"/>
      <c r="NG79" s="246"/>
      <c r="NH79" s="248" t="s">
        <v>1148</v>
      </c>
    </row>
    <row r="80" spans="1:372">
      <c r="A80" s="254" t="s">
        <v>974</v>
      </c>
      <c r="B80" s="239" t="s">
        <v>60</v>
      </c>
      <c r="C80" s="240" t="s">
        <v>674</v>
      </c>
      <c r="D80" s="240" t="s">
        <v>982</v>
      </c>
      <c r="E80" s="241">
        <v>315.83999999999997</v>
      </c>
      <c r="F80" s="252">
        <v>408</v>
      </c>
      <c r="G80" s="246"/>
      <c r="H80" s="246"/>
      <c r="I80" s="246"/>
      <c r="J80" s="246"/>
      <c r="K80" s="246"/>
      <c r="L80" s="247"/>
      <c r="M80" s="247"/>
      <c r="N80" s="247"/>
      <c r="O80" s="247"/>
      <c r="P80" s="247"/>
      <c r="Q80" s="247"/>
      <c r="R80" s="247"/>
      <c r="S80" s="246"/>
      <c r="T80" s="246"/>
      <c r="U80" s="246"/>
      <c r="V80" s="246"/>
      <c r="W80" s="246"/>
      <c r="X80" s="246"/>
      <c r="Y80" s="246"/>
      <c r="Z80" s="247"/>
      <c r="AA80" s="247"/>
      <c r="AB80" s="247"/>
      <c r="AC80" s="247"/>
      <c r="AD80" s="247"/>
      <c r="AE80" s="247"/>
      <c r="AF80" s="247"/>
      <c r="AG80" s="246"/>
      <c r="AH80" s="246"/>
      <c r="AI80" s="246"/>
      <c r="AJ80" s="246"/>
      <c r="AK80" s="246"/>
      <c r="AL80" s="246"/>
      <c r="AM80" s="246"/>
      <c r="AN80" s="247"/>
      <c r="AO80" s="247"/>
      <c r="AP80" s="247"/>
      <c r="AQ80" s="247"/>
      <c r="AR80" s="247"/>
      <c r="AS80" s="247"/>
      <c r="AT80" s="247"/>
      <c r="AU80" s="246"/>
      <c r="AV80" s="246"/>
      <c r="AW80" s="246"/>
      <c r="AX80" s="246"/>
      <c r="AY80" s="246"/>
      <c r="AZ80" s="246"/>
      <c r="BA80" s="246"/>
      <c r="BB80" s="247"/>
      <c r="BC80" s="247"/>
      <c r="BD80" s="247"/>
      <c r="BE80" s="247"/>
      <c r="BF80" s="247"/>
      <c r="BG80" s="247"/>
      <c r="BH80" s="247"/>
      <c r="BI80" s="246"/>
      <c r="BJ80" s="246"/>
      <c r="BK80" s="246"/>
      <c r="BL80" s="246"/>
      <c r="BM80" s="246"/>
      <c r="BN80" s="246"/>
      <c r="BO80" s="246"/>
      <c r="BP80" s="247"/>
      <c r="BQ80" s="247"/>
      <c r="BR80" s="247"/>
      <c r="BS80" s="247"/>
      <c r="BT80" s="247"/>
      <c r="BU80" s="247"/>
      <c r="BV80" s="247"/>
      <c r="BW80" s="246"/>
      <c r="BX80" s="246"/>
      <c r="BY80" s="246"/>
      <c r="BZ80" s="246"/>
      <c r="CA80" s="246"/>
      <c r="CB80" s="246"/>
      <c r="CC80" s="246"/>
      <c r="CD80" s="247"/>
      <c r="CE80" s="247"/>
      <c r="CF80" s="247"/>
      <c r="CG80" s="247"/>
      <c r="CH80" s="247"/>
      <c r="CI80" s="247"/>
      <c r="CJ80" s="247"/>
      <c r="CK80" s="246"/>
      <c r="CL80" s="246"/>
      <c r="CM80" s="246"/>
      <c r="CN80" s="246"/>
      <c r="CO80" s="246"/>
      <c r="CP80" s="246"/>
      <c r="CQ80" s="246"/>
      <c r="CR80" s="247"/>
      <c r="CS80" s="247"/>
      <c r="CT80" s="247"/>
      <c r="CU80" s="247"/>
      <c r="CV80" s="247"/>
      <c r="CW80" s="247"/>
      <c r="CX80" s="247"/>
      <c r="CY80" s="246"/>
      <c r="CZ80" s="246"/>
      <c r="DA80" s="246"/>
      <c r="DB80" s="246"/>
      <c r="DC80" s="246"/>
      <c r="DD80" s="246"/>
      <c r="DE80" s="246"/>
      <c r="DF80" s="247"/>
      <c r="DG80" s="247"/>
      <c r="DH80" s="247"/>
      <c r="DI80" s="247"/>
      <c r="DJ80" s="247"/>
      <c r="DK80" s="247"/>
      <c r="DL80" s="247"/>
      <c r="DM80" s="246"/>
      <c r="DN80" s="246"/>
      <c r="DO80" s="246"/>
      <c r="DP80" s="246"/>
      <c r="DQ80" s="246"/>
      <c r="DR80" s="246"/>
      <c r="DS80" s="246"/>
      <c r="DT80" s="247"/>
      <c r="DU80" s="247"/>
      <c r="DV80" s="247"/>
      <c r="DW80" s="247"/>
      <c r="DX80" s="247"/>
      <c r="DY80" s="247"/>
      <c r="DZ80" s="247"/>
      <c r="EA80" s="246"/>
      <c r="EB80" s="246"/>
      <c r="EC80" s="246"/>
      <c r="ED80" s="246"/>
      <c r="EE80" s="246"/>
      <c r="EF80" s="246"/>
      <c r="EG80" s="246"/>
      <c r="EH80" s="247"/>
      <c r="EI80" s="247"/>
      <c r="EJ80" s="247"/>
      <c r="EK80" s="247"/>
      <c r="EL80" s="247"/>
      <c r="EM80" s="247"/>
      <c r="EN80" s="247"/>
      <c r="EO80" s="246"/>
      <c r="EP80" s="246"/>
      <c r="EQ80" s="246"/>
      <c r="ER80" s="246"/>
      <c r="ES80" s="246"/>
      <c r="ET80" s="246"/>
      <c r="EU80" s="246"/>
      <c r="EV80" s="247"/>
      <c r="EW80" s="247"/>
      <c r="EX80" s="247"/>
      <c r="EY80" s="247"/>
      <c r="EZ80" s="247"/>
      <c r="FA80" s="247"/>
      <c r="FB80" s="247"/>
      <c r="FC80" s="246"/>
      <c r="FD80" s="246"/>
      <c r="FE80" s="246"/>
      <c r="FF80" s="246"/>
      <c r="FG80" s="246"/>
      <c r="FH80" s="246"/>
      <c r="FI80" s="246"/>
      <c r="FJ80" s="247"/>
      <c r="FK80" s="247"/>
      <c r="FL80" s="247"/>
      <c r="FM80" s="247"/>
      <c r="FN80" s="247"/>
      <c r="FO80" s="247"/>
      <c r="FP80" s="247"/>
      <c r="FQ80" s="246"/>
      <c r="FR80" s="246"/>
      <c r="FS80" s="246"/>
      <c r="FT80" s="246"/>
      <c r="FU80" s="246"/>
      <c r="FV80" s="246"/>
      <c r="FW80" s="246"/>
      <c r="FX80" s="247"/>
      <c r="FY80" s="247"/>
      <c r="FZ80" s="247"/>
      <c r="GA80" s="247"/>
      <c r="GB80" s="247"/>
      <c r="GC80" s="247"/>
      <c r="GD80" s="247"/>
      <c r="GE80" s="246"/>
      <c r="GF80" s="246"/>
      <c r="GG80" s="246"/>
      <c r="GH80" s="246"/>
      <c r="GI80" s="246"/>
      <c r="GJ80" s="246"/>
      <c r="GK80" s="246"/>
      <c r="GL80" s="247"/>
      <c r="GM80" s="247"/>
      <c r="GN80" s="247"/>
      <c r="GO80" s="247"/>
      <c r="GP80" s="247"/>
      <c r="GQ80" s="247"/>
      <c r="GR80" s="247"/>
      <c r="GS80" s="246"/>
      <c r="GT80" s="246"/>
      <c r="GU80" s="246"/>
      <c r="GV80" s="246"/>
      <c r="GW80" s="246"/>
      <c r="GX80" s="246"/>
      <c r="GY80" s="246"/>
      <c r="GZ80" s="247"/>
      <c r="HA80" s="247"/>
      <c r="HB80" s="247"/>
      <c r="HC80" s="247"/>
      <c r="HD80" s="247"/>
      <c r="HE80" s="247"/>
      <c r="HF80" s="247"/>
      <c r="HG80" s="246"/>
      <c r="HH80" s="246"/>
      <c r="HI80" s="246"/>
      <c r="HJ80" s="246"/>
      <c r="HK80" s="246"/>
      <c r="HL80" s="246"/>
      <c r="HM80" s="246"/>
      <c r="HN80" s="247"/>
      <c r="HO80" s="247"/>
      <c r="HP80" s="247"/>
      <c r="HQ80" s="247"/>
      <c r="HR80" s="247"/>
      <c r="HS80" s="247"/>
      <c r="HT80" s="247"/>
      <c r="HU80" s="246"/>
      <c r="HV80" s="246"/>
      <c r="HW80" s="246"/>
      <c r="HX80" s="246"/>
      <c r="HY80" s="246"/>
      <c r="HZ80" s="246"/>
      <c r="IA80" s="246"/>
      <c r="IB80" s="247"/>
      <c r="IC80" s="247"/>
      <c r="ID80" s="247"/>
      <c r="IE80" s="247"/>
      <c r="IF80" s="247"/>
      <c r="IG80" s="247"/>
      <c r="IH80" s="247"/>
      <c r="II80" s="246"/>
      <c r="IJ80" s="246"/>
      <c r="IK80" s="246"/>
      <c r="IL80" s="246"/>
      <c r="IM80" s="246"/>
      <c r="IN80" s="246"/>
      <c r="IO80" s="246"/>
      <c r="IP80" s="247"/>
      <c r="IQ80" s="247"/>
      <c r="IR80" s="247"/>
      <c r="IS80" s="247"/>
      <c r="IT80" s="247">
        <v>24</v>
      </c>
      <c r="IU80" s="247">
        <v>24</v>
      </c>
      <c r="IV80" s="247">
        <v>24</v>
      </c>
      <c r="IW80" s="246">
        <v>24</v>
      </c>
      <c r="IX80" s="246">
        <v>24</v>
      </c>
      <c r="IY80" s="246">
        <v>24</v>
      </c>
      <c r="IZ80" s="246">
        <v>24</v>
      </c>
      <c r="JA80" s="246">
        <v>24</v>
      </c>
      <c r="JB80" s="246">
        <v>24</v>
      </c>
      <c r="JC80" s="246">
        <v>24</v>
      </c>
      <c r="JD80" s="247">
        <v>24</v>
      </c>
      <c r="JE80" s="247">
        <v>24</v>
      </c>
      <c r="JF80" s="247">
        <v>24</v>
      </c>
      <c r="JG80" s="247">
        <v>24</v>
      </c>
      <c r="JH80" s="247">
        <v>24</v>
      </c>
      <c r="JI80" s="247">
        <v>24</v>
      </c>
      <c r="JJ80" s="247">
        <v>24</v>
      </c>
      <c r="JK80" s="246"/>
      <c r="JL80" s="246"/>
      <c r="JM80" s="246"/>
      <c r="JN80" s="246"/>
      <c r="JO80" s="246"/>
      <c r="JP80" s="246"/>
      <c r="JQ80" s="246"/>
      <c r="JR80" s="247"/>
      <c r="JS80" s="247"/>
      <c r="JT80" s="247"/>
      <c r="JU80" s="247"/>
      <c r="JV80" s="247"/>
      <c r="JW80" s="247"/>
      <c r="JX80" s="247"/>
      <c r="JY80" s="246"/>
      <c r="JZ80" s="246"/>
      <c r="KA80" s="246"/>
      <c r="KB80" s="246"/>
      <c r="KC80" s="246"/>
      <c r="KD80" s="246"/>
      <c r="KE80" s="246"/>
      <c r="KF80" s="247"/>
      <c r="KG80" s="247"/>
      <c r="KH80" s="247"/>
      <c r="KI80" s="247"/>
      <c r="KJ80" s="247"/>
      <c r="KK80" s="247"/>
      <c r="KL80" s="247"/>
      <c r="KM80" s="246"/>
      <c r="KN80" s="246"/>
      <c r="KO80" s="246"/>
      <c r="KP80" s="246"/>
      <c r="KQ80" s="246"/>
      <c r="KR80" s="246"/>
      <c r="KS80" s="246"/>
      <c r="KT80" s="247"/>
      <c r="KU80" s="247"/>
      <c r="KV80" s="247"/>
      <c r="KW80" s="247"/>
      <c r="KX80" s="247"/>
      <c r="KY80" s="247"/>
      <c r="KZ80" s="247"/>
      <c r="LA80" s="246"/>
      <c r="LB80" s="246"/>
      <c r="LC80" s="246"/>
      <c r="LD80" s="246"/>
      <c r="LE80" s="246"/>
      <c r="LF80" s="246"/>
      <c r="LG80" s="246"/>
      <c r="LH80" s="247"/>
      <c r="LI80" s="247"/>
      <c r="LJ80" s="247"/>
      <c r="LK80" s="247"/>
      <c r="LL80" s="247"/>
      <c r="LM80" s="247"/>
      <c r="LN80" s="247"/>
      <c r="LO80" s="246"/>
      <c r="LP80" s="246"/>
      <c r="LQ80" s="246"/>
      <c r="LR80" s="246"/>
      <c r="LS80" s="246"/>
      <c r="LT80" s="246"/>
      <c r="LU80" s="246"/>
      <c r="LV80" s="247"/>
      <c r="LW80" s="247"/>
      <c r="LX80" s="247"/>
      <c r="LY80" s="247"/>
      <c r="LZ80" s="247"/>
      <c r="MA80" s="247"/>
      <c r="MB80" s="247"/>
      <c r="MC80" s="246"/>
      <c r="MD80" s="246"/>
      <c r="ME80" s="246"/>
      <c r="MF80" s="246"/>
      <c r="MG80" s="246"/>
      <c r="MH80" s="246"/>
      <c r="MI80" s="246"/>
      <c r="MJ80" s="247"/>
      <c r="MK80" s="247"/>
      <c r="ML80" s="247"/>
      <c r="MM80" s="247"/>
      <c r="MN80" s="247"/>
      <c r="MO80" s="247"/>
      <c r="MP80" s="247"/>
      <c r="MQ80" s="246"/>
      <c r="MR80" s="246"/>
      <c r="MS80" s="246"/>
      <c r="MT80" s="246"/>
      <c r="MU80" s="246"/>
      <c r="MV80" s="246"/>
      <c r="MW80" s="246"/>
      <c r="MX80" s="247"/>
      <c r="MY80" s="247"/>
      <c r="MZ80" s="247"/>
      <c r="NA80" s="247"/>
      <c r="NB80" s="247"/>
      <c r="NC80" s="247"/>
      <c r="ND80" s="247"/>
      <c r="NE80" s="246"/>
      <c r="NF80" s="246"/>
      <c r="NG80" s="246"/>
      <c r="NH80" s="248" t="s">
        <v>1148</v>
      </c>
    </row>
    <row r="81" spans="1:372">
      <c r="A81" s="254" t="s">
        <v>974</v>
      </c>
      <c r="B81" s="239" t="s">
        <v>61</v>
      </c>
      <c r="C81" s="240" t="s">
        <v>674</v>
      </c>
      <c r="D81" s="240" t="s">
        <v>982</v>
      </c>
      <c r="E81" s="241">
        <v>337.88117221559872</v>
      </c>
      <c r="F81" s="252">
        <v>384</v>
      </c>
      <c r="G81" s="246"/>
      <c r="H81" s="246"/>
      <c r="I81" s="246"/>
      <c r="J81" s="246"/>
      <c r="K81" s="246"/>
      <c r="L81" s="247"/>
      <c r="M81" s="247"/>
      <c r="N81" s="247"/>
      <c r="O81" s="247"/>
      <c r="P81" s="247"/>
      <c r="Q81" s="247"/>
      <c r="R81" s="247"/>
      <c r="S81" s="246"/>
      <c r="T81" s="246"/>
      <c r="U81" s="246"/>
      <c r="V81" s="246"/>
      <c r="W81" s="246"/>
      <c r="X81" s="246"/>
      <c r="Y81" s="246"/>
      <c r="Z81" s="247"/>
      <c r="AA81" s="247"/>
      <c r="AB81" s="247"/>
      <c r="AC81" s="247"/>
      <c r="AD81" s="247"/>
      <c r="AE81" s="247"/>
      <c r="AF81" s="247"/>
      <c r="AG81" s="246"/>
      <c r="AH81" s="246"/>
      <c r="AI81" s="246"/>
      <c r="AJ81" s="246"/>
      <c r="AK81" s="246"/>
      <c r="AL81" s="246"/>
      <c r="AM81" s="246"/>
      <c r="AN81" s="247"/>
      <c r="AO81" s="247"/>
      <c r="AP81" s="247"/>
      <c r="AQ81" s="247"/>
      <c r="AR81" s="247"/>
      <c r="AS81" s="247"/>
      <c r="AT81" s="247"/>
      <c r="AU81" s="246"/>
      <c r="AV81" s="246"/>
      <c r="AW81" s="246"/>
      <c r="AX81" s="246"/>
      <c r="AY81" s="246"/>
      <c r="AZ81" s="246"/>
      <c r="BA81" s="246"/>
      <c r="BB81" s="247"/>
      <c r="BC81" s="247"/>
      <c r="BD81" s="247"/>
      <c r="BE81" s="247"/>
      <c r="BF81" s="247"/>
      <c r="BG81" s="247"/>
      <c r="BH81" s="247"/>
      <c r="BI81" s="246"/>
      <c r="BJ81" s="246"/>
      <c r="BK81" s="246"/>
      <c r="BL81" s="246"/>
      <c r="BM81" s="246"/>
      <c r="BN81" s="246"/>
      <c r="BO81" s="246"/>
      <c r="BP81" s="247"/>
      <c r="BQ81" s="247"/>
      <c r="BR81" s="247"/>
      <c r="BS81" s="247"/>
      <c r="BT81" s="247"/>
      <c r="BU81" s="247"/>
      <c r="BV81" s="247"/>
      <c r="BW81" s="246"/>
      <c r="BX81" s="246"/>
      <c r="BY81" s="246"/>
      <c r="BZ81" s="246"/>
      <c r="CA81" s="246"/>
      <c r="CB81" s="246"/>
      <c r="CC81" s="246"/>
      <c r="CD81" s="247"/>
      <c r="CE81" s="247"/>
      <c r="CF81" s="247"/>
      <c r="CG81" s="247"/>
      <c r="CH81" s="247"/>
      <c r="CI81" s="247"/>
      <c r="CJ81" s="247"/>
      <c r="CK81" s="246"/>
      <c r="CL81" s="246"/>
      <c r="CM81" s="246"/>
      <c r="CN81" s="246"/>
      <c r="CO81" s="246"/>
      <c r="CP81" s="246">
        <v>24</v>
      </c>
      <c r="CQ81" s="246">
        <v>24</v>
      </c>
      <c r="CR81" s="247">
        <v>24</v>
      </c>
      <c r="CS81" s="247">
        <v>24</v>
      </c>
      <c r="CT81" s="247">
        <v>24</v>
      </c>
      <c r="CU81" s="247">
        <v>24</v>
      </c>
      <c r="CV81" s="247">
        <v>24</v>
      </c>
      <c r="CW81" s="247">
        <v>24</v>
      </c>
      <c r="CX81" s="247">
        <v>24</v>
      </c>
      <c r="CY81" s="246">
        <v>24</v>
      </c>
      <c r="CZ81" s="246">
        <v>24</v>
      </c>
      <c r="DA81" s="246">
        <v>24</v>
      </c>
      <c r="DB81" s="246">
        <v>24</v>
      </c>
      <c r="DC81" s="246">
        <v>24</v>
      </c>
      <c r="DD81" s="246">
        <v>24</v>
      </c>
      <c r="DE81" s="246">
        <v>24</v>
      </c>
      <c r="DF81" s="247"/>
      <c r="DG81" s="247"/>
      <c r="DH81" s="247"/>
      <c r="DI81" s="247"/>
      <c r="DJ81" s="247"/>
      <c r="DK81" s="247"/>
      <c r="DL81" s="247"/>
      <c r="DM81" s="246"/>
      <c r="DN81" s="246"/>
      <c r="DO81" s="246"/>
      <c r="DP81" s="246"/>
      <c r="DQ81" s="246"/>
      <c r="DR81" s="246"/>
      <c r="DS81" s="246"/>
      <c r="DT81" s="247"/>
      <c r="DU81" s="247"/>
      <c r="DV81" s="247"/>
      <c r="DW81" s="247"/>
      <c r="DX81" s="247"/>
      <c r="DY81" s="247"/>
      <c r="DZ81" s="247"/>
      <c r="EA81" s="246"/>
      <c r="EB81" s="246"/>
      <c r="EC81" s="246"/>
      <c r="ED81" s="246"/>
      <c r="EE81" s="246"/>
      <c r="EF81" s="246"/>
      <c r="EG81" s="246"/>
      <c r="EH81" s="247"/>
      <c r="EI81" s="247"/>
      <c r="EJ81" s="247"/>
      <c r="EK81" s="247"/>
      <c r="EL81" s="247"/>
      <c r="EM81" s="247"/>
      <c r="EN81" s="247"/>
      <c r="EO81" s="246"/>
      <c r="EP81" s="246"/>
      <c r="EQ81" s="246"/>
      <c r="ER81" s="246"/>
      <c r="ES81" s="246"/>
      <c r="ET81" s="246"/>
      <c r="EU81" s="246"/>
      <c r="EV81" s="247"/>
      <c r="EW81" s="247"/>
      <c r="EX81" s="247"/>
      <c r="EY81" s="247"/>
      <c r="EZ81" s="247"/>
      <c r="FA81" s="247"/>
      <c r="FB81" s="247"/>
      <c r="FC81" s="246"/>
      <c r="FD81" s="246"/>
      <c r="FE81" s="246"/>
      <c r="FF81" s="246"/>
      <c r="FG81" s="246"/>
      <c r="FH81" s="246"/>
      <c r="FI81" s="246"/>
      <c r="FJ81" s="247"/>
      <c r="FK81" s="247"/>
      <c r="FL81" s="247"/>
      <c r="FM81" s="247"/>
      <c r="FN81" s="247"/>
      <c r="FO81" s="247"/>
      <c r="FP81" s="247"/>
      <c r="FQ81" s="246"/>
      <c r="FR81" s="246"/>
      <c r="FS81" s="246"/>
      <c r="FT81" s="246"/>
      <c r="FU81" s="246"/>
      <c r="FV81" s="246"/>
      <c r="FW81" s="246"/>
      <c r="FX81" s="247"/>
      <c r="FY81" s="247"/>
      <c r="FZ81" s="247"/>
      <c r="GA81" s="247"/>
      <c r="GB81" s="247"/>
      <c r="GC81" s="247"/>
      <c r="GD81" s="247"/>
      <c r="GE81" s="246"/>
      <c r="GF81" s="246"/>
      <c r="GG81" s="246"/>
      <c r="GH81" s="246"/>
      <c r="GI81" s="246"/>
      <c r="GJ81" s="246"/>
      <c r="GK81" s="246"/>
      <c r="GL81" s="247"/>
      <c r="GM81" s="247"/>
      <c r="GN81" s="247"/>
      <c r="GO81" s="247"/>
      <c r="GP81" s="247"/>
      <c r="GQ81" s="247"/>
      <c r="GR81" s="247"/>
      <c r="GS81" s="246"/>
      <c r="GT81" s="246"/>
      <c r="GU81" s="246"/>
      <c r="GV81" s="246"/>
      <c r="GW81" s="246"/>
      <c r="GX81" s="246"/>
      <c r="GY81" s="246"/>
      <c r="GZ81" s="247"/>
      <c r="HA81" s="247"/>
      <c r="HB81" s="247"/>
      <c r="HC81" s="247"/>
      <c r="HD81" s="247"/>
      <c r="HE81" s="247"/>
      <c r="HF81" s="247"/>
      <c r="HG81" s="246"/>
      <c r="HH81" s="246"/>
      <c r="HI81" s="246"/>
      <c r="HJ81" s="246"/>
      <c r="HK81" s="246"/>
      <c r="HL81" s="246"/>
      <c r="HM81" s="246"/>
      <c r="HN81" s="247"/>
      <c r="HO81" s="247"/>
      <c r="HP81" s="247"/>
      <c r="HQ81" s="247"/>
      <c r="HR81" s="247"/>
      <c r="HS81" s="247"/>
      <c r="HT81" s="247"/>
      <c r="HU81" s="246"/>
      <c r="HV81" s="246"/>
      <c r="HW81" s="246"/>
      <c r="HX81" s="246"/>
      <c r="HY81" s="246"/>
      <c r="HZ81" s="246"/>
      <c r="IA81" s="246"/>
      <c r="IB81" s="247"/>
      <c r="IC81" s="247"/>
      <c r="ID81" s="247"/>
      <c r="IE81" s="247"/>
      <c r="IF81" s="247"/>
      <c r="IG81" s="247"/>
      <c r="IH81" s="247"/>
      <c r="II81" s="246"/>
      <c r="IJ81" s="246"/>
      <c r="IK81" s="246"/>
      <c r="IL81" s="246"/>
      <c r="IM81" s="246"/>
      <c r="IN81" s="246"/>
      <c r="IO81" s="246"/>
      <c r="IP81" s="247"/>
      <c r="IQ81" s="247"/>
      <c r="IR81" s="247"/>
      <c r="IS81" s="247"/>
      <c r="IT81" s="247"/>
      <c r="IU81" s="247"/>
      <c r="IV81" s="247"/>
      <c r="IW81" s="246"/>
      <c r="IX81" s="246"/>
      <c r="IY81" s="246"/>
      <c r="IZ81" s="246"/>
      <c r="JA81" s="246"/>
      <c r="JB81" s="246"/>
      <c r="JC81" s="246"/>
      <c r="JD81" s="247"/>
      <c r="JE81" s="247"/>
      <c r="JF81" s="247"/>
      <c r="JG81" s="247"/>
      <c r="JH81" s="247"/>
      <c r="JI81" s="247"/>
      <c r="JJ81" s="247"/>
      <c r="JK81" s="246"/>
      <c r="JL81" s="246"/>
      <c r="JM81" s="246"/>
      <c r="JN81" s="246"/>
      <c r="JO81" s="246"/>
      <c r="JP81" s="246"/>
      <c r="JQ81" s="246"/>
      <c r="JR81" s="247"/>
      <c r="JS81" s="247"/>
      <c r="JT81" s="247"/>
      <c r="JU81" s="247"/>
      <c r="JV81" s="247"/>
      <c r="JW81" s="247"/>
      <c r="JX81" s="247"/>
      <c r="JY81" s="246"/>
      <c r="JZ81" s="246"/>
      <c r="KA81" s="246"/>
      <c r="KB81" s="246"/>
      <c r="KC81" s="246"/>
      <c r="KD81" s="246"/>
      <c r="KE81" s="246"/>
      <c r="KF81" s="247"/>
      <c r="KG81" s="247"/>
      <c r="KH81" s="247"/>
      <c r="KI81" s="247"/>
      <c r="KJ81" s="247"/>
      <c r="KK81" s="247"/>
      <c r="KL81" s="247"/>
      <c r="KM81" s="246"/>
      <c r="KN81" s="246"/>
      <c r="KO81" s="246"/>
      <c r="KP81" s="246"/>
      <c r="KQ81" s="246"/>
      <c r="KR81" s="246"/>
      <c r="KS81" s="246"/>
      <c r="KT81" s="247"/>
      <c r="KU81" s="247"/>
      <c r="KV81" s="247"/>
      <c r="KW81" s="247"/>
      <c r="KX81" s="247"/>
      <c r="KY81" s="247"/>
      <c r="KZ81" s="247"/>
      <c r="LA81" s="246"/>
      <c r="LB81" s="246"/>
      <c r="LC81" s="246"/>
      <c r="LD81" s="246"/>
      <c r="LE81" s="246"/>
      <c r="LF81" s="246"/>
      <c r="LG81" s="246"/>
      <c r="LH81" s="247"/>
      <c r="LI81" s="247"/>
      <c r="LJ81" s="247"/>
      <c r="LK81" s="247"/>
      <c r="LL81" s="247"/>
      <c r="LM81" s="247"/>
      <c r="LN81" s="247"/>
      <c r="LO81" s="246"/>
      <c r="LP81" s="246"/>
      <c r="LQ81" s="246"/>
      <c r="LR81" s="246"/>
      <c r="LS81" s="246"/>
      <c r="LT81" s="246"/>
      <c r="LU81" s="246"/>
      <c r="LV81" s="247"/>
      <c r="LW81" s="247"/>
      <c r="LX81" s="247"/>
      <c r="LY81" s="247"/>
      <c r="LZ81" s="247"/>
      <c r="MA81" s="247"/>
      <c r="MB81" s="247"/>
      <c r="MC81" s="246"/>
      <c r="MD81" s="246"/>
      <c r="ME81" s="246"/>
      <c r="MF81" s="246"/>
      <c r="MG81" s="246"/>
      <c r="MH81" s="246"/>
      <c r="MI81" s="246"/>
      <c r="MJ81" s="247"/>
      <c r="MK81" s="247"/>
      <c r="ML81" s="247"/>
      <c r="MM81" s="247"/>
      <c r="MN81" s="247"/>
      <c r="MO81" s="247"/>
      <c r="MP81" s="247"/>
      <c r="MQ81" s="246"/>
      <c r="MR81" s="246"/>
      <c r="MS81" s="246"/>
      <c r="MT81" s="246"/>
      <c r="MU81" s="246"/>
      <c r="MV81" s="246"/>
      <c r="MW81" s="246"/>
      <c r="MX81" s="247"/>
      <c r="MY81" s="247"/>
      <c r="MZ81" s="247"/>
      <c r="NA81" s="247"/>
      <c r="NB81" s="247"/>
      <c r="NC81" s="247"/>
      <c r="ND81" s="247"/>
      <c r="NE81" s="246"/>
      <c r="NF81" s="246"/>
      <c r="NG81" s="246"/>
      <c r="NH81" s="248" t="s">
        <v>1146</v>
      </c>
    </row>
    <row r="82" spans="1:372">
      <c r="A82" s="254" t="s">
        <v>974</v>
      </c>
      <c r="B82" s="239" t="s">
        <v>62</v>
      </c>
      <c r="C82" s="240" t="s">
        <v>674</v>
      </c>
      <c r="D82" s="240" t="s">
        <v>982</v>
      </c>
      <c r="E82" s="241">
        <v>338.64492221591638</v>
      </c>
      <c r="F82" s="252">
        <v>384</v>
      </c>
      <c r="G82" s="246"/>
      <c r="H82" s="246"/>
      <c r="I82" s="246"/>
      <c r="J82" s="246"/>
      <c r="K82" s="246"/>
      <c r="L82" s="247"/>
      <c r="M82" s="247"/>
      <c r="N82" s="247"/>
      <c r="O82" s="247"/>
      <c r="P82" s="247"/>
      <c r="Q82" s="247"/>
      <c r="R82" s="247"/>
      <c r="S82" s="246"/>
      <c r="T82" s="246"/>
      <c r="U82" s="246"/>
      <c r="V82" s="246"/>
      <c r="W82" s="246"/>
      <c r="X82" s="246"/>
      <c r="Y82" s="246"/>
      <c r="Z82" s="247"/>
      <c r="AA82" s="247"/>
      <c r="AB82" s="247"/>
      <c r="AC82" s="247"/>
      <c r="AD82" s="247"/>
      <c r="AE82" s="247"/>
      <c r="AF82" s="247"/>
      <c r="AG82" s="246"/>
      <c r="AH82" s="246"/>
      <c r="AI82" s="246"/>
      <c r="AJ82" s="246"/>
      <c r="AK82" s="246"/>
      <c r="AL82" s="246"/>
      <c r="AM82" s="246"/>
      <c r="AN82" s="247"/>
      <c r="AO82" s="247"/>
      <c r="AP82" s="247"/>
      <c r="AQ82" s="247"/>
      <c r="AR82" s="247"/>
      <c r="AS82" s="247"/>
      <c r="AT82" s="247"/>
      <c r="AU82" s="246"/>
      <c r="AV82" s="246"/>
      <c r="AW82" s="246"/>
      <c r="AX82" s="246"/>
      <c r="AY82" s="246"/>
      <c r="AZ82" s="246"/>
      <c r="BA82" s="246"/>
      <c r="BB82" s="247"/>
      <c r="BC82" s="247"/>
      <c r="BD82" s="247"/>
      <c r="BE82" s="247"/>
      <c r="BF82" s="247"/>
      <c r="BG82" s="247"/>
      <c r="BH82" s="247"/>
      <c r="BI82" s="246"/>
      <c r="BJ82" s="246"/>
      <c r="BK82" s="246"/>
      <c r="BL82" s="246"/>
      <c r="BM82" s="246"/>
      <c r="BN82" s="246"/>
      <c r="BO82" s="246"/>
      <c r="BP82" s="247"/>
      <c r="BQ82" s="247"/>
      <c r="BR82" s="247"/>
      <c r="BS82" s="247"/>
      <c r="BT82" s="247"/>
      <c r="BU82" s="247"/>
      <c r="BV82" s="247"/>
      <c r="BW82" s="246"/>
      <c r="BX82" s="246"/>
      <c r="BY82" s="246"/>
      <c r="BZ82" s="246"/>
      <c r="CA82" s="246"/>
      <c r="CB82" s="246"/>
      <c r="CC82" s="246"/>
      <c r="CD82" s="247"/>
      <c r="CE82" s="247"/>
      <c r="CF82" s="247"/>
      <c r="CG82" s="247"/>
      <c r="CH82" s="247"/>
      <c r="CI82" s="247"/>
      <c r="CJ82" s="247"/>
      <c r="CK82" s="246"/>
      <c r="CL82" s="246"/>
      <c r="CM82" s="246"/>
      <c r="CN82" s="246"/>
      <c r="CO82" s="246"/>
      <c r="CP82" s="246">
        <v>24</v>
      </c>
      <c r="CQ82" s="246">
        <v>24</v>
      </c>
      <c r="CR82" s="247">
        <v>24</v>
      </c>
      <c r="CS82" s="247">
        <v>24</v>
      </c>
      <c r="CT82" s="247">
        <v>24</v>
      </c>
      <c r="CU82" s="247">
        <v>24</v>
      </c>
      <c r="CV82" s="247">
        <v>24</v>
      </c>
      <c r="CW82" s="247">
        <v>24</v>
      </c>
      <c r="CX82" s="247">
        <v>24</v>
      </c>
      <c r="CY82" s="246">
        <v>24</v>
      </c>
      <c r="CZ82" s="246">
        <v>24</v>
      </c>
      <c r="DA82" s="246">
        <v>24</v>
      </c>
      <c r="DB82" s="246">
        <v>24</v>
      </c>
      <c r="DC82" s="246">
        <v>24</v>
      </c>
      <c r="DD82" s="246">
        <v>24</v>
      </c>
      <c r="DE82" s="246">
        <v>24</v>
      </c>
      <c r="DF82" s="247"/>
      <c r="DG82" s="247"/>
      <c r="DH82" s="247"/>
      <c r="DI82" s="247"/>
      <c r="DJ82" s="247"/>
      <c r="DK82" s="247"/>
      <c r="DL82" s="247"/>
      <c r="DM82" s="246"/>
      <c r="DN82" s="246"/>
      <c r="DO82" s="246"/>
      <c r="DP82" s="246"/>
      <c r="DQ82" s="246"/>
      <c r="DR82" s="246"/>
      <c r="DS82" s="246"/>
      <c r="DT82" s="247"/>
      <c r="DU82" s="247"/>
      <c r="DV82" s="247"/>
      <c r="DW82" s="247"/>
      <c r="DX82" s="247"/>
      <c r="DY82" s="247"/>
      <c r="DZ82" s="247"/>
      <c r="EA82" s="246"/>
      <c r="EB82" s="246"/>
      <c r="EC82" s="246"/>
      <c r="ED82" s="246"/>
      <c r="EE82" s="246"/>
      <c r="EF82" s="246"/>
      <c r="EG82" s="246"/>
      <c r="EH82" s="247"/>
      <c r="EI82" s="247"/>
      <c r="EJ82" s="247"/>
      <c r="EK82" s="247"/>
      <c r="EL82" s="247"/>
      <c r="EM82" s="247"/>
      <c r="EN82" s="247"/>
      <c r="EO82" s="246"/>
      <c r="EP82" s="246"/>
      <c r="EQ82" s="246"/>
      <c r="ER82" s="246"/>
      <c r="ES82" s="246"/>
      <c r="ET82" s="246"/>
      <c r="EU82" s="246"/>
      <c r="EV82" s="247"/>
      <c r="EW82" s="247"/>
      <c r="EX82" s="247"/>
      <c r="EY82" s="247"/>
      <c r="EZ82" s="247"/>
      <c r="FA82" s="247"/>
      <c r="FB82" s="247"/>
      <c r="FC82" s="246"/>
      <c r="FD82" s="246"/>
      <c r="FE82" s="246"/>
      <c r="FF82" s="246"/>
      <c r="FG82" s="246"/>
      <c r="FH82" s="246"/>
      <c r="FI82" s="246"/>
      <c r="FJ82" s="247"/>
      <c r="FK82" s="247"/>
      <c r="FL82" s="247"/>
      <c r="FM82" s="247"/>
      <c r="FN82" s="247"/>
      <c r="FO82" s="247"/>
      <c r="FP82" s="247"/>
      <c r="FQ82" s="246"/>
      <c r="FR82" s="246"/>
      <c r="FS82" s="246"/>
      <c r="FT82" s="246"/>
      <c r="FU82" s="246"/>
      <c r="FV82" s="246"/>
      <c r="FW82" s="246"/>
      <c r="FX82" s="247"/>
      <c r="FY82" s="247"/>
      <c r="FZ82" s="247"/>
      <c r="GA82" s="247"/>
      <c r="GB82" s="247"/>
      <c r="GC82" s="247"/>
      <c r="GD82" s="247"/>
      <c r="GE82" s="246"/>
      <c r="GF82" s="246"/>
      <c r="GG82" s="246"/>
      <c r="GH82" s="246"/>
      <c r="GI82" s="246"/>
      <c r="GJ82" s="246"/>
      <c r="GK82" s="246"/>
      <c r="GL82" s="247"/>
      <c r="GM82" s="247"/>
      <c r="GN82" s="247"/>
      <c r="GO82" s="247"/>
      <c r="GP82" s="247"/>
      <c r="GQ82" s="247"/>
      <c r="GR82" s="247"/>
      <c r="GS82" s="246"/>
      <c r="GT82" s="246"/>
      <c r="GU82" s="246"/>
      <c r="GV82" s="246"/>
      <c r="GW82" s="246"/>
      <c r="GX82" s="246"/>
      <c r="GY82" s="246"/>
      <c r="GZ82" s="247"/>
      <c r="HA82" s="247"/>
      <c r="HB82" s="247"/>
      <c r="HC82" s="247"/>
      <c r="HD82" s="247"/>
      <c r="HE82" s="247"/>
      <c r="HF82" s="247"/>
      <c r="HG82" s="246"/>
      <c r="HH82" s="246"/>
      <c r="HI82" s="246"/>
      <c r="HJ82" s="246"/>
      <c r="HK82" s="246"/>
      <c r="HL82" s="246"/>
      <c r="HM82" s="246"/>
      <c r="HN82" s="247"/>
      <c r="HO82" s="247"/>
      <c r="HP82" s="247"/>
      <c r="HQ82" s="247"/>
      <c r="HR82" s="247"/>
      <c r="HS82" s="247"/>
      <c r="HT82" s="247"/>
      <c r="HU82" s="246"/>
      <c r="HV82" s="246"/>
      <c r="HW82" s="246"/>
      <c r="HX82" s="246"/>
      <c r="HY82" s="246"/>
      <c r="HZ82" s="246"/>
      <c r="IA82" s="246"/>
      <c r="IB82" s="247"/>
      <c r="IC82" s="247"/>
      <c r="ID82" s="247"/>
      <c r="IE82" s="247"/>
      <c r="IF82" s="247"/>
      <c r="IG82" s="247"/>
      <c r="IH82" s="247"/>
      <c r="II82" s="246"/>
      <c r="IJ82" s="246"/>
      <c r="IK82" s="246"/>
      <c r="IL82" s="246"/>
      <c r="IM82" s="246"/>
      <c r="IN82" s="246"/>
      <c r="IO82" s="246"/>
      <c r="IP82" s="247"/>
      <c r="IQ82" s="247"/>
      <c r="IR82" s="247"/>
      <c r="IS82" s="247"/>
      <c r="IT82" s="247"/>
      <c r="IU82" s="247"/>
      <c r="IV82" s="247"/>
      <c r="IW82" s="246"/>
      <c r="IX82" s="246"/>
      <c r="IY82" s="246"/>
      <c r="IZ82" s="246"/>
      <c r="JA82" s="246"/>
      <c r="JB82" s="246"/>
      <c r="JC82" s="246"/>
      <c r="JD82" s="247"/>
      <c r="JE82" s="247"/>
      <c r="JF82" s="247"/>
      <c r="JG82" s="247"/>
      <c r="JH82" s="247"/>
      <c r="JI82" s="247"/>
      <c r="JJ82" s="247"/>
      <c r="JK82" s="246"/>
      <c r="JL82" s="246"/>
      <c r="JM82" s="246"/>
      <c r="JN82" s="246"/>
      <c r="JO82" s="246"/>
      <c r="JP82" s="246"/>
      <c r="JQ82" s="246"/>
      <c r="JR82" s="247"/>
      <c r="JS82" s="247"/>
      <c r="JT82" s="247"/>
      <c r="JU82" s="247"/>
      <c r="JV82" s="247"/>
      <c r="JW82" s="247"/>
      <c r="JX82" s="247"/>
      <c r="JY82" s="246"/>
      <c r="JZ82" s="246"/>
      <c r="KA82" s="246"/>
      <c r="KB82" s="246"/>
      <c r="KC82" s="246"/>
      <c r="KD82" s="246"/>
      <c r="KE82" s="246"/>
      <c r="KF82" s="247"/>
      <c r="KG82" s="247"/>
      <c r="KH82" s="247"/>
      <c r="KI82" s="247"/>
      <c r="KJ82" s="247"/>
      <c r="KK82" s="247"/>
      <c r="KL82" s="247"/>
      <c r="KM82" s="246"/>
      <c r="KN82" s="246"/>
      <c r="KO82" s="246"/>
      <c r="KP82" s="246"/>
      <c r="KQ82" s="246"/>
      <c r="KR82" s="246"/>
      <c r="KS82" s="246"/>
      <c r="KT82" s="247"/>
      <c r="KU82" s="247"/>
      <c r="KV82" s="247"/>
      <c r="KW82" s="247"/>
      <c r="KX82" s="247"/>
      <c r="KY82" s="247"/>
      <c r="KZ82" s="247"/>
      <c r="LA82" s="246"/>
      <c r="LB82" s="246"/>
      <c r="LC82" s="246"/>
      <c r="LD82" s="246"/>
      <c r="LE82" s="246"/>
      <c r="LF82" s="246"/>
      <c r="LG82" s="246"/>
      <c r="LH82" s="247"/>
      <c r="LI82" s="247"/>
      <c r="LJ82" s="247"/>
      <c r="LK82" s="247"/>
      <c r="LL82" s="247"/>
      <c r="LM82" s="247"/>
      <c r="LN82" s="247"/>
      <c r="LO82" s="246"/>
      <c r="LP82" s="246"/>
      <c r="LQ82" s="246"/>
      <c r="LR82" s="246"/>
      <c r="LS82" s="246"/>
      <c r="LT82" s="246"/>
      <c r="LU82" s="246"/>
      <c r="LV82" s="247"/>
      <c r="LW82" s="247"/>
      <c r="LX82" s="247"/>
      <c r="LY82" s="247"/>
      <c r="LZ82" s="247"/>
      <c r="MA82" s="247"/>
      <c r="MB82" s="247"/>
      <c r="MC82" s="246"/>
      <c r="MD82" s="246"/>
      <c r="ME82" s="246"/>
      <c r="MF82" s="246"/>
      <c r="MG82" s="246"/>
      <c r="MH82" s="246"/>
      <c r="MI82" s="246"/>
      <c r="MJ82" s="247"/>
      <c r="MK82" s="247"/>
      <c r="ML82" s="247"/>
      <c r="MM82" s="247"/>
      <c r="MN82" s="247"/>
      <c r="MO82" s="247"/>
      <c r="MP82" s="247"/>
      <c r="MQ82" s="246"/>
      <c r="MR82" s="246"/>
      <c r="MS82" s="246"/>
      <c r="MT82" s="246"/>
      <c r="MU82" s="246"/>
      <c r="MV82" s="246"/>
      <c r="MW82" s="246"/>
      <c r="MX82" s="247"/>
      <c r="MY82" s="247"/>
      <c r="MZ82" s="247"/>
      <c r="NA82" s="247"/>
      <c r="NB82" s="247"/>
      <c r="NC82" s="247"/>
      <c r="ND82" s="247"/>
      <c r="NE82" s="246"/>
      <c r="NF82" s="246"/>
      <c r="NG82" s="246"/>
      <c r="NH82" s="248" t="s">
        <v>1146</v>
      </c>
    </row>
    <row r="83" spans="1:372">
      <c r="A83" s="254" t="s">
        <v>974</v>
      </c>
      <c r="B83" s="239" t="s">
        <v>976</v>
      </c>
      <c r="C83" s="240" t="s">
        <v>674</v>
      </c>
      <c r="D83" s="240" t="s">
        <v>982</v>
      </c>
      <c r="E83" s="241">
        <v>0</v>
      </c>
      <c r="F83" s="252">
        <v>0</v>
      </c>
      <c r="G83" s="246"/>
      <c r="H83" s="246"/>
      <c r="I83" s="246"/>
      <c r="J83" s="246"/>
      <c r="K83" s="246"/>
      <c r="L83" s="247"/>
      <c r="M83" s="247"/>
      <c r="N83" s="247"/>
      <c r="O83" s="247"/>
      <c r="P83" s="247"/>
      <c r="Q83" s="247"/>
      <c r="R83" s="247"/>
      <c r="S83" s="246"/>
      <c r="T83" s="246"/>
      <c r="U83" s="246"/>
      <c r="V83" s="246"/>
      <c r="W83" s="246"/>
      <c r="X83" s="246"/>
      <c r="Y83" s="246"/>
      <c r="Z83" s="247"/>
      <c r="AA83" s="247"/>
      <c r="AB83" s="247"/>
      <c r="AC83" s="247"/>
      <c r="AD83" s="247"/>
      <c r="AE83" s="247"/>
      <c r="AF83" s="247"/>
      <c r="AG83" s="246"/>
      <c r="AH83" s="246"/>
      <c r="AI83" s="246"/>
      <c r="AJ83" s="246"/>
      <c r="AK83" s="246"/>
      <c r="AL83" s="246"/>
      <c r="AM83" s="246"/>
      <c r="AN83" s="247"/>
      <c r="AO83" s="247"/>
      <c r="AP83" s="247"/>
      <c r="AQ83" s="247"/>
      <c r="AR83" s="247"/>
      <c r="AS83" s="247"/>
      <c r="AT83" s="247"/>
      <c r="AU83" s="246"/>
      <c r="AV83" s="246"/>
      <c r="AW83" s="246"/>
      <c r="AX83" s="246"/>
      <c r="AY83" s="246"/>
      <c r="AZ83" s="246"/>
      <c r="BA83" s="246"/>
      <c r="BB83" s="247"/>
      <c r="BC83" s="247"/>
      <c r="BD83" s="247"/>
      <c r="BE83" s="247"/>
      <c r="BF83" s="247"/>
      <c r="BG83" s="247"/>
      <c r="BH83" s="247"/>
      <c r="BI83" s="246"/>
      <c r="BJ83" s="246"/>
      <c r="BK83" s="246"/>
      <c r="BL83" s="246"/>
      <c r="BM83" s="246"/>
      <c r="BN83" s="246"/>
      <c r="BO83" s="246"/>
      <c r="BP83" s="247"/>
      <c r="BQ83" s="247"/>
      <c r="BR83" s="247"/>
      <c r="BS83" s="247"/>
      <c r="BT83" s="247"/>
      <c r="BU83" s="247"/>
      <c r="BV83" s="247"/>
      <c r="BW83" s="246"/>
      <c r="BX83" s="246"/>
      <c r="BY83" s="246"/>
      <c r="BZ83" s="246"/>
      <c r="CA83" s="246"/>
      <c r="CB83" s="246"/>
      <c r="CC83" s="246"/>
      <c r="CD83" s="247"/>
      <c r="CE83" s="247"/>
      <c r="CF83" s="247"/>
      <c r="CG83" s="247"/>
      <c r="CH83" s="247"/>
      <c r="CI83" s="247"/>
      <c r="CJ83" s="247"/>
      <c r="CK83" s="246"/>
      <c r="CL83" s="246"/>
      <c r="CM83" s="246"/>
      <c r="CN83" s="246"/>
      <c r="CO83" s="246"/>
      <c r="CP83" s="246"/>
      <c r="CQ83" s="246"/>
      <c r="CR83" s="247"/>
      <c r="CS83" s="247"/>
      <c r="CT83" s="247"/>
      <c r="CU83" s="247"/>
      <c r="CV83" s="247"/>
      <c r="CW83" s="247"/>
      <c r="CX83" s="247"/>
      <c r="CY83" s="246"/>
      <c r="CZ83" s="246"/>
      <c r="DA83" s="246"/>
      <c r="DB83" s="246"/>
      <c r="DC83" s="246"/>
      <c r="DD83" s="246"/>
      <c r="DE83" s="246"/>
      <c r="DF83" s="247"/>
      <c r="DG83" s="247"/>
      <c r="DH83" s="247"/>
      <c r="DI83" s="247"/>
      <c r="DJ83" s="247"/>
      <c r="DK83" s="247"/>
      <c r="DL83" s="247"/>
      <c r="DM83" s="246"/>
      <c r="DN83" s="246"/>
      <c r="DO83" s="246"/>
      <c r="DP83" s="246"/>
      <c r="DQ83" s="246"/>
      <c r="DR83" s="246"/>
      <c r="DS83" s="246"/>
      <c r="DT83" s="247"/>
      <c r="DU83" s="247"/>
      <c r="DV83" s="247"/>
      <c r="DW83" s="247"/>
      <c r="DX83" s="247"/>
      <c r="DY83" s="247"/>
      <c r="DZ83" s="247"/>
      <c r="EA83" s="246"/>
      <c r="EB83" s="246"/>
      <c r="EC83" s="246"/>
      <c r="ED83" s="246"/>
      <c r="EE83" s="246"/>
      <c r="EF83" s="246"/>
      <c r="EG83" s="246"/>
      <c r="EH83" s="247"/>
      <c r="EI83" s="247"/>
      <c r="EJ83" s="247"/>
      <c r="EK83" s="247"/>
      <c r="EL83" s="247"/>
      <c r="EM83" s="247"/>
      <c r="EN83" s="247"/>
      <c r="EO83" s="246"/>
      <c r="EP83" s="246"/>
      <c r="EQ83" s="246"/>
      <c r="ER83" s="246"/>
      <c r="ES83" s="246"/>
      <c r="ET83" s="246"/>
      <c r="EU83" s="246"/>
      <c r="EV83" s="247"/>
      <c r="EW83" s="247"/>
      <c r="EX83" s="247"/>
      <c r="EY83" s="247"/>
      <c r="EZ83" s="247"/>
      <c r="FA83" s="247"/>
      <c r="FB83" s="247"/>
      <c r="FC83" s="246"/>
      <c r="FD83" s="246"/>
      <c r="FE83" s="246"/>
      <c r="FF83" s="246"/>
      <c r="FG83" s="246"/>
      <c r="FH83" s="246"/>
      <c r="FI83" s="246"/>
      <c r="FJ83" s="247"/>
      <c r="FK83" s="247"/>
      <c r="FL83" s="247"/>
      <c r="FM83" s="247"/>
      <c r="FN83" s="247"/>
      <c r="FO83" s="247"/>
      <c r="FP83" s="247"/>
      <c r="FQ83" s="246"/>
      <c r="FR83" s="246"/>
      <c r="FS83" s="246"/>
      <c r="FT83" s="246"/>
      <c r="FU83" s="246"/>
      <c r="FV83" s="246"/>
      <c r="FW83" s="246"/>
      <c r="FX83" s="247"/>
      <c r="FY83" s="247"/>
      <c r="FZ83" s="247"/>
      <c r="GA83" s="247"/>
      <c r="GB83" s="247"/>
      <c r="GC83" s="247"/>
      <c r="GD83" s="247"/>
      <c r="GE83" s="246"/>
      <c r="GF83" s="246"/>
      <c r="GG83" s="246"/>
      <c r="GH83" s="246"/>
      <c r="GI83" s="246"/>
      <c r="GJ83" s="246"/>
      <c r="GK83" s="246"/>
      <c r="GL83" s="247"/>
      <c r="GM83" s="247"/>
      <c r="GN83" s="247"/>
      <c r="GO83" s="247"/>
      <c r="GP83" s="247"/>
      <c r="GQ83" s="247"/>
      <c r="GR83" s="247"/>
      <c r="GS83" s="246"/>
      <c r="GT83" s="246"/>
      <c r="GU83" s="246"/>
      <c r="GV83" s="246"/>
      <c r="GW83" s="246"/>
      <c r="GX83" s="246"/>
      <c r="GY83" s="246"/>
      <c r="GZ83" s="247"/>
      <c r="HA83" s="247"/>
      <c r="HB83" s="247"/>
      <c r="HC83" s="247"/>
      <c r="HD83" s="247"/>
      <c r="HE83" s="247"/>
      <c r="HF83" s="247"/>
      <c r="HG83" s="246"/>
      <c r="HH83" s="246"/>
      <c r="HI83" s="246"/>
      <c r="HJ83" s="246"/>
      <c r="HK83" s="246"/>
      <c r="HL83" s="246"/>
      <c r="HM83" s="246"/>
      <c r="HN83" s="247"/>
      <c r="HO83" s="247"/>
      <c r="HP83" s="247"/>
      <c r="HQ83" s="247"/>
      <c r="HR83" s="247"/>
      <c r="HS83" s="247"/>
      <c r="HT83" s="247"/>
      <c r="HU83" s="246"/>
      <c r="HV83" s="246"/>
      <c r="HW83" s="246"/>
      <c r="HX83" s="246"/>
      <c r="HY83" s="246"/>
      <c r="HZ83" s="246"/>
      <c r="IA83" s="246"/>
      <c r="IB83" s="247"/>
      <c r="IC83" s="247"/>
      <c r="ID83" s="247"/>
      <c r="IE83" s="247"/>
      <c r="IF83" s="247"/>
      <c r="IG83" s="247"/>
      <c r="IH83" s="247"/>
      <c r="II83" s="246"/>
      <c r="IJ83" s="246"/>
      <c r="IK83" s="246"/>
      <c r="IL83" s="246"/>
      <c r="IM83" s="246"/>
      <c r="IN83" s="246"/>
      <c r="IO83" s="246"/>
      <c r="IP83" s="247"/>
      <c r="IQ83" s="247"/>
      <c r="IR83" s="247"/>
      <c r="IS83" s="247"/>
      <c r="IT83" s="247"/>
      <c r="IU83" s="247"/>
      <c r="IV83" s="247"/>
      <c r="IW83" s="246"/>
      <c r="IX83" s="246"/>
      <c r="IY83" s="246"/>
      <c r="IZ83" s="246"/>
      <c r="JA83" s="246"/>
      <c r="JB83" s="246"/>
      <c r="JC83" s="246"/>
      <c r="JD83" s="247"/>
      <c r="JE83" s="247"/>
      <c r="JF83" s="247"/>
      <c r="JG83" s="247"/>
      <c r="JH83" s="247"/>
      <c r="JI83" s="247"/>
      <c r="JJ83" s="247"/>
      <c r="JK83" s="246"/>
      <c r="JL83" s="246"/>
      <c r="JM83" s="246"/>
      <c r="JN83" s="246"/>
      <c r="JO83" s="246"/>
      <c r="JP83" s="246"/>
      <c r="JQ83" s="246"/>
      <c r="JR83" s="247"/>
      <c r="JS83" s="247"/>
      <c r="JT83" s="247"/>
      <c r="JU83" s="247"/>
      <c r="JV83" s="247"/>
      <c r="JW83" s="247"/>
      <c r="JX83" s="247"/>
      <c r="JY83" s="246"/>
      <c r="JZ83" s="246"/>
      <c r="KA83" s="246"/>
      <c r="KB83" s="246"/>
      <c r="KC83" s="246"/>
      <c r="KD83" s="246"/>
      <c r="KE83" s="246"/>
      <c r="KF83" s="247"/>
      <c r="KG83" s="247"/>
      <c r="KH83" s="247"/>
      <c r="KI83" s="247"/>
      <c r="KJ83" s="247"/>
      <c r="KK83" s="247"/>
      <c r="KL83" s="247"/>
      <c r="KM83" s="246"/>
      <c r="KN83" s="246"/>
      <c r="KO83" s="246"/>
      <c r="KP83" s="246"/>
      <c r="KQ83" s="246"/>
      <c r="KR83" s="246"/>
      <c r="KS83" s="246"/>
      <c r="KT83" s="247"/>
      <c r="KU83" s="247"/>
      <c r="KV83" s="247"/>
      <c r="KW83" s="247"/>
      <c r="KX83" s="247"/>
      <c r="KY83" s="247"/>
      <c r="KZ83" s="247"/>
      <c r="LA83" s="246"/>
      <c r="LB83" s="246"/>
      <c r="LC83" s="246"/>
      <c r="LD83" s="246"/>
      <c r="LE83" s="246"/>
      <c r="LF83" s="246"/>
      <c r="LG83" s="246"/>
      <c r="LH83" s="247"/>
      <c r="LI83" s="247"/>
      <c r="LJ83" s="247"/>
      <c r="LK83" s="247"/>
      <c r="LL83" s="247"/>
      <c r="LM83" s="247"/>
      <c r="LN83" s="247"/>
      <c r="LO83" s="246"/>
      <c r="LP83" s="246"/>
      <c r="LQ83" s="246"/>
      <c r="LR83" s="246"/>
      <c r="LS83" s="246"/>
      <c r="LT83" s="246"/>
      <c r="LU83" s="246"/>
      <c r="LV83" s="247"/>
      <c r="LW83" s="247"/>
      <c r="LX83" s="247"/>
      <c r="LY83" s="247"/>
      <c r="LZ83" s="247"/>
      <c r="MA83" s="247"/>
      <c r="MB83" s="247"/>
      <c r="MC83" s="246"/>
      <c r="MD83" s="246"/>
      <c r="ME83" s="246"/>
      <c r="MF83" s="246"/>
      <c r="MG83" s="246"/>
      <c r="MH83" s="246"/>
      <c r="MI83" s="246"/>
      <c r="MJ83" s="247"/>
      <c r="MK83" s="247"/>
      <c r="ML83" s="247"/>
      <c r="MM83" s="247"/>
      <c r="MN83" s="247"/>
      <c r="MO83" s="247"/>
      <c r="MP83" s="247"/>
      <c r="MQ83" s="246"/>
      <c r="MR83" s="246"/>
      <c r="MS83" s="246"/>
      <c r="MT83" s="246"/>
      <c r="MU83" s="246"/>
      <c r="MV83" s="246"/>
      <c r="MW83" s="246"/>
      <c r="MX83" s="247"/>
      <c r="MY83" s="247"/>
      <c r="MZ83" s="247"/>
      <c r="NA83" s="247"/>
      <c r="NB83" s="247"/>
      <c r="NC83" s="247"/>
      <c r="ND83" s="247"/>
      <c r="NE83" s="246"/>
      <c r="NF83" s="246"/>
      <c r="NG83" s="246"/>
      <c r="NH83" s="247" t="s">
        <v>1149</v>
      </c>
    </row>
    <row r="84" spans="1:372">
      <c r="A84" s="254" t="s">
        <v>974</v>
      </c>
      <c r="B84" s="239" t="s">
        <v>63</v>
      </c>
      <c r="C84" s="240" t="s">
        <v>674</v>
      </c>
      <c r="D84" s="240" t="s">
        <v>982</v>
      </c>
      <c r="E84" s="241">
        <v>401.48000553031142</v>
      </c>
      <c r="F84" s="252">
        <v>384</v>
      </c>
      <c r="G84" s="246"/>
      <c r="H84" s="246"/>
      <c r="I84" s="246"/>
      <c r="J84" s="246"/>
      <c r="K84" s="246"/>
      <c r="L84" s="247"/>
      <c r="M84" s="247"/>
      <c r="N84" s="247"/>
      <c r="O84" s="247"/>
      <c r="P84" s="247"/>
      <c r="Q84" s="247"/>
      <c r="R84" s="247"/>
      <c r="S84" s="246"/>
      <c r="T84" s="246"/>
      <c r="U84" s="246"/>
      <c r="V84" s="246"/>
      <c r="W84" s="246"/>
      <c r="X84" s="246"/>
      <c r="Y84" s="246"/>
      <c r="Z84" s="247"/>
      <c r="AA84" s="247"/>
      <c r="AB84" s="247"/>
      <c r="AC84" s="247"/>
      <c r="AD84" s="247"/>
      <c r="AE84" s="247"/>
      <c r="AF84" s="247"/>
      <c r="AG84" s="246"/>
      <c r="AH84" s="246"/>
      <c r="AI84" s="246"/>
      <c r="AJ84" s="246"/>
      <c r="AK84" s="246"/>
      <c r="AL84" s="246"/>
      <c r="AM84" s="246"/>
      <c r="AN84" s="247"/>
      <c r="AO84" s="247"/>
      <c r="AP84" s="247"/>
      <c r="AQ84" s="247"/>
      <c r="AR84" s="247"/>
      <c r="AS84" s="247"/>
      <c r="AT84" s="247"/>
      <c r="AU84" s="246"/>
      <c r="AV84" s="246"/>
      <c r="AW84" s="246"/>
      <c r="AX84" s="246"/>
      <c r="AY84" s="246"/>
      <c r="AZ84" s="246"/>
      <c r="BA84" s="246"/>
      <c r="BB84" s="247"/>
      <c r="BC84" s="247"/>
      <c r="BD84" s="247"/>
      <c r="BE84" s="247"/>
      <c r="BF84" s="247"/>
      <c r="BG84" s="247"/>
      <c r="BH84" s="247"/>
      <c r="BI84" s="246"/>
      <c r="BJ84" s="246"/>
      <c r="BK84" s="246"/>
      <c r="BL84" s="246"/>
      <c r="BM84" s="246"/>
      <c r="BN84" s="246"/>
      <c r="BO84" s="246"/>
      <c r="BP84" s="247"/>
      <c r="BQ84" s="247"/>
      <c r="BR84" s="247"/>
      <c r="BS84" s="247"/>
      <c r="BT84" s="247"/>
      <c r="BU84" s="247"/>
      <c r="BV84" s="247"/>
      <c r="BW84" s="246"/>
      <c r="BX84" s="246"/>
      <c r="BY84" s="246"/>
      <c r="BZ84" s="246"/>
      <c r="CA84" s="246"/>
      <c r="CB84" s="246"/>
      <c r="CC84" s="246"/>
      <c r="CD84" s="247"/>
      <c r="CE84" s="247"/>
      <c r="CF84" s="247"/>
      <c r="CG84" s="247"/>
      <c r="CH84" s="247"/>
      <c r="CI84" s="247"/>
      <c r="CJ84" s="247"/>
      <c r="CK84" s="246"/>
      <c r="CL84" s="246"/>
      <c r="CM84" s="246"/>
      <c r="CN84" s="246"/>
      <c r="CO84" s="246"/>
      <c r="CP84" s="246"/>
      <c r="CQ84" s="246"/>
      <c r="CR84" s="247"/>
      <c r="CS84" s="247"/>
      <c r="CT84" s="247"/>
      <c r="CU84" s="247"/>
      <c r="CV84" s="247"/>
      <c r="CW84" s="247"/>
      <c r="CX84" s="247"/>
      <c r="CY84" s="246"/>
      <c r="CZ84" s="246"/>
      <c r="DA84" s="246"/>
      <c r="DB84" s="246"/>
      <c r="DC84" s="246"/>
      <c r="DD84" s="246"/>
      <c r="DE84" s="246"/>
      <c r="DF84" s="247"/>
      <c r="DG84" s="247"/>
      <c r="DH84" s="247"/>
      <c r="DI84" s="247"/>
      <c r="DJ84" s="247"/>
      <c r="DK84" s="247"/>
      <c r="DL84" s="247"/>
      <c r="DM84" s="246"/>
      <c r="DN84" s="246"/>
      <c r="DO84" s="246"/>
      <c r="DP84" s="246"/>
      <c r="DQ84" s="246"/>
      <c r="DR84" s="246"/>
      <c r="DS84" s="246"/>
      <c r="DT84" s="247"/>
      <c r="DU84" s="247"/>
      <c r="DV84" s="247"/>
      <c r="DW84" s="247"/>
      <c r="DX84" s="247"/>
      <c r="DY84" s="247"/>
      <c r="DZ84" s="247"/>
      <c r="EA84" s="246"/>
      <c r="EB84" s="246"/>
      <c r="EC84" s="246"/>
      <c r="ED84" s="246"/>
      <c r="EE84" s="246"/>
      <c r="EF84" s="246"/>
      <c r="EG84" s="246"/>
      <c r="EH84" s="247"/>
      <c r="EI84" s="247"/>
      <c r="EJ84" s="247"/>
      <c r="EK84" s="247"/>
      <c r="EL84" s="247"/>
      <c r="EM84" s="247"/>
      <c r="EN84" s="247"/>
      <c r="EO84" s="246"/>
      <c r="EP84" s="246"/>
      <c r="EQ84" s="246"/>
      <c r="ER84" s="246"/>
      <c r="ES84" s="246"/>
      <c r="ET84" s="246"/>
      <c r="EU84" s="246"/>
      <c r="EV84" s="247"/>
      <c r="EW84" s="247"/>
      <c r="EX84" s="247"/>
      <c r="EY84" s="247"/>
      <c r="EZ84" s="247"/>
      <c r="FA84" s="247"/>
      <c r="FB84" s="247"/>
      <c r="FC84" s="246"/>
      <c r="FD84" s="246"/>
      <c r="FE84" s="246"/>
      <c r="FF84" s="246"/>
      <c r="FG84" s="246"/>
      <c r="FH84" s="246"/>
      <c r="FI84" s="246"/>
      <c r="FJ84" s="247"/>
      <c r="FK84" s="247"/>
      <c r="FL84" s="247"/>
      <c r="FM84" s="247"/>
      <c r="FN84" s="247"/>
      <c r="FO84" s="247"/>
      <c r="FP84" s="247"/>
      <c r="FQ84" s="246"/>
      <c r="FR84" s="246"/>
      <c r="FS84" s="246"/>
      <c r="FT84" s="246"/>
      <c r="FU84" s="246"/>
      <c r="FV84" s="246"/>
      <c r="FW84" s="246"/>
      <c r="FX84" s="247"/>
      <c r="FY84" s="247"/>
      <c r="FZ84" s="247"/>
      <c r="GA84" s="247"/>
      <c r="GB84" s="247"/>
      <c r="GC84" s="247"/>
      <c r="GD84" s="247"/>
      <c r="GE84" s="246"/>
      <c r="GF84" s="246"/>
      <c r="GG84" s="246"/>
      <c r="GH84" s="246"/>
      <c r="GI84" s="246"/>
      <c r="GJ84" s="246"/>
      <c r="GK84" s="246"/>
      <c r="GL84" s="247"/>
      <c r="GM84" s="247"/>
      <c r="GN84" s="247"/>
      <c r="GO84" s="247"/>
      <c r="GP84" s="247"/>
      <c r="GQ84" s="247"/>
      <c r="GR84" s="247"/>
      <c r="GS84" s="246"/>
      <c r="GT84" s="246"/>
      <c r="GU84" s="246"/>
      <c r="GV84" s="246"/>
      <c r="GW84" s="246"/>
      <c r="GX84" s="246"/>
      <c r="GY84" s="246"/>
      <c r="GZ84" s="247"/>
      <c r="HA84" s="247"/>
      <c r="HB84" s="247"/>
      <c r="HC84" s="247"/>
      <c r="HD84" s="247"/>
      <c r="HE84" s="247"/>
      <c r="HF84" s="247"/>
      <c r="HG84" s="246"/>
      <c r="HH84" s="246"/>
      <c r="HI84" s="246"/>
      <c r="HJ84" s="246"/>
      <c r="HK84" s="246"/>
      <c r="HL84" s="246"/>
      <c r="HM84" s="246"/>
      <c r="HN84" s="247"/>
      <c r="HO84" s="247"/>
      <c r="HP84" s="247"/>
      <c r="HQ84" s="247"/>
      <c r="HR84" s="247"/>
      <c r="HS84" s="247"/>
      <c r="HT84" s="247"/>
      <c r="HU84" s="246"/>
      <c r="HV84" s="246"/>
      <c r="HW84" s="246"/>
      <c r="HX84" s="246"/>
      <c r="HY84" s="246"/>
      <c r="HZ84" s="246"/>
      <c r="IA84" s="246"/>
      <c r="IB84" s="247"/>
      <c r="IC84" s="247"/>
      <c r="ID84" s="247"/>
      <c r="IE84" s="247"/>
      <c r="IF84" s="247"/>
      <c r="IG84" s="247"/>
      <c r="IH84" s="247"/>
      <c r="II84" s="246"/>
      <c r="IJ84" s="246"/>
      <c r="IK84" s="246"/>
      <c r="IL84" s="246"/>
      <c r="IM84" s="246"/>
      <c r="IN84" s="246"/>
      <c r="IO84" s="246"/>
      <c r="IP84" s="247"/>
      <c r="IQ84" s="247"/>
      <c r="IR84" s="247"/>
      <c r="IS84" s="247"/>
      <c r="IT84" s="247"/>
      <c r="IU84" s="247"/>
      <c r="IV84" s="247"/>
      <c r="IW84" s="246"/>
      <c r="IX84" s="246"/>
      <c r="IY84" s="246"/>
      <c r="IZ84" s="246"/>
      <c r="JA84" s="246"/>
      <c r="JB84" s="246"/>
      <c r="JC84" s="246"/>
      <c r="JD84" s="247"/>
      <c r="JE84" s="247"/>
      <c r="JF84" s="247"/>
      <c r="JG84" s="247"/>
      <c r="JH84" s="247"/>
      <c r="JI84" s="247"/>
      <c r="JJ84" s="247"/>
      <c r="JK84" s="246"/>
      <c r="JL84" s="246"/>
      <c r="JM84" s="246"/>
      <c r="JN84" s="246"/>
      <c r="JO84" s="246"/>
      <c r="JP84" s="246"/>
      <c r="JQ84" s="246"/>
      <c r="JR84" s="247"/>
      <c r="JS84" s="247"/>
      <c r="JT84" s="247"/>
      <c r="JU84" s="247"/>
      <c r="JV84" s="247"/>
      <c r="JW84" s="247"/>
      <c r="JX84" s="247"/>
      <c r="JY84" s="246"/>
      <c r="JZ84" s="246"/>
      <c r="KA84" s="246"/>
      <c r="KB84" s="246"/>
      <c r="KC84" s="246"/>
      <c r="KD84" s="246">
        <v>24</v>
      </c>
      <c r="KE84" s="246">
        <v>24</v>
      </c>
      <c r="KF84" s="247">
        <v>24</v>
      </c>
      <c r="KG84" s="247">
        <v>24</v>
      </c>
      <c r="KH84" s="247">
        <v>24</v>
      </c>
      <c r="KI84" s="247">
        <v>24</v>
      </c>
      <c r="KJ84" s="247">
        <v>24</v>
      </c>
      <c r="KK84" s="247">
        <v>24</v>
      </c>
      <c r="KL84" s="247">
        <v>24</v>
      </c>
      <c r="KM84" s="246">
        <v>24</v>
      </c>
      <c r="KN84" s="246">
        <v>24</v>
      </c>
      <c r="KO84" s="246">
        <v>24</v>
      </c>
      <c r="KP84" s="246">
        <v>24</v>
      </c>
      <c r="KQ84" s="246">
        <v>24</v>
      </c>
      <c r="KR84" s="246">
        <v>24</v>
      </c>
      <c r="KS84" s="246">
        <v>24</v>
      </c>
      <c r="KT84" s="247"/>
      <c r="KU84" s="247"/>
      <c r="KV84" s="247"/>
      <c r="KW84" s="247"/>
      <c r="KX84" s="247"/>
      <c r="KY84" s="247"/>
      <c r="KZ84" s="247"/>
      <c r="LA84" s="246"/>
      <c r="LB84" s="246"/>
      <c r="LC84" s="246"/>
      <c r="LD84" s="246"/>
      <c r="LE84" s="246"/>
      <c r="LF84" s="246"/>
      <c r="LG84" s="246"/>
      <c r="LH84" s="247"/>
      <c r="LI84" s="247"/>
      <c r="LJ84" s="247"/>
      <c r="LK84" s="247"/>
      <c r="LL84" s="247"/>
      <c r="LM84" s="247"/>
      <c r="LN84" s="247"/>
      <c r="LO84" s="246"/>
      <c r="LP84" s="246"/>
      <c r="LQ84" s="246"/>
      <c r="LR84" s="246"/>
      <c r="LS84" s="246"/>
      <c r="LT84" s="246"/>
      <c r="LU84" s="246"/>
      <c r="LV84" s="247"/>
      <c r="LW84" s="247"/>
      <c r="LX84" s="247"/>
      <c r="LY84" s="247"/>
      <c r="LZ84" s="247"/>
      <c r="MA84" s="247"/>
      <c r="MB84" s="247"/>
      <c r="MC84" s="246"/>
      <c r="MD84" s="246"/>
      <c r="ME84" s="246"/>
      <c r="MF84" s="246"/>
      <c r="MG84" s="246"/>
      <c r="MH84" s="246"/>
      <c r="MI84" s="246"/>
      <c r="MJ84" s="247"/>
      <c r="MK84" s="247"/>
      <c r="ML84" s="247"/>
      <c r="MM84" s="247"/>
      <c r="MN84" s="247"/>
      <c r="MO84" s="247"/>
      <c r="MP84" s="247"/>
      <c r="MQ84" s="246"/>
      <c r="MR84" s="246"/>
      <c r="MS84" s="246"/>
      <c r="MT84" s="246"/>
      <c r="MU84" s="246"/>
      <c r="MV84" s="246"/>
      <c r="MW84" s="246"/>
      <c r="MX84" s="247"/>
      <c r="MY84" s="247"/>
      <c r="MZ84" s="247"/>
      <c r="NA84" s="247"/>
      <c r="NB84" s="247"/>
      <c r="NC84" s="247"/>
      <c r="ND84" s="247"/>
      <c r="NE84" s="246"/>
      <c r="NF84" s="246"/>
      <c r="NG84" s="246"/>
      <c r="NH84" s="247" t="s">
        <v>1146</v>
      </c>
    </row>
    <row r="85" spans="1:372">
      <c r="A85" s="254" t="s">
        <v>974</v>
      </c>
      <c r="B85" s="239" t="s">
        <v>64</v>
      </c>
      <c r="C85" s="240" t="s">
        <v>674</v>
      </c>
      <c r="D85" s="240" t="s">
        <v>982</v>
      </c>
      <c r="E85" s="241">
        <v>403.52763887921282</v>
      </c>
      <c r="F85" s="252">
        <v>384</v>
      </c>
      <c r="G85" s="246"/>
      <c r="H85" s="246"/>
      <c r="I85" s="246"/>
      <c r="J85" s="246"/>
      <c r="K85" s="246"/>
      <c r="L85" s="247"/>
      <c r="M85" s="247"/>
      <c r="N85" s="247"/>
      <c r="O85" s="247"/>
      <c r="P85" s="247"/>
      <c r="Q85" s="247"/>
      <c r="R85" s="247"/>
      <c r="S85" s="246"/>
      <c r="T85" s="246"/>
      <c r="U85" s="246"/>
      <c r="V85" s="246"/>
      <c r="W85" s="246"/>
      <c r="X85" s="246"/>
      <c r="Y85" s="246"/>
      <c r="Z85" s="247"/>
      <c r="AA85" s="247"/>
      <c r="AB85" s="247"/>
      <c r="AC85" s="247"/>
      <c r="AD85" s="247"/>
      <c r="AE85" s="247"/>
      <c r="AF85" s="247"/>
      <c r="AG85" s="246"/>
      <c r="AH85" s="246"/>
      <c r="AI85" s="246"/>
      <c r="AJ85" s="246"/>
      <c r="AK85" s="246"/>
      <c r="AL85" s="246"/>
      <c r="AM85" s="246"/>
      <c r="AN85" s="247"/>
      <c r="AO85" s="247"/>
      <c r="AP85" s="247"/>
      <c r="AQ85" s="247"/>
      <c r="AR85" s="247"/>
      <c r="AS85" s="247"/>
      <c r="AT85" s="247"/>
      <c r="AU85" s="246"/>
      <c r="AV85" s="246"/>
      <c r="AW85" s="246"/>
      <c r="AX85" s="246"/>
      <c r="AY85" s="246"/>
      <c r="AZ85" s="246"/>
      <c r="BA85" s="246"/>
      <c r="BB85" s="247"/>
      <c r="BC85" s="247"/>
      <c r="BD85" s="247"/>
      <c r="BE85" s="247"/>
      <c r="BF85" s="247"/>
      <c r="BG85" s="247"/>
      <c r="BH85" s="247"/>
      <c r="BI85" s="246"/>
      <c r="BJ85" s="246"/>
      <c r="BK85" s="246"/>
      <c r="BL85" s="246"/>
      <c r="BM85" s="246"/>
      <c r="BN85" s="246"/>
      <c r="BO85" s="246"/>
      <c r="BP85" s="247"/>
      <c r="BQ85" s="247"/>
      <c r="BR85" s="247"/>
      <c r="BS85" s="247"/>
      <c r="BT85" s="247"/>
      <c r="BU85" s="247"/>
      <c r="BV85" s="247"/>
      <c r="BW85" s="246"/>
      <c r="BX85" s="246"/>
      <c r="BY85" s="246"/>
      <c r="BZ85" s="246"/>
      <c r="CA85" s="246"/>
      <c r="CB85" s="246"/>
      <c r="CC85" s="246"/>
      <c r="CD85" s="247"/>
      <c r="CE85" s="247"/>
      <c r="CF85" s="247"/>
      <c r="CG85" s="247"/>
      <c r="CH85" s="247"/>
      <c r="CI85" s="247"/>
      <c r="CJ85" s="247"/>
      <c r="CK85" s="246"/>
      <c r="CL85" s="246"/>
      <c r="CM85" s="246"/>
      <c r="CN85" s="246"/>
      <c r="CO85" s="246"/>
      <c r="CP85" s="246"/>
      <c r="CQ85" s="246"/>
      <c r="CR85" s="247"/>
      <c r="CS85" s="247"/>
      <c r="CT85" s="247"/>
      <c r="CU85" s="247"/>
      <c r="CV85" s="247"/>
      <c r="CW85" s="247"/>
      <c r="CX85" s="247"/>
      <c r="CY85" s="246"/>
      <c r="CZ85" s="246"/>
      <c r="DA85" s="246"/>
      <c r="DB85" s="246"/>
      <c r="DC85" s="246"/>
      <c r="DD85" s="246"/>
      <c r="DE85" s="246"/>
      <c r="DF85" s="247"/>
      <c r="DG85" s="247"/>
      <c r="DH85" s="247"/>
      <c r="DI85" s="247"/>
      <c r="DJ85" s="247"/>
      <c r="DK85" s="247"/>
      <c r="DL85" s="247"/>
      <c r="DM85" s="246"/>
      <c r="DN85" s="246"/>
      <c r="DO85" s="246"/>
      <c r="DP85" s="246"/>
      <c r="DQ85" s="246"/>
      <c r="DR85" s="246"/>
      <c r="DS85" s="246"/>
      <c r="DT85" s="247"/>
      <c r="DU85" s="247"/>
      <c r="DV85" s="247"/>
      <c r="DW85" s="247"/>
      <c r="DX85" s="247"/>
      <c r="DY85" s="247"/>
      <c r="DZ85" s="247"/>
      <c r="EA85" s="246"/>
      <c r="EB85" s="246"/>
      <c r="EC85" s="246"/>
      <c r="ED85" s="246"/>
      <c r="EE85" s="246"/>
      <c r="EF85" s="246"/>
      <c r="EG85" s="246"/>
      <c r="EH85" s="247"/>
      <c r="EI85" s="247"/>
      <c r="EJ85" s="247"/>
      <c r="EK85" s="247"/>
      <c r="EL85" s="247"/>
      <c r="EM85" s="247"/>
      <c r="EN85" s="247"/>
      <c r="EO85" s="246"/>
      <c r="EP85" s="246"/>
      <c r="EQ85" s="246"/>
      <c r="ER85" s="246"/>
      <c r="ES85" s="246"/>
      <c r="ET85" s="246"/>
      <c r="EU85" s="246"/>
      <c r="EV85" s="247"/>
      <c r="EW85" s="247"/>
      <c r="EX85" s="247"/>
      <c r="EY85" s="247"/>
      <c r="EZ85" s="247"/>
      <c r="FA85" s="247"/>
      <c r="FB85" s="247"/>
      <c r="FC85" s="246"/>
      <c r="FD85" s="246"/>
      <c r="FE85" s="246"/>
      <c r="FF85" s="246"/>
      <c r="FG85" s="246"/>
      <c r="FH85" s="246"/>
      <c r="FI85" s="246"/>
      <c r="FJ85" s="247"/>
      <c r="FK85" s="247"/>
      <c r="FL85" s="247"/>
      <c r="FM85" s="247"/>
      <c r="FN85" s="247"/>
      <c r="FO85" s="247"/>
      <c r="FP85" s="247"/>
      <c r="FQ85" s="246"/>
      <c r="FR85" s="246"/>
      <c r="FS85" s="246"/>
      <c r="FT85" s="246"/>
      <c r="FU85" s="246"/>
      <c r="FV85" s="246"/>
      <c r="FW85" s="246"/>
      <c r="FX85" s="247"/>
      <c r="FY85" s="247"/>
      <c r="FZ85" s="247"/>
      <c r="GA85" s="247"/>
      <c r="GB85" s="247"/>
      <c r="GC85" s="247"/>
      <c r="GD85" s="247"/>
      <c r="GE85" s="246"/>
      <c r="GF85" s="246"/>
      <c r="GG85" s="246"/>
      <c r="GH85" s="246"/>
      <c r="GI85" s="246"/>
      <c r="GJ85" s="246"/>
      <c r="GK85" s="246"/>
      <c r="GL85" s="247"/>
      <c r="GM85" s="247"/>
      <c r="GN85" s="247"/>
      <c r="GO85" s="247"/>
      <c r="GP85" s="247"/>
      <c r="GQ85" s="247"/>
      <c r="GR85" s="247"/>
      <c r="GS85" s="246"/>
      <c r="GT85" s="246"/>
      <c r="GU85" s="246"/>
      <c r="GV85" s="246"/>
      <c r="GW85" s="246"/>
      <c r="GX85" s="246"/>
      <c r="GY85" s="246"/>
      <c r="GZ85" s="247"/>
      <c r="HA85" s="247"/>
      <c r="HB85" s="247"/>
      <c r="HC85" s="247"/>
      <c r="HD85" s="247"/>
      <c r="HE85" s="247"/>
      <c r="HF85" s="247"/>
      <c r="HG85" s="246"/>
      <c r="HH85" s="246"/>
      <c r="HI85" s="246"/>
      <c r="HJ85" s="246"/>
      <c r="HK85" s="246"/>
      <c r="HL85" s="246"/>
      <c r="HM85" s="246"/>
      <c r="HN85" s="247"/>
      <c r="HO85" s="247"/>
      <c r="HP85" s="247"/>
      <c r="HQ85" s="247"/>
      <c r="HR85" s="247"/>
      <c r="HS85" s="247"/>
      <c r="HT85" s="247"/>
      <c r="HU85" s="246"/>
      <c r="HV85" s="246"/>
      <c r="HW85" s="246"/>
      <c r="HX85" s="246"/>
      <c r="HY85" s="246"/>
      <c r="HZ85" s="246"/>
      <c r="IA85" s="246"/>
      <c r="IB85" s="247"/>
      <c r="IC85" s="247"/>
      <c r="ID85" s="247"/>
      <c r="IE85" s="247"/>
      <c r="IF85" s="247"/>
      <c r="IG85" s="247"/>
      <c r="IH85" s="247"/>
      <c r="II85" s="246"/>
      <c r="IJ85" s="246"/>
      <c r="IK85" s="246"/>
      <c r="IL85" s="246"/>
      <c r="IM85" s="246"/>
      <c r="IN85" s="246"/>
      <c r="IO85" s="246"/>
      <c r="IP85" s="247"/>
      <c r="IQ85" s="247"/>
      <c r="IR85" s="247"/>
      <c r="IS85" s="247"/>
      <c r="IT85" s="247"/>
      <c r="IU85" s="247"/>
      <c r="IV85" s="247"/>
      <c r="IW85" s="246"/>
      <c r="IX85" s="246"/>
      <c r="IY85" s="246"/>
      <c r="IZ85" s="246"/>
      <c r="JA85" s="246"/>
      <c r="JB85" s="246"/>
      <c r="JC85" s="246"/>
      <c r="JD85" s="247"/>
      <c r="JE85" s="247"/>
      <c r="JF85" s="247"/>
      <c r="JG85" s="247"/>
      <c r="JH85" s="247"/>
      <c r="JI85" s="247"/>
      <c r="JJ85" s="247"/>
      <c r="JK85" s="246"/>
      <c r="JL85" s="246"/>
      <c r="JM85" s="246"/>
      <c r="JN85" s="246"/>
      <c r="JO85" s="246"/>
      <c r="JP85" s="246"/>
      <c r="JQ85" s="246"/>
      <c r="JR85" s="247"/>
      <c r="JS85" s="247"/>
      <c r="JT85" s="247"/>
      <c r="JU85" s="247"/>
      <c r="JV85" s="247"/>
      <c r="JW85" s="247"/>
      <c r="JX85" s="247"/>
      <c r="JY85" s="246"/>
      <c r="JZ85" s="246"/>
      <c r="KA85" s="246"/>
      <c r="KB85" s="246"/>
      <c r="KC85" s="246"/>
      <c r="KD85" s="246">
        <v>24</v>
      </c>
      <c r="KE85" s="246">
        <v>24</v>
      </c>
      <c r="KF85" s="247">
        <v>24</v>
      </c>
      <c r="KG85" s="247">
        <v>24</v>
      </c>
      <c r="KH85" s="247">
        <v>24</v>
      </c>
      <c r="KI85" s="247">
        <v>24</v>
      </c>
      <c r="KJ85" s="247">
        <v>24</v>
      </c>
      <c r="KK85" s="247">
        <v>24</v>
      </c>
      <c r="KL85" s="247">
        <v>24</v>
      </c>
      <c r="KM85" s="246">
        <v>24</v>
      </c>
      <c r="KN85" s="246">
        <v>24</v>
      </c>
      <c r="KO85" s="246">
        <v>24</v>
      </c>
      <c r="KP85" s="246">
        <v>24</v>
      </c>
      <c r="KQ85" s="246">
        <v>24</v>
      </c>
      <c r="KR85" s="246">
        <v>24</v>
      </c>
      <c r="KS85" s="246">
        <v>24</v>
      </c>
      <c r="KT85" s="247"/>
      <c r="KU85" s="247"/>
      <c r="KV85" s="247"/>
      <c r="KW85" s="247"/>
      <c r="KX85" s="247"/>
      <c r="KY85" s="247"/>
      <c r="KZ85" s="247"/>
      <c r="LA85" s="246"/>
      <c r="LB85" s="246"/>
      <c r="LC85" s="246"/>
      <c r="LD85" s="246"/>
      <c r="LE85" s="246"/>
      <c r="LF85" s="246"/>
      <c r="LG85" s="246"/>
      <c r="LH85" s="247"/>
      <c r="LI85" s="247"/>
      <c r="LJ85" s="247"/>
      <c r="LK85" s="247"/>
      <c r="LL85" s="247"/>
      <c r="LM85" s="247"/>
      <c r="LN85" s="247"/>
      <c r="LO85" s="246"/>
      <c r="LP85" s="246"/>
      <c r="LQ85" s="246"/>
      <c r="LR85" s="246"/>
      <c r="LS85" s="246"/>
      <c r="LT85" s="246"/>
      <c r="LU85" s="246"/>
      <c r="LV85" s="247"/>
      <c r="LW85" s="247"/>
      <c r="LX85" s="247"/>
      <c r="LY85" s="247"/>
      <c r="LZ85" s="247"/>
      <c r="MA85" s="247"/>
      <c r="MB85" s="247"/>
      <c r="MC85" s="246"/>
      <c r="MD85" s="246"/>
      <c r="ME85" s="246"/>
      <c r="MF85" s="246"/>
      <c r="MG85" s="246"/>
      <c r="MH85" s="246"/>
      <c r="MI85" s="246"/>
      <c r="MJ85" s="247"/>
      <c r="MK85" s="247"/>
      <c r="ML85" s="247"/>
      <c r="MM85" s="247"/>
      <c r="MN85" s="247"/>
      <c r="MO85" s="247"/>
      <c r="MP85" s="247"/>
      <c r="MQ85" s="246"/>
      <c r="MR85" s="246"/>
      <c r="MS85" s="246"/>
      <c r="MT85" s="246"/>
      <c r="MU85" s="246"/>
      <c r="MV85" s="246"/>
      <c r="MW85" s="246"/>
      <c r="MX85" s="247"/>
      <c r="MY85" s="247"/>
      <c r="MZ85" s="247"/>
      <c r="NA85" s="247"/>
      <c r="NB85" s="247"/>
      <c r="NC85" s="247"/>
      <c r="ND85" s="247"/>
      <c r="NE85" s="246"/>
      <c r="NF85" s="246"/>
      <c r="NG85" s="246"/>
      <c r="NH85" s="247" t="s">
        <v>1146</v>
      </c>
    </row>
    <row r="86" spans="1:372">
      <c r="A86" s="254" t="s">
        <v>974</v>
      </c>
      <c r="B86" s="239" t="s">
        <v>65</v>
      </c>
      <c r="C86" s="240" t="s">
        <v>674</v>
      </c>
      <c r="D86" s="240" t="s">
        <v>982</v>
      </c>
      <c r="E86" s="241">
        <v>419.35097219988768</v>
      </c>
      <c r="F86" s="252">
        <v>384</v>
      </c>
      <c r="G86" s="246"/>
      <c r="H86" s="246"/>
      <c r="I86" s="246"/>
      <c r="J86" s="246"/>
      <c r="K86" s="246"/>
      <c r="L86" s="247"/>
      <c r="M86" s="247"/>
      <c r="N86" s="247"/>
      <c r="O86" s="247"/>
      <c r="P86" s="247"/>
      <c r="Q86" s="247"/>
      <c r="R86" s="247"/>
      <c r="S86" s="246"/>
      <c r="T86" s="246"/>
      <c r="U86" s="246"/>
      <c r="V86" s="246"/>
      <c r="W86" s="246"/>
      <c r="X86" s="246"/>
      <c r="Y86" s="246"/>
      <c r="Z86" s="247"/>
      <c r="AA86" s="247"/>
      <c r="AB86" s="247"/>
      <c r="AC86" s="247"/>
      <c r="AD86" s="247"/>
      <c r="AE86" s="247"/>
      <c r="AF86" s="247"/>
      <c r="AG86" s="246"/>
      <c r="AH86" s="246"/>
      <c r="AI86" s="246"/>
      <c r="AJ86" s="246"/>
      <c r="AK86" s="246"/>
      <c r="AL86" s="246"/>
      <c r="AM86" s="246"/>
      <c r="AN86" s="247"/>
      <c r="AO86" s="247"/>
      <c r="AP86" s="247"/>
      <c r="AQ86" s="247"/>
      <c r="AR86" s="247"/>
      <c r="AS86" s="247"/>
      <c r="AT86" s="247"/>
      <c r="AU86" s="246"/>
      <c r="AV86" s="246"/>
      <c r="AW86" s="246"/>
      <c r="AX86" s="246"/>
      <c r="AY86" s="246"/>
      <c r="AZ86" s="246"/>
      <c r="BA86" s="246"/>
      <c r="BB86" s="247"/>
      <c r="BC86" s="247"/>
      <c r="BD86" s="247"/>
      <c r="BE86" s="247"/>
      <c r="BF86" s="247"/>
      <c r="BG86" s="247"/>
      <c r="BH86" s="247"/>
      <c r="BI86" s="246"/>
      <c r="BJ86" s="246"/>
      <c r="BK86" s="246"/>
      <c r="BL86" s="246"/>
      <c r="BM86" s="246"/>
      <c r="BN86" s="246"/>
      <c r="BO86" s="246"/>
      <c r="BP86" s="247"/>
      <c r="BQ86" s="247"/>
      <c r="BR86" s="247"/>
      <c r="BS86" s="247"/>
      <c r="BT86" s="247"/>
      <c r="BU86" s="247"/>
      <c r="BV86" s="247"/>
      <c r="BW86" s="246"/>
      <c r="BX86" s="246"/>
      <c r="BY86" s="246"/>
      <c r="BZ86" s="246"/>
      <c r="CA86" s="246"/>
      <c r="CB86" s="246"/>
      <c r="CC86" s="246"/>
      <c r="CD86" s="247"/>
      <c r="CE86" s="247"/>
      <c r="CF86" s="247"/>
      <c r="CG86" s="247"/>
      <c r="CH86" s="247"/>
      <c r="CI86" s="247"/>
      <c r="CJ86" s="247"/>
      <c r="CK86" s="246"/>
      <c r="CL86" s="246"/>
      <c r="CM86" s="246"/>
      <c r="CN86" s="246"/>
      <c r="CO86" s="246"/>
      <c r="CP86" s="246"/>
      <c r="CQ86" s="246"/>
      <c r="CR86" s="247"/>
      <c r="CS86" s="247"/>
      <c r="CT86" s="247"/>
      <c r="CU86" s="247"/>
      <c r="CV86" s="247"/>
      <c r="CW86" s="247"/>
      <c r="CX86" s="247"/>
      <c r="CY86" s="246"/>
      <c r="CZ86" s="246"/>
      <c r="DA86" s="246"/>
      <c r="DB86" s="246"/>
      <c r="DC86" s="246"/>
      <c r="DD86" s="246"/>
      <c r="DE86" s="246"/>
      <c r="DF86" s="247"/>
      <c r="DG86" s="247"/>
      <c r="DH86" s="247"/>
      <c r="DI86" s="247"/>
      <c r="DJ86" s="247"/>
      <c r="DK86" s="247"/>
      <c r="DL86" s="247"/>
      <c r="DM86" s="246"/>
      <c r="DN86" s="246"/>
      <c r="DO86" s="246"/>
      <c r="DP86" s="246"/>
      <c r="DQ86" s="246"/>
      <c r="DR86" s="246"/>
      <c r="DS86" s="246"/>
      <c r="DT86" s="247"/>
      <c r="DU86" s="247"/>
      <c r="DV86" s="247"/>
      <c r="DW86" s="247"/>
      <c r="DX86" s="247"/>
      <c r="DY86" s="247"/>
      <c r="DZ86" s="247"/>
      <c r="EA86" s="246"/>
      <c r="EB86" s="246"/>
      <c r="EC86" s="246"/>
      <c r="ED86" s="246"/>
      <c r="EE86" s="246"/>
      <c r="EF86" s="246"/>
      <c r="EG86" s="246"/>
      <c r="EH86" s="247"/>
      <c r="EI86" s="247"/>
      <c r="EJ86" s="247"/>
      <c r="EK86" s="247"/>
      <c r="EL86" s="247"/>
      <c r="EM86" s="247"/>
      <c r="EN86" s="247"/>
      <c r="EO86" s="246"/>
      <c r="EP86" s="246"/>
      <c r="EQ86" s="246"/>
      <c r="ER86" s="246"/>
      <c r="ES86" s="246"/>
      <c r="ET86" s="246"/>
      <c r="EU86" s="246"/>
      <c r="EV86" s="247"/>
      <c r="EW86" s="247"/>
      <c r="EX86" s="247"/>
      <c r="EY86" s="247"/>
      <c r="EZ86" s="247"/>
      <c r="FA86" s="247"/>
      <c r="FB86" s="247"/>
      <c r="FC86" s="246"/>
      <c r="FD86" s="246"/>
      <c r="FE86" s="246"/>
      <c r="FF86" s="246"/>
      <c r="FG86" s="246"/>
      <c r="FH86" s="246"/>
      <c r="FI86" s="246"/>
      <c r="FJ86" s="247"/>
      <c r="FK86" s="247"/>
      <c r="FL86" s="247"/>
      <c r="FM86" s="247"/>
      <c r="FN86" s="247"/>
      <c r="FO86" s="247"/>
      <c r="FP86" s="247"/>
      <c r="FQ86" s="246"/>
      <c r="FR86" s="246"/>
      <c r="FS86" s="246"/>
      <c r="FT86" s="246"/>
      <c r="FU86" s="246"/>
      <c r="FV86" s="246"/>
      <c r="FW86" s="246"/>
      <c r="FX86" s="247"/>
      <c r="FY86" s="247"/>
      <c r="FZ86" s="247"/>
      <c r="GA86" s="247"/>
      <c r="GB86" s="247"/>
      <c r="GC86" s="247"/>
      <c r="GD86" s="247"/>
      <c r="GE86" s="246"/>
      <c r="GF86" s="246"/>
      <c r="GG86" s="246"/>
      <c r="GH86" s="246"/>
      <c r="GI86" s="246"/>
      <c r="GJ86" s="246"/>
      <c r="GK86" s="246"/>
      <c r="GL86" s="247"/>
      <c r="GM86" s="247"/>
      <c r="GN86" s="247"/>
      <c r="GO86" s="247"/>
      <c r="GP86" s="247"/>
      <c r="GQ86" s="247"/>
      <c r="GR86" s="247"/>
      <c r="GS86" s="246"/>
      <c r="GT86" s="246"/>
      <c r="GU86" s="246"/>
      <c r="GV86" s="246"/>
      <c r="GW86" s="246"/>
      <c r="GX86" s="246"/>
      <c r="GY86" s="246"/>
      <c r="GZ86" s="247"/>
      <c r="HA86" s="247"/>
      <c r="HB86" s="247"/>
      <c r="HC86" s="247"/>
      <c r="HD86" s="247"/>
      <c r="HE86" s="247"/>
      <c r="HF86" s="247"/>
      <c r="HG86" s="246"/>
      <c r="HH86" s="246"/>
      <c r="HI86" s="246"/>
      <c r="HJ86" s="246"/>
      <c r="HK86" s="246"/>
      <c r="HL86" s="246"/>
      <c r="HM86" s="246"/>
      <c r="HN86" s="247"/>
      <c r="HO86" s="247"/>
      <c r="HP86" s="247"/>
      <c r="HQ86" s="247"/>
      <c r="HR86" s="247"/>
      <c r="HS86" s="247"/>
      <c r="HT86" s="247"/>
      <c r="HU86" s="246"/>
      <c r="HV86" s="246"/>
      <c r="HW86" s="246"/>
      <c r="HX86" s="246"/>
      <c r="HY86" s="246"/>
      <c r="HZ86" s="246"/>
      <c r="IA86" s="246"/>
      <c r="IB86" s="247"/>
      <c r="IC86" s="247"/>
      <c r="ID86" s="247"/>
      <c r="IE86" s="247"/>
      <c r="IF86" s="247"/>
      <c r="IG86" s="247"/>
      <c r="IH86" s="247"/>
      <c r="II86" s="246"/>
      <c r="IJ86" s="246"/>
      <c r="IK86" s="246"/>
      <c r="IL86" s="246"/>
      <c r="IM86" s="246"/>
      <c r="IN86" s="246"/>
      <c r="IO86" s="246"/>
      <c r="IP86" s="247"/>
      <c r="IQ86" s="247"/>
      <c r="IR86" s="247"/>
      <c r="IS86" s="247"/>
      <c r="IT86" s="247"/>
      <c r="IU86" s="247"/>
      <c r="IV86" s="247"/>
      <c r="IW86" s="246"/>
      <c r="IX86" s="246"/>
      <c r="IY86" s="246"/>
      <c r="IZ86" s="246"/>
      <c r="JA86" s="246"/>
      <c r="JB86" s="246"/>
      <c r="JC86" s="246"/>
      <c r="JD86" s="247"/>
      <c r="JE86" s="247"/>
      <c r="JF86" s="247"/>
      <c r="JG86" s="247"/>
      <c r="JH86" s="247"/>
      <c r="JI86" s="247"/>
      <c r="JJ86" s="247"/>
      <c r="JK86" s="246"/>
      <c r="JL86" s="246"/>
      <c r="JM86" s="246"/>
      <c r="JN86" s="246"/>
      <c r="JO86" s="246"/>
      <c r="JP86" s="246"/>
      <c r="JQ86" s="246"/>
      <c r="JR86" s="247"/>
      <c r="JS86" s="247"/>
      <c r="JT86" s="247"/>
      <c r="JU86" s="247"/>
      <c r="JV86" s="247"/>
      <c r="JW86" s="247"/>
      <c r="JX86" s="247"/>
      <c r="JY86" s="246"/>
      <c r="JZ86" s="246"/>
      <c r="KA86" s="246"/>
      <c r="KB86" s="246"/>
      <c r="KC86" s="246"/>
      <c r="KD86" s="246">
        <v>24</v>
      </c>
      <c r="KE86" s="246">
        <v>24</v>
      </c>
      <c r="KF86" s="247">
        <v>24</v>
      </c>
      <c r="KG86" s="247">
        <v>24</v>
      </c>
      <c r="KH86" s="247">
        <v>24</v>
      </c>
      <c r="KI86" s="247">
        <v>24</v>
      </c>
      <c r="KJ86" s="247">
        <v>24</v>
      </c>
      <c r="KK86" s="247">
        <v>24</v>
      </c>
      <c r="KL86" s="247">
        <v>24</v>
      </c>
      <c r="KM86" s="246">
        <v>24</v>
      </c>
      <c r="KN86" s="246">
        <v>24</v>
      </c>
      <c r="KO86" s="246">
        <v>24</v>
      </c>
      <c r="KP86" s="246">
        <v>24</v>
      </c>
      <c r="KQ86" s="246">
        <v>24</v>
      </c>
      <c r="KR86" s="246">
        <v>24</v>
      </c>
      <c r="KS86" s="246">
        <v>24</v>
      </c>
      <c r="KT86" s="247"/>
      <c r="KU86" s="247"/>
      <c r="KV86" s="247"/>
      <c r="KW86" s="247"/>
      <c r="KX86" s="247"/>
      <c r="KY86" s="247"/>
      <c r="KZ86" s="247"/>
      <c r="LA86" s="246"/>
      <c r="LB86" s="246"/>
      <c r="LC86" s="246"/>
      <c r="LD86" s="246"/>
      <c r="LE86" s="246"/>
      <c r="LF86" s="246"/>
      <c r="LG86" s="246"/>
      <c r="LH86" s="247"/>
      <c r="LI86" s="247"/>
      <c r="LJ86" s="247"/>
      <c r="LK86" s="247"/>
      <c r="LL86" s="247"/>
      <c r="LM86" s="247"/>
      <c r="LN86" s="247"/>
      <c r="LO86" s="246"/>
      <c r="LP86" s="246"/>
      <c r="LQ86" s="246"/>
      <c r="LR86" s="246"/>
      <c r="LS86" s="246"/>
      <c r="LT86" s="246"/>
      <c r="LU86" s="246"/>
      <c r="LV86" s="247"/>
      <c r="LW86" s="247"/>
      <c r="LX86" s="247"/>
      <c r="LY86" s="247"/>
      <c r="LZ86" s="247"/>
      <c r="MA86" s="247"/>
      <c r="MB86" s="247"/>
      <c r="MC86" s="246"/>
      <c r="MD86" s="246"/>
      <c r="ME86" s="246"/>
      <c r="MF86" s="246"/>
      <c r="MG86" s="246"/>
      <c r="MH86" s="246"/>
      <c r="MI86" s="246"/>
      <c r="MJ86" s="247"/>
      <c r="MK86" s="247"/>
      <c r="ML86" s="247"/>
      <c r="MM86" s="247"/>
      <c r="MN86" s="247"/>
      <c r="MO86" s="247"/>
      <c r="MP86" s="247"/>
      <c r="MQ86" s="246"/>
      <c r="MR86" s="246"/>
      <c r="MS86" s="246"/>
      <c r="MT86" s="246"/>
      <c r="MU86" s="246"/>
      <c r="MV86" s="246"/>
      <c r="MW86" s="246"/>
      <c r="MX86" s="247"/>
      <c r="MY86" s="247"/>
      <c r="MZ86" s="247"/>
      <c r="NA86" s="247"/>
      <c r="NB86" s="247"/>
      <c r="NC86" s="247"/>
      <c r="ND86" s="247"/>
      <c r="NE86" s="246"/>
      <c r="NF86" s="246"/>
      <c r="NG86" s="246"/>
      <c r="NH86" s="247" t="s">
        <v>1146</v>
      </c>
    </row>
    <row r="87" spans="1:372">
      <c r="A87" s="254" t="s">
        <v>974</v>
      </c>
      <c r="B87" s="239" t="s">
        <v>66</v>
      </c>
      <c r="C87" s="240" t="s">
        <v>674</v>
      </c>
      <c r="D87" s="240" t="s">
        <v>982</v>
      </c>
      <c r="E87" s="241">
        <v>440.21766664712817</v>
      </c>
      <c r="F87" s="252">
        <v>384</v>
      </c>
      <c r="G87" s="246"/>
      <c r="H87" s="246"/>
      <c r="I87" s="246"/>
      <c r="J87" s="246"/>
      <c r="K87" s="246"/>
      <c r="L87" s="247"/>
      <c r="M87" s="247"/>
      <c r="N87" s="247"/>
      <c r="O87" s="247"/>
      <c r="P87" s="247"/>
      <c r="Q87" s="247"/>
      <c r="R87" s="247"/>
      <c r="S87" s="246"/>
      <c r="T87" s="246"/>
      <c r="U87" s="246"/>
      <c r="V87" s="246"/>
      <c r="W87" s="246"/>
      <c r="X87" s="246"/>
      <c r="Y87" s="246"/>
      <c r="Z87" s="247"/>
      <c r="AA87" s="247"/>
      <c r="AB87" s="247"/>
      <c r="AC87" s="247"/>
      <c r="AD87" s="247"/>
      <c r="AE87" s="247"/>
      <c r="AF87" s="247"/>
      <c r="AG87" s="246"/>
      <c r="AH87" s="246"/>
      <c r="AI87" s="246"/>
      <c r="AJ87" s="246"/>
      <c r="AK87" s="246"/>
      <c r="AL87" s="246"/>
      <c r="AM87" s="246"/>
      <c r="AN87" s="247"/>
      <c r="AO87" s="247"/>
      <c r="AP87" s="247"/>
      <c r="AQ87" s="247"/>
      <c r="AR87" s="247"/>
      <c r="AS87" s="247"/>
      <c r="AT87" s="247"/>
      <c r="AU87" s="246"/>
      <c r="AV87" s="246"/>
      <c r="AW87" s="246"/>
      <c r="AX87" s="246"/>
      <c r="AY87" s="246"/>
      <c r="AZ87" s="246"/>
      <c r="BA87" s="246"/>
      <c r="BB87" s="247"/>
      <c r="BC87" s="247"/>
      <c r="BD87" s="247"/>
      <c r="BE87" s="247"/>
      <c r="BF87" s="247"/>
      <c r="BG87" s="247"/>
      <c r="BH87" s="247"/>
      <c r="BI87" s="246"/>
      <c r="BJ87" s="246"/>
      <c r="BK87" s="246"/>
      <c r="BL87" s="246"/>
      <c r="BM87" s="246"/>
      <c r="BN87" s="246"/>
      <c r="BO87" s="246"/>
      <c r="BP87" s="247"/>
      <c r="BQ87" s="247"/>
      <c r="BR87" s="247"/>
      <c r="BS87" s="247"/>
      <c r="BT87" s="247"/>
      <c r="BU87" s="247"/>
      <c r="BV87" s="247"/>
      <c r="BW87" s="246"/>
      <c r="BX87" s="246"/>
      <c r="BY87" s="246"/>
      <c r="BZ87" s="246"/>
      <c r="CA87" s="246"/>
      <c r="CB87" s="246"/>
      <c r="CC87" s="246"/>
      <c r="CD87" s="247"/>
      <c r="CE87" s="247"/>
      <c r="CF87" s="247"/>
      <c r="CG87" s="247"/>
      <c r="CH87" s="247"/>
      <c r="CI87" s="247"/>
      <c r="CJ87" s="247"/>
      <c r="CK87" s="246"/>
      <c r="CL87" s="246"/>
      <c r="CM87" s="246"/>
      <c r="CN87" s="246"/>
      <c r="CO87" s="246"/>
      <c r="CP87" s="246"/>
      <c r="CQ87" s="246"/>
      <c r="CR87" s="247"/>
      <c r="CS87" s="247"/>
      <c r="CT87" s="247"/>
      <c r="CU87" s="247"/>
      <c r="CV87" s="247"/>
      <c r="CW87" s="247"/>
      <c r="CX87" s="247"/>
      <c r="CY87" s="246"/>
      <c r="CZ87" s="246"/>
      <c r="DA87" s="246"/>
      <c r="DB87" s="246"/>
      <c r="DC87" s="246"/>
      <c r="DD87" s="246"/>
      <c r="DE87" s="246"/>
      <c r="DF87" s="247"/>
      <c r="DG87" s="247"/>
      <c r="DH87" s="247"/>
      <c r="DI87" s="247"/>
      <c r="DJ87" s="247"/>
      <c r="DK87" s="247"/>
      <c r="DL87" s="247"/>
      <c r="DM87" s="246"/>
      <c r="DN87" s="246"/>
      <c r="DO87" s="246"/>
      <c r="DP87" s="246"/>
      <c r="DQ87" s="246"/>
      <c r="DR87" s="246"/>
      <c r="DS87" s="246"/>
      <c r="DT87" s="247"/>
      <c r="DU87" s="247"/>
      <c r="DV87" s="247"/>
      <c r="DW87" s="247"/>
      <c r="DX87" s="247"/>
      <c r="DY87" s="247"/>
      <c r="DZ87" s="247"/>
      <c r="EA87" s="246"/>
      <c r="EB87" s="246"/>
      <c r="EC87" s="246"/>
      <c r="ED87" s="246"/>
      <c r="EE87" s="246"/>
      <c r="EF87" s="246"/>
      <c r="EG87" s="246"/>
      <c r="EH87" s="247"/>
      <c r="EI87" s="247"/>
      <c r="EJ87" s="247"/>
      <c r="EK87" s="247"/>
      <c r="EL87" s="247"/>
      <c r="EM87" s="247"/>
      <c r="EN87" s="247"/>
      <c r="EO87" s="246"/>
      <c r="EP87" s="246"/>
      <c r="EQ87" s="246"/>
      <c r="ER87" s="246"/>
      <c r="ES87" s="246"/>
      <c r="ET87" s="246"/>
      <c r="EU87" s="246"/>
      <c r="EV87" s="247"/>
      <c r="EW87" s="247"/>
      <c r="EX87" s="247"/>
      <c r="EY87" s="247"/>
      <c r="EZ87" s="247"/>
      <c r="FA87" s="247"/>
      <c r="FB87" s="247"/>
      <c r="FC87" s="246"/>
      <c r="FD87" s="246"/>
      <c r="FE87" s="246"/>
      <c r="FF87" s="246"/>
      <c r="FG87" s="246"/>
      <c r="FH87" s="246"/>
      <c r="FI87" s="246"/>
      <c r="FJ87" s="247"/>
      <c r="FK87" s="247"/>
      <c r="FL87" s="247"/>
      <c r="FM87" s="247"/>
      <c r="FN87" s="247"/>
      <c r="FO87" s="247"/>
      <c r="FP87" s="247"/>
      <c r="FQ87" s="246"/>
      <c r="FR87" s="246"/>
      <c r="FS87" s="246"/>
      <c r="FT87" s="246"/>
      <c r="FU87" s="246"/>
      <c r="FV87" s="246"/>
      <c r="FW87" s="246"/>
      <c r="FX87" s="247"/>
      <c r="FY87" s="247"/>
      <c r="FZ87" s="247"/>
      <c r="GA87" s="247"/>
      <c r="GB87" s="247"/>
      <c r="GC87" s="247"/>
      <c r="GD87" s="247"/>
      <c r="GE87" s="246"/>
      <c r="GF87" s="246"/>
      <c r="GG87" s="246"/>
      <c r="GH87" s="246"/>
      <c r="GI87" s="246"/>
      <c r="GJ87" s="246"/>
      <c r="GK87" s="246"/>
      <c r="GL87" s="247"/>
      <c r="GM87" s="247"/>
      <c r="GN87" s="247"/>
      <c r="GO87" s="247"/>
      <c r="GP87" s="247"/>
      <c r="GQ87" s="247"/>
      <c r="GR87" s="247"/>
      <c r="GS87" s="246"/>
      <c r="GT87" s="246"/>
      <c r="GU87" s="246"/>
      <c r="GV87" s="246"/>
      <c r="GW87" s="246"/>
      <c r="GX87" s="246"/>
      <c r="GY87" s="246"/>
      <c r="GZ87" s="247"/>
      <c r="HA87" s="247"/>
      <c r="HB87" s="247"/>
      <c r="HC87" s="247"/>
      <c r="HD87" s="247"/>
      <c r="HE87" s="247"/>
      <c r="HF87" s="247"/>
      <c r="HG87" s="246"/>
      <c r="HH87" s="246"/>
      <c r="HI87" s="246"/>
      <c r="HJ87" s="246"/>
      <c r="HK87" s="246"/>
      <c r="HL87" s="246"/>
      <c r="HM87" s="246"/>
      <c r="HN87" s="247"/>
      <c r="HO87" s="247"/>
      <c r="HP87" s="247"/>
      <c r="HQ87" s="247"/>
      <c r="HR87" s="247"/>
      <c r="HS87" s="247"/>
      <c r="HT87" s="247"/>
      <c r="HU87" s="246"/>
      <c r="HV87" s="246"/>
      <c r="HW87" s="246"/>
      <c r="HX87" s="246"/>
      <c r="HY87" s="246"/>
      <c r="HZ87" s="246"/>
      <c r="IA87" s="246"/>
      <c r="IB87" s="247"/>
      <c r="IC87" s="247"/>
      <c r="ID87" s="247"/>
      <c r="IE87" s="247"/>
      <c r="IF87" s="247"/>
      <c r="IG87" s="247"/>
      <c r="IH87" s="247"/>
      <c r="II87" s="246"/>
      <c r="IJ87" s="246"/>
      <c r="IK87" s="246"/>
      <c r="IL87" s="246"/>
      <c r="IM87" s="246"/>
      <c r="IN87" s="246"/>
      <c r="IO87" s="246"/>
      <c r="IP87" s="247"/>
      <c r="IQ87" s="247"/>
      <c r="IR87" s="247"/>
      <c r="IS87" s="247"/>
      <c r="IT87" s="247"/>
      <c r="IU87" s="247"/>
      <c r="IV87" s="247"/>
      <c r="IW87" s="246"/>
      <c r="IX87" s="246"/>
      <c r="IY87" s="246"/>
      <c r="IZ87" s="246"/>
      <c r="JA87" s="246"/>
      <c r="JB87" s="246"/>
      <c r="JC87" s="246"/>
      <c r="JD87" s="247"/>
      <c r="JE87" s="247"/>
      <c r="JF87" s="247"/>
      <c r="JG87" s="247"/>
      <c r="JH87" s="247"/>
      <c r="JI87" s="247"/>
      <c r="JJ87" s="247"/>
      <c r="JK87" s="246"/>
      <c r="JL87" s="246"/>
      <c r="JM87" s="246"/>
      <c r="JN87" s="246"/>
      <c r="JO87" s="246"/>
      <c r="JP87" s="246"/>
      <c r="JQ87" s="246"/>
      <c r="JR87" s="247"/>
      <c r="JS87" s="247"/>
      <c r="JT87" s="247"/>
      <c r="JU87" s="247"/>
      <c r="JV87" s="247"/>
      <c r="JW87" s="247"/>
      <c r="JX87" s="247"/>
      <c r="JY87" s="246"/>
      <c r="JZ87" s="246"/>
      <c r="KA87" s="246"/>
      <c r="KB87" s="246"/>
      <c r="KC87" s="246"/>
      <c r="KD87" s="246">
        <v>24</v>
      </c>
      <c r="KE87" s="246">
        <v>24</v>
      </c>
      <c r="KF87" s="247">
        <v>24</v>
      </c>
      <c r="KG87" s="247">
        <v>24</v>
      </c>
      <c r="KH87" s="247">
        <v>24</v>
      </c>
      <c r="KI87" s="247">
        <v>24</v>
      </c>
      <c r="KJ87" s="247">
        <v>24</v>
      </c>
      <c r="KK87" s="247">
        <v>24</v>
      </c>
      <c r="KL87" s="247">
        <v>24</v>
      </c>
      <c r="KM87" s="246">
        <v>24</v>
      </c>
      <c r="KN87" s="246">
        <v>24</v>
      </c>
      <c r="KO87" s="246">
        <v>24</v>
      </c>
      <c r="KP87" s="246">
        <v>24</v>
      </c>
      <c r="KQ87" s="246">
        <v>24</v>
      </c>
      <c r="KR87" s="246">
        <v>24</v>
      </c>
      <c r="KS87" s="246">
        <v>24</v>
      </c>
      <c r="KT87" s="247"/>
      <c r="KU87" s="247"/>
      <c r="KV87" s="247"/>
      <c r="KW87" s="247"/>
      <c r="KX87" s="247"/>
      <c r="KY87" s="247"/>
      <c r="KZ87" s="247"/>
      <c r="LA87" s="246"/>
      <c r="LB87" s="246"/>
      <c r="LC87" s="246"/>
      <c r="LD87" s="246"/>
      <c r="LE87" s="246"/>
      <c r="LF87" s="246"/>
      <c r="LG87" s="246"/>
      <c r="LH87" s="247"/>
      <c r="LI87" s="247"/>
      <c r="LJ87" s="247"/>
      <c r="LK87" s="247"/>
      <c r="LL87" s="247"/>
      <c r="LM87" s="247"/>
      <c r="LN87" s="247"/>
      <c r="LO87" s="246"/>
      <c r="LP87" s="246"/>
      <c r="LQ87" s="246"/>
      <c r="LR87" s="246"/>
      <c r="LS87" s="246"/>
      <c r="LT87" s="246"/>
      <c r="LU87" s="246"/>
      <c r="LV87" s="247"/>
      <c r="LW87" s="247"/>
      <c r="LX87" s="247"/>
      <c r="LY87" s="247"/>
      <c r="LZ87" s="247"/>
      <c r="MA87" s="247"/>
      <c r="MB87" s="247"/>
      <c r="MC87" s="246"/>
      <c r="MD87" s="246"/>
      <c r="ME87" s="246"/>
      <c r="MF87" s="246"/>
      <c r="MG87" s="246"/>
      <c r="MH87" s="246"/>
      <c r="MI87" s="246"/>
      <c r="MJ87" s="247"/>
      <c r="MK87" s="247"/>
      <c r="ML87" s="247"/>
      <c r="MM87" s="247"/>
      <c r="MN87" s="247"/>
      <c r="MO87" s="247"/>
      <c r="MP87" s="247"/>
      <c r="MQ87" s="246"/>
      <c r="MR87" s="246"/>
      <c r="MS87" s="246"/>
      <c r="MT87" s="246"/>
      <c r="MU87" s="246"/>
      <c r="MV87" s="246"/>
      <c r="MW87" s="246"/>
      <c r="MX87" s="247"/>
      <c r="MY87" s="247"/>
      <c r="MZ87" s="247"/>
      <c r="NA87" s="247"/>
      <c r="NB87" s="247"/>
      <c r="NC87" s="247"/>
      <c r="ND87" s="247"/>
      <c r="NE87" s="246"/>
      <c r="NF87" s="246"/>
      <c r="NG87" s="246"/>
      <c r="NH87" s="247" t="s">
        <v>1146</v>
      </c>
    </row>
    <row r="88" spans="1:372">
      <c r="A88" s="254" t="s">
        <v>974</v>
      </c>
      <c r="B88" s="239" t="s">
        <v>67</v>
      </c>
      <c r="C88" s="240" t="s">
        <v>674</v>
      </c>
      <c r="D88" s="240" t="s">
        <v>982</v>
      </c>
      <c r="E88" s="241">
        <v>134.74899999986511</v>
      </c>
      <c r="F88" s="252">
        <v>216</v>
      </c>
      <c r="G88" s="246"/>
      <c r="H88" s="246"/>
      <c r="I88" s="246"/>
      <c r="J88" s="246"/>
      <c r="K88" s="246"/>
      <c r="L88" s="247"/>
      <c r="M88" s="247"/>
      <c r="N88" s="247"/>
      <c r="O88" s="247"/>
      <c r="P88" s="247"/>
      <c r="Q88" s="247"/>
      <c r="R88" s="247"/>
      <c r="S88" s="246"/>
      <c r="T88" s="246"/>
      <c r="U88" s="246"/>
      <c r="V88" s="246"/>
      <c r="W88" s="246"/>
      <c r="X88" s="246"/>
      <c r="Y88" s="246"/>
      <c r="Z88" s="247"/>
      <c r="AA88" s="247"/>
      <c r="AB88" s="247"/>
      <c r="AC88" s="247"/>
      <c r="AD88" s="247"/>
      <c r="AE88" s="247"/>
      <c r="AF88" s="247"/>
      <c r="AG88" s="246"/>
      <c r="AH88" s="246"/>
      <c r="AI88" s="246"/>
      <c r="AJ88" s="246"/>
      <c r="AK88" s="246"/>
      <c r="AL88" s="246"/>
      <c r="AM88" s="246"/>
      <c r="AN88" s="247"/>
      <c r="AO88" s="247"/>
      <c r="AP88" s="247"/>
      <c r="AQ88" s="247"/>
      <c r="AR88" s="247"/>
      <c r="AS88" s="247"/>
      <c r="AT88" s="247"/>
      <c r="AU88" s="246"/>
      <c r="AV88" s="246"/>
      <c r="AW88" s="246"/>
      <c r="AX88" s="246"/>
      <c r="AY88" s="246"/>
      <c r="AZ88" s="246"/>
      <c r="BA88" s="246"/>
      <c r="BB88" s="247"/>
      <c r="BC88" s="247"/>
      <c r="BD88" s="247"/>
      <c r="BE88" s="247"/>
      <c r="BF88" s="247"/>
      <c r="BG88" s="247"/>
      <c r="BH88" s="247"/>
      <c r="BI88" s="246"/>
      <c r="BJ88" s="246"/>
      <c r="BK88" s="246"/>
      <c r="BL88" s="246"/>
      <c r="BM88" s="246"/>
      <c r="BN88" s="246"/>
      <c r="BO88" s="246"/>
      <c r="BP88" s="247"/>
      <c r="BQ88" s="247"/>
      <c r="BR88" s="247"/>
      <c r="BS88" s="247"/>
      <c r="BT88" s="247"/>
      <c r="BU88" s="247"/>
      <c r="BV88" s="247"/>
      <c r="BW88" s="246"/>
      <c r="BX88" s="246"/>
      <c r="BY88" s="246"/>
      <c r="BZ88" s="246"/>
      <c r="CA88" s="246"/>
      <c r="CB88" s="246"/>
      <c r="CC88" s="246"/>
      <c r="CD88" s="247"/>
      <c r="CE88" s="247"/>
      <c r="CF88" s="247"/>
      <c r="CG88" s="247"/>
      <c r="CH88" s="247"/>
      <c r="CI88" s="247"/>
      <c r="CJ88" s="247"/>
      <c r="CK88" s="246"/>
      <c r="CL88" s="246"/>
      <c r="CM88" s="246"/>
      <c r="CN88" s="246"/>
      <c r="CO88" s="246"/>
      <c r="CP88" s="246"/>
      <c r="CQ88" s="246"/>
      <c r="CR88" s="247"/>
      <c r="CS88" s="247"/>
      <c r="CT88" s="247"/>
      <c r="CU88" s="247"/>
      <c r="CV88" s="247"/>
      <c r="CW88" s="247"/>
      <c r="CX88" s="247"/>
      <c r="CY88" s="246"/>
      <c r="CZ88" s="246"/>
      <c r="DA88" s="246"/>
      <c r="DB88" s="246"/>
      <c r="DC88" s="246"/>
      <c r="DD88" s="246"/>
      <c r="DE88" s="246"/>
      <c r="DF88" s="247"/>
      <c r="DG88" s="247"/>
      <c r="DH88" s="247"/>
      <c r="DI88" s="247"/>
      <c r="DJ88" s="247"/>
      <c r="DK88" s="247"/>
      <c r="DL88" s="247"/>
      <c r="DM88" s="246"/>
      <c r="DN88" s="246"/>
      <c r="DO88" s="246"/>
      <c r="DP88" s="246"/>
      <c r="DQ88" s="246"/>
      <c r="DR88" s="246"/>
      <c r="DS88" s="246"/>
      <c r="DT88" s="247"/>
      <c r="DU88" s="247"/>
      <c r="DV88" s="247"/>
      <c r="DW88" s="247"/>
      <c r="DX88" s="247"/>
      <c r="DY88" s="247"/>
      <c r="DZ88" s="247"/>
      <c r="EA88" s="246"/>
      <c r="EB88" s="246"/>
      <c r="EC88" s="246"/>
      <c r="ED88" s="246"/>
      <c r="EE88" s="246"/>
      <c r="EF88" s="246"/>
      <c r="EG88" s="246"/>
      <c r="EH88" s="247"/>
      <c r="EI88" s="247"/>
      <c r="EJ88" s="247"/>
      <c r="EK88" s="247"/>
      <c r="EL88" s="247"/>
      <c r="EM88" s="247"/>
      <c r="EN88" s="247"/>
      <c r="EO88" s="246"/>
      <c r="EP88" s="246"/>
      <c r="EQ88" s="246"/>
      <c r="ER88" s="246"/>
      <c r="ES88" s="246"/>
      <c r="ET88" s="246"/>
      <c r="EU88" s="246"/>
      <c r="EV88" s="247"/>
      <c r="EW88" s="247"/>
      <c r="EX88" s="247"/>
      <c r="EY88" s="247"/>
      <c r="EZ88" s="247"/>
      <c r="FA88" s="247"/>
      <c r="FB88" s="247"/>
      <c r="FC88" s="246"/>
      <c r="FD88" s="246"/>
      <c r="FE88" s="246"/>
      <c r="FF88" s="246"/>
      <c r="FG88" s="246"/>
      <c r="FH88" s="246"/>
      <c r="FI88" s="246"/>
      <c r="FJ88" s="247"/>
      <c r="FK88" s="247"/>
      <c r="FL88" s="247"/>
      <c r="FM88" s="247"/>
      <c r="FN88" s="247"/>
      <c r="FO88" s="247"/>
      <c r="FP88" s="247"/>
      <c r="FQ88" s="246"/>
      <c r="FR88" s="246"/>
      <c r="FS88" s="246"/>
      <c r="FT88" s="246"/>
      <c r="FU88" s="246"/>
      <c r="FV88" s="246"/>
      <c r="FW88" s="246"/>
      <c r="FX88" s="247"/>
      <c r="FY88" s="247"/>
      <c r="FZ88" s="247"/>
      <c r="GA88" s="247"/>
      <c r="GB88" s="247"/>
      <c r="GC88" s="247"/>
      <c r="GD88" s="247"/>
      <c r="GE88" s="246"/>
      <c r="GF88" s="246"/>
      <c r="GG88" s="246"/>
      <c r="GH88" s="246"/>
      <c r="GI88" s="246"/>
      <c r="GJ88" s="246"/>
      <c r="GK88" s="246"/>
      <c r="GL88" s="247"/>
      <c r="GM88" s="247"/>
      <c r="GN88" s="247"/>
      <c r="GO88" s="247"/>
      <c r="GP88" s="247"/>
      <c r="GQ88" s="247"/>
      <c r="GR88" s="247"/>
      <c r="GS88" s="246"/>
      <c r="GT88" s="246"/>
      <c r="GU88" s="246"/>
      <c r="GV88" s="246"/>
      <c r="GW88" s="246"/>
      <c r="GX88" s="246"/>
      <c r="GY88" s="246"/>
      <c r="GZ88" s="247"/>
      <c r="HA88" s="247"/>
      <c r="HB88" s="247"/>
      <c r="HC88" s="247"/>
      <c r="HD88" s="247"/>
      <c r="HE88" s="247"/>
      <c r="HF88" s="247"/>
      <c r="HG88" s="246"/>
      <c r="HH88" s="246"/>
      <c r="HI88" s="246"/>
      <c r="HJ88" s="246"/>
      <c r="HK88" s="246"/>
      <c r="HL88" s="246"/>
      <c r="HM88" s="246"/>
      <c r="HN88" s="247"/>
      <c r="HO88" s="247"/>
      <c r="HP88" s="247"/>
      <c r="HQ88" s="247"/>
      <c r="HR88" s="247"/>
      <c r="HS88" s="247"/>
      <c r="HT88" s="247"/>
      <c r="HU88" s="246"/>
      <c r="HV88" s="246"/>
      <c r="HW88" s="246"/>
      <c r="HX88" s="246"/>
      <c r="HY88" s="246"/>
      <c r="HZ88" s="246"/>
      <c r="IA88" s="246"/>
      <c r="IB88" s="247"/>
      <c r="IC88" s="247"/>
      <c r="ID88" s="247"/>
      <c r="IE88" s="247"/>
      <c r="IF88" s="247"/>
      <c r="IG88" s="247"/>
      <c r="IH88" s="247"/>
      <c r="II88" s="246"/>
      <c r="IJ88" s="246"/>
      <c r="IK88" s="246"/>
      <c r="IL88" s="246"/>
      <c r="IM88" s="246"/>
      <c r="IN88" s="246"/>
      <c r="IO88" s="246"/>
      <c r="IP88" s="247"/>
      <c r="IQ88" s="247"/>
      <c r="IR88" s="247"/>
      <c r="IS88" s="247"/>
      <c r="IT88" s="247"/>
      <c r="IU88" s="247"/>
      <c r="IV88" s="247"/>
      <c r="IW88" s="246"/>
      <c r="IX88" s="246"/>
      <c r="IY88" s="246"/>
      <c r="IZ88" s="246"/>
      <c r="JA88" s="246"/>
      <c r="JB88" s="246"/>
      <c r="JC88" s="246"/>
      <c r="JD88" s="247"/>
      <c r="JE88" s="247"/>
      <c r="JF88" s="247"/>
      <c r="JG88" s="247"/>
      <c r="JH88" s="247"/>
      <c r="JI88" s="247"/>
      <c r="JJ88" s="247"/>
      <c r="JK88" s="246"/>
      <c r="JL88" s="246"/>
      <c r="JM88" s="246"/>
      <c r="JN88" s="246"/>
      <c r="JO88" s="246"/>
      <c r="JP88" s="246"/>
      <c r="JQ88" s="246"/>
      <c r="JR88" s="247"/>
      <c r="JS88" s="247"/>
      <c r="JT88" s="247"/>
      <c r="JU88" s="247"/>
      <c r="JV88" s="247"/>
      <c r="JW88" s="247"/>
      <c r="JX88" s="247"/>
      <c r="JY88" s="246"/>
      <c r="JZ88" s="246"/>
      <c r="KA88" s="246"/>
      <c r="KB88" s="246"/>
      <c r="KC88" s="246"/>
      <c r="KD88" s="246"/>
      <c r="KE88" s="246"/>
      <c r="KF88" s="247"/>
      <c r="KG88" s="247"/>
      <c r="KH88" s="247"/>
      <c r="KI88" s="247"/>
      <c r="KJ88" s="247"/>
      <c r="KK88" s="247"/>
      <c r="KL88" s="247"/>
      <c r="KM88" s="246"/>
      <c r="KN88" s="246"/>
      <c r="KO88" s="246"/>
      <c r="KP88" s="246"/>
      <c r="KQ88" s="246"/>
      <c r="KR88" s="246"/>
      <c r="KS88" s="246"/>
      <c r="KT88" s="247"/>
      <c r="KU88" s="247"/>
      <c r="KV88" s="247"/>
      <c r="KW88" s="247"/>
      <c r="KX88" s="247"/>
      <c r="KY88" s="247"/>
      <c r="KZ88" s="247"/>
      <c r="LA88" s="246"/>
      <c r="LB88" s="246"/>
      <c r="LC88" s="246"/>
      <c r="LD88" s="246"/>
      <c r="LE88" s="246"/>
      <c r="LF88" s="246"/>
      <c r="LG88" s="246"/>
      <c r="LH88" s="247"/>
      <c r="LI88" s="247"/>
      <c r="LJ88" s="247"/>
      <c r="LK88" s="247"/>
      <c r="LL88" s="247"/>
      <c r="LM88" s="247"/>
      <c r="LN88" s="247"/>
      <c r="LO88" s="246"/>
      <c r="LP88" s="246"/>
      <c r="LQ88" s="246"/>
      <c r="LR88" s="246"/>
      <c r="LS88" s="246"/>
      <c r="LT88" s="246">
        <v>24</v>
      </c>
      <c r="LU88" s="246">
        <v>24</v>
      </c>
      <c r="LV88" s="247">
        <v>24</v>
      </c>
      <c r="LW88" s="247">
        <v>24</v>
      </c>
      <c r="LX88" s="247">
        <v>24</v>
      </c>
      <c r="LY88" s="247">
        <v>24</v>
      </c>
      <c r="LZ88" s="247">
        <v>24</v>
      </c>
      <c r="MA88" s="247">
        <v>24</v>
      </c>
      <c r="MB88" s="247">
        <v>24</v>
      </c>
      <c r="MC88" s="246"/>
      <c r="MD88" s="246"/>
      <c r="ME88" s="246"/>
      <c r="MF88" s="246"/>
      <c r="MG88" s="246"/>
      <c r="MH88" s="246"/>
      <c r="MI88" s="246"/>
      <c r="MJ88" s="247"/>
      <c r="MK88" s="247"/>
      <c r="ML88" s="247"/>
      <c r="MM88" s="247"/>
      <c r="MN88" s="247"/>
      <c r="MO88" s="247"/>
      <c r="MP88" s="247"/>
      <c r="MQ88" s="246"/>
      <c r="MR88" s="246"/>
      <c r="MS88" s="246"/>
      <c r="MT88" s="246"/>
      <c r="MU88" s="246"/>
      <c r="MV88" s="246"/>
      <c r="MW88" s="246"/>
      <c r="MX88" s="247"/>
      <c r="MY88" s="247"/>
      <c r="MZ88" s="247"/>
      <c r="NA88" s="247"/>
      <c r="NB88" s="247"/>
      <c r="NC88" s="247"/>
      <c r="ND88" s="247"/>
      <c r="NE88" s="246"/>
      <c r="NF88" s="246"/>
      <c r="NG88" s="246"/>
      <c r="NH88" s="247" t="s">
        <v>1150</v>
      </c>
    </row>
    <row r="89" spans="1:372">
      <c r="A89" s="254" t="s">
        <v>974</v>
      </c>
      <c r="B89" s="239" t="s">
        <v>68</v>
      </c>
      <c r="C89" s="240" t="s">
        <v>674</v>
      </c>
      <c r="D89" s="240" t="s">
        <v>982</v>
      </c>
      <c r="E89" s="241">
        <v>134.73333333306365</v>
      </c>
      <c r="F89" s="252">
        <v>216</v>
      </c>
      <c r="G89" s="246"/>
      <c r="H89" s="246"/>
      <c r="I89" s="246"/>
      <c r="J89" s="246"/>
      <c r="K89" s="246"/>
      <c r="L89" s="247"/>
      <c r="M89" s="247"/>
      <c r="N89" s="247"/>
      <c r="O89" s="247"/>
      <c r="P89" s="247"/>
      <c r="Q89" s="247"/>
      <c r="R89" s="247"/>
      <c r="S89" s="246"/>
      <c r="T89" s="246"/>
      <c r="U89" s="246"/>
      <c r="V89" s="246"/>
      <c r="W89" s="246"/>
      <c r="X89" s="246"/>
      <c r="Y89" s="246"/>
      <c r="Z89" s="247"/>
      <c r="AA89" s="247"/>
      <c r="AB89" s="247"/>
      <c r="AC89" s="247"/>
      <c r="AD89" s="247"/>
      <c r="AE89" s="247"/>
      <c r="AF89" s="247"/>
      <c r="AG89" s="246"/>
      <c r="AH89" s="246"/>
      <c r="AI89" s="246"/>
      <c r="AJ89" s="246"/>
      <c r="AK89" s="246"/>
      <c r="AL89" s="246"/>
      <c r="AM89" s="246"/>
      <c r="AN89" s="247"/>
      <c r="AO89" s="247"/>
      <c r="AP89" s="247"/>
      <c r="AQ89" s="247"/>
      <c r="AR89" s="247"/>
      <c r="AS89" s="247"/>
      <c r="AT89" s="247"/>
      <c r="AU89" s="246"/>
      <c r="AV89" s="246"/>
      <c r="AW89" s="246"/>
      <c r="AX89" s="246"/>
      <c r="AY89" s="246"/>
      <c r="AZ89" s="246"/>
      <c r="BA89" s="246"/>
      <c r="BB89" s="247"/>
      <c r="BC89" s="247"/>
      <c r="BD89" s="247"/>
      <c r="BE89" s="247"/>
      <c r="BF89" s="247"/>
      <c r="BG89" s="247"/>
      <c r="BH89" s="247"/>
      <c r="BI89" s="246"/>
      <c r="BJ89" s="246"/>
      <c r="BK89" s="246"/>
      <c r="BL89" s="246"/>
      <c r="BM89" s="246"/>
      <c r="BN89" s="246"/>
      <c r="BO89" s="246"/>
      <c r="BP89" s="247"/>
      <c r="BQ89" s="247"/>
      <c r="BR89" s="247"/>
      <c r="BS89" s="247"/>
      <c r="BT89" s="247"/>
      <c r="BU89" s="247"/>
      <c r="BV89" s="247"/>
      <c r="BW89" s="246"/>
      <c r="BX89" s="246"/>
      <c r="BY89" s="246"/>
      <c r="BZ89" s="246"/>
      <c r="CA89" s="246"/>
      <c r="CB89" s="246"/>
      <c r="CC89" s="246"/>
      <c r="CD89" s="247"/>
      <c r="CE89" s="247"/>
      <c r="CF89" s="247"/>
      <c r="CG89" s="247"/>
      <c r="CH89" s="247"/>
      <c r="CI89" s="247"/>
      <c r="CJ89" s="247"/>
      <c r="CK89" s="246"/>
      <c r="CL89" s="246"/>
      <c r="CM89" s="246"/>
      <c r="CN89" s="246"/>
      <c r="CO89" s="246"/>
      <c r="CP89" s="246"/>
      <c r="CQ89" s="246"/>
      <c r="CR89" s="247"/>
      <c r="CS89" s="247"/>
      <c r="CT89" s="247"/>
      <c r="CU89" s="247"/>
      <c r="CV89" s="247"/>
      <c r="CW89" s="247"/>
      <c r="CX89" s="247"/>
      <c r="CY89" s="246"/>
      <c r="CZ89" s="246"/>
      <c r="DA89" s="246"/>
      <c r="DB89" s="246"/>
      <c r="DC89" s="246"/>
      <c r="DD89" s="246"/>
      <c r="DE89" s="246"/>
      <c r="DF89" s="247"/>
      <c r="DG89" s="247"/>
      <c r="DH89" s="247"/>
      <c r="DI89" s="247"/>
      <c r="DJ89" s="247"/>
      <c r="DK89" s="247"/>
      <c r="DL89" s="247"/>
      <c r="DM89" s="246"/>
      <c r="DN89" s="246"/>
      <c r="DO89" s="246"/>
      <c r="DP89" s="246"/>
      <c r="DQ89" s="246"/>
      <c r="DR89" s="246"/>
      <c r="DS89" s="246"/>
      <c r="DT89" s="247"/>
      <c r="DU89" s="247"/>
      <c r="DV89" s="247"/>
      <c r="DW89" s="247"/>
      <c r="DX89" s="247"/>
      <c r="DY89" s="247"/>
      <c r="DZ89" s="247"/>
      <c r="EA89" s="246"/>
      <c r="EB89" s="246"/>
      <c r="EC89" s="246"/>
      <c r="ED89" s="246"/>
      <c r="EE89" s="246"/>
      <c r="EF89" s="246"/>
      <c r="EG89" s="246"/>
      <c r="EH89" s="247"/>
      <c r="EI89" s="247"/>
      <c r="EJ89" s="247"/>
      <c r="EK89" s="247"/>
      <c r="EL89" s="247"/>
      <c r="EM89" s="247"/>
      <c r="EN89" s="247"/>
      <c r="EO89" s="246"/>
      <c r="EP89" s="246"/>
      <c r="EQ89" s="246"/>
      <c r="ER89" s="246"/>
      <c r="ES89" s="246"/>
      <c r="ET89" s="246"/>
      <c r="EU89" s="246"/>
      <c r="EV89" s="247"/>
      <c r="EW89" s="247"/>
      <c r="EX89" s="247"/>
      <c r="EY89" s="247"/>
      <c r="EZ89" s="247"/>
      <c r="FA89" s="247"/>
      <c r="FB89" s="247"/>
      <c r="FC89" s="246"/>
      <c r="FD89" s="246"/>
      <c r="FE89" s="246"/>
      <c r="FF89" s="246"/>
      <c r="FG89" s="246"/>
      <c r="FH89" s="246"/>
      <c r="FI89" s="246"/>
      <c r="FJ89" s="247"/>
      <c r="FK89" s="247"/>
      <c r="FL89" s="247"/>
      <c r="FM89" s="247"/>
      <c r="FN89" s="247"/>
      <c r="FO89" s="247"/>
      <c r="FP89" s="247"/>
      <c r="FQ89" s="246"/>
      <c r="FR89" s="246"/>
      <c r="FS89" s="246"/>
      <c r="FT89" s="246"/>
      <c r="FU89" s="246"/>
      <c r="FV89" s="246"/>
      <c r="FW89" s="246"/>
      <c r="FX89" s="247"/>
      <c r="FY89" s="247"/>
      <c r="FZ89" s="247"/>
      <c r="GA89" s="247"/>
      <c r="GB89" s="247"/>
      <c r="GC89" s="247"/>
      <c r="GD89" s="247"/>
      <c r="GE89" s="246"/>
      <c r="GF89" s="246"/>
      <c r="GG89" s="246"/>
      <c r="GH89" s="246"/>
      <c r="GI89" s="246"/>
      <c r="GJ89" s="246"/>
      <c r="GK89" s="246"/>
      <c r="GL89" s="247"/>
      <c r="GM89" s="247"/>
      <c r="GN89" s="247"/>
      <c r="GO89" s="247"/>
      <c r="GP89" s="247"/>
      <c r="GQ89" s="247"/>
      <c r="GR89" s="247"/>
      <c r="GS89" s="246"/>
      <c r="GT89" s="246"/>
      <c r="GU89" s="246"/>
      <c r="GV89" s="246"/>
      <c r="GW89" s="246"/>
      <c r="GX89" s="246"/>
      <c r="GY89" s="246"/>
      <c r="GZ89" s="247"/>
      <c r="HA89" s="247"/>
      <c r="HB89" s="247"/>
      <c r="HC89" s="247"/>
      <c r="HD89" s="247"/>
      <c r="HE89" s="247"/>
      <c r="HF89" s="247"/>
      <c r="HG89" s="246"/>
      <c r="HH89" s="246"/>
      <c r="HI89" s="246"/>
      <c r="HJ89" s="246"/>
      <c r="HK89" s="246"/>
      <c r="HL89" s="246"/>
      <c r="HM89" s="246"/>
      <c r="HN89" s="247"/>
      <c r="HO89" s="247"/>
      <c r="HP89" s="247"/>
      <c r="HQ89" s="247"/>
      <c r="HR89" s="247"/>
      <c r="HS89" s="247"/>
      <c r="HT89" s="247"/>
      <c r="HU89" s="246"/>
      <c r="HV89" s="246"/>
      <c r="HW89" s="246"/>
      <c r="HX89" s="246"/>
      <c r="HY89" s="246"/>
      <c r="HZ89" s="246"/>
      <c r="IA89" s="246"/>
      <c r="IB89" s="247"/>
      <c r="IC89" s="247"/>
      <c r="ID89" s="247"/>
      <c r="IE89" s="247"/>
      <c r="IF89" s="247"/>
      <c r="IG89" s="247"/>
      <c r="IH89" s="247"/>
      <c r="II89" s="246"/>
      <c r="IJ89" s="246"/>
      <c r="IK89" s="246"/>
      <c r="IL89" s="246"/>
      <c r="IM89" s="246"/>
      <c r="IN89" s="246"/>
      <c r="IO89" s="246"/>
      <c r="IP89" s="247"/>
      <c r="IQ89" s="247"/>
      <c r="IR89" s="247"/>
      <c r="IS89" s="247"/>
      <c r="IT89" s="247"/>
      <c r="IU89" s="247"/>
      <c r="IV89" s="247"/>
      <c r="IW89" s="246"/>
      <c r="IX89" s="246"/>
      <c r="IY89" s="246"/>
      <c r="IZ89" s="246"/>
      <c r="JA89" s="246"/>
      <c r="JB89" s="246"/>
      <c r="JC89" s="246"/>
      <c r="JD89" s="247"/>
      <c r="JE89" s="247"/>
      <c r="JF89" s="247"/>
      <c r="JG89" s="247"/>
      <c r="JH89" s="247"/>
      <c r="JI89" s="247"/>
      <c r="JJ89" s="247"/>
      <c r="JK89" s="246"/>
      <c r="JL89" s="246"/>
      <c r="JM89" s="246"/>
      <c r="JN89" s="246"/>
      <c r="JO89" s="246"/>
      <c r="JP89" s="246"/>
      <c r="JQ89" s="246"/>
      <c r="JR89" s="247"/>
      <c r="JS89" s="247"/>
      <c r="JT89" s="247"/>
      <c r="JU89" s="247"/>
      <c r="JV89" s="247"/>
      <c r="JW89" s="247"/>
      <c r="JX89" s="247"/>
      <c r="JY89" s="246"/>
      <c r="JZ89" s="246"/>
      <c r="KA89" s="246"/>
      <c r="KB89" s="246"/>
      <c r="KC89" s="246"/>
      <c r="KD89" s="246"/>
      <c r="KE89" s="246"/>
      <c r="KF89" s="247"/>
      <c r="KG89" s="247"/>
      <c r="KH89" s="247"/>
      <c r="KI89" s="247"/>
      <c r="KJ89" s="247"/>
      <c r="KK89" s="247"/>
      <c r="KL89" s="247"/>
      <c r="KM89" s="246"/>
      <c r="KN89" s="246"/>
      <c r="KO89" s="246"/>
      <c r="KP89" s="246"/>
      <c r="KQ89" s="246"/>
      <c r="KR89" s="246"/>
      <c r="KS89" s="246"/>
      <c r="KT89" s="247"/>
      <c r="KU89" s="247"/>
      <c r="KV89" s="247"/>
      <c r="KW89" s="247"/>
      <c r="KX89" s="247"/>
      <c r="KY89" s="247"/>
      <c r="KZ89" s="247"/>
      <c r="LA89" s="246"/>
      <c r="LB89" s="246"/>
      <c r="LC89" s="246"/>
      <c r="LD89" s="246"/>
      <c r="LE89" s="246"/>
      <c r="LF89" s="246"/>
      <c r="LG89" s="246"/>
      <c r="LH89" s="247"/>
      <c r="LI89" s="247"/>
      <c r="LJ89" s="247"/>
      <c r="LK89" s="247"/>
      <c r="LL89" s="247"/>
      <c r="LM89" s="247"/>
      <c r="LN89" s="247"/>
      <c r="LO89" s="246"/>
      <c r="LP89" s="246"/>
      <c r="LQ89" s="246"/>
      <c r="LR89" s="246"/>
      <c r="LS89" s="246"/>
      <c r="LT89" s="246">
        <v>24</v>
      </c>
      <c r="LU89" s="246">
        <v>24</v>
      </c>
      <c r="LV89" s="247">
        <v>24</v>
      </c>
      <c r="LW89" s="247">
        <v>24</v>
      </c>
      <c r="LX89" s="247">
        <v>24</v>
      </c>
      <c r="LY89" s="247">
        <v>24</v>
      </c>
      <c r="LZ89" s="247">
        <v>24</v>
      </c>
      <c r="MA89" s="247">
        <v>24</v>
      </c>
      <c r="MB89" s="247">
        <v>24</v>
      </c>
      <c r="MC89" s="246"/>
      <c r="MD89" s="246"/>
      <c r="ME89" s="246"/>
      <c r="MF89" s="246"/>
      <c r="MG89" s="246"/>
      <c r="MH89" s="246"/>
      <c r="MI89" s="246"/>
      <c r="MJ89" s="247"/>
      <c r="MK89" s="247"/>
      <c r="ML89" s="247"/>
      <c r="MM89" s="247"/>
      <c r="MN89" s="247"/>
      <c r="MO89" s="247"/>
      <c r="MP89" s="247"/>
      <c r="MQ89" s="246"/>
      <c r="MR89" s="246"/>
      <c r="MS89" s="246"/>
      <c r="MT89" s="246"/>
      <c r="MU89" s="246"/>
      <c r="MV89" s="246"/>
      <c r="MW89" s="246"/>
      <c r="MX89" s="247"/>
      <c r="MY89" s="247"/>
      <c r="MZ89" s="247"/>
      <c r="NA89" s="247"/>
      <c r="NB89" s="247"/>
      <c r="NC89" s="247"/>
      <c r="ND89" s="247"/>
      <c r="NE89" s="246"/>
      <c r="NF89" s="246"/>
      <c r="NG89" s="246"/>
      <c r="NH89" s="247" t="s">
        <v>1150</v>
      </c>
    </row>
    <row r="90" spans="1:372">
      <c r="A90" s="254" t="s">
        <v>974</v>
      </c>
      <c r="B90" s="239" t="s">
        <v>69</v>
      </c>
      <c r="C90" s="240" t="s">
        <v>674</v>
      </c>
      <c r="D90" s="240" t="s">
        <v>997</v>
      </c>
      <c r="E90" s="241">
        <v>394.34122776693891</v>
      </c>
      <c r="F90" s="252">
        <v>384</v>
      </c>
      <c r="G90" s="246"/>
      <c r="H90" s="246"/>
      <c r="I90" s="246"/>
      <c r="J90" s="246"/>
      <c r="K90" s="246"/>
      <c r="L90" s="247"/>
      <c r="M90" s="247"/>
      <c r="N90" s="247"/>
      <c r="O90" s="247"/>
      <c r="P90" s="247"/>
      <c r="Q90" s="247"/>
      <c r="R90" s="247"/>
      <c r="S90" s="246"/>
      <c r="T90" s="246"/>
      <c r="U90" s="246"/>
      <c r="V90" s="246"/>
      <c r="W90" s="246"/>
      <c r="X90" s="246"/>
      <c r="Y90" s="246"/>
      <c r="Z90" s="247"/>
      <c r="AA90" s="247"/>
      <c r="AB90" s="247"/>
      <c r="AC90" s="247"/>
      <c r="AD90" s="247"/>
      <c r="AE90" s="247"/>
      <c r="AF90" s="247"/>
      <c r="AG90" s="246"/>
      <c r="AH90" s="246"/>
      <c r="AI90" s="246"/>
      <c r="AJ90" s="246"/>
      <c r="AK90" s="246"/>
      <c r="AL90" s="246"/>
      <c r="AM90" s="246"/>
      <c r="AN90" s="247"/>
      <c r="AO90" s="247"/>
      <c r="AP90" s="247"/>
      <c r="AQ90" s="247"/>
      <c r="AR90" s="247"/>
      <c r="AS90" s="247"/>
      <c r="AT90" s="247"/>
      <c r="AU90" s="246"/>
      <c r="AV90" s="246"/>
      <c r="AW90" s="246"/>
      <c r="AX90" s="246"/>
      <c r="AY90" s="246"/>
      <c r="AZ90" s="246"/>
      <c r="BA90" s="246"/>
      <c r="BB90" s="247"/>
      <c r="BC90" s="247"/>
      <c r="BD90" s="247"/>
      <c r="BE90" s="247"/>
      <c r="BF90" s="247"/>
      <c r="BG90" s="247"/>
      <c r="BH90" s="247"/>
      <c r="BI90" s="246"/>
      <c r="BJ90" s="246"/>
      <c r="BK90" s="246"/>
      <c r="BL90" s="246"/>
      <c r="BM90" s="246"/>
      <c r="BN90" s="246"/>
      <c r="BO90" s="246"/>
      <c r="BP90" s="247"/>
      <c r="BQ90" s="247"/>
      <c r="BR90" s="247"/>
      <c r="BS90" s="247"/>
      <c r="BT90" s="247"/>
      <c r="BU90" s="247"/>
      <c r="BV90" s="247"/>
      <c r="BW90" s="246"/>
      <c r="BX90" s="246"/>
      <c r="BY90" s="246"/>
      <c r="BZ90" s="246"/>
      <c r="CA90" s="246"/>
      <c r="CB90" s="246"/>
      <c r="CC90" s="246"/>
      <c r="CD90" s="247"/>
      <c r="CE90" s="247"/>
      <c r="CF90" s="247"/>
      <c r="CG90" s="247"/>
      <c r="CH90" s="247"/>
      <c r="CI90" s="247"/>
      <c r="CJ90" s="247"/>
      <c r="CK90" s="246"/>
      <c r="CL90" s="246"/>
      <c r="CM90" s="246"/>
      <c r="CN90" s="246"/>
      <c r="CO90" s="246"/>
      <c r="CP90" s="246"/>
      <c r="CQ90" s="246"/>
      <c r="CR90" s="247"/>
      <c r="CS90" s="247"/>
      <c r="CT90" s="247"/>
      <c r="CU90" s="247"/>
      <c r="CV90" s="247"/>
      <c r="CW90" s="247"/>
      <c r="CX90" s="247"/>
      <c r="CY90" s="246"/>
      <c r="CZ90" s="246"/>
      <c r="DA90" s="246"/>
      <c r="DB90" s="246"/>
      <c r="DC90" s="246"/>
      <c r="DD90" s="246"/>
      <c r="DE90" s="246"/>
      <c r="DF90" s="247"/>
      <c r="DG90" s="247"/>
      <c r="DH90" s="247"/>
      <c r="DI90" s="247"/>
      <c r="DJ90" s="247"/>
      <c r="DK90" s="247"/>
      <c r="DL90" s="247"/>
      <c r="DM90" s="246"/>
      <c r="DN90" s="246"/>
      <c r="DO90" s="246"/>
      <c r="DP90" s="246"/>
      <c r="DQ90" s="246"/>
      <c r="DR90" s="246"/>
      <c r="DS90" s="246"/>
      <c r="DT90" s="247"/>
      <c r="DU90" s="247"/>
      <c r="DV90" s="247"/>
      <c r="DW90" s="247"/>
      <c r="DX90" s="247"/>
      <c r="DY90" s="247"/>
      <c r="DZ90" s="247"/>
      <c r="EA90" s="246"/>
      <c r="EB90" s="246"/>
      <c r="EC90" s="246"/>
      <c r="ED90" s="246"/>
      <c r="EE90" s="246"/>
      <c r="EF90" s="246"/>
      <c r="EG90" s="246"/>
      <c r="EH90" s="247"/>
      <c r="EI90" s="247"/>
      <c r="EJ90" s="247"/>
      <c r="EK90" s="247"/>
      <c r="EL90" s="247"/>
      <c r="EM90" s="247"/>
      <c r="EN90" s="247"/>
      <c r="EO90" s="246"/>
      <c r="EP90" s="246"/>
      <c r="EQ90" s="246"/>
      <c r="ER90" s="246"/>
      <c r="ES90" s="246"/>
      <c r="ET90" s="246"/>
      <c r="EU90" s="246"/>
      <c r="EV90" s="247"/>
      <c r="EW90" s="247"/>
      <c r="EX90" s="247"/>
      <c r="EY90" s="247"/>
      <c r="EZ90" s="247"/>
      <c r="FA90" s="247"/>
      <c r="FB90" s="247"/>
      <c r="FC90" s="246"/>
      <c r="FD90" s="246"/>
      <c r="FE90" s="246"/>
      <c r="FF90" s="246"/>
      <c r="FG90" s="246"/>
      <c r="FH90" s="246"/>
      <c r="FI90" s="246"/>
      <c r="FJ90" s="247"/>
      <c r="FK90" s="247"/>
      <c r="FL90" s="247"/>
      <c r="FM90" s="247"/>
      <c r="FN90" s="247"/>
      <c r="FO90" s="247"/>
      <c r="FP90" s="247"/>
      <c r="FQ90" s="246"/>
      <c r="FR90" s="246"/>
      <c r="FS90" s="246"/>
      <c r="FT90" s="246"/>
      <c r="FU90" s="246"/>
      <c r="FV90" s="246">
        <v>24</v>
      </c>
      <c r="FW90" s="246">
        <v>24</v>
      </c>
      <c r="FX90" s="247">
        <v>24</v>
      </c>
      <c r="FY90" s="247">
        <v>24</v>
      </c>
      <c r="FZ90" s="247">
        <v>24</v>
      </c>
      <c r="GA90" s="247">
        <v>24</v>
      </c>
      <c r="GB90" s="247">
        <v>24</v>
      </c>
      <c r="GC90" s="247">
        <v>24</v>
      </c>
      <c r="GD90" s="247">
        <v>24</v>
      </c>
      <c r="GE90" s="246">
        <v>24</v>
      </c>
      <c r="GF90" s="246">
        <v>24</v>
      </c>
      <c r="GG90" s="246">
        <v>24</v>
      </c>
      <c r="GH90" s="246">
        <v>24</v>
      </c>
      <c r="GI90" s="246">
        <v>24</v>
      </c>
      <c r="GJ90" s="246">
        <v>24</v>
      </c>
      <c r="GK90" s="246">
        <v>24</v>
      </c>
      <c r="GL90" s="247"/>
      <c r="GM90" s="247"/>
      <c r="GN90" s="247"/>
      <c r="GO90" s="247"/>
      <c r="GP90" s="247"/>
      <c r="GQ90" s="247"/>
      <c r="GR90" s="247"/>
      <c r="GS90" s="246"/>
      <c r="GT90" s="246"/>
      <c r="GU90" s="246"/>
      <c r="GV90" s="246"/>
      <c r="GW90" s="246"/>
      <c r="GX90" s="246"/>
      <c r="GY90" s="246"/>
      <c r="GZ90" s="247"/>
      <c r="HA90" s="247"/>
      <c r="HB90" s="247"/>
      <c r="HC90" s="247"/>
      <c r="HD90" s="247"/>
      <c r="HE90" s="247"/>
      <c r="HF90" s="247"/>
      <c r="HG90" s="246"/>
      <c r="HH90" s="246"/>
      <c r="HI90" s="246"/>
      <c r="HJ90" s="246"/>
      <c r="HK90" s="246"/>
      <c r="HL90" s="246"/>
      <c r="HM90" s="246"/>
      <c r="HN90" s="247"/>
      <c r="HO90" s="247"/>
      <c r="HP90" s="247"/>
      <c r="HQ90" s="247"/>
      <c r="HR90" s="247"/>
      <c r="HS90" s="247"/>
      <c r="HT90" s="247"/>
      <c r="HU90" s="246"/>
      <c r="HV90" s="246"/>
      <c r="HW90" s="246"/>
      <c r="HX90" s="246"/>
      <c r="HY90" s="246"/>
      <c r="HZ90" s="246"/>
      <c r="IA90" s="246"/>
      <c r="IB90" s="247"/>
      <c r="IC90" s="247"/>
      <c r="ID90" s="247"/>
      <c r="IE90" s="247"/>
      <c r="IF90" s="247"/>
      <c r="IG90" s="247"/>
      <c r="IH90" s="247"/>
      <c r="II90" s="246"/>
      <c r="IJ90" s="246"/>
      <c r="IK90" s="246"/>
      <c r="IL90" s="246"/>
      <c r="IM90" s="246"/>
      <c r="IN90" s="246"/>
      <c r="IO90" s="246"/>
      <c r="IP90" s="247"/>
      <c r="IQ90" s="247"/>
      <c r="IR90" s="247"/>
      <c r="IS90" s="247"/>
      <c r="IT90" s="247"/>
      <c r="IU90" s="247"/>
      <c r="IV90" s="247"/>
      <c r="IW90" s="246"/>
      <c r="IX90" s="246"/>
      <c r="IY90" s="246"/>
      <c r="IZ90" s="246"/>
      <c r="JA90" s="246"/>
      <c r="JB90" s="246"/>
      <c r="JC90" s="246"/>
      <c r="JD90" s="247"/>
      <c r="JE90" s="247"/>
      <c r="JF90" s="247"/>
      <c r="JG90" s="247"/>
      <c r="JH90" s="247"/>
      <c r="JI90" s="247"/>
      <c r="JJ90" s="247"/>
      <c r="JK90" s="246"/>
      <c r="JL90" s="246"/>
      <c r="JM90" s="246"/>
      <c r="JN90" s="246"/>
      <c r="JO90" s="246"/>
      <c r="JP90" s="246"/>
      <c r="JQ90" s="246"/>
      <c r="JR90" s="247"/>
      <c r="JS90" s="247"/>
      <c r="JT90" s="247"/>
      <c r="JU90" s="247"/>
      <c r="JV90" s="247"/>
      <c r="JW90" s="247"/>
      <c r="JX90" s="247"/>
      <c r="JY90" s="246"/>
      <c r="JZ90" s="246"/>
      <c r="KA90" s="246"/>
      <c r="KB90" s="246"/>
      <c r="KC90" s="246"/>
      <c r="KD90" s="246"/>
      <c r="KE90" s="246"/>
      <c r="KF90" s="247"/>
      <c r="KG90" s="247"/>
      <c r="KH90" s="247"/>
      <c r="KI90" s="247"/>
      <c r="KJ90" s="247"/>
      <c r="KK90" s="247"/>
      <c r="KL90" s="247"/>
      <c r="KM90" s="246"/>
      <c r="KN90" s="246"/>
      <c r="KO90" s="246"/>
      <c r="KP90" s="246"/>
      <c r="KQ90" s="246"/>
      <c r="KR90" s="246"/>
      <c r="KS90" s="246"/>
      <c r="KT90" s="247"/>
      <c r="KU90" s="247"/>
      <c r="KV90" s="247"/>
      <c r="KW90" s="247"/>
      <c r="KX90" s="247"/>
      <c r="KY90" s="247"/>
      <c r="KZ90" s="247"/>
      <c r="LA90" s="246"/>
      <c r="LB90" s="246"/>
      <c r="LC90" s="246"/>
      <c r="LD90" s="246"/>
      <c r="LE90" s="246"/>
      <c r="LF90" s="246"/>
      <c r="LG90" s="246"/>
      <c r="LH90" s="247"/>
      <c r="LI90" s="247"/>
      <c r="LJ90" s="247"/>
      <c r="LK90" s="247"/>
      <c r="LL90" s="247"/>
      <c r="LM90" s="247"/>
      <c r="LN90" s="247"/>
      <c r="LO90" s="246"/>
      <c r="LP90" s="246"/>
      <c r="LQ90" s="246"/>
      <c r="LR90" s="246"/>
      <c r="LS90" s="246"/>
      <c r="LT90" s="246"/>
      <c r="LU90" s="246"/>
      <c r="LV90" s="247"/>
      <c r="LW90" s="247"/>
      <c r="LX90" s="247"/>
      <c r="LY90" s="247"/>
      <c r="LZ90" s="247"/>
      <c r="MA90" s="247"/>
      <c r="MB90" s="247"/>
      <c r="MC90" s="246"/>
      <c r="MD90" s="246"/>
      <c r="ME90" s="246"/>
      <c r="MF90" s="246"/>
      <c r="MG90" s="246"/>
      <c r="MH90" s="246"/>
      <c r="MI90" s="246"/>
      <c r="MJ90" s="247"/>
      <c r="MK90" s="247"/>
      <c r="ML90" s="247"/>
      <c r="MM90" s="247"/>
      <c r="MN90" s="247"/>
      <c r="MO90" s="247"/>
      <c r="MP90" s="247"/>
      <c r="MQ90" s="246"/>
      <c r="MR90" s="246"/>
      <c r="MS90" s="246"/>
      <c r="MT90" s="246"/>
      <c r="MU90" s="246"/>
      <c r="MV90" s="246"/>
      <c r="MW90" s="246"/>
      <c r="MX90" s="247"/>
      <c r="MY90" s="247"/>
      <c r="MZ90" s="247"/>
      <c r="NA90" s="247"/>
      <c r="NB90" s="247"/>
      <c r="NC90" s="247"/>
      <c r="ND90" s="247"/>
      <c r="NE90" s="246"/>
      <c r="NF90" s="246"/>
      <c r="NG90" s="246"/>
      <c r="NH90" s="247" t="s">
        <v>1150</v>
      </c>
    </row>
    <row r="91" spans="1:372">
      <c r="A91" s="254" t="s">
        <v>974</v>
      </c>
      <c r="B91" s="239" t="s">
        <v>70</v>
      </c>
      <c r="C91" s="240" t="s">
        <v>674</v>
      </c>
      <c r="D91" s="240" t="s">
        <v>982</v>
      </c>
      <c r="E91" s="241">
        <v>394.73681109924621</v>
      </c>
      <c r="F91" s="252">
        <v>384</v>
      </c>
      <c r="G91" s="246"/>
      <c r="H91" s="246"/>
      <c r="I91" s="246"/>
      <c r="J91" s="246"/>
      <c r="K91" s="246"/>
      <c r="L91" s="247"/>
      <c r="M91" s="247"/>
      <c r="N91" s="247"/>
      <c r="O91" s="247"/>
      <c r="P91" s="247"/>
      <c r="Q91" s="247"/>
      <c r="R91" s="247"/>
      <c r="S91" s="246"/>
      <c r="T91" s="246"/>
      <c r="U91" s="246"/>
      <c r="V91" s="246"/>
      <c r="W91" s="246"/>
      <c r="X91" s="246"/>
      <c r="Y91" s="246"/>
      <c r="Z91" s="247"/>
      <c r="AA91" s="247"/>
      <c r="AB91" s="247"/>
      <c r="AC91" s="247"/>
      <c r="AD91" s="247"/>
      <c r="AE91" s="247"/>
      <c r="AF91" s="247"/>
      <c r="AG91" s="246"/>
      <c r="AH91" s="246"/>
      <c r="AI91" s="246"/>
      <c r="AJ91" s="246"/>
      <c r="AK91" s="246"/>
      <c r="AL91" s="246"/>
      <c r="AM91" s="246"/>
      <c r="AN91" s="247"/>
      <c r="AO91" s="247"/>
      <c r="AP91" s="247"/>
      <c r="AQ91" s="247"/>
      <c r="AR91" s="247"/>
      <c r="AS91" s="247"/>
      <c r="AT91" s="247"/>
      <c r="AU91" s="246"/>
      <c r="AV91" s="246"/>
      <c r="AW91" s="246"/>
      <c r="AX91" s="246"/>
      <c r="AY91" s="246"/>
      <c r="AZ91" s="246"/>
      <c r="BA91" s="246"/>
      <c r="BB91" s="247"/>
      <c r="BC91" s="247"/>
      <c r="BD91" s="247"/>
      <c r="BE91" s="247"/>
      <c r="BF91" s="247"/>
      <c r="BG91" s="247"/>
      <c r="BH91" s="247"/>
      <c r="BI91" s="246"/>
      <c r="BJ91" s="246"/>
      <c r="BK91" s="246"/>
      <c r="BL91" s="246"/>
      <c r="BM91" s="246"/>
      <c r="BN91" s="246"/>
      <c r="BO91" s="246"/>
      <c r="BP91" s="247"/>
      <c r="BQ91" s="247"/>
      <c r="BR91" s="247"/>
      <c r="BS91" s="247"/>
      <c r="BT91" s="247"/>
      <c r="BU91" s="247"/>
      <c r="BV91" s="247"/>
      <c r="BW91" s="246"/>
      <c r="BX91" s="246"/>
      <c r="BY91" s="246"/>
      <c r="BZ91" s="246"/>
      <c r="CA91" s="246"/>
      <c r="CB91" s="246"/>
      <c r="CC91" s="246"/>
      <c r="CD91" s="247"/>
      <c r="CE91" s="247"/>
      <c r="CF91" s="247"/>
      <c r="CG91" s="247"/>
      <c r="CH91" s="247"/>
      <c r="CI91" s="247"/>
      <c r="CJ91" s="247"/>
      <c r="CK91" s="246"/>
      <c r="CL91" s="246"/>
      <c r="CM91" s="246"/>
      <c r="CN91" s="246"/>
      <c r="CO91" s="246"/>
      <c r="CP91" s="246"/>
      <c r="CQ91" s="246"/>
      <c r="CR91" s="247"/>
      <c r="CS91" s="247"/>
      <c r="CT91" s="247"/>
      <c r="CU91" s="247"/>
      <c r="CV91" s="247"/>
      <c r="CW91" s="247"/>
      <c r="CX91" s="247"/>
      <c r="CY91" s="246"/>
      <c r="CZ91" s="246"/>
      <c r="DA91" s="246"/>
      <c r="DB91" s="246"/>
      <c r="DC91" s="246"/>
      <c r="DD91" s="246"/>
      <c r="DE91" s="246"/>
      <c r="DF91" s="247"/>
      <c r="DG91" s="247"/>
      <c r="DH91" s="247"/>
      <c r="DI91" s="247"/>
      <c r="DJ91" s="247"/>
      <c r="DK91" s="247"/>
      <c r="DL91" s="247"/>
      <c r="DM91" s="246"/>
      <c r="DN91" s="246"/>
      <c r="DO91" s="246"/>
      <c r="DP91" s="246"/>
      <c r="DQ91" s="246"/>
      <c r="DR91" s="246"/>
      <c r="DS91" s="246"/>
      <c r="DT91" s="247"/>
      <c r="DU91" s="247"/>
      <c r="DV91" s="247"/>
      <c r="DW91" s="247"/>
      <c r="DX91" s="247"/>
      <c r="DY91" s="247"/>
      <c r="DZ91" s="247"/>
      <c r="EA91" s="246"/>
      <c r="EB91" s="246"/>
      <c r="EC91" s="246"/>
      <c r="ED91" s="246"/>
      <c r="EE91" s="246"/>
      <c r="EF91" s="246"/>
      <c r="EG91" s="246"/>
      <c r="EH91" s="247"/>
      <c r="EI91" s="247"/>
      <c r="EJ91" s="247"/>
      <c r="EK91" s="247"/>
      <c r="EL91" s="247"/>
      <c r="EM91" s="247"/>
      <c r="EN91" s="247"/>
      <c r="EO91" s="246"/>
      <c r="EP91" s="246"/>
      <c r="EQ91" s="246"/>
      <c r="ER91" s="246"/>
      <c r="ES91" s="246"/>
      <c r="ET91" s="246"/>
      <c r="EU91" s="246"/>
      <c r="EV91" s="247"/>
      <c r="EW91" s="247"/>
      <c r="EX91" s="247"/>
      <c r="EY91" s="247"/>
      <c r="EZ91" s="247"/>
      <c r="FA91" s="247"/>
      <c r="FB91" s="247"/>
      <c r="FC91" s="246"/>
      <c r="FD91" s="246"/>
      <c r="FE91" s="246"/>
      <c r="FF91" s="246"/>
      <c r="FG91" s="246"/>
      <c r="FH91" s="246"/>
      <c r="FI91" s="246"/>
      <c r="FJ91" s="247"/>
      <c r="FK91" s="247"/>
      <c r="FL91" s="247"/>
      <c r="FM91" s="247"/>
      <c r="FN91" s="247"/>
      <c r="FO91" s="247"/>
      <c r="FP91" s="247"/>
      <c r="FQ91" s="246"/>
      <c r="FR91" s="246"/>
      <c r="FS91" s="246"/>
      <c r="FT91" s="246"/>
      <c r="FU91" s="246"/>
      <c r="FV91" s="246">
        <v>24</v>
      </c>
      <c r="FW91" s="246">
        <v>24</v>
      </c>
      <c r="FX91" s="247">
        <v>24</v>
      </c>
      <c r="FY91" s="247">
        <v>24</v>
      </c>
      <c r="FZ91" s="247">
        <v>24</v>
      </c>
      <c r="GA91" s="247">
        <v>24</v>
      </c>
      <c r="GB91" s="247">
        <v>24</v>
      </c>
      <c r="GC91" s="247">
        <v>24</v>
      </c>
      <c r="GD91" s="247">
        <v>24</v>
      </c>
      <c r="GE91" s="246">
        <v>24</v>
      </c>
      <c r="GF91" s="246">
        <v>24</v>
      </c>
      <c r="GG91" s="246">
        <v>24</v>
      </c>
      <c r="GH91" s="246">
        <v>24</v>
      </c>
      <c r="GI91" s="246">
        <v>24</v>
      </c>
      <c r="GJ91" s="246">
        <v>24</v>
      </c>
      <c r="GK91" s="246">
        <v>24</v>
      </c>
      <c r="GL91" s="247"/>
      <c r="GM91" s="247"/>
      <c r="GN91" s="247"/>
      <c r="GO91" s="247"/>
      <c r="GP91" s="247"/>
      <c r="GQ91" s="247"/>
      <c r="GR91" s="247"/>
      <c r="GS91" s="246"/>
      <c r="GT91" s="246"/>
      <c r="GU91" s="246"/>
      <c r="GV91" s="246"/>
      <c r="GW91" s="246"/>
      <c r="GX91" s="246"/>
      <c r="GY91" s="246"/>
      <c r="GZ91" s="247"/>
      <c r="HA91" s="247"/>
      <c r="HB91" s="247"/>
      <c r="HC91" s="247"/>
      <c r="HD91" s="247"/>
      <c r="HE91" s="247"/>
      <c r="HF91" s="247"/>
      <c r="HG91" s="246"/>
      <c r="HH91" s="246"/>
      <c r="HI91" s="246"/>
      <c r="HJ91" s="246"/>
      <c r="HK91" s="246"/>
      <c r="HL91" s="246"/>
      <c r="HM91" s="246"/>
      <c r="HN91" s="247"/>
      <c r="HO91" s="247"/>
      <c r="HP91" s="247"/>
      <c r="HQ91" s="247"/>
      <c r="HR91" s="247"/>
      <c r="HS91" s="247"/>
      <c r="HT91" s="247"/>
      <c r="HU91" s="246"/>
      <c r="HV91" s="246"/>
      <c r="HW91" s="246"/>
      <c r="HX91" s="246"/>
      <c r="HY91" s="246"/>
      <c r="HZ91" s="246"/>
      <c r="IA91" s="246"/>
      <c r="IB91" s="247"/>
      <c r="IC91" s="247"/>
      <c r="ID91" s="247"/>
      <c r="IE91" s="247"/>
      <c r="IF91" s="247"/>
      <c r="IG91" s="247"/>
      <c r="IH91" s="247"/>
      <c r="II91" s="246"/>
      <c r="IJ91" s="246"/>
      <c r="IK91" s="246"/>
      <c r="IL91" s="246"/>
      <c r="IM91" s="246"/>
      <c r="IN91" s="246"/>
      <c r="IO91" s="246"/>
      <c r="IP91" s="247"/>
      <c r="IQ91" s="247"/>
      <c r="IR91" s="247"/>
      <c r="IS91" s="247"/>
      <c r="IT91" s="247"/>
      <c r="IU91" s="247"/>
      <c r="IV91" s="247"/>
      <c r="IW91" s="246"/>
      <c r="IX91" s="246"/>
      <c r="IY91" s="246"/>
      <c r="IZ91" s="246"/>
      <c r="JA91" s="246"/>
      <c r="JB91" s="246"/>
      <c r="JC91" s="246"/>
      <c r="JD91" s="247"/>
      <c r="JE91" s="247"/>
      <c r="JF91" s="247"/>
      <c r="JG91" s="247"/>
      <c r="JH91" s="247"/>
      <c r="JI91" s="247"/>
      <c r="JJ91" s="247"/>
      <c r="JK91" s="246"/>
      <c r="JL91" s="246"/>
      <c r="JM91" s="246"/>
      <c r="JN91" s="246"/>
      <c r="JO91" s="246"/>
      <c r="JP91" s="246"/>
      <c r="JQ91" s="246"/>
      <c r="JR91" s="247"/>
      <c r="JS91" s="247"/>
      <c r="JT91" s="247"/>
      <c r="JU91" s="247"/>
      <c r="JV91" s="247"/>
      <c r="JW91" s="247"/>
      <c r="JX91" s="247"/>
      <c r="JY91" s="246"/>
      <c r="JZ91" s="246"/>
      <c r="KA91" s="246"/>
      <c r="KB91" s="246"/>
      <c r="KC91" s="246"/>
      <c r="KD91" s="246"/>
      <c r="KE91" s="246"/>
      <c r="KF91" s="247"/>
      <c r="KG91" s="247"/>
      <c r="KH91" s="247"/>
      <c r="KI91" s="247"/>
      <c r="KJ91" s="247"/>
      <c r="KK91" s="247"/>
      <c r="KL91" s="247"/>
      <c r="KM91" s="246"/>
      <c r="KN91" s="246"/>
      <c r="KO91" s="246"/>
      <c r="KP91" s="246"/>
      <c r="KQ91" s="246"/>
      <c r="KR91" s="246"/>
      <c r="KS91" s="246"/>
      <c r="KT91" s="247"/>
      <c r="KU91" s="247"/>
      <c r="KV91" s="247"/>
      <c r="KW91" s="247"/>
      <c r="KX91" s="247"/>
      <c r="KY91" s="247"/>
      <c r="KZ91" s="247"/>
      <c r="LA91" s="246"/>
      <c r="LB91" s="246"/>
      <c r="LC91" s="246"/>
      <c r="LD91" s="246"/>
      <c r="LE91" s="246"/>
      <c r="LF91" s="246"/>
      <c r="LG91" s="246"/>
      <c r="LH91" s="247"/>
      <c r="LI91" s="247"/>
      <c r="LJ91" s="247"/>
      <c r="LK91" s="247"/>
      <c r="LL91" s="247"/>
      <c r="LM91" s="247"/>
      <c r="LN91" s="247"/>
      <c r="LO91" s="246"/>
      <c r="LP91" s="246"/>
      <c r="LQ91" s="246"/>
      <c r="LR91" s="246"/>
      <c r="LS91" s="246"/>
      <c r="LT91" s="246"/>
      <c r="LU91" s="246"/>
      <c r="LV91" s="247"/>
      <c r="LW91" s="247"/>
      <c r="LX91" s="247"/>
      <c r="LY91" s="247"/>
      <c r="LZ91" s="247"/>
      <c r="MA91" s="247"/>
      <c r="MB91" s="247"/>
      <c r="MC91" s="246"/>
      <c r="MD91" s="246"/>
      <c r="ME91" s="246"/>
      <c r="MF91" s="246"/>
      <c r="MG91" s="246"/>
      <c r="MH91" s="246"/>
      <c r="MI91" s="246"/>
      <c r="MJ91" s="247"/>
      <c r="MK91" s="247"/>
      <c r="ML91" s="247"/>
      <c r="MM91" s="247"/>
      <c r="MN91" s="247"/>
      <c r="MO91" s="247"/>
      <c r="MP91" s="247"/>
      <c r="MQ91" s="246"/>
      <c r="MR91" s="246"/>
      <c r="MS91" s="246"/>
      <c r="MT91" s="246"/>
      <c r="MU91" s="246"/>
      <c r="MV91" s="246"/>
      <c r="MW91" s="246"/>
      <c r="MX91" s="247"/>
      <c r="MY91" s="247"/>
      <c r="MZ91" s="247"/>
      <c r="NA91" s="247"/>
      <c r="NB91" s="247"/>
      <c r="NC91" s="247"/>
      <c r="ND91" s="247"/>
      <c r="NE91" s="246"/>
      <c r="NF91" s="246"/>
      <c r="NG91" s="246"/>
      <c r="NH91" s="247" t="s">
        <v>1150</v>
      </c>
    </row>
    <row r="92" spans="1:372">
      <c r="A92" s="254" t="s">
        <v>977</v>
      </c>
      <c r="B92" s="239" t="s">
        <v>71</v>
      </c>
      <c r="C92" s="240" t="s">
        <v>675</v>
      </c>
      <c r="D92" s="240" t="s">
        <v>997</v>
      </c>
      <c r="E92" s="241">
        <v>432</v>
      </c>
      <c r="F92" s="252">
        <v>432</v>
      </c>
      <c r="G92" s="242"/>
      <c r="H92" s="242"/>
      <c r="I92" s="242"/>
      <c r="J92" s="242"/>
      <c r="K92" s="242"/>
      <c r="L92" s="243"/>
      <c r="M92" s="243"/>
      <c r="N92" s="243"/>
      <c r="O92" s="243"/>
      <c r="P92" s="243"/>
      <c r="Q92" s="243"/>
      <c r="R92" s="243"/>
      <c r="S92" s="242"/>
      <c r="T92" s="242"/>
      <c r="U92" s="242"/>
      <c r="V92" s="242"/>
      <c r="W92" s="242"/>
      <c r="X92" s="242"/>
      <c r="Y92" s="242"/>
      <c r="Z92" s="243"/>
      <c r="AA92" s="243"/>
      <c r="AB92" s="243"/>
      <c r="AC92" s="243"/>
      <c r="AD92" s="243"/>
      <c r="AE92" s="243"/>
      <c r="AF92" s="243"/>
      <c r="AG92" s="242"/>
      <c r="AH92" s="242"/>
      <c r="AI92" s="242"/>
      <c r="AJ92" s="242"/>
      <c r="AK92" s="242"/>
      <c r="AL92" s="242"/>
      <c r="AM92" s="242"/>
      <c r="AN92" s="243"/>
      <c r="AO92" s="243"/>
      <c r="AP92" s="243"/>
      <c r="AQ92" s="243"/>
      <c r="AR92" s="243"/>
      <c r="AS92" s="243"/>
      <c r="BB92" s="243"/>
      <c r="BC92" s="243"/>
      <c r="BD92" s="243"/>
      <c r="BE92" s="243"/>
      <c r="BF92" s="243"/>
      <c r="BG92" s="243"/>
      <c r="BH92" s="243"/>
      <c r="BI92" s="242"/>
      <c r="BJ92" s="242"/>
      <c r="BK92" s="242"/>
      <c r="BL92" s="242"/>
      <c r="BM92" s="242"/>
      <c r="BN92" s="242"/>
      <c r="BO92" s="242"/>
      <c r="BP92" s="243"/>
      <c r="BQ92" s="243"/>
      <c r="BR92" s="243"/>
      <c r="BS92" s="243"/>
      <c r="BT92" s="243"/>
      <c r="BU92" s="243"/>
      <c r="BV92" s="243"/>
      <c r="BW92" s="242"/>
      <c r="BX92" s="242"/>
      <c r="BY92" s="242"/>
      <c r="BZ92" s="242"/>
      <c r="CA92" s="242"/>
      <c r="CB92" s="242"/>
      <c r="CC92" s="242"/>
      <c r="CD92" s="243"/>
      <c r="CE92" s="243"/>
      <c r="CF92" s="243"/>
      <c r="CG92" s="243"/>
      <c r="CH92" s="243"/>
      <c r="CI92" s="243"/>
      <c r="CJ92" s="243"/>
      <c r="CK92" s="242"/>
      <c r="CL92" s="242"/>
      <c r="CM92" s="242"/>
      <c r="CN92" s="242"/>
      <c r="CO92" s="242"/>
      <c r="CP92" s="242"/>
      <c r="CQ92" s="242"/>
      <c r="CR92" s="243"/>
      <c r="CS92" s="243"/>
      <c r="CT92" s="243"/>
      <c r="CU92" s="243"/>
      <c r="CV92" s="243"/>
      <c r="CW92" s="243"/>
      <c r="CX92" s="243"/>
      <c r="CY92" s="242"/>
      <c r="CZ92" s="242"/>
      <c r="DA92" s="242"/>
      <c r="DB92" s="242"/>
      <c r="DC92" s="242"/>
      <c r="DD92" s="242"/>
      <c r="DE92" s="242"/>
      <c r="DF92" s="243"/>
      <c r="DG92" s="243"/>
      <c r="DH92" s="243"/>
      <c r="DI92" s="243"/>
      <c r="DJ92" s="243"/>
      <c r="DK92" s="243"/>
      <c r="DL92" s="243"/>
      <c r="DM92" s="242"/>
      <c r="DN92" s="242"/>
      <c r="DO92" s="242"/>
      <c r="DP92" s="242"/>
      <c r="DQ92" s="242"/>
      <c r="DR92" s="242"/>
      <c r="DS92" s="242"/>
      <c r="DT92" s="243"/>
      <c r="DU92" s="243"/>
      <c r="DV92" s="243"/>
      <c r="DW92" s="243"/>
      <c r="DX92" s="243"/>
      <c r="DY92" s="243"/>
      <c r="DZ92" s="243"/>
      <c r="EA92" s="242"/>
      <c r="EB92" s="242"/>
      <c r="EC92" s="242"/>
      <c r="ED92" s="242"/>
      <c r="EE92" s="242"/>
      <c r="EF92" s="242"/>
      <c r="EG92" s="242"/>
      <c r="EH92" s="243"/>
      <c r="EI92" s="243"/>
      <c r="EJ92" s="243"/>
      <c r="EK92" s="243"/>
      <c r="EL92" s="243"/>
      <c r="EM92" s="243"/>
      <c r="EN92" s="243"/>
      <c r="EO92" s="242"/>
      <c r="EP92" s="242"/>
      <c r="EQ92" s="242"/>
      <c r="ER92" s="242"/>
      <c r="ES92" s="242"/>
      <c r="ET92" s="242"/>
      <c r="EU92" s="242"/>
      <c r="EV92" s="243"/>
      <c r="EW92" s="243"/>
      <c r="EX92" s="243"/>
      <c r="EY92" s="243"/>
      <c r="EZ92" s="243"/>
      <c r="FA92" s="243"/>
      <c r="FB92" s="243"/>
      <c r="FC92" s="242"/>
      <c r="FD92" s="242"/>
      <c r="FE92" s="242"/>
      <c r="FF92" s="242"/>
      <c r="FG92" s="242"/>
      <c r="FH92" s="242"/>
      <c r="FI92" s="242"/>
      <c r="FJ92" s="243"/>
      <c r="FK92" s="243"/>
      <c r="FL92" s="243"/>
      <c r="FM92" s="243"/>
      <c r="FN92" s="243"/>
      <c r="FO92" s="243"/>
      <c r="FP92" s="243"/>
      <c r="FQ92" s="242"/>
      <c r="FR92" s="242"/>
      <c r="FS92" s="242"/>
      <c r="FT92" s="242"/>
      <c r="FU92" s="242"/>
      <c r="FV92" s="242"/>
      <c r="FW92" s="242"/>
      <c r="FX92" s="243"/>
      <c r="FY92" s="243"/>
      <c r="FZ92" s="243"/>
      <c r="GA92" s="243"/>
      <c r="GB92" s="243"/>
      <c r="GC92" s="243"/>
      <c r="GD92" s="243"/>
      <c r="GE92" s="242"/>
      <c r="GF92" s="242"/>
      <c r="GG92" s="242"/>
      <c r="GH92" s="242"/>
      <c r="GI92" s="242"/>
      <c r="GJ92" s="242"/>
      <c r="GK92" s="242"/>
      <c r="GL92" s="243"/>
      <c r="GM92" s="243"/>
      <c r="GN92" s="243"/>
      <c r="GO92" s="243"/>
      <c r="GP92" s="243"/>
      <c r="GQ92" s="243"/>
      <c r="GR92" s="243"/>
      <c r="GS92" s="242"/>
      <c r="GT92" s="242"/>
      <c r="GU92" s="242"/>
      <c r="GV92" s="242"/>
      <c r="GW92" s="242"/>
      <c r="GX92" s="242"/>
      <c r="GY92" s="242"/>
      <c r="GZ92" s="243"/>
      <c r="HA92" s="243"/>
      <c r="HB92" s="243"/>
      <c r="HC92" s="243"/>
      <c r="HD92" s="243"/>
      <c r="HE92" s="243"/>
      <c r="HF92" s="243"/>
      <c r="HG92" s="242"/>
      <c r="HH92" s="242"/>
      <c r="HI92" s="242"/>
      <c r="HJ92" s="242"/>
      <c r="HK92" s="242"/>
      <c r="HL92" s="242"/>
      <c r="HM92" s="242"/>
      <c r="HN92" s="243"/>
      <c r="HO92" s="243"/>
      <c r="HP92" s="243"/>
      <c r="HQ92" s="243"/>
      <c r="HR92" s="243"/>
      <c r="HS92" s="243"/>
      <c r="HT92" s="243"/>
      <c r="HU92" s="242"/>
      <c r="HV92" s="242"/>
      <c r="HW92" s="242"/>
      <c r="HX92" s="242"/>
      <c r="HY92" s="242"/>
      <c r="HZ92" s="242"/>
      <c r="IA92" s="242"/>
      <c r="IB92" s="243"/>
      <c r="IC92" s="243"/>
      <c r="ID92" s="243"/>
      <c r="IE92" s="243"/>
      <c r="IF92" s="243"/>
      <c r="IG92" s="243"/>
      <c r="IH92" s="243"/>
      <c r="II92" s="242"/>
      <c r="IJ92" s="242"/>
      <c r="IK92" s="242"/>
      <c r="IL92" s="242"/>
      <c r="IM92" s="242"/>
      <c r="IN92" s="242"/>
      <c r="IO92" s="242"/>
      <c r="IP92" s="243"/>
      <c r="IQ92" s="243"/>
      <c r="IR92" s="243"/>
      <c r="IS92" s="243"/>
      <c r="IT92" s="243"/>
      <c r="IU92" s="243">
        <v>24</v>
      </c>
      <c r="IV92" s="243">
        <v>24</v>
      </c>
      <c r="IW92" s="243">
        <v>24</v>
      </c>
      <c r="IX92" s="243">
        <v>24</v>
      </c>
      <c r="IY92" s="243">
        <v>24</v>
      </c>
      <c r="IZ92" s="243">
        <v>24</v>
      </c>
      <c r="JA92" s="243">
        <v>24</v>
      </c>
      <c r="JB92" s="243">
        <v>24</v>
      </c>
      <c r="JC92" s="243">
        <v>24</v>
      </c>
      <c r="JD92" s="243">
        <v>24</v>
      </c>
      <c r="JE92" s="243">
        <v>24</v>
      </c>
      <c r="JF92" s="243">
        <v>24</v>
      </c>
      <c r="JG92" s="243">
        <v>24</v>
      </c>
      <c r="JH92" s="243">
        <v>24</v>
      </c>
      <c r="JI92" s="243">
        <v>24</v>
      </c>
      <c r="JJ92" s="243">
        <v>24</v>
      </c>
      <c r="JK92" s="242">
        <v>24</v>
      </c>
      <c r="JL92" s="242">
        <v>24</v>
      </c>
      <c r="JM92" s="242"/>
      <c r="JN92" s="242"/>
      <c r="JO92" s="242"/>
      <c r="JP92" s="242"/>
      <c r="JQ92" s="242"/>
      <c r="JR92" s="243"/>
      <c r="JS92" s="243"/>
      <c r="JT92" s="243"/>
      <c r="JU92" s="243"/>
      <c r="JV92" s="243"/>
      <c r="JW92" s="243"/>
      <c r="JX92" s="243"/>
      <c r="JY92" s="242"/>
      <c r="JZ92" s="242"/>
      <c r="KA92" s="242"/>
      <c r="KB92" s="242"/>
      <c r="KC92" s="242"/>
      <c r="KD92" s="242"/>
      <c r="KE92" s="242"/>
      <c r="KF92" s="243"/>
      <c r="KG92" s="243"/>
      <c r="KH92" s="243"/>
      <c r="KI92" s="243"/>
      <c r="KJ92" s="243"/>
      <c r="KK92" s="243"/>
      <c r="KL92" s="243"/>
      <c r="KM92" s="242"/>
      <c r="KN92" s="242"/>
      <c r="KO92" s="242"/>
      <c r="KP92" s="242"/>
      <c r="KQ92" s="242"/>
      <c r="KR92" s="242"/>
      <c r="KS92" s="242"/>
      <c r="KT92" s="243"/>
      <c r="KU92" s="243"/>
      <c r="KV92" s="243"/>
      <c r="KW92" s="243"/>
      <c r="KX92" s="243"/>
      <c r="KY92" s="243"/>
      <c r="KZ92" s="243"/>
      <c r="LA92" s="242"/>
      <c r="LB92" s="242"/>
      <c r="LC92" s="242"/>
      <c r="LD92" s="242"/>
      <c r="LE92" s="242"/>
      <c r="LF92" s="242"/>
      <c r="LG92" s="242"/>
      <c r="LH92" s="243"/>
      <c r="LI92" s="243"/>
      <c r="LJ92" s="243"/>
      <c r="LK92" s="243"/>
      <c r="LL92" s="243"/>
      <c r="LM92" s="243"/>
      <c r="LN92" s="243"/>
      <c r="LO92" s="242"/>
      <c r="LP92" s="242"/>
      <c r="LQ92" s="242"/>
      <c r="LR92" s="242"/>
      <c r="LS92" s="242"/>
      <c r="LT92" s="242"/>
      <c r="LU92" s="242"/>
      <c r="LV92" s="243"/>
      <c r="LW92" s="243"/>
      <c r="LX92" s="243"/>
      <c r="LY92" s="243"/>
      <c r="LZ92" s="243"/>
      <c r="MA92" s="243"/>
      <c r="MB92" s="243"/>
      <c r="MC92" s="242"/>
      <c r="MD92" s="242"/>
      <c r="ME92" s="242"/>
      <c r="MF92" s="242"/>
      <c r="MG92" s="242"/>
      <c r="MH92" s="242"/>
      <c r="MI92" s="242"/>
      <c r="MJ92" s="243"/>
      <c r="MK92" s="243"/>
      <c r="ML92" s="243"/>
      <c r="MM92" s="243"/>
      <c r="MN92" s="243"/>
      <c r="MO92" s="243"/>
      <c r="MP92" s="243"/>
      <c r="MQ92" s="242"/>
      <c r="MR92" s="242"/>
      <c r="MS92" s="242"/>
      <c r="MT92" s="242"/>
      <c r="MU92" s="242"/>
      <c r="MV92" s="242"/>
      <c r="MW92" s="242"/>
      <c r="MX92" s="243"/>
      <c r="MY92" s="243"/>
      <c r="MZ92" s="243"/>
      <c r="NA92" s="243"/>
      <c r="NB92" s="243"/>
      <c r="NC92" s="243"/>
      <c r="ND92" s="243"/>
      <c r="NE92" s="242"/>
      <c r="NF92" s="242"/>
      <c r="NG92" s="242"/>
      <c r="NH92" s="243" t="s">
        <v>1150</v>
      </c>
    </row>
    <row r="93" spans="1:372">
      <c r="A93" s="254" t="s">
        <v>977</v>
      </c>
      <c r="B93" s="239" t="s">
        <v>72</v>
      </c>
      <c r="C93" s="240" t="s">
        <v>675</v>
      </c>
      <c r="D93" s="240" t="s">
        <v>997</v>
      </c>
      <c r="E93" s="241">
        <v>408</v>
      </c>
      <c r="F93" s="252">
        <v>408</v>
      </c>
      <c r="G93" s="242"/>
      <c r="H93" s="242"/>
      <c r="I93" s="242"/>
      <c r="J93" s="242"/>
      <c r="K93" s="242"/>
      <c r="L93" s="243"/>
      <c r="M93" s="243"/>
      <c r="N93" s="243"/>
      <c r="O93" s="243"/>
      <c r="P93" s="243"/>
      <c r="Q93" s="243"/>
      <c r="R93" s="243"/>
      <c r="S93" s="242"/>
      <c r="T93" s="242"/>
      <c r="U93" s="242"/>
      <c r="V93" s="242"/>
      <c r="W93" s="242"/>
      <c r="X93" s="242"/>
      <c r="Y93" s="242"/>
      <c r="Z93" s="243"/>
      <c r="AA93" s="243"/>
      <c r="AB93" s="243"/>
      <c r="AC93" s="243"/>
      <c r="AD93" s="243"/>
      <c r="AE93" s="243"/>
      <c r="AF93" s="243"/>
      <c r="AG93" s="242"/>
      <c r="AH93" s="242"/>
      <c r="AI93" s="242"/>
      <c r="AJ93" s="242"/>
      <c r="AK93" s="242"/>
      <c r="AL93" s="242"/>
      <c r="AM93" s="242"/>
      <c r="AN93" s="243"/>
      <c r="AO93" s="243"/>
      <c r="AP93" s="243"/>
      <c r="AQ93" s="243"/>
      <c r="AR93" s="243"/>
      <c r="AS93" s="243"/>
      <c r="AT93" s="243"/>
      <c r="AU93" s="242"/>
      <c r="AV93" s="242"/>
      <c r="AW93" s="242"/>
      <c r="AX93" s="242"/>
      <c r="AY93" s="242"/>
      <c r="AZ93" s="242"/>
      <c r="BA93" s="242"/>
      <c r="BB93" s="243"/>
      <c r="BC93" s="243"/>
      <c r="BD93" s="243"/>
      <c r="BE93" s="243"/>
      <c r="BF93" s="243"/>
      <c r="BG93" s="243"/>
      <c r="BH93" s="243"/>
      <c r="BI93" s="242"/>
      <c r="BJ93" s="242"/>
      <c r="BK93" s="242"/>
      <c r="BL93" s="242"/>
      <c r="BM93" s="242"/>
      <c r="BN93" s="242"/>
      <c r="BO93" s="242"/>
      <c r="BP93" s="243"/>
      <c r="BQ93" s="243"/>
      <c r="BR93" s="243"/>
      <c r="BS93" s="243"/>
      <c r="BT93" s="243"/>
      <c r="BU93" s="243"/>
      <c r="BV93" s="243"/>
      <c r="BW93" s="242"/>
      <c r="BX93" s="242"/>
      <c r="BY93" s="242"/>
      <c r="BZ93" s="242"/>
      <c r="CA93" s="242"/>
      <c r="CB93" s="242"/>
      <c r="CC93" s="242"/>
      <c r="CD93" s="243"/>
      <c r="CE93" s="243"/>
      <c r="CF93" s="243"/>
      <c r="CG93" s="243"/>
      <c r="CH93" s="243"/>
      <c r="CI93" s="243"/>
      <c r="CJ93" s="243"/>
      <c r="CK93" s="242"/>
      <c r="CL93" s="242"/>
      <c r="CM93" s="242"/>
      <c r="CN93" s="242"/>
      <c r="CO93" s="242"/>
      <c r="CP93" s="242"/>
      <c r="CQ93" s="242"/>
      <c r="CR93" s="243"/>
      <c r="CS93" s="243"/>
      <c r="CT93" s="243"/>
      <c r="CU93" s="243"/>
      <c r="CV93" s="243"/>
      <c r="CW93" s="243"/>
      <c r="CX93" s="243"/>
      <c r="CY93" s="242"/>
      <c r="CZ93" s="242"/>
      <c r="DA93" s="242"/>
      <c r="DB93" s="242"/>
      <c r="DC93" s="242"/>
      <c r="DD93" s="242"/>
      <c r="DE93" s="242"/>
      <c r="DF93" s="243"/>
      <c r="DG93" s="243"/>
      <c r="DH93" s="243"/>
      <c r="DI93" s="243"/>
      <c r="DJ93" s="243"/>
      <c r="DK93" s="243"/>
      <c r="DL93" s="243"/>
      <c r="DM93" s="242"/>
      <c r="DN93" s="242"/>
      <c r="DO93" s="242"/>
      <c r="DP93" s="242"/>
      <c r="DQ93" s="242"/>
      <c r="DR93" s="242"/>
      <c r="DS93" s="242"/>
      <c r="DT93" s="243"/>
      <c r="DU93" s="243"/>
      <c r="DV93" s="243"/>
      <c r="DW93" s="243"/>
      <c r="DX93" s="243"/>
      <c r="DY93" s="243"/>
      <c r="DZ93" s="243"/>
      <c r="EA93" s="242"/>
      <c r="EB93" s="242"/>
      <c r="EC93" s="242"/>
      <c r="ED93" s="242"/>
      <c r="EE93" s="242"/>
      <c r="EF93" s="242"/>
      <c r="EG93" s="242"/>
      <c r="EH93" s="243"/>
      <c r="EI93" s="243"/>
      <c r="EJ93" s="243"/>
      <c r="EK93" s="243"/>
      <c r="EL93" s="243"/>
      <c r="EM93" s="243"/>
      <c r="EN93" s="243"/>
      <c r="EO93" s="242"/>
      <c r="EP93" s="242"/>
      <c r="EQ93" s="242"/>
      <c r="ER93" s="242"/>
      <c r="ES93" s="242"/>
      <c r="ET93" s="242"/>
      <c r="EU93" s="242"/>
      <c r="EV93" s="243"/>
      <c r="EW93" s="243"/>
      <c r="EX93" s="243"/>
      <c r="EY93" s="243"/>
      <c r="EZ93" s="243"/>
      <c r="FA93" s="243"/>
      <c r="FB93" s="243"/>
      <c r="FC93" s="242"/>
      <c r="FD93" s="242"/>
      <c r="FE93" s="242"/>
      <c r="FF93" s="242"/>
      <c r="FG93" s="242"/>
      <c r="FH93" s="242"/>
      <c r="FI93" s="242"/>
      <c r="FJ93" s="243"/>
      <c r="FK93" s="243"/>
      <c r="FL93" s="243"/>
      <c r="FM93" s="243"/>
      <c r="FN93" s="243"/>
      <c r="FO93" s="243"/>
      <c r="FP93" s="243"/>
      <c r="FQ93" s="242"/>
      <c r="FR93" s="242"/>
      <c r="FS93" s="242"/>
      <c r="FT93" s="242"/>
      <c r="FU93" s="242"/>
      <c r="FV93" s="242"/>
      <c r="FW93" s="242"/>
      <c r="FX93" s="243"/>
      <c r="FY93" s="243"/>
      <c r="FZ93" s="243"/>
      <c r="GA93" s="243"/>
      <c r="GB93" s="243"/>
      <c r="GC93" s="243"/>
      <c r="GD93" s="243"/>
      <c r="GE93" s="242"/>
      <c r="GF93" s="242"/>
      <c r="GG93" s="242"/>
      <c r="GH93" s="242"/>
      <c r="GI93" s="242"/>
      <c r="GJ93" s="242"/>
      <c r="GK93" s="242"/>
      <c r="GL93" s="243"/>
      <c r="GM93" s="243"/>
      <c r="GN93" s="243"/>
      <c r="GO93" s="243"/>
      <c r="GP93" s="243"/>
      <c r="GQ93" s="243"/>
      <c r="GR93" s="243"/>
      <c r="GS93" s="242"/>
      <c r="GT93" s="242"/>
      <c r="GU93" s="242"/>
      <c r="GV93" s="242"/>
      <c r="GW93" s="242"/>
      <c r="GX93" s="242"/>
      <c r="GY93" s="242"/>
      <c r="GZ93" s="243"/>
      <c r="HA93" s="243"/>
      <c r="HB93" s="243"/>
      <c r="HC93" s="243"/>
      <c r="HD93" s="243"/>
      <c r="HE93" s="243"/>
      <c r="HF93" s="243"/>
      <c r="HG93" s="242"/>
      <c r="HH93" s="242"/>
      <c r="HI93" s="242"/>
      <c r="HJ93" s="242"/>
      <c r="HK93" s="242"/>
      <c r="HL93" s="242"/>
      <c r="HM93" s="242"/>
      <c r="HN93" s="243"/>
      <c r="HO93" s="243"/>
      <c r="HP93" s="243"/>
      <c r="HQ93" s="243"/>
      <c r="HR93" s="243"/>
      <c r="HS93" s="243"/>
      <c r="HT93" s="243"/>
      <c r="HU93" s="242"/>
      <c r="HV93" s="242"/>
      <c r="HW93" s="242"/>
      <c r="HX93" s="242"/>
      <c r="HY93" s="242"/>
      <c r="HZ93" s="242"/>
      <c r="IA93" s="242"/>
      <c r="IB93" s="243"/>
      <c r="IC93" s="243"/>
      <c r="ID93" s="243"/>
      <c r="IE93" s="243"/>
      <c r="IF93" s="243"/>
      <c r="IG93" s="243"/>
      <c r="IH93" s="243"/>
      <c r="II93" s="242"/>
      <c r="IJ93" s="242"/>
      <c r="IK93" s="242"/>
      <c r="IL93" s="242"/>
      <c r="IM93" s="242"/>
      <c r="IN93" s="242"/>
      <c r="IO93" s="242"/>
      <c r="IP93" s="243"/>
      <c r="IQ93" s="243"/>
      <c r="IR93" s="243"/>
      <c r="IS93" s="243"/>
      <c r="IT93" s="243"/>
      <c r="IU93" s="243">
        <v>24</v>
      </c>
      <c r="IV93" s="243">
        <v>24</v>
      </c>
      <c r="IW93" s="243">
        <v>24</v>
      </c>
      <c r="IX93" s="243">
        <v>24</v>
      </c>
      <c r="IY93" s="243">
        <v>24</v>
      </c>
      <c r="IZ93" s="243">
        <v>24</v>
      </c>
      <c r="JA93" s="243">
        <v>24</v>
      </c>
      <c r="JB93" s="243">
        <v>24</v>
      </c>
      <c r="JC93" s="243">
        <v>24</v>
      </c>
      <c r="JD93" s="243">
        <v>24</v>
      </c>
      <c r="JE93" s="243">
        <v>24</v>
      </c>
      <c r="JF93" s="243">
        <v>24</v>
      </c>
      <c r="JG93" s="243">
        <v>24</v>
      </c>
      <c r="JH93" s="243">
        <v>24</v>
      </c>
      <c r="JI93" s="243">
        <v>24</v>
      </c>
      <c r="JJ93" s="243">
        <v>24</v>
      </c>
      <c r="JK93" s="242">
        <v>24</v>
      </c>
      <c r="JL93" s="242"/>
      <c r="JM93" s="242"/>
      <c r="JN93" s="242"/>
      <c r="JO93" s="242"/>
      <c r="JP93" s="242"/>
      <c r="JQ93" s="242"/>
      <c r="JR93" s="243"/>
      <c r="JS93" s="243"/>
      <c r="JT93" s="243"/>
      <c r="JU93" s="243"/>
      <c r="JV93" s="243"/>
      <c r="JW93" s="243"/>
      <c r="JX93" s="243"/>
      <c r="JY93" s="242"/>
      <c r="JZ93" s="242"/>
      <c r="KA93" s="242"/>
      <c r="KB93" s="242"/>
      <c r="KC93" s="242"/>
      <c r="KD93" s="242"/>
      <c r="KE93" s="242"/>
      <c r="KF93" s="243"/>
      <c r="KG93" s="243"/>
      <c r="KH93" s="243"/>
      <c r="KI93" s="243"/>
      <c r="KJ93" s="243"/>
      <c r="KK93" s="243"/>
      <c r="KL93" s="243"/>
      <c r="KM93" s="242"/>
      <c r="KN93" s="242"/>
      <c r="KO93" s="242"/>
      <c r="KP93" s="242"/>
      <c r="KQ93" s="242"/>
      <c r="KR93" s="242"/>
      <c r="KS93" s="242"/>
      <c r="KT93" s="243"/>
      <c r="KU93" s="243"/>
      <c r="KV93" s="243"/>
      <c r="KW93" s="243"/>
      <c r="KX93" s="243"/>
      <c r="KY93" s="243"/>
      <c r="KZ93" s="243"/>
      <c r="LA93" s="242"/>
      <c r="LB93" s="242"/>
      <c r="LC93" s="242"/>
      <c r="LD93" s="242"/>
      <c r="LE93" s="242"/>
      <c r="LF93" s="242"/>
      <c r="LG93" s="242"/>
      <c r="LH93" s="243"/>
      <c r="LI93" s="243"/>
      <c r="LJ93" s="243"/>
      <c r="LK93" s="243"/>
      <c r="LL93" s="243"/>
      <c r="LM93" s="243"/>
      <c r="LN93" s="243"/>
      <c r="LO93" s="242"/>
      <c r="LP93" s="242"/>
      <c r="LQ93" s="242"/>
      <c r="LR93" s="242"/>
      <c r="LS93" s="242"/>
      <c r="LT93" s="242"/>
      <c r="LU93" s="242"/>
      <c r="LV93" s="243"/>
      <c r="LW93" s="243"/>
      <c r="LX93" s="243"/>
      <c r="LY93" s="243"/>
      <c r="LZ93" s="243"/>
      <c r="MA93" s="243"/>
      <c r="MB93" s="243"/>
      <c r="MC93" s="242"/>
      <c r="MD93" s="242"/>
      <c r="ME93" s="242"/>
      <c r="MF93" s="242"/>
      <c r="MG93" s="242"/>
      <c r="MH93" s="242"/>
      <c r="MI93" s="242"/>
      <c r="MJ93" s="243"/>
      <c r="MK93" s="243"/>
      <c r="ML93" s="243"/>
      <c r="MM93" s="243"/>
      <c r="MN93" s="243"/>
      <c r="MO93" s="243"/>
      <c r="MP93" s="243"/>
      <c r="MQ93" s="242"/>
      <c r="MR93" s="242"/>
      <c r="MS93" s="242"/>
      <c r="MT93" s="242"/>
      <c r="MU93" s="242"/>
      <c r="MV93" s="242"/>
      <c r="MW93" s="242"/>
      <c r="MX93" s="243"/>
      <c r="MY93" s="243"/>
      <c r="MZ93" s="243"/>
      <c r="NA93" s="243"/>
      <c r="NB93" s="243"/>
      <c r="NC93" s="243"/>
      <c r="ND93" s="243"/>
      <c r="NE93" s="242"/>
      <c r="NF93" s="242"/>
      <c r="NG93" s="242"/>
      <c r="NH93" s="243"/>
    </row>
    <row r="94" spans="1:372">
      <c r="A94" s="254" t="s">
        <v>978</v>
      </c>
      <c r="B94" s="239" t="s">
        <v>74</v>
      </c>
      <c r="C94" s="240" t="s">
        <v>674</v>
      </c>
      <c r="D94" s="240" t="s">
        <v>982</v>
      </c>
      <c r="E94" s="241">
        <v>347.47752773625456</v>
      </c>
      <c r="F94" s="252">
        <v>240</v>
      </c>
      <c r="G94" s="242"/>
      <c r="H94" s="242"/>
      <c r="I94" s="242"/>
      <c r="J94" s="242"/>
      <c r="K94" s="242"/>
      <c r="L94" s="243"/>
      <c r="M94" s="243"/>
      <c r="N94" s="243"/>
      <c r="O94" s="243"/>
      <c r="P94" s="243"/>
      <c r="Q94" s="243"/>
      <c r="R94" s="243"/>
      <c r="S94" s="242"/>
      <c r="T94" s="242"/>
      <c r="U94" s="242"/>
      <c r="V94" s="242"/>
      <c r="W94" s="242"/>
      <c r="X94" s="242"/>
      <c r="Y94" s="242"/>
      <c r="Z94" s="243"/>
      <c r="AA94" s="243"/>
      <c r="AB94" s="243"/>
      <c r="AC94" s="243"/>
      <c r="AD94" s="243"/>
      <c r="AE94" s="243"/>
      <c r="AF94" s="243"/>
      <c r="AG94" s="242"/>
      <c r="AH94" s="242"/>
      <c r="AI94" s="242"/>
      <c r="AJ94" s="242"/>
      <c r="AK94" s="242"/>
      <c r="AL94" s="242"/>
      <c r="AM94" s="242"/>
      <c r="AN94" s="243"/>
      <c r="AO94" s="243"/>
      <c r="AP94" s="243"/>
      <c r="AQ94" s="243"/>
      <c r="AR94" s="243"/>
      <c r="AS94" s="243"/>
      <c r="AT94" s="243"/>
      <c r="AU94" s="242"/>
      <c r="AV94" s="242"/>
      <c r="AW94" s="242"/>
      <c r="AX94" s="242"/>
      <c r="AY94" s="242"/>
      <c r="AZ94" s="242"/>
      <c r="BA94" s="242"/>
      <c r="BB94" s="243"/>
      <c r="BC94" s="243"/>
      <c r="BD94" s="243"/>
      <c r="BE94" s="243"/>
      <c r="BF94" s="243"/>
      <c r="BG94" s="243"/>
      <c r="BH94" s="243"/>
      <c r="BI94" s="242"/>
      <c r="BJ94" s="242"/>
      <c r="BK94" s="242"/>
      <c r="BL94" s="242"/>
      <c r="BM94" s="242"/>
      <c r="BN94" s="242"/>
      <c r="BO94" s="242"/>
      <c r="BP94" s="243"/>
      <c r="BQ94" s="243"/>
      <c r="BR94" s="243"/>
      <c r="BS94" s="243"/>
      <c r="BT94" s="243"/>
      <c r="BU94" s="243"/>
      <c r="BV94" s="243"/>
      <c r="BW94" s="242"/>
      <c r="BX94" s="242"/>
      <c r="BY94" s="242"/>
      <c r="BZ94" s="242"/>
      <c r="CA94" s="242"/>
      <c r="CB94" s="242"/>
      <c r="CC94" s="242"/>
      <c r="CD94" s="243"/>
      <c r="CE94" s="243"/>
      <c r="CF94" s="243"/>
      <c r="CG94" s="243"/>
      <c r="CH94" s="243"/>
      <c r="CI94" s="243"/>
      <c r="CJ94" s="243"/>
      <c r="CK94" s="242"/>
      <c r="CL94" s="242"/>
      <c r="CM94" s="242"/>
      <c r="CN94" s="242"/>
      <c r="CO94" s="242"/>
      <c r="CP94" s="242"/>
      <c r="CQ94" s="242"/>
      <c r="CR94" s="243"/>
      <c r="CS94" s="243"/>
      <c r="CT94" s="243"/>
      <c r="CU94" s="243"/>
      <c r="CV94" s="243"/>
      <c r="CW94" s="243"/>
      <c r="CX94" s="243"/>
      <c r="CY94" s="242"/>
      <c r="CZ94" s="242"/>
      <c r="DA94" s="242"/>
      <c r="DB94" s="242"/>
      <c r="DC94" s="242"/>
      <c r="DD94" s="242"/>
      <c r="DE94" s="242"/>
      <c r="DF94" s="243"/>
      <c r="DG94" s="243"/>
      <c r="DH94" s="243"/>
      <c r="DI94" s="243"/>
      <c r="DJ94" s="243"/>
      <c r="DK94" s="243"/>
      <c r="DL94" s="243"/>
      <c r="DM94" s="242"/>
      <c r="DN94" s="242"/>
      <c r="DO94" s="242"/>
      <c r="DP94" s="242"/>
      <c r="DQ94" s="242"/>
      <c r="DR94" s="242"/>
      <c r="DS94" s="242"/>
      <c r="DT94" s="243"/>
      <c r="DU94" s="243"/>
      <c r="DV94" s="243"/>
      <c r="DW94" s="243"/>
      <c r="DX94" s="243"/>
      <c r="DY94" s="243"/>
      <c r="DZ94" s="243"/>
      <c r="EA94" s="242"/>
      <c r="EB94" s="242"/>
      <c r="EC94" s="242"/>
      <c r="ED94" s="242"/>
      <c r="EE94" s="242"/>
      <c r="EF94" s="242"/>
      <c r="EG94" s="242"/>
      <c r="EH94" s="243"/>
      <c r="EI94" s="243"/>
      <c r="EJ94" s="243"/>
      <c r="EK94" s="243"/>
      <c r="EL94" s="243"/>
      <c r="EM94" s="243"/>
      <c r="EN94" s="243"/>
      <c r="EO94" s="242"/>
      <c r="EP94" s="242"/>
      <c r="EQ94" s="242"/>
      <c r="ER94" s="242"/>
      <c r="ES94" s="242"/>
      <c r="ET94" s="242"/>
      <c r="EU94" s="242"/>
      <c r="EV94" s="243"/>
      <c r="EW94" s="243"/>
      <c r="EX94" s="243"/>
      <c r="EY94" s="243"/>
      <c r="EZ94" s="243"/>
      <c r="FA94" s="243"/>
      <c r="FB94" s="243"/>
      <c r="FC94" s="242"/>
      <c r="FD94" s="242"/>
      <c r="FE94" s="242"/>
      <c r="FF94" s="242"/>
      <c r="FG94" s="242"/>
      <c r="FH94" s="242"/>
      <c r="FI94" s="242"/>
      <c r="FJ94" s="243"/>
      <c r="FK94" s="243"/>
      <c r="FL94" s="243"/>
      <c r="FM94" s="243"/>
      <c r="FN94" s="243"/>
      <c r="FO94" s="243"/>
      <c r="FP94" s="243"/>
      <c r="FQ94" s="242"/>
      <c r="FR94" s="242"/>
      <c r="FS94" s="242"/>
      <c r="FT94" s="242"/>
      <c r="FU94" s="242"/>
      <c r="FV94" s="242"/>
      <c r="FW94" s="242"/>
      <c r="FX94" s="243"/>
      <c r="FY94" s="243"/>
      <c r="FZ94" s="243"/>
      <c r="GA94" s="243"/>
      <c r="GB94" s="243"/>
      <c r="GC94" s="243"/>
      <c r="GD94" s="243"/>
      <c r="GE94" s="242"/>
      <c r="GF94" s="242"/>
      <c r="GG94" s="242"/>
      <c r="GH94" s="242"/>
      <c r="GI94" s="242"/>
      <c r="GJ94" s="242"/>
      <c r="GK94" s="242"/>
      <c r="GL94" s="243"/>
      <c r="GM94" s="243"/>
      <c r="GN94" s="243"/>
      <c r="GO94" s="243"/>
      <c r="GP94" s="243"/>
      <c r="GQ94" s="243"/>
      <c r="GR94" s="243"/>
      <c r="GS94" s="242"/>
      <c r="GT94" s="242"/>
      <c r="GU94" s="242"/>
      <c r="GV94" s="242"/>
      <c r="GW94" s="242"/>
      <c r="GX94" s="242"/>
      <c r="GY94" s="242"/>
      <c r="GZ94" s="243"/>
      <c r="HA94" s="243"/>
      <c r="HB94" s="243"/>
      <c r="HC94" s="243"/>
      <c r="HD94" s="243"/>
      <c r="HE94" s="243"/>
      <c r="HF94" s="243"/>
      <c r="HG94" s="242"/>
      <c r="HH94" s="242"/>
      <c r="HI94" s="242"/>
      <c r="HJ94" s="242"/>
      <c r="HK94" s="242"/>
      <c r="HL94" s="242"/>
      <c r="HM94" s="242"/>
      <c r="HN94" s="243"/>
      <c r="HO94" s="243"/>
      <c r="HP94" s="243"/>
      <c r="HQ94" s="243"/>
      <c r="HR94" s="243"/>
      <c r="HS94" s="243"/>
      <c r="HT94" s="243"/>
      <c r="HU94" s="242"/>
      <c r="HV94" s="242"/>
      <c r="HW94" s="242"/>
      <c r="HX94" s="242"/>
      <c r="HY94" s="242"/>
      <c r="HZ94" s="242"/>
      <c r="IA94" s="242"/>
      <c r="IB94" s="243"/>
      <c r="IC94" s="243"/>
      <c r="ID94" s="243"/>
      <c r="IE94" s="243"/>
      <c r="IF94" s="243"/>
      <c r="IG94" s="243"/>
      <c r="IH94" s="243"/>
      <c r="II94" s="242"/>
      <c r="IJ94" s="242"/>
      <c r="IK94" s="242"/>
      <c r="IL94" s="242"/>
      <c r="IM94" s="242"/>
      <c r="IN94" s="242"/>
      <c r="IO94" s="242"/>
      <c r="IP94" s="243"/>
      <c r="IQ94" s="243"/>
      <c r="IR94" s="243"/>
      <c r="IS94" s="243"/>
      <c r="IT94" s="243"/>
      <c r="IU94" s="243"/>
      <c r="IV94" s="243"/>
      <c r="IW94" s="242"/>
      <c r="IX94" s="242"/>
      <c r="IY94" s="242"/>
      <c r="IZ94" s="242"/>
      <c r="JA94" s="242"/>
      <c r="JB94" s="242"/>
      <c r="JC94" s="242"/>
      <c r="JD94" s="243"/>
      <c r="JE94" s="243"/>
      <c r="JF94" s="243"/>
      <c r="JG94" s="243"/>
      <c r="JH94" s="243"/>
      <c r="JI94" s="243"/>
      <c r="JJ94" s="243"/>
      <c r="JK94" s="242"/>
      <c r="JL94" s="242"/>
      <c r="JM94" s="242"/>
      <c r="JN94" s="242"/>
      <c r="JO94" s="242"/>
      <c r="JP94" s="242"/>
      <c r="JQ94" s="242"/>
      <c r="JR94" s="243"/>
      <c r="JS94" s="243"/>
      <c r="JT94" s="243"/>
      <c r="JU94" s="243"/>
      <c r="JV94" s="243">
        <v>12</v>
      </c>
      <c r="JW94" s="243">
        <v>24</v>
      </c>
      <c r="JX94" s="243">
        <v>24</v>
      </c>
      <c r="JY94" s="242">
        <v>24</v>
      </c>
      <c r="JZ94" s="242">
        <v>24</v>
      </c>
      <c r="KA94" s="242">
        <v>24</v>
      </c>
      <c r="KB94" s="242">
        <v>24</v>
      </c>
      <c r="KC94" s="242">
        <v>24</v>
      </c>
      <c r="KD94" s="242">
        <v>24</v>
      </c>
      <c r="KE94" s="242">
        <v>24</v>
      </c>
      <c r="KF94" s="243">
        <v>12</v>
      </c>
      <c r="KG94" s="243"/>
      <c r="KH94" s="243"/>
      <c r="KI94" s="243"/>
      <c r="KJ94" s="243"/>
      <c r="KK94" s="243"/>
      <c r="KL94" s="243"/>
      <c r="KM94" s="242"/>
      <c r="KN94" s="242"/>
      <c r="KO94" s="242"/>
      <c r="KP94" s="242"/>
      <c r="KQ94" s="242"/>
      <c r="KR94" s="242"/>
      <c r="KS94" s="242"/>
      <c r="KT94" s="243"/>
      <c r="KU94" s="243"/>
      <c r="KV94" s="243"/>
      <c r="KW94" s="243"/>
      <c r="KX94" s="243"/>
      <c r="KY94" s="243"/>
      <c r="KZ94" s="243"/>
      <c r="LA94" s="242"/>
      <c r="LB94" s="242"/>
      <c r="LC94" s="242"/>
      <c r="LD94" s="242"/>
      <c r="LE94" s="242"/>
      <c r="LF94" s="242"/>
      <c r="LG94" s="242"/>
      <c r="LH94" s="243"/>
      <c r="LI94" s="243"/>
      <c r="LJ94" s="243"/>
      <c r="LK94" s="243"/>
      <c r="LL94" s="243"/>
      <c r="LM94" s="243"/>
      <c r="LN94" s="243"/>
      <c r="LO94" s="242"/>
      <c r="LP94" s="242"/>
      <c r="LQ94" s="242"/>
      <c r="LR94" s="242"/>
      <c r="LS94" s="242"/>
      <c r="LT94" s="242"/>
      <c r="LU94" s="242"/>
      <c r="LV94" s="243"/>
      <c r="LW94" s="243"/>
      <c r="LX94" s="243"/>
      <c r="LY94" s="243"/>
      <c r="LZ94" s="243"/>
      <c r="MA94" s="243"/>
      <c r="MB94" s="243"/>
      <c r="MC94" s="242"/>
      <c r="MD94" s="242"/>
      <c r="ME94" s="242"/>
      <c r="MF94" s="242"/>
      <c r="MG94" s="242"/>
      <c r="MH94" s="242"/>
      <c r="MI94" s="242"/>
      <c r="MJ94" s="243"/>
      <c r="MK94" s="243"/>
      <c r="ML94" s="243"/>
      <c r="MM94" s="243"/>
      <c r="MN94" s="243"/>
      <c r="MO94" s="243"/>
      <c r="MP94" s="243"/>
      <c r="MQ94" s="242"/>
      <c r="MR94" s="242"/>
      <c r="MS94" s="242"/>
      <c r="MT94" s="242"/>
      <c r="MU94" s="242"/>
      <c r="MV94" s="242"/>
      <c r="MW94" s="242"/>
      <c r="MX94" s="243"/>
      <c r="MY94" s="243"/>
      <c r="MZ94" s="243"/>
      <c r="NA94" s="243"/>
      <c r="NB94" s="243"/>
      <c r="NC94" s="243"/>
      <c r="ND94" s="243"/>
      <c r="NE94" s="242"/>
      <c r="NF94" s="242"/>
      <c r="NG94" s="242"/>
      <c r="NH94" s="243" t="s">
        <v>1260</v>
      </c>
    </row>
    <row r="95" spans="1:372">
      <c r="A95" s="254" t="s">
        <v>978</v>
      </c>
      <c r="B95" s="239" t="s">
        <v>75</v>
      </c>
      <c r="C95" s="240" t="s">
        <v>674</v>
      </c>
      <c r="D95" s="240" t="s">
        <v>982</v>
      </c>
      <c r="E95" s="241">
        <v>310.4673777488851</v>
      </c>
      <c r="F95" s="252">
        <v>240</v>
      </c>
      <c r="G95" s="242"/>
      <c r="H95" s="242"/>
      <c r="I95" s="242"/>
      <c r="J95" s="242"/>
      <c r="K95" s="242"/>
      <c r="L95" s="243"/>
      <c r="M95" s="243"/>
      <c r="N95" s="243"/>
      <c r="O95" s="243"/>
      <c r="P95" s="243"/>
      <c r="Q95" s="243"/>
      <c r="R95" s="243"/>
      <c r="S95" s="242"/>
      <c r="T95" s="242"/>
      <c r="U95" s="242"/>
      <c r="V95" s="242"/>
      <c r="W95" s="242"/>
      <c r="X95" s="242"/>
      <c r="Y95" s="242"/>
      <c r="Z95" s="243"/>
      <c r="AA95" s="243"/>
      <c r="AB95" s="243"/>
      <c r="AC95" s="243"/>
      <c r="AD95" s="243"/>
      <c r="AE95" s="243"/>
      <c r="AF95" s="243"/>
      <c r="AG95" s="242"/>
      <c r="AH95" s="242"/>
      <c r="AI95" s="242"/>
      <c r="AJ95" s="242"/>
      <c r="AK95" s="242"/>
      <c r="AL95" s="242"/>
      <c r="AM95" s="242"/>
      <c r="AN95" s="243"/>
      <c r="AO95" s="243"/>
      <c r="AP95" s="243"/>
      <c r="AQ95" s="243"/>
      <c r="AR95" s="243"/>
      <c r="AS95" s="243"/>
      <c r="AT95" s="243"/>
      <c r="AU95" s="242"/>
      <c r="AV95" s="242"/>
      <c r="AW95" s="242"/>
      <c r="AX95" s="242"/>
      <c r="AY95" s="242"/>
      <c r="AZ95" s="242"/>
      <c r="BA95" s="242"/>
      <c r="BB95" s="243"/>
      <c r="BC95" s="243"/>
      <c r="BD95" s="243"/>
      <c r="BE95" s="243"/>
      <c r="BF95" s="243"/>
      <c r="BG95" s="243"/>
      <c r="BH95" s="243"/>
      <c r="BI95" s="242"/>
      <c r="BJ95" s="242"/>
      <c r="BK95" s="242"/>
      <c r="BL95" s="242"/>
      <c r="BM95" s="242"/>
      <c r="BN95" s="242"/>
      <c r="BO95" s="242"/>
      <c r="BP95" s="243"/>
      <c r="BQ95" s="243"/>
      <c r="BR95" s="243"/>
      <c r="BS95" s="243"/>
      <c r="BT95" s="243"/>
      <c r="BU95" s="243"/>
      <c r="BV95" s="243"/>
      <c r="BW95" s="242"/>
      <c r="BX95" s="242"/>
      <c r="BY95" s="242"/>
      <c r="BZ95" s="242"/>
      <c r="CA95" s="242"/>
      <c r="CB95" s="242"/>
      <c r="CC95" s="242"/>
      <c r="CD95" s="243"/>
      <c r="CE95" s="243"/>
      <c r="CF95" s="243"/>
      <c r="CG95" s="243"/>
      <c r="CH95" s="243"/>
      <c r="CI95" s="243"/>
      <c r="CJ95" s="243"/>
      <c r="CK95" s="242"/>
      <c r="CL95" s="242"/>
      <c r="CM95" s="242"/>
      <c r="CN95" s="242"/>
      <c r="CO95" s="242"/>
      <c r="CP95" s="242"/>
      <c r="CQ95" s="242"/>
      <c r="CR95" s="243"/>
      <c r="CS95" s="243"/>
      <c r="CT95" s="243"/>
      <c r="CU95" s="243"/>
      <c r="CV95" s="243"/>
      <c r="CW95" s="243"/>
      <c r="CX95" s="243"/>
      <c r="CY95" s="242"/>
      <c r="CZ95" s="242"/>
      <c r="DA95" s="242"/>
      <c r="DB95" s="242"/>
      <c r="DC95" s="242"/>
      <c r="DD95" s="242"/>
      <c r="DE95" s="242"/>
      <c r="DF95" s="243"/>
      <c r="DG95" s="243"/>
      <c r="DH95" s="243"/>
      <c r="DI95" s="243"/>
      <c r="DJ95" s="243"/>
      <c r="DK95" s="243"/>
      <c r="DL95" s="243"/>
      <c r="DM95" s="242"/>
      <c r="DN95" s="242"/>
      <c r="DO95" s="242"/>
      <c r="DP95" s="242"/>
      <c r="DQ95" s="242"/>
      <c r="DR95" s="242"/>
      <c r="DS95" s="242"/>
      <c r="DT95" s="243"/>
      <c r="DU95" s="243"/>
      <c r="DV95" s="243"/>
      <c r="DW95" s="243"/>
      <c r="DX95" s="243"/>
      <c r="DY95" s="243"/>
      <c r="DZ95" s="243"/>
      <c r="EA95" s="242"/>
      <c r="EB95" s="242"/>
      <c r="EC95" s="242"/>
      <c r="ED95" s="242"/>
      <c r="EE95" s="242"/>
      <c r="EF95" s="242"/>
      <c r="EG95" s="242"/>
      <c r="EH95" s="243"/>
      <c r="EI95" s="243"/>
      <c r="EJ95" s="243"/>
      <c r="EK95" s="243"/>
      <c r="EL95" s="243"/>
      <c r="EM95" s="243"/>
      <c r="EN95" s="243"/>
      <c r="EO95" s="242"/>
      <c r="EP95" s="242"/>
      <c r="EQ95" s="242"/>
      <c r="ER95" s="242"/>
      <c r="ES95" s="242"/>
      <c r="ET95" s="242"/>
      <c r="EU95" s="242"/>
      <c r="EV95" s="243"/>
      <c r="EW95" s="243"/>
      <c r="EX95" s="243"/>
      <c r="EY95" s="243"/>
      <c r="EZ95" s="243"/>
      <c r="FA95" s="243"/>
      <c r="FB95" s="243"/>
      <c r="FC95" s="242"/>
      <c r="FD95" s="242"/>
      <c r="FE95" s="242"/>
      <c r="FF95" s="242"/>
      <c r="FG95" s="242"/>
      <c r="FH95" s="242"/>
      <c r="FI95" s="242"/>
      <c r="FJ95" s="243"/>
      <c r="FK95" s="243"/>
      <c r="FL95" s="243"/>
      <c r="FM95" s="243"/>
      <c r="FN95" s="243"/>
      <c r="FO95" s="243"/>
      <c r="FP95" s="243"/>
      <c r="FQ95" s="242"/>
      <c r="FR95" s="242"/>
      <c r="FS95" s="242"/>
      <c r="FT95" s="242"/>
      <c r="FU95" s="242"/>
      <c r="FV95" s="242"/>
      <c r="FW95" s="242"/>
      <c r="FX95" s="243"/>
      <c r="FY95" s="243"/>
      <c r="FZ95" s="243"/>
      <c r="GA95" s="243"/>
      <c r="GB95" s="243"/>
      <c r="GC95" s="243"/>
      <c r="GD95" s="243"/>
      <c r="GE95" s="242"/>
      <c r="GF95" s="242"/>
      <c r="GG95" s="242"/>
      <c r="GH95" s="242"/>
      <c r="GI95" s="242"/>
      <c r="GJ95" s="242"/>
      <c r="GK95" s="242"/>
      <c r="GL95" s="243"/>
      <c r="GM95" s="243"/>
      <c r="GN95" s="243"/>
      <c r="GO95" s="243"/>
      <c r="GP95" s="243"/>
      <c r="GQ95" s="243"/>
      <c r="GR95" s="243"/>
      <c r="GS95" s="242"/>
      <c r="GT95" s="242"/>
      <c r="GU95" s="242"/>
      <c r="GV95" s="242"/>
      <c r="GW95" s="242"/>
      <c r="GX95" s="242"/>
      <c r="GY95" s="242"/>
      <c r="GZ95" s="243"/>
      <c r="HA95" s="243"/>
      <c r="HB95" s="243"/>
      <c r="HC95" s="243"/>
      <c r="HD95" s="243"/>
      <c r="HE95" s="243"/>
      <c r="HF95" s="243"/>
      <c r="HG95" s="242"/>
      <c r="HH95" s="242"/>
      <c r="HI95" s="242"/>
      <c r="HJ95" s="242"/>
      <c r="HK95" s="242"/>
      <c r="HL95" s="242"/>
      <c r="HM95" s="242"/>
      <c r="HN95" s="243"/>
      <c r="HO95" s="243"/>
      <c r="HP95" s="243"/>
      <c r="HQ95" s="243"/>
      <c r="HR95" s="243"/>
      <c r="HS95" s="243"/>
      <c r="HT95" s="243"/>
      <c r="HU95" s="242"/>
      <c r="HV95" s="242"/>
      <c r="HW95" s="242"/>
      <c r="HX95" s="242"/>
      <c r="HY95" s="242"/>
      <c r="HZ95" s="242"/>
      <c r="IA95" s="242"/>
      <c r="IB95" s="243"/>
      <c r="IC95" s="243"/>
      <c r="ID95" s="243"/>
      <c r="IE95" s="243"/>
      <c r="IF95" s="243"/>
      <c r="IG95" s="243"/>
      <c r="IH95" s="243"/>
      <c r="II95" s="242"/>
      <c r="IJ95" s="242"/>
      <c r="IK95" s="242"/>
      <c r="IL95" s="242"/>
      <c r="IM95" s="242"/>
      <c r="IN95" s="242"/>
      <c r="IO95" s="242"/>
      <c r="IP95" s="243"/>
      <c r="IQ95" s="243"/>
      <c r="IR95" s="243"/>
      <c r="IS95" s="243"/>
      <c r="IT95" s="243"/>
      <c r="IU95" s="243"/>
      <c r="IV95" s="243"/>
      <c r="IW95" s="242"/>
      <c r="IX95" s="242"/>
      <c r="IY95" s="242"/>
      <c r="IZ95" s="242"/>
      <c r="JA95" s="242"/>
      <c r="JB95" s="242"/>
      <c r="JC95" s="242"/>
      <c r="JD95" s="243"/>
      <c r="JE95" s="243"/>
      <c r="JF95" s="243"/>
      <c r="JG95" s="243"/>
      <c r="JH95" s="243"/>
      <c r="JI95" s="243"/>
      <c r="JJ95" s="243"/>
      <c r="JK95" s="242"/>
      <c r="JL95" s="242"/>
      <c r="JM95" s="242"/>
      <c r="JN95" s="242"/>
      <c r="JO95" s="242"/>
      <c r="JP95" s="242"/>
      <c r="JQ95" s="242"/>
      <c r="JR95" s="243"/>
      <c r="JS95" s="243"/>
      <c r="JT95" s="243"/>
      <c r="JU95" s="243"/>
      <c r="JV95" s="243">
        <v>12</v>
      </c>
      <c r="JW95" s="243">
        <v>24</v>
      </c>
      <c r="JX95" s="243">
        <v>24</v>
      </c>
      <c r="JY95" s="242">
        <v>24</v>
      </c>
      <c r="JZ95" s="242">
        <v>24</v>
      </c>
      <c r="KA95" s="242">
        <v>24</v>
      </c>
      <c r="KB95" s="242">
        <v>24</v>
      </c>
      <c r="KC95" s="242">
        <v>24</v>
      </c>
      <c r="KD95" s="242">
        <v>24</v>
      </c>
      <c r="KE95" s="242">
        <v>24</v>
      </c>
      <c r="KF95" s="243">
        <v>12</v>
      </c>
      <c r="KG95" s="243"/>
      <c r="KH95" s="243"/>
      <c r="KI95" s="243"/>
      <c r="KJ95" s="243"/>
      <c r="KK95" s="243"/>
      <c r="KL95" s="243"/>
      <c r="KM95" s="242"/>
      <c r="KN95" s="242"/>
      <c r="KO95" s="242"/>
      <c r="KP95" s="242"/>
      <c r="KQ95" s="242"/>
      <c r="KR95" s="242"/>
      <c r="KS95" s="242"/>
      <c r="KT95" s="243"/>
      <c r="KU95" s="243"/>
      <c r="KV95" s="243"/>
      <c r="KW95" s="243"/>
      <c r="KX95" s="243"/>
      <c r="KY95" s="243"/>
      <c r="KZ95" s="243"/>
      <c r="LA95" s="242"/>
      <c r="LB95" s="242"/>
      <c r="LC95" s="242"/>
      <c r="LD95" s="242"/>
      <c r="LE95" s="242"/>
      <c r="LF95" s="242"/>
      <c r="LG95" s="242"/>
      <c r="LH95" s="243"/>
      <c r="LI95" s="243"/>
      <c r="LJ95" s="243"/>
      <c r="LK95" s="243"/>
      <c r="LL95" s="243"/>
      <c r="LM95" s="243"/>
      <c r="LN95" s="243"/>
      <c r="LO95" s="242"/>
      <c r="LP95" s="242"/>
      <c r="LQ95" s="242"/>
      <c r="LR95" s="242"/>
      <c r="LS95" s="242"/>
      <c r="LT95" s="242"/>
      <c r="LU95" s="242"/>
      <c r="LV95" s="243"/>
      <c r="LW95" s="243"/>
      <c r="LX95" s="243"/>
      <c r="LY95" s="243"/>
      <c r="LZ95" s="243"/>
      <c r="MA95" s="243"/>
      <c r="MB95" s="243"/>
      <c r="MC95" s="242"/>
      <c r="MD95" s="242"/>
      <c r="ME95" s="242"/>
      <c r="MF95" s="242"/>
      <c r="MG95" s="242"/>
      <c r="MH95" s="242"/>
      <c r="MI95" s="242"/>
      <c r="MJ95" s="243"/>
      <c r="MK95" s="243"/>
      <c r="ML95" s="243"/>
      <c r="MM95" s="243"/>
      <c r="MN95" s="243"/>
      <c r="MO95" s="243"/>
      <c r="MP95" s="243"/>
      <c r="MQ95" s="242"/>
      <c r="MR95" s="242"/>
      <c r="MS95" s="242"/>
      <c r="MT95" s="242"/>
      <c r="MU95" s="242"/>
      <c r="MV95" s="242"/>
      <c r="MW95" s="242"/>
      <c r="MX95" s="243"/>
      <c r="MY95" s="243"/>
      <c r="MZ95" s="243"/>
      <c r="NA95" s="243"/>
      <c r="NB95" s="243"/>
      <c r="NC95" s="243"/>
      <c r="ND95" s="243"/>
      <c r="NE95" s="242"/>
      <c r="NF95" s="242"/>
      <c r="NG95" s="242"/>
      <c r="NH95" s="243" t="s">
        <v>1260</v>
      </c>
    </row>
    <row r="96" spans="1:372">
      <c r="A96" s="254" t="s">
        <v>978</v>
      </c>
      <c r="B96" s="239" t="s">
        <v>76</v>
      </c>
      <c r="C96" s="240" t="s">
        <v>674</v>
      </c>
      <c r="D96" s="240" t="s">
        <v>982</v>
      </c>
      <c r="E96" s="241">
        <v>343.85852773437671</v>
      </c>
      <c r="F96" s="252">
        <v>240</v>
      </c>
      <c r="G96" s="242"/>
      <c r="H96" s="242"/>
      <c r="I96" s="242"/>
      <c r="J96" s="242"/>
      <c r="K96" s="242"/>
      <c r="L96" s="243"/>
      <c r="M96" s="243"/>
      <c r="N96" s="243"/>
      <c r="O96" s="243"/>
      <c r="P96" s="243"/>
      <c r="Q96" s="243"/>
      <c r="R96" s="243"/>
      <c r="S96" s="242"/>
      <c r="T96" s="242"/>
      <c r="U96" s="242"/>
      <c r="V96" s="242"/>
      <c r="W96" s="242"/>
      <c r="X96" s="242"/>
      <c r="Y96" s="242"/>
      <c r="Z96" s="243"/>
      <c r="AA96" s="243"/>
      <c r="AB96" s="243"/>
      <c r="AC96" s="243"/>
      <c r="AD96" s="243"/>
      <c r="AE96" s="243"/>
      <c r="AF96" s="243"/>
      <c r="AG96" s="242"/>
      <c r="AH96" s="242"/>
      <c r="AI96" s="242"/>
      <c r="AJ96" s="242"/>
      <c r="AK96" s="242"/>
      <c r="AL96" s="242"/>
      <c r="AM96" s="242"/>
      <c r="AN96" s="243"/>
      <c r="AO96" s="243"/>
      <c r="AP96" s="243"/>
      <c r="AQ96" s="243"/>
      <c r="AR96" s="243"/>
      <c r="AS96" s="243"/>
      <c r="AT96" s="243"/>
      <c r="AU96" s="242"/>
      <c r="AV96" s="242"/>
      <c r="AW96" s="242"/>
      <c r="AX96" s="242"/>
      <c r="AY96" s="242"/>
      <c r="AZ96" s="242"/>
      <c r="BA96" s="242"/>
      <c r="BB96" s="243"/>
      <c r="BC96" s="243"/>
      <c r="BD96" s="243"/>
      <c r="BE96" s="243"/>
      <c r="BF96" s="243"/>
      <c r="BG96" s="243"/>
      <c r="BH96" s="243"/>
      <c r="BI96" s="242"/>
      <c r="BJ96" s="242"/>
      <c r="BK96" s="242"/>
      <c r="BL96" s="242"/>
      <c r="BM96" s="242"/>
      <c r="BN96" s="242"/>
      <c r="BO96" s="242"/>
      <c r="BP96" s="243"/>
      <c r="BQ96" s="243"/>
      <c r="BR96" s="243"/>
      <c r="BS96" s="243"/>
      <c r="BT96" s="243"/>
      <c r="BU96" s="243"/>
      <c r="BV96" s="243"/>
      <c r="BW96" s="242"/>
      <c r="BX96" s="242"/>
      <c r="BY96" s="242"/>
      <c r="BZ96" s="242"/>
      <c r="CA96" s="242"/>
      <c r="CB96" s="242"/>
      <c r="CC96" s="242"/>
      <c r="CD96" s="243"/>
      <c r="CE96" s="243"/>
      <c r="CF96" s="243"/>
      <c r="CG96" s="243"/>
      <c r="CH96" s="243"/>
      <c r="CI96" s="243"/>
      <c r="CJ96" s="243"/>
      <c r="CK96" s="242"/>
      <c r="CL96" s="242"/>
      <c r="CM96" s="242"/>
      <c r="CN96" s="242"/>
      <c r="CO96" s="242"/>
      <c r="CP96" s="242"/>
      <c r="CQ96" s="242"/>
      <c r="CR96" s="243"/>
      <c r="CS96" s="243"/>
      <c r="CT96" s="243"/>
      <c r="CU96" s="243"/>
      <c r="CV96" s="243"/>
      <c r="CW96" s="243"/>
      <c r="CX96" s="243"/>
      <c r="CY96" s="242"/>
      <c r="CZ96" s="242"/>
      <c r="DA96" s="242"/>
      <c r="DB96" s="242"/>
      <c r="DC96" s="242"/>
      <c r="DD96" s="242"/>
      <c r="DE96" s="242"/>
      <c r="DF96" s="243"/>
      <c r="DG96" s="243"/>
      <c r="DH96" s="243"/>
      <c r="DI96" s="243"/>
      <c r="DJ96" s="243"/>
      <c r="DK96" s="243"/>
      <c r="DL96" s="243"/>
      <c r="DM96" s="242"/>
      <c r="DN96" s="242"/>
      <c r="DO96" s="242"/>
      <c r="DP96" s="242"/>
      <c r="DQ96" s="242"/>
      <c r="DR96" s="242"/>
      <c r="DS96" s="242"/>
      <c r="DT96" s="243"/>
      <c r="DU96" s="243"/>
      <c r="DV96" s="243"/>
      <c r="DW96" s="243"/>
      <c r="DX96" s="243"/>
      <c r="DY96" s="243"/>
      <c r="DZ96" s="243"/>
      <c r="EA96" s="242"/>
      <c r="EB96" s="242"/>
      <c r="EC96" s="242"/>
      <c r="ED96" s="242"/>
      <c r="EE96" s="242"/>
      <c r="EF96" s="242"/>
      <c r="EG96" s="242"/>
      <c r="EH96" s="243"/>
      <c r="EI96" s="243"/>
      <c r="EJ96" s="243"/>
      <c r="EK96" s="243"/>
      <c r="EL96" s="243"/>
      <c r="EM96" s="243"/>
      <c r="EN96" s="243"/>
      <c r="EO96" s="242"/>
      <c r="EP96" s="242"/>
      <c r="EQ96" s="242"/>
      <c r="ER96" s="242"/>
      <c r="ES96" s="242"/>
      <c r="ET96" s="242"/>
      <c r="EU96" s="242"/>
      <c r="EV96" s="243"/>
      <c r="EW96" s="243"/>
      <c r="EX96" s="243"/>
      <c r="EY96" s="243"/>
      <c r="EZ96" s="243"/>
      <c r="FA96" s="243"/>
      <c r="FB96" s="243"/>
      <c r="FC96" s="242"/>
      <c r="FD96" s="242"/>
      <c r="FE96" s="242"/>
      <c r="FF96" s="242"/>
      <c r="FG96" s="242"/>
      <c r="FH96" s="242"/>
      <c r="FI96" s="242"/>
      <c r="FJ96" s="243"/>
      <c r="FK96" s="243"/>
      <c r="FL96" s="243"/>
      <c r="FM96" s="243"/>
      <c r="FN96" s="243"/>
      <c r="FO96" s="243"/>
      <c r="FP96" s="243"/>
      <c r="FQ96" s="242"/>
      <c r="FR96" s="242"/>
      <c r="FS96" s="242"/>
      <c r="FT96" s="242"/>
      <c r="FU96" s="242"/>
      <c r="FV96" s="242"/>
      <c r="FW96" s="242"/>
      <c r="FX96" s="243"/>
      <c r="FY96" s="243"/>
      <c r="FZ96" s="243"/>
      <c r="GA96" s="243"/>
      <c r="GB96" s="243"/>
      <c r="GC96" s="243"/>
      <c r="GD96" s="243"/>
      <c r="GE96" s="242"/>
      <c r="GF96" s="242"/>
      <c r="GG96" s="242"/>
      <c r="GH96" s="242"/>
      <c r="GI96" s="242"/>
      <c r="GJ96" s="242"/>
      <c r="GK96" s="242"/>
      <c r="GL96" s="243"/>
      <c r="GM96" s="243"/>
      <c r="GN96" s="243"/>
      <c r="GO96" s="243"/>
      <c r="GP96" s="243"/>
      <c r="GQ96" s="243"/>
      <c r="GR96" s="243"/>
      <c r="GS96" s="242"/>
      <c r="GT96" s="242"/>
      <c r="GU96" s="242"/>
      <c r="GV96" s="242"/>
      <c r="GW96" s="242"/>
      <c r="GX96" s="242"/>
      <c r="GY96" s="242"/>
      <c r="GZ96" s="243"/>
      <c r="HA96" s="243"/>
      <c r="HB96" s="243"/>
      <c r="HC96" s="243"/>
      <c r="HD96" s="243"/>
      <c r="HE96" s="243"/>
      <c r="HF96" s="243"/>
      <c r="HG96" s="242"/>
      <c r="HH96" s="242"/>
      <c r="HI96" s="242"/>
      <c r="HJ96" s="242"/>
      <c r="HK96" s="242"/>
      <c r="HL96" s="242"/>
      <c r="HM96" s="242"/>
      <c r="HN96" s="243"/>
      <c r="HO96" s="243"/>
      <c r="HP96" s="243"/>
      <c r="HQ96" s="243"/>
      <c r="HR96" s="243"/>
      <c r="HS96" s="243"/>
      <c r="HT96" s="243"/>
      <c r="HU96" s="242"/>
      <c r="HV96" s="242"/>
      <c r="HW96" s="242"/>
      <c r="HX96" s="242"/>
      <c r="HY96" s="242"/>
      <c r="HZ96" s="242"/>
      <c r="IA96" s="242"/>
      <c r="IB96" s="243"/>
      <c r="IC96" s="243"/>
      <c r="ID96" s="243"/>
      <c r="IE96" s="243"/>
      <c r="IF96" s="243"/>
      <c r="IG96" s="243"/>
      <c r="IH96" s="243"/>
      <c r="II96" s="242"/>
      <c r="IJ96" s="242"/>
      <c r="IK96" s="242"/>
      <c r="IL96" s="242"/>
      <c r="IM96" s="242"/>
      <c r="IN96" s="242"/>
      <c r="IO96" s="242"/>
      <c r="IP96" s="243"/>
      <c r="IQ96" s="243"/>
      <c r="IR96" s="243"/>
      <c r="IS96" s="243"/>
      <c r="IT96" s="243"/>
      <c r="IU96" s="243"/>
      <c r="IV96" s="243"/>
      <c r="IW96" s="242"/>
      <c r="IX96" s="242"/>
      <c r="IY96" s="242"/>
      <c r="IZ96" s="242"/>
      <c r="JA96" s="242"/>
      <c r="JB96" s="242"/>
      <c r="JC96" s="242"/>
      <c r="JD96" s="243"/>
      <c r="JE96" s="243"/>
      <c r="JF96" s="243"/>
      <c r="JG96" s="243"/>
      <c r="JH96" s="243"/>
      <c r="JI96" s="243"/>
      <c r="JJ96" s="243"/>
      <c r="JK96" s="242"/>
      <c r="JL96" s="242"/>
      <c r="JM96" s="242"/>
      <c r="JN96" s="242"/>
      <c r="JO96" s="242"/>
      <c r="JP96" s="242"/>
      <c r="JQ96" s="242"/>
      <c r="JR96" s="243"/>
      <c r="JS96" s="243"/>
      <c r="JT96" s="243"/>
      <c r="JU96" s="243"/>
      <c r="JV96" s="243">
        <v>12</v>
      </c>
      <c r="JW96" s="243">
        <v>24</v>
      </c>
      <c r="JX96" s="243">
        <v>24</v>
      </c>
      <c r="JY96" s="242">
        <v>24</v>
      </c>
      <c r="JZ96" s="242">
        <v>24</v>
      </c>
      <c r="KA96" s="242">
        <v>24</v>
      </c>
      <c r="KB96" s="242">
        <v>24</v>
      </c>
      <c r="KC96" s="242">
        <v>24</v>
      </c>
      <c r="KD96" s="242">
        <v>24</v>
      </c>
      <c r="KE96" s="242">
        <v>24</v>
      </c>
      <c r="KF96" s="243">
        <v>12</v>
      </c>
      <c r="KG96" s="243"/>
      <c r="KH96" s="243"/>
      <c r="KI96" s="243"/>
      <c r="KJ96" s="243"/>
      <c r="KK96" s="243"/>
      <c r="KL96" s="243"/>
      <c r="KM96" s="242"/>
      <c r="KN96" s="242"/>
      <c r="KO96" s="242"/>
      <c r="KP96" s="242"/>
      <c r="KQ96" s="242"/>
      <c r="KR96" s="242"/>
      <c r="KS96" s="242"/>
      <c r="KT96" s="243"/>
      <c r="KU96" s="243"/>
      <c r="KV96" s="243"/>
      <c r="KW96" s="243"/>
      <c r="KX96" s="243"/>
      <c r="KY96" s="243"/>
      <c r="KZ96" s="243"/>
      <c r="LA96" s="242"/>
      <c r="LB96" s="242"/>
      <c r="LC96" s="242"/>
      <c r="LD96" s="242"/>
      <c r="LE96" s="242"/>
      <c r="LF96" s="242"/>
      <c r="LG96" s="242"/>
      <c r="LH96" s="243"/>
      <c r="LI96" s="243"/>
      <c r="LJ96" s="243"/>
      <c r="LK96" s="243"/>
      <c r="LL96" s="243"/>
      <c r="LM96" s="243"/>
      <c r="LN96" s="243"/>
      <c r="LO96" s="242"/>
      <c r="LP96" s="242"/>
      <c r="LQ96" s="242"/>
      <c r="LR96" s="242"/>
      <c r="LS96" s="242"/>
      <c r="LT96" s="242"/>
      <c r="LU96" s="242"/>
      <c r="LV96" s="243"/>
      <c r="LW96" s="243"/>
      <c r="LX96" s="243"/>
      <c r="LY96" s="243"/>
      <c r="LZ96" s="243"/>
      <c r="MA96" s="243"/>
      <c r="MB96" s="243"/>
      <c r="MC96" s="242"/>
      <c r="MD96" s="242"/>
      <c r="ME96" s="242"/>
      <c r="MF96" s="242"/>
      <c r="MG96" s="242"/>
      <c r="MH96" s="242"/>
      <c r="MI96" s="242"/>
      <c r="MJ96" s="243"/>
      <c r="MK96" s="243"/>
      <c r="ML96" s="243"/>
      <c r="MM96" s="243"/>
      <c r="MN96" s="243"/>
      <c r="MO96" s="243"/>
      <c r="MP96" s="243"/>
      <c r="MQ96" s="242"/>
      <c r="MR96" s="242"/>
      <c r="MS96" s="242"/>
      <c r="MT96" s="242"/>
      <c r="MU96" s="242"/>
      <c r="MV96" s="242"/>
      <c r="MW96" s="242"/>
      <c r="MX96" s="243"/>
      <c r="MY96" s="243"/>
      <c r="MZ96" s="243"/>
      <c r="NA96" s="243"/>
      <c r="NB96" s="243"/>
      <c r="NC96" s="243"/>
      <c r="ND96" s="243"/>
      <c r="NE96" s="242"/>
      <c r="NF96" s="242"/>
      <c r="NG96" s="242"/>
      <c r="NH96" s="243" t="s">
        <v>1260</v>
      </c>
    </row>
    <row r="97" spans="1:372">
      <c r="A97" s="254" t="s">
        <v>978</v>
      </c>
      <c r="B97" s="239" t="s">
        <v>77</v>
      </c>
      <c r="C97" s="240" t="s">
        <v>674</v>
      </c>
      <c r="D97" s="240" t="s">
        <v>982</v>
      </c>
      <c r="E97" s="241">
        <v>311.61652776328293</v>
      </c>
      <c r="F97" s="252">
        <v>240</v>
      </c>
      <c r="G97" s="242"/>
      <c r="H97" s="242"/>
      <c r="I97" s="242"/>
      <c r="J97" s="242"/>
      <c r="K97" s="242"/>
      <c r="L97" s="243"/>
      <c r="M97" s="243"/>
      <c r="N97" s="243"/>
      <c r="O97" s="243"/>
      <c r="P97" s="243"/>
      <c r="Q97" s="243"/>
      <c r="R97" s="243"/>
      <c r="S97" s="242"/>
      <c r="T97" s="242"/>
      <c r="U97" s="242"/>
      <c r="V97" s="242"/>
      <c r="W97" s="242"/>
      <c r="X97" s="242"/>
      <c r="Y97" s="242"/>
      <c r="Z97" s="243"/>
      <c r="AA97" s="243"/>
      <c r="AB97" s="243"/>
      <c r="AC97" s="243"/>
      <c r="AD97" s="243"/>
      <c r="AE97" s="243"/>
      <c r="AF97" s="243"/>
      <c r="AG97" s="242"/>
      <c r="AH97" s="242"/>
      <c r="AI97" s="242"/>
      <c r="AJ97" s="242"/>
      <c r="AK97" s="242"/>
      <c r="AL97" s="242"/>
      <c r="AM97" s="242"/>
      <c r="AN97" s="243"/>
      <c r="AO97" s="243"/>
      <c r="AP97" s="243"/>
      <c r="AQ97" s="243"/>
      <c r="AR97" s="243"/>
      <c r="AS97" s="243"/>
      <c r="AT97" s="243"/>
      <c r="AU97" s="242"/>
      <c r="AV97" s="242"/>
      <c r="AW97" s="242"/>
      <c r="AX97" s="242"/>
      <c r="AY97" s="242"/>
      <c r="AZ97" s="242"/>
      <c r="BA97" s="242"/>
      <c r="BB97" s="243"/>
      <c r="BC97" s="243"/>
      <c r="BD97" s="243"/>
      <c r="BE97" s="243"/>
      <c r="BF97" s="243"/>
      <c r="BG97" s="243"/>
      <c r="BH97" s="243"/>
      <c r="BI97" s="242"/>
      <c r="BJ97" s="242"/>
      <c r="BK97" s="242"/>
      <c r="BL97" s="242"/>
      <c r="BM97" s="242"/>
      <c r="BN97" s="242"/>
      <c r="BO97" s="242"/>
      <c r="BP97" s="243"/>
      <c r="BQ97" s="243"/>
      <c r="BR97" s="243"/>
      <c r="BS97" s="243"/>
      <c r="BT97" s="243"/>
      <c r="BU97" s="243"/>
      <c r="BV97" s="243"/>
      <c r="BW97" s="242"/>
      <c r="BX97" s="242"/>
      <c r="BY97" s="242"/>
      <c r="BZ97" s="242"/>
      <c r="CA97" s="242"/>
      <c r="CB97" s="242"/>
      <c r="CC97" s="242"/>
      <c r="CD97" s="243"/>
      <c r="CE97" s="243"/>
      <c r="CF97" s="243"/>
      <c r="CG97" s="243"/>
      <c r="CH97" s="243"/>
      <c r="CI97" s="243"/>
      <c r="CJ97" s="243"/>
      <c r="CK97" s="242"/>
      <c r="CL97" s="242"/>
      <c r="CM97" s="242"/>
      <c r="CN97" s="242"/>
      <c r="CO97" s="242"/>
      <c r="CP97" s="242"/>
      <c r="CQ97" s="242"/>
      <c r="CR97" s="243"/>
      <c r="CS97" s="243"/>
      <c r="CT97" s="243"/>
      <c r="CU97" s="243"/>
      <c r="CV97" s="243"/>
      <c r="CW97" s="243"/>
      <c r="CX97" s="243"/>
      <c r="CY97" s="242"/>
      <c r="CZ97" s="242"/>
      <c r="DA97" s="242"/>
      <c r="DB97" s="242"/>
      <c r="DC97" s="242"/>
      <c r="DD97" s="242"/>
      <c r="DE97" s="242"/>
      <c r="DF97" s="243"/>
      <c r="DG97" s="243"/>
      <c r="DH97" s="243"/>
      <c r="DI97" s="243"/>
      <c r="DJ97" s="243"/>
      <c r="DK97" s="243"/>
      <c r="DL97" s="243"/>
      <c r="DM97" s="242"/>
      <c r="DN97" s="242"/>
      <c r="DO97" s="242"/>
      <c r="DP97" s="242"/>
      <c r="DQ97" s="242"/>
      <c r="DR97" s="242"/>
      <c r="DS97" s="242"/>
      <c r="DT97" s="243"/>
      <c r="DU97" s="243"/>
      <c r="DV97" s="243"/>
      <c r="DW97" s="243"/>
      <c r="DX97" s="243"/>
      <c r="DY97" s="243"/>
      <c r="DZ97" s="243"/>
      <c r="EA97" s="242"/>
      <c r="EB97" s="242"/>
      <c r="EC97" s="242"/>
      <c r="ED97" s="242"/>
      <c r="EE97" s="242"/>
      <c r="EF97" s="242"/>
      <c r="EG97" s="242"/>
      <c r="EH97" s="243"/>
      <c r="EI97" s="243"/>
      <c r="EJ97" s="243"/>
      <c r="EK97" s="243"/>
      <c r="EL97" s="243"/>
      <c r="EM97" s="243"/>
      <c r="EN97" s="243"/>
      <c r="EO97" s="242"/>
      <c r="EP97" s="242"/>
      <c r="EQ97" s="242"/>
      <c r="ER97" s="242"/>
      <c r="ES97" s="242"/>
      <c r="ET97" s="242"/>
      <c r="EU97" s="242"/>
      <c r="EV97" s="243"/>
      <c r="EW97" s="243"/>
      <c r="EX97" s="243"/>
      <c r="EY97" s="243"/>
      <c r="EZ97" s="243"/>
      <c r="FA97" s="243"/>
      <c r="FB97" s="243"/>
      <c r="FC97" s="242"/>
      <c r="FD97" s="242"/>
      <c r="FE97" s="242"/>
      <c r="FF97" s="242"/>
      <c r="FG97" s="242"/>
      <c r="FH97" s="242"/>
      <c r="FI97" s="242"/>
      <c r="FJ97" s="243"/>
      <c r="FK97" s="243"/>
      <c r="FL97" s="243"/>
      <c r="FM97" s="243"/>
      <c r="FN97" s="243"/>
      <c r="FO97" s="243"/>
      <c r="FP97" s="243"/>
      <c r="FQ97" s="242"/>
      <c r="FR97" s="242"/>
      <c r="FS97" s="242"/>
      <c r="FT97" s="242"/>
      <c r="FU97" s="242"/>
      <c r="FV97" s="242"/>
      <c r="FW97" s="242"/>
      <c r="FX97" s="243"/>
      <c r="FY97" s="243"/>
      <c r="FZ97" s="243"/>
      <c r="GA97" s="243"/>
      <c r="GB97" s="243"/>
      <c r="GC97" s="243"/>
      <c r="GD97" s="243"/>
      <c r="GE97" s="242"/>
      <c r="GF97" s="242"/>
      <c r="GG97" s="242"/>
      <c r="GH97" s="242"/>
      <c r="GI97" s="242"/>
      <c r="GJ97" s="242"/>
      <c r="GK97" s="242"/>
      <c r="GL97" s="243"/>
      <c r="GM97" s="243"/>
      <c r="GN97" s="243"/>
      <c r="GO97" s="243"/>
      <c r="GP97" s="243"/>
      <c r="GQ97" s="243"/>
      <c r="GR97" s="243"/>
      <c r="GS97" s="242"/>
      <c r="GT97" s="242"/>
      <c r="GU97" s="242"/>
      <c r="GV97" s="242"/>
      <c r="GW97" s="242"/>
      <c r="GX97" s="242"/>
      <c r="GY97" s="242"/>
      <c r="GZ97" s="243"/>
      <c r="HA97" s="243"/>
      <c r="HB97" s="243"/>
      <c r="HC97" s="243"/>
      <c r="HD97" s="243"/>
      <c r="HE97" s="243"/>
      <c r="HF97" s="243"/>
      <c r="HG97" s="242"/>
      <c r="HH97" s="242"/>
      <c r="HI97" s="242"/>
      <c r="HJ97" s="242"/>
      <c r="HK97" s="242"/>
      <c r="HL97" s="242"/>
      <c r="HM97" s="242"/>
      <c r="HN97" s="243"/>
      <c r="HO97" s="243"/>
      <c r="HP97" s="243"/>
      <c r="HQ97" s="243"/>
      <c r="HR97" s="243"/>
      <c r="HS97" s="243"/>
      <c r="HT97" s="243"/>
      <c r="HU97" s="242"/>
      <c r="HV97" s="242"/>
      <c r="HW97" s="242"/>
      <c r="HX97" s="242"/>
      <c r="HY97" s="242"/>
      <c r="HZ97" s="242"/>
      <c r="IA97" s="242"/>
      <c r="IB97" s="243"/>
      <c r="IC97" s="243"/>
      <c r="ID97" s="243"/>
      <c r="IE97" s="243"/>
      <c r="IF97" s="243"/>
      <c r="IG97" s="243"/>
      <c r="IH97" s="243"/>
      <c r="II97" s="242"/>
      <c r="IJ97" s="242"/>
      <c r="IK97" s="242"/>
      <c r="IL97" s="242"/>
      <c r="IM97" s="242"/>
      <c r="IN97" s="242"/>
      <c r="IO97" s="242"/>
      <c r="IP97" s="243"/>
      <c r="IQ97" s="243"/>
      <c r="IR97" s="243"/>
      <c r="IS97" s="243"/>
      <c r="IT97" s="243"/>
      <c r="IU97" s="243"/>
      <c r="IV97" s="243"/>
      <c r="IW97" s="242"/>
      <c r="IX97" s="242"/>
      <c r="IY97" s="242"/>
      <c r="IZ97" s="242"/>
      <c r="JA97" s="242"/>
      <c r="JB97" s="242"/>
      <c r="JC97" s="242"/>
      <c r="JD97" s="243"/>
      <c r="JE97" s="243"/>
      <c r="JF97" s="243"/>
      <c r="JG97" s="243"/>
      <c r="JH97" s="243"/>
      <c r="JI97" s="243"/>
      <c r="JJ97" s="243"/>
      <c r="JK97" s="242"/>
      <c r="JL97" s="242"/>
      <c r="JM97" s="242"/>
      <c r="JN97" s="242"/>
      <c r="JO97" s="242"/>
      <c r="JP97" s="242"/>
      <c r="JQ97" s="242"/>
      <c r="JR97" s="243"/>
      <c r="JS97" s="243"/>
      <c r="JT97" s="243"/>
      <c r="JU97" s="243"/>
      <c r="JV97" s="243">
        <v>12</v>
      </c>
      <c r="JW97" s="243">
        <v>24</v>
      </c>
      <c r="JX97" s="243">
        <v>24</v>
      </c>
      <c r="JY97" s="242">
        <v>24</v>
      </c>
      <c r="JZ97" s="242">
        <v>24</v>
      </c>
      <c r="KA97" s="242">
        <v>24</v>
      </c>
      <c r="KB97" s="242">
        <v>24</v>
      </c>
      <c r="KC97" s="242">
        <v>24</v>
      </c>
      <c r="KD97" s="242">
        <v>24</v>
      </c>
      <c r="KE97" s="242">
        <v>24</v>
      </c>
      <c r="KF97" s="243">
        <v>12</v>
      </c>
      <c r="KG97" s="243"/>
      <c r="KH97" s="243"/>
      <c r="KI97" s="243"/>
      <c r="KJ97" s="243"/>
      <c r="KK97" s="243"/>
      <c r="KL97" s="243"/>
      <c r="KM97" s="242"/>
      <c r="KN97" s="242"/>
      <c r="KO97" s="242"/>
      <c r="KP97" s="242"/>
      <c r="KQ97" s="242"/>
      <c r="KR97" s="242"/>
      <c r="KS97" s="242"/>
      <c r="KT97" s="243"/>
      <c r="KU97" s="243"/>
      <c r="KV97" s="243"/>
      <c r="KW97" s="243"/>
      <c r="KX97" s="243"/>
      <c r="KY97" s="243"/>
      <c r="KZ97" s="243"/>
      <c r="LA97" s="242"/>
      <c r="LB97" s="242"/>
      <c r="LC97" s="242"/>
      <c r="LD97" s="242"/>
      <c r="LE97" s="242"/>
      <c r="LF97" s="242"/>
      <c r="LG97" s="242"/>
      <c r="LH97" s="243"/>
      <c r="LI97" s="243"/>
      <c r="LJ97" s="243"/>
      <c r="LK97" s="243"/>
      <c r="LL97" s="243"/>
      <c r="LM97" s="243"/>
      <c r="LN97" s="243"/>
      <c r="LO97" s="242"/>
      <c r="LP97" s="242"/>
      <c r="LQ97" s="242"/>
      <c r="LR97" s="242"/>
      <c r="LS97" s="242"/>
      <c r="LT97" s="242"/>
      <c r="LU97" s="242"/>
      <c r="LV97" s="243"/>
      <c r="LW97" s="243"/>
      <c r="LX97" s="243"/>
      <c r="LY97" s="243"/>
      <c r="LZ97" s="243"/>
      <c r="MA97" s="243"/>
      <c r="MB97" s="243"/>
      <c r="MC97" s="242"/>
      <c r="MD97" s="242"/>
      <c r="ME97" s="242"/>
      <c r="MF97" s="242"/>
      <c r="MG97" s="242"/>
      <c r="MH97" s="242"/>
      <c r="MI97" s="242"/>
      <c r="MJ97" s="243"/>
      <c r="MK97" s="243"/>
      <c r="ML97" s="243"/>
      <c r="MM97" s="243"/>
      <c r="MN97" s="243"/>
      <c r="MO97" s="243"/>
      <c r="MP97" s="243"/>
      <c r="MQ97" s="242"/>
      <c r="MR97" s="242"/>
      <c r="MS97" s="242"/>
      <c r="MT97" s="242"/>
      <c r="MU97" s="242"/>
      <c r="MV97" s="242"/>
      <c r="MW97" s="242"/>
      <c r="MX97" s="243"/>
      <c r="MY97" s="243"/>
      <c r="MZ97" s="243"/>
      <c r="NA97" s="243"/>
      <c r="NB97" s="243"/>
      <c r="NC97" s="243"/>
      <c r="ND97" s="243"/>
      <c r="NE97" s="242"/>
      <c r="NF97" s="242"/>
      <c r="NG97" s="242"/>
      <c r="NH97" s="243" t="s">
        <v>1260</v>
      </c>
    </row>
    <row r="98" spans="1:372">
      <c r="A98" s="254" t="s">
        <v>978</v>
      </c>
      <c r="B98" s="239" t="s">
        <v>78</v>
      </c>
      <c r="C98" s="240" t="s">
        <v>674</v>
      </c>
      <c r="D98" s="240" t="s">
        <v>982</v>
      </c>
      <c r="E98" s="241">
        <v>353.4731610999616</v>
      </c>
      <c r="F98" s="252">
        <v>240</v>
      </c>
      <c r="G98" s="242"/>
      <c r="H98" s="242"/>
      <c r="I98" s="242"/>
      <c r="J98" s="242"/>
      <c r="K98" s="242"/>
      <c r="L98" s="243"/>
      <c r="M98" s="243"/>
      <c r="N98" s="243"/>
      <c r="O98" s="243"/>
      <c r="P98" s="243"/>
      <c r="Q98" s="243"/>
      <c r="R98" s="243"/>
      <c r="S98" s="242"/>
      <c r="T98" s="242"/>
      <c r="U98" s="242"/>
      <c r="V98" s="242"/>
      <c r="W98" s="242"/>
      <c r="X98" s="242"/>
      <c r="Y98" s="242"/>
      <c r="Z98" s="243"/>
      <c r="AA98" s="243"/>
      <c r="AB98" s="243"/>
      <c r="AC98" s="243"/>
      <c r="AD98" s="243"/>
      <c r="AE98" s="243"/>
      <c r="AF98" s="243"/>
      <c r="AG98" s="242"/>
      <c r="AH98" s="242"/>
      <c r="AI98" s="242"/>
      <c r="AJ98" s="242"/>
      <c r="AK98" s="242"/>
      <c r="AL98" s="242"/>
      <c r="AM98" s="242"/>
      <c r="AN98" s="243"/>
      <c r="AO98" s="243"/>
      <c r="AP98" s="243"/>
      <c r="AQ98" s="243"/>
      <c r="AR98" s="243"/>
      <c r="AS98" s="243"/>
      <c r="AT98" s="243"/>
      <c r="AU98" s="242"/>
      <c r="AV98" s="242"/>
      <c r="AW98" s="242"/>
      <c r="AX98" s="242"/>
      <c r="AY98" s="242"/>
      <c r="AZ98" s="242"/>
      <c r="BA98" s="242"/>
      <c r="BB98" s="243"/>
      <c r="BC98" s="243"/>
      <c r="BD98" s="243"/>
      <c r="BE98" s="243"/>
      <c r="BF98" s="243"/>
      <c r="BG98" s="243"/>
      <c r="BH98" s="243"/>
      <c r="BI98" s="242"/>
      <c r="BJ98" s="242"/>
      <c r="BK98" s="242"/>
      <c r="BL98" s="242"/>
      <c r="BM98" s="242"/>
      <c r="BN98" s="242"/>
      <c r="BO98" s="242"/>
      <c r="BP98" s="243"/>
      <c r="BQ98" s="243"/>
      <c r="BR98" s="243"/>
      <c r="BS98" s="243"/>
      <c r="BT98" s="243"/>
      <c r="BU98" s="243"/>
      <c r="BV98" s="243"/>
      <c r="BW98" s="242"/>
      <c r="BX98" s="242"/>
      <c r="BY98" s="242"/>
      <c r="BZ98" s="242"/>
      <c r="CA98" s="242"/>
      <c r="CB98" s="242"/>
      <c r="CC98" s="242"/>
      <c r="CD98" s="243"/>
      <c r="CE98" s="243"/>
      <c r="CF98" s="243"/>
      <c r="CG98" s="243"/>
      <c r="CH98" s="243"/>
      <c r="CI98" s="243"/>
      <c r="CJ98" s="243"/>
      <c r="CK98" s="242"/>
      <c r="CL98" s="242"/>
      <c r="CM98" s="242"/>
      <c r="CN98" s="242"/>
      <c r="CO98" s="242"/>
      <c r="CP98" s="242"/>
      <c r="CQ98" s="242"/>
      <c r="CR98" s="243"/>
      <c r="CS98" s="243"/>
      <c r="CT98" s="243"/>
      <c r="CU98" s="243"/>
      <c r="CV98" s="243"/>
      <c r="CW98" s="243"/>
      <c r="CX98" s="243"/>
      <c r="CY98" s="242"/>
      <c r="CZ98" s="242"/>
      <c r="DA98" s="242"/>
      <c r="DB98" s="242"/>
      <c r="DC98" s="242"/>
      <c r="DD98" s="242"/>
      <c r="DE98" s="242"/>
      <c r="DF98" s="243"/>
      <c r="DG98" s="243"/>
      <c r="DH98" s="243"/>
      <c r="DI98" s="243"/>
      <c r="DJ98" s="243"/>
      <c r="DK98" s="243"/>
      <c r="DL98" s="243"/>
      <c r="DM98" s="242"/>
      <c r="DN98" s="242"/>
      <c r="DO98" s="242"/>
      <c r="DP98" s="242"/>
      <c r="DQ98" s="242"/>
      <c r="DR98" s="242"/>
      <c r="DS98" s="242"/>
      <c r="DT98" s="243"/>
      <c r="DU98" s="243"/>
      <c r="DV98" s="243"/>
      <c r="DW98" s="243"/>
      <c r="DX98" s="243"/>
      <c r="DY98" s="243"/>
      <c r="DZ98" s="243"/>
      <c r="EA98" s="242"/>
      <c r="EB98" s="242"/>
      <c r="EC98" s="242"/>
      <c r="ED98" s="242"/>
      <c r="EE98" s="242"/>
      <c r="EF98" s="242"/>
      <c r="EG98" s="242"/>
      <c r="EH98" s="243"/>
      <c r="EI98" s="243"/>
      <c r="EJ98" s="243"/>
      <c r="EK98" s="243"/>
      <c r="EL98" s="243"/>
      <c r="EM98" s="243"/>
      <c r="EN98" s="243"/>
      <c r="EO98" s="242"/>
      <c r="EP98" s="242"/>
      <c r="EQ98" s="242"/>
      <c r="ER98" s="242"/>
      <c r="ES98" s="242"/>
      <c r="ET98" s="242"/>
      <c r="EU98" s="242"/>
      <c r="EV98" s="243"/>
      <c r="EW98" s="243"/>
      <c r="EX98" s="243"/>
      <c r="EY98" s="243"/>
      <c r="EZ98" s="243"/>
      <c r="FA98" s="243"/>
      <c r="FB98" s="243"/>
      <c r="FC98" s="242"/>
      <c r="FD98" s="242"/>
      <c r="FE98" s="242"/>
      <c r="FF98" s="242"/>
      <c r="FG98" s="242"/>
      <c r="FH98" s="242"/>
      <c r="FI98" s="242"/>
      <c r="FJ98" s="243"/>
      <c r="FK98" s="243"/>
      <c r="FL98" s="243"/>
      <c r="FM98" s="243"/>
      <c r="FN98" s="243"/>
      <c r="FO98" s="243"/>
      <c r="FP98" s="243"/>
      <c r="FQ98" s="242"/>
      <c r="FR98" s="242"/>
      <c r="FS98" s="242"/>
      <c r="FT98" s="242"/>
      <c r="FU98" s="242"/>
      <c r="FV98" s="242"/>
      <c r="FW98" s="242"/>
      <c r="FX98" s="243"/>
      <c r="FY98" s="243"/>
      <c r="FZ98" s="243"/>
      <c r="GA98" s="243"/>
      <c r="GB98" s="243"/>
      <c r="GC98" s="243"/>
      <c r="GD98" s="243"/>
      <c r="GE98" s="242"/>
      <c r="GF98" s="242"/>
      <c r="GG98" s="242"/>
      <c r="GH98" s="242"/>
      <c r="GI98" s="242"/>
      <c r="GJ98" s="242"/>
      <c r="GK98" s="242"/>
      <c r="GL98" s="243"/>
      <c r="GM98" s="243"/>
      <c r="GN98" s="243"/>
      <c r="GO98" s="243"/>
      <c r="GP98" s="243"/>
      <c r="GQ98" s="243"/>
      <c r="GR98" s="243"/>
      <c r="GS98" s="242"/>
      <c r="GT98" s="242"/>
      <c r="GU98" s="242"/>
      <c r="GV98" s="242"/>
      <c r="GW98" s="242"/>
      <c r="GX98" s="242"/>
      <c r="GY98" s="242"/>
      <c r="GZ98" s="243"/>
      <c r="HA98" s="243"/>
      <c r="HB98" s="243"/>
      <c r="HC98" s="243"/>
      <c r="HD98" s="243"/>
      <c r="HE98" s="243"/>
      <c r="HF98" s="243"/>
      <c r="HG98" s="242"/>
      <c r="HH98" s="242"/>
      <c r="HI98" s="242"/>
      <c r="HJ98" s="242"/>
      <c r="HK98" s="242"/>
      <c r="HL98" s="242"/>
      <c r="HM98" s="242"/>
      <c r="HN98" s="243"/>
      <c r="HO98" s="243"/>
      <c r="HP98" s="243"/>
      <c r="HQ98" s="243"/>
      <c r="HR98" s="243"/>
      <c r="HS98" s="243"/>
      <c r="HT98" s="243"/>
      <c r="HU98" s="242"/>
      <c r="HV98" s="242"/>
      <c r="HW98" s="242"/>
      <c r="HX98" s="242"/>
      <c r="HY98" s="242"/>
      <c r="HZ98" s="242"/>
      <c r="IA98" s="242"/>
      <c r="IB98" s="243"/>
      <c r="IC98" s="243"/>
      <c r="ID98" s="243"/>
      <c r="IE98" s="243"/>
      <c r="IF98" s="243"/>
      <c r="IG98" s="243"/>
      <c r="IH98" s="243"/>
      <c r="II98" s="242"/>
      <c r="IJ98" s="242"/>
      <c r="IK98" s="242"/>
      <c r="IL98" s="242"/>
      <c r="IM98" s="242"/>
      <c r="IN98" s="242"/>
      <c r="IO98" s="242"/>
      <c r="IP98" s="243"/>
      <c r="IQ98" s="243"/>
      <c r="IR98" s="243"/>
      <c r="IS98" s="243"/>
      <c r="IT98" s="243"/>
      <c r="IU98" s="243"/>
      <c r="IV98" s="243"/>
      <c r="IW98" s="242"/>
      <c r="IX98" s="242"/>
      <c r="IY98" s="242"/>
      <c r="IZ98" s="242"/>
      <c r="JA98" s="242"/>
      <c r="JB98" s="242"/>
      <c r="JC98" s="242"/>
      <c r="JD98" s="243"/>
      <c r="JE98" s="243"/>
      <c r="JF98" s="243"/>
      <c r="JG98" s="243"/>
      <c r="JH98" s="243"/>
      <c r="JI98" s="243"/>
      <c r="JJ98" s="243"/>
      <c r="JK98" s="242"/>
      <c r="JL98" s="242"/>
      <c r="JM98" s="242"/>
      <c r="JN98" s="242"/>
      <c r="JO98" s="242"/>
      <c r="JP98" s="242"/>
      <c r="JQ98" s="242"/>
      <c r="JR98" s="243"/>
      <c r="JS98" s="243"/>
      <c r="JT98" s="243"/>
      <c r="JU98" s="243"/>
      <c r="JV98" s="243">
        <v>12</v>
      </c>
      <c r="JW98" s="243">
        <v>24</v>
      </c>
      <c r="JX98" s="243">
        <v>24</v>
      </c>
      <c r="JY98" s="242">
        <v>24</v>
      </c>
      <c r="JZ98" s="242">
        <v>24</v>
      </c>
      <c r="KA98" s="242">
        <v>24</v>
      </c>
      <c r="KB98" s="242">
        <v>24</v>
      </c>
      <c r="KC98" s="242">
        <v>24</v>
      </c>
      <c r="KD98" s="242">
        <v>24</v>
      </c>
      <c r="KE98" s="242">
        <v>24</v>
      </c>
      <c r="KF98" s="243">
        <v>12</v>
      </c>
      <c r="KG98" s="243"/>
      <c r="KH98" s="243"/>
      <c r="KI98" s="243"/>
      <c r="KJ98" s="243"/>
      <c r="KK98" s="243"/>
      <c r="KL98" s="243"/>
      <c r="KM98" s="242"/>
      <c r="KN98" s="242"/>
      <c r="KO98" s="242"/>
      <c r="KP98" s="242"/>
      <c r="KQ98" s="242"/>
      <c r="KR98" s="242"/>
      <c r="KS98" s="242"/>
      <c r="KT98" s="243"/>
      <c r="KU98" s="243"/>
      <c r="KV98" s="243"/>
      <c r="KW98" s="243"/>
      <c r="KX98" s="243"/>
      <c r="KY98" s="243"/>
      <c r="KZ98" s="243"/>
      <c r="LA98" s="242"/>
      <c r="LB98" s="242"/>
      <c r="LC98" s="242"/>
      <c r="LD98" s="242"/>
      <c r="LE98" s="242"/>
      <c r="LF98" s="242"/>
      <c r="LG98" s="242"/>
      <c r="LH98" s="243"/>
      <c r="LI98" s="243"/>
      <c r="LJ98" s="243"/>
      <c r="LK98" s="243"/>
      <c r="LL98" s="243"/>
      <c r="LM98" s="243"/>
      <c r="LN98" s="243"/>
      <c r="LO98" s="242"/>
      <c r="LP98" s="242"/>
      <c r="LQ98" s="242"/>
      <c r="LR98" s="242"/>
      <c r="LS98" s="242"/>
      <c r="LT98" s="242"/>
      <c r="LU98" s="242"/>
      <c r="LV98" s="243"/>
      <c r="LW98" s="243"/>
      <c r="LX98" s="243"/>
      <c r="LY98" s="243"/>
      <c r="LZ98" s="243"/>
      <c r="MA98" s="243"/>
      <c r="MB98" s="243"/>
      <c r="MC98" s="242"/>
      <c r="MD98" s="242"/>
      <c r="ME98" s="242"/>
      <c r="MF98" s="242"/>
      <c r="MG98" s="242"/>
      <c r="MH98" s="242"/>
      <c r="MI98" s="242"/>
      <c r="MJ98" s="243"/>
      <c r="MK98" s="243"/>
      <c r="ML98" s="243"/>
      <c r="MM98" s="243"/>
      <c r="MN98" s="243"/>
      <c r="MO98" s="243"/>
      <c r="MP98" s="243"/>
      <c r="MQ98" s="242"/>
      <c r="MR98" s="242"/>
      <c r="MS98" s="242"/>
      <c r="MT98" s="242"/>
      <c r="MU98" s="242"/>
      <c r="MV98" s="242"/>
      <c r="MW98" s="242"/>
      <c r="MX98" s="243"/>
      <c r="MY98" s="243"/>
      <c r="MZ98" s="243"/>
      <c r="NA98" s="243"/>
      <c r="NB98" s="243"/>
      <c r="NC98" s="243"/>
      <c r="ND98" s="243"/>
      <c r="NE98" s="242"/>
      <c r="NF98" s="242"/>
      <c r="NG98" s="242"/>
      <c r="NH98" s="243" t="s">
        <v>1260</v>
      </c>
    </row>
    <row r="99" spans="1:372">
      <c r="A99" s="254" t="s">
        <v>979</v>
      </c>
      <c r="B99" s="239" t="s">
        <v>254</v>
      </c>
      <c r="C99" s="240" t="s">
        <v>675</v>
      </c>
      <c r="D99" s="240" t="s">
        <v>982</v>
      </c>
      <c r="E99" s="241">
        <v>474.04777777138435</v>
      </c>
      <c r="F99" s="252">
        <v>0</v>
      </c>
      <c r="G99" s="242"/>
      <c r="H99" s="242"/>
      <c r="I99" s="242"/>
      <c r="J99" s="242"/>
      <c r="K99" s="242"/>
      <c r="L99" s="243"/>
      <c r="M99" s="243"/>
      <c r="N99" s="243"/>
      <c r="O99" s="243"/>
      <c r="P99" s="243"/>
      <c r="Q99" s="243"/>
      <c r="R99" s="243"/>
      <c r="S99" s="242"/>
      <c r="T99" s="242"/>
      <c r="U99" s="242"/>
      <c r="V99" s="242"/>
      <c r="W99" s="242"/>
      <c r="X99" s="242"/>
      <c r="Y99" s="242"/>
      <c r="Z99" s="243"/>
      <c r="AA99" s="243"/>
      <c r="AB99" s="243"/>
      <c r="AC99" s="243"/>
      <c r="AD99" s="243"/>
      <c r="AE99" s="243"/>
      <c r="AF99" s="243"/>
      <c r="AG99" s="242"/>
      <c r="AH99" s="242"/>
      <c r="AI99" s="242"/>
      <c r="AJ99" s="242"/>
      <c r="AK99" s="242"/>
      <c r="AL99" s="242"/>
      <c r="AM99" s="242"/>
      <c r="AN99" s="243"/>
      <c r="AO99" s="243"/>
      <c r="AP99" s="243"/>
      <c r="AQ99" s="243"/>
      <c r="AR99" s="243"/>
      <c r="AS99" s="243"/>
      <c r="AT99" s="243"/>
      <c r="AU99" s="242"/>
      <c r="AV99" s="242"/>
      <c r="AW99" s="242"/>
      <c r="AX99" s="242"/>
      <c r="AY99" s="242"/>
      <c r="AZ99" s="242"/>
      <c r="BA99" s="242"/>
      <c r="BB99" s="243"/>
      <c r="BC99" s="243"/>
      <c r="BD99" s="243"/>
      <c r="BE99" s="243"/>
      <c r="BF99" s="243"/>
      <c r="BG99" s="243"/>
      <c r="BH99" s="243"/>
      <c r="BI99" s="242"/>
      <c r="BJ99" s="242"/>
      <c r="BK99" s="242"/>
      <c r="BL99" s="242"/>
      <c r="BM99" s="242"/>
      <c r="BN99" s="242"/>
      <c r="BO99" s="242"/>
      <c r="BP99" s="243"/>
      <c r="BQ99" s="243"/>
      <c r="BR99" s="243"/>
      <c r="BS99" s="243"/>
      <c r="BT99" s="243"/>
      <c r="BU99" s="243"/>
      <c r="BV99" s="243"/>
      <c r="BW99" s="242"/>
      <c r="BX99" s="242"/>
      <c r="BY99" s="242"/>
      <c r="BZ99" s="242"/>
      <c r="CA99" s="242"/>
      <c r="CB99" s="242"/>
      <c r="CC99" s="242"/>
      <c r="CD99" s="243"/>
      <c r="CE99" s="243"/>
      <c r="CF99" s="243"/>
      <c r="CG99" s="243"/>
      <c r="CH99" s="243"/>
      <c r="CI99" s="243"/>
      <c r="CJ99" s="243"/>
      <c r="CK99" s="242"/>
      <c r="CL99" s="242"/>
      <c r="CM99" s="242"/>
      <c r="CN99" s="242"/>
      <c r="CO99" s="242"/>
      <c r="CP99" s="242"/>
      <c r="CQ99" s="242"/>
      <c r="CR99" s="243"/>
      <c r="CS99" s="243"/>
      <c r="CT99" s="243"/>
      <c r="CU99" s="243"/>
      <c r="CV99" s="243"/>
      <c r="CW99" s="243"/>
      <c r="CX99" s="243"/>
      <c r="CY99" s="242"/>
      <c r="CZ99" s="242"/>
      <c r="DA99" s="242"/>
      <c r="DB99" s="242"/>
      <c r="DC99" s="242"/>
      <c r="DD99" s="242"/>
      <c r="DE99" s="242"/>
      <c r="DF99" s="243"/>
      <c r="DG99" s="243"/>
      <c r="DH99" s="243"/>
      <c r="DI99" s="243"/>
      <c r="DJ99" s="243"/>
      <c r="DK99" s="243"/>
      <c r="DL99" s="243"/>
      <c r="DM99" s="242"/>
      <c r="DN99" s="242"/>
      <c r="DO99" s="242"/>
      <c r="DP99" s="242"/>
      <c r="DQ99" s="242"/>
      <c r="DR99" s="242"/>
      <c r="DS99" s="242"/>
      <c r="DT99" s="243"/>
      <c r="DU99" s="243"/>
      <c r="DV99" s="243"/>
      <c r="DW99" s="243"/>
      <c r="DX99" s="243"/>
      <c r="DY99" s="243"/>
      <c r="DZ99" s="243"/>
      <c r="EA99" s="242"/>
      <c r="EB99" s="242"/>
      <c r="EC99" s="242"/>
      <c r="ED99" s="242"/>
      <c r="EE99" s="242"/>
      <c r="EF99" s="242"/>
      <c r="EG99" s="242"/>
      <c r="EH99" s="243"/>
      <c r="EI99" s="243"/>
      <c r="EJ99" s="243"/>
      <c r="EK99" s="243"/>
      <c r="EL99" s="243"/>
      <c r="EM99" s="243"/>
      <c r="EN99" s="243"/>
      <c r="EO99" s="242"/>
      <c r="EP99" s="242"/>
      <c r="EQ99" s="242"/>
      <c r="ER99" s="242"/>
      <c r="ES99" s="242"/>
      <c r="ET99" s="242"/>
      <c r="EU99" s="242"/>
      <c r="EV99" s="243"/>
      <c r="EW99" s="243"/>
      <c r="EX99" s="243"/>
      <c r="EY99" s="243"/>
      <c r="EZ99" s="243"/>
      <c r="FA99" s="243"/>
      <c r="FB99" s="243"/>
      <c r="FC99" s="242"/>
      <c r="FD99" s="242"/>
      <c r="FE99" s="242"/>
      <c r="FF99" s="242"/>
      <c r="FG99" s="242"/>
      <c r="FH99" s="242"/>
      <c r="FI99" s="242"/>
      <c r="FJ99" s="243"/>
      <c r="FK99" s="243"/>
      <c r="FL99" s="243"/>
      <c r="FM99" s="243"/>
      <c r="FN99" s="243"/>
      <c r="FO99" s="243"/>
      <c r="FP99" s="243"/>
      <c r="FQ99" s="242"/>
      <c r="FR99" s="242"/>
      <c r="FS99" s="242"/>
      <c r="FT99" s="242"/>
      <c r="FU99" s="242"/>
      <c r="FV99" s="242"/>
      <c r="FW99" s="242"/>
      <c r="FX99" s="243"/>
      <c r="FY99" s="243"/>
      <c r="FZ99" s="243"/>
      <c r="GA99" s="243"/>
      <c r="GB99" s="243"/>
      <c r="GC99" s="243"/>
      <c r="GD99" s="243"/>
      <c r="GE99" s="242"/>
      <c r="GF99" s="242"/>
      <c r="GG99" s="242"/>
      <c r="GH99" s="242"/>
      <c r="GI99" s="242"/>
      <c r="GJ99" s="242"/>
      <c r="GK99" s="242"/>
      <c r="GL99" s="243"/>
      <c r="GM99" s="243"/>
      <c r="GN99" s="243"/>
      <c r="GO99" s="243"/>
      <c r="GP99" s="243"/>
      <c r="GQ99" s="243"/>
      <c r="GR99" s="243"/>
      <c r="GS99" s="242"/>
      <c r="GT99" s="242"/>
      <c r="GU99" s="242"/>
      <c r="GV99" s="242"/>
      <c r="GW99" s="242"/>
      <c r="GX99" s="242"/>
      <c r="GY99" s="242"/>
      <c r="GZ99" s="243"/>
      <c r="HA99" s="243"/>
      <c r="HB99" s="243"/>
      <c r="HC99" s="243"/>
      <c r="HD99" s="243"/>
      <c r="HE99" s="243"/>
      <c r="HF99" s="243"/>
      <c r="HG99" s="242"/>
      <c r="HH99" s="242"/>
      <c r="HI99" s="242"/>
      <c r="HJ99" s="242"/>
      <c r="HK99" s="242"/>
      <c r="HL99" s="242"/>
      <c r="HM99" s="242"/>
      <c r="HN99" s="243"/>
      <c r="HO99" s="243"/>
      <c r="HP99" s="243"/>
      <c r="HQ99" s="243"/>
      <c r="HR99" s="243"/>
      <c r="HS99" s="243"/>
      <c r="HT99" s="243"/>
      <c r="HU99" s="242"/>
      <c r="HV99" s="242"/>
      <c r="HW99" s="242"/>
      <c r="HX99" s="242"/>
      <c r="HY99" s="242"/>
      <c r="HZ99" s="242"/>
      <c r="IA99" s="242"/>
      <c r="IB99" s="243"/>
      <c r="IC99" s="243"/>
      <c r="ID99" s="243"/>
      <c r="IE99" s="243"/>
      <c r="IF99" s="243"/>
      <c r="IG99" s="243"/>
      <c r="IH99" s="243"/>
      <c r="II99" s="242"/>
      <c r="IJ99" s="242"/>
      <c r="IK99" s="242"/>
      <c r="IL99" s="242"/>
      <c r="IM99" s="242"/>
      <c r="IN99" s="242"/>
      <c r="IO99" s="242"/>
      <c r="IP99" s="243"/>
      <c r="IQ99" s="243"/>
      <c r="IR99" s="243"/>
      <c r="IS99" s="243"/>
      <c r="IT99" s="243"/>
      <c r="IU99" s="243"/>
      <c r="IV99" s="243"/>
      <c r="IW99" s="242"/>
      <c r="IX99" s="242"/>
      <c r="IY99" s="242"/>
      <c r="IZ99" s="242"/>
      <c r="JA99" s="242"/>
      <c r="JB99" s="242"/>
      <c r="JC99" s="242"/>
      <c r="JD99" s="243"/>
      <c r="JE99" s="243"/>
      <c r="JF99" s="243"/>
      <c r="JG99" s="243"/>
      <c r="JH99" s="243"/>
      <c r="JI99" s="243"/>
      <c r="JJ99" s="243"/>
      <c r="JK99" s="242"/>
      <c r="JL99" s="242"/>
      <c r="JM99" s="242"/>
      <c r="JN99" s="242"/>
      <c r="JO99" s="242"/>
      <c r="JP99" s="242"/>
      <c r="JQ99" s="242"/>
      <c r="JR99" s="243"/>
      <c r="JS99" s="243"/>
      <c r="JT99" s="243"/>
      <c r="JU99" s="243"/>
      <c r="JV99" s="243"/>
      <c r="JW99" s="243"/>
      <c r="JX99" s="243"/>
      <c r="JY99" s="242"/>
      <c r="JZ99" s="242"/>
      <c r="KA99" s="242"/>
      <c r="KB99" s="242"/>
      <c r="KC99" s="242"/>
      <c r="KD99" s="242"/>
      <c r="KE99" s="242"/>
      <c r="KF99" s="243"/>
      <c r="KG99" s="243"/>
      <c r="KH99" s="243"/>
      <c r="KI99" s="243"/>
      <c r="KJ99" s="243"/>
      <c r="KK99" s="243"/>
      <c r="KL99" s="243"/>
      <c r="KM99" s="242"/>
      <c r="KN99" s="242"/>
      <c r="KO99" s="242"/>
      <c r="KP99" s="242"/>
      <c r="KQ99" s="242"/>
      <c r="KR99" s="242"/>
      <c r="KS99" s="242"/>
      <c r="KT99" s="243"/>
      <c r="KU99" s="243"/>
      <c r="KV99" s="243"/>
      <c r="KW99" s="243"/>
      <c r="KX99" s="243"/>
      <c r="KY99" s="243"/>
      <c r="KZ99" s="243"/>
      <c r="LA99" s="242"/>
      <c r="LB99" s="242"/>
      <c r="LC99" s="242"/>
      <c r="LD99" s="242"/>
      <c r="LE99" s="242"/>
      <c r="LF99" s="242"/>
      <c r="LG99" s="242"/>
      <c r="LH99" s="243"/>
      <c r="LI99" s="243"/>
      <c r="LJ99" s="243"/>
      <c r="LK99" s="243"/>
      <c r="LL99" s="243"/>
      <c r="LM99" s="243"/>
      <c r="LN99" s="243"/>
      <c r="LO99" s="242"/>
      <c r="LP99" s="242"/>
      <c r="LQ99" s="242"/>
      <c r="LR99" s="242"/>
      <c r="LS99" s="242"/>
      <c r="LT99" s="242"/>
      <c r="LU99" s="242"/>
      <c r="LV99" s="243"/>
      <c r="LW99" s="243"/>
      <c r="LX99" s="243"/>
      <c r="LY99" s="243"/>
      <c r="LZ99" s="243"/>
      <c r="MA99" s="243"/>
      <c r="MB99" s="243"/>
      <c r="MC99" s="242"/>
      <c r="MD99" s="242"/>
      <c r="ME99" s="242"/>
      <c r="MF99" s="242"/>
      <c r="MG99" s="242"/>
      <c r="MH99" s="242"/>
      <c r="MI99" s="242"/>
      <c r="MJ99" s="243"/>
      <c r="MK99" s="243"/>
      <c r="ML99" s="243"/>
      <c r="MM99" s="243"/>
      <c r="MN99" s="243"/>
      <c r="MO99" s="243"/>
      <c r="MP99" s="243"/>
      <c r="MQ99" s="242"/>
      <c r="MR99" s="242"/>
      <c r="MS99" s="242"/>
      <c r="MT99" s="242"/>
      <c r="MU99" s="242"/>
      <c r="MV99" s="242"/>
      <c r="MW99" s="242"/>
      <c r="MX99" s="243"/>
      <c r="MY99" s="243"/>
      <c r="MZ99" s="243"/>
      <c r="NA99" s="243"/>
      <c r="NB99" s="243"/>
      <c r="NC99" s="243"/>
      <c r="ND99" s="243"/>
      <c r="NE99" s="242"/>
      <c r="NF99" s="242"/>
      <c r="NG99" s="242"/>
      <c r="NH99" s="243" t="s">
        <v>1151</v>
      </c>
    </row>
    <row r="100" spans="1:372" ht="14.25">
      <c r="A100" s="254" t="s">
        <v>980</v>
      </c>
      <c r="B100" s="239" t="s">
        <v>80</v>
      </c>
      <c r="C100" s="240" t="s">
        <v>675</v>
      </c>
      <c r="D100" s="240" t="s">
        <v>982</v>
      </c>
      <c r="E100" s="241">
        <v>235.1999999997648</v>
      </c>
      <c r="F100" s="252">
        <v>768</v>
      </c>
      <c r="G100" s="242"/>
      <c r="H100" s="242"/>
      <c r="I100" s="242"/>
      <c r="J100" s="242"/>
      <c r="K100" s="242"/>
      <c r="L100" s="243"/>
      <c r="M100" s="243"/>
      <c r="N100" s="243"/>
      <c r="O100" s="243"/>
      <c r="P100" s="243"/>
      <c r="Q100" s="243"/>
      <c r="R100" s="243"/>
      <c r="S100" s="242"/>
      <c r="T100" s="242"/>
      <c r="U100" s="242"/>
      <c r="V100" s="242"/>
      <c r="W100" s="242"/>
      <c r="X100" s="242"/>
      <c r="Y100" s="242"/>
      <c r="Z100" s="243"/>
      <c r="AA100" s="243"/>
      <c r="AB100" s="243"/>
      <c r="AC100" s="243"/>
      <c r="AD100" s="243"/>
      <c r="AE100" s="243"/>
      <c r="AF100" s="243"/>
      <c r="AG100" s="242"/>
      <c r="AH100" s="242"/>
      <c r="AI100" s="242"/>
      <c r="AJ100" s="242"/>
      <c r="AK100" s="242"/>
      <c r="AL100" s="242"/>
      <c r="AM100" s="242"/>
      <c r="AN100" s="243"/>
      <c r="AO100" s="243"/>
      <c r="AP100" s="243"/>
      <c r="AQ100" s="243"/>
      <c r="AR100" s="243"/>
      <c r="AS100" s="243"/>
      <c r="AT100" s="243"/>
      <c r="AU100" s="242"/>
      <c r="AV100" s="242"/>
      <c r="AW100" s="242"/>
      <c r="AX100" s="242"/>
      <c r="AY100" s="242"/>
      <c r="AZ100" s="242"/>
      <c r="BA100" s="242"/>
      <c r="BB100" s="243"/>
      <c r="BC100" s="243"/>
      <c r="BD100" s="243"/>
      <c r="BE100" s="243"/>
      <c r="BF100" s="243"/>
      <c r="BG100" s="243"/>
      <c r="BH100" s="243"/>
      <c r="BI100" s="242"/>
      <c r="BJ100" s="242"/>
      <c r="BK100" s="242"/>
      <c r="BL100" s="242"/>
      <c r="BM100" s="242"/>
      <c r="BN100" s="242"/>
      <c r="BO100" s="242"/>
      <c r="BP100" s="243"/>
      <c r="BQ100" s="243"/>
      <c r="BR100" s="243"/>
      <c r="BS100" s="243"/>
      <c r="BT100" s="243"/>
      <c r="BU100" s="243"/>
      <c r="BV100" s="243"/>
      <c r="BW100" s="242"/>
      <c r="BX100" s="242"/>
      <c r="BY100" s="242"/>
      <c r="BZ100" s="242"/>
      <c r="CA100" s="242">
        <v>24</v>
      </c>
      <c r="CB100" s="242">
        <v>24</v>
      </c>
      <c r="CC100" s="242">
        <v>24</v>
      </c>
      <c r="CD100" s="243">
        <v>24</v>
      </c>
      <c r="CE100" s="243">
        <v>24</v>
      </c>
      <c r="CF100" s="243">
        <v>24</v>
      </c>
      <c r="CG100" s="243">
        <v>24</v>
      </c>
      <c r="CH100" s="243">
        <v>24</v>
      </c>
      <c r="CI100" s="243">
        <v>24</v>
      </c>
      <c r="CJ100" s="243">
        <v>24</v>
      </c>
      <c r="CK100" s="242">
        <v>24</v>
      </c>
      <c r="CL100" s="242">
        <v>24</v>
      </c>
      <c r="CM100" s="242">
        <v>24</v>
      </c>
      <c r="CN100" s="242">
        <v>24</v>
      </c>
      <c r="CO100" s="242">
        <v>24</v>
      </c>
      <c r="CP100" s="242">
        <v>24</v>
      </c>
      <c r="CQ100" s="242">
        <v>24</v>
      </c>
      <c r="CR100" s="243">
        <v>24</v>
      </c>
      <c r="CS100" s="243">
        <v>24</v>
      </c>
      <c r="CT100" s="243">
        <v>24</v>
      </c>
      <c r="CU100" s="243">
        <v>24</v>
      </c>
      <c r="CV100" s="243">
        <v>24</v>
      </c>
      <c r="CW100" s="243">
        <v>24</v>
      </c>
      <c r="CX100" s="243">
        <v>24</v>
      </c>
      <c r="CY100" s="242">
        <v>24</v>
      </c>
      <c r="CZ100" s="242">
        <v>24</v>
      </c>
      <c r="DA100" s="242">
        <v>24</v>
      </c>
      <c r="DB100" s="242">
        <v>24</v>
      </c>
      <c r="DC100" s="242">
        <v>24</v>
      </c>
      <c r="DD100" s="242">
        <v>24</v>
      </c>
      <c r="DE100" s="242">
        <v>24</v>
      </c>
      <c r="DF100" s="243">
        <v>24</v>
      </c>
      <c r="DG100" s="243"/>
      <c r="DH100" s="243"/>
      <c r="DI100" s="243"/>
      <c r="DJ100" s="243"/>
      <c r="DK100" s="243"/>
      <c r="DL100" s="243"/>
      <c r="DM100" s="242"/>
      <c r="DN100" s="242"/>
      <c r="DO100" s="242"/>
      <c r="DP100" s="242"/>
      <c r="DQ100" s="242"/>
      <c r="DR100" s="242"/>
      <c r="DS100" s="242"/>
      <c r="DT100" s="243"/>
      <c r="DU100" s="243"/>
      <c r="DV100" s="243"/>
      <c r="DW100" s="243"/>
      <c r="DX100" s="243"/>
      <c r="DY100" s="243"/>
      <c r="DZ100" s="243"/>
      <c r="EA100" s="242"/>
      <c r="EB100" s="242"/>
      <c r="EC100" s="242"/>
      <c r="ED100" s="242"/>
      <c r="EE100" s="242"/>
      <c r="EF100" s="242"/>
      <c r="EG100" s="242"/>
      <c r="EH100" s="243"/>
      <c r="EI100" s="243"/>
      <c r="EJ100" s="243"/>
      <c r="EK100" s="243"/>
      <c r="EL100" s="243"/>
      <c r="EM100" s="243"/>
      <c r="EN100" s="243"/>
      <c r="EO100" s="242"/>
      <c r="EP100" s="242"/>
      <c r="EQ100" s="242"/>
      <c r="ER100" s="242"/>
      <c r="ES100" s="242"/>
      <c r="ET100" s="242"/>
      <c r="EU100" s="242"/>
      <c r="EV100" s="243"/>
      <c r="EW100" s="243"/>
      <c r="EX100" s="243"/>
      <c r="EY100" s="243"/>
      <c r="EZ100" s="243"/>
      <c r="FA100" s="243"/>
      <c r="FB100" s="243"/>
      <c r="FC100" s="242"/>
      <c r="FD100" s="242"/>
      <c r="FE100" s="242"/>
      <c r="FF100" s="242"/>
      <c r="FG100" s="242"/>
      <c r="FH100" s="242"/>
      <c r="FI100" s="242"/>
      <c r="FJ100" s="243"/>
      <c r="FK100" s="243"/>
      <c r="FL100" s="243"/>
      <c r="FM100" s="243"/>
      <c r="FN100" s="243"/>
      <c r="FO100" s="243"/>
      <c r="FP100" s="243"/>
      <c r="FQ100" s="242"/>
      <c r="FR100" s="242"/>
      <c r="FS100" s="242"/>
      <c r="FT100" s="242"/>
      <c r="FU100" s="242"/>
      <c r="FV100" s="242"/>
      <c r="FW100" s="242"/>
      <c r="FX100" s="243"/>
      <c r="FY100" s="243"/>
      <c r="FZ100" s="243"/>
      <c r="GA100" s="243"/>
      <c r="GB100" s="243"/>
      <c r="GC100" s="243"/>
      <c r="GD100" s="243"/>
      <c r="GE100" s="242"/>
      <c r="GF100" s="242"/>
      <c r="GG100" s="242"/>
      <c r="GH100" s="242"/>
      <c r="GI100" s="242"/>
      <c r="GJ100" s="242"/>
      <c r="GK100" s="242"/>
      <c r="GL100" s="243"/>
      <c r="GM100" s="243"/>
      <c r="GN100" s="243"/>
      <c r="GO100" s="243"/>
      <c r="GP100" s="243"/>
      <c r="GQ100" s="243"/>
      <c r="GR100" s="243"/>
      <c r="GS100" s="242"/>
      <c r="GT100" s="242"/>
      <c r="GU100" s="242"/>
      <c r="GV100" s="242"/>
      <c r="GW100" s="242"/>
      <c r="GX100" s="242"/>
      <c r="GY100" s="242"/>
      <c r="GZ100" s="243"/>
      <c r="HA100" s="243"/>
      <c r="HB100" s="243"/>
      <c r="HC100" s="243"/>
      <c r="HD100" s="243"/>
      <c r="HE100" s="243"/>
      <c r="HF100" s="243"/>
      <c r="HG100" s="242"/>
      <c r="HH100" s="242"/>
      <c r="HI100" s="242"/>
      <c r="HJ100" s="242"/>
      <c r="HK100" s="242"/>
      <c r="HL100" s="242"/>
      <c r="HM100" s="242"/>
      <c r="HN100" s="243"/>
      <c r="HO100" s="243"/>
      <c r="HP100" s="243"/>
      <c r="HQ100" s="243"/>
      <c r="HR100" s="243"/>
      <c r="HS100" s="243"/>
      <c r="HT100" s="243"/>
      <c r="HU100" s="242"/>
      <c r="HV100" s="242"/>
      <c r="HW100" s="242"/>
      <c r="HX100" s="242"/>
      <c r="HY100" s="242"/>
      <c r="HZ100" s="242"/>
      <c r="IA100" s="242"/>
      <c r="IB100" s="243"/>
      <c r="IC100" s="243"/>
      <c r="ID100" s="243"/>
      <c r="IE100" s="243"/>
      <c r="IF100" s="243"/>
      <c r="IG100" s="243"/>
      <c r="IH100" s="243"/>
      <c r="II100" s="242"/>
      <c r="IJ100" s="242"/>
      <c r="IK100" s="242"/>
      <c r="IL100" s="242"/>
      <c r="IM100" s="242"/>
      <c r="IN100" s="242"/>
      <c r="IO100" s="242"/>
      <c r="IP100" s="243"/>
      <c r="IQ100" s="243"/>
      <c r="IR100" s="243"/>
      <c r="IS100" s="243"/>
      <c r="IT100" s="243"/>
      <c r="IU100" s="243"/>
      <c r="IV100" s="243"/>
      <c r="IW100" s="242"/>
      <c r="IX100" s="242"/>
      <c r="IY100" s="242"/>
      <c r="IZ100" s="242"/>
      <c r="JA100" s="242"/>
      <c r="JB100" s="242"/>
      <c r="JC100" s="242"/>
      <c r="JD100" s="243"/>
      <c r="JE100" s="243"/>
      <c r="JF100" s="243"/>
      <c r="JG100" s="243"/>
      <c r="JH100" s="243"/>
      <c r="JI100" s="243"/>
      <c r="JJ100" s="243"/>
      <c r="JK100" s="242"/>
      <c r="JL100" s="242"/>
      <c r="JM100" s="242"/>
      <c r="JN100" s="242"/>
      <c r="JO100" s="242"/>
      <c r="JP100" s="242"/>
      <c r="JQ100" s="242"/>
      <c r="JR100" s="243"/>
      <c r="JS100" s="243"/>
      <c r="JT100" s="243"/>
      <c r="JU100" s="243"/>
      <c r="JV100" s="243"/>
      <c r="JW100" s="243"/>
      <c r="JX100" s="243"/>
      <c r="JY100" s="242"/>
      <c r="JZ100" s="242"/>
      <c r="KA100" s="242"/>
      <c r="KB100" s="242"/>
      <c r="KC100" s="242"/>
      <c r="KD100" s="242"/>
      <c r="KE100" s="242"/>
      <c r="KF100" s="243"/>
      <c r="KG100" s="243"/>
      <c r="KH100" s="243"/>
      <c r="KI100" s="243"/>
      <c r="KJ100" s="243"/>
      <c r="KK100" s="243"/>
      <c r="KL100" s="243"/>
      <c r="KM100" s="242"/>
      <c r="KN100" s="242"/>
      <c r="KO100" s="242"/>
      <c r="KP100" s="242"/>
      <c r="KQ100" s="242"/>
      <c r="KR100" s="242"/>
      <c r="KS100" s="242"/>
      <c r="KT100" s="243"/>
      <c r="KU100" s="243"/>
      <c r="KV100" s="243"/>
      <c r="KW100" s="243"/>
      <c r="KX100" s="243"/>
      <c r="KY100" s="243"/>
      <c r="KZ100" s="243"/>
      <c r="LA100" s="242"/>
      <c r="LB100" s="242"/>
      <c r="LC100" s="242"/>
      <c r="LD100" s="242"/>
      <c r="LE100" s="242"/>
      <c r="LF100" s="242"/>
      <c r="LG100" s="242"/>
      <c r="LH100" s="243"/>
      <c r="LI100" s="243"/>
      <c r="LJ100" s="243"/>
      <c r="LK100" s="243"/>
      <c r="LL100" s="243"/>
      <c r="LM100" s="243"/>
      <c r="LN100" s="243"/>
      <c r="LO100" s="242"/>
      <c r="LP100" s="242"/>
      <c r="LQ100" s="242"/>
      <c r="LR100" s="242"/>
      <c r="LS100" s="242"/>
      <c r="LT100" s="242"/>
      <c r="LU100" s="242"/>
      <c r="LV100" s="243"/>
      <c r="LW100" s="243"/>
      <c r="LX100" s="243"/>
      <c r="LY100" s="243"/>
      <c r="LZ100" s="243"/>
      <c r="MA100" s="243"/>
      <c r="MB100" s="243"/>
      <c r="MC100" s="242"/>
      <c r="MD100" s="242"/>
      <c r="ME100" s="242"/>
      <c r="MF100" s="242"/>
      <c r="MG100" s="242"/>
      <c r="MH100" s="242"/>
      <c r="MI100" s="242"/>
      <c r="MJ100" s="243"/>
      <c r="MK100" s="243"/>
      <c r="ML100" s="243"/>
      <c r="MM100" s="243"/>
      <c r="MN100" s="243"/>
      <c r="MO100" s="243"/>
      <c r="MP100" s="243"/>
      <c r="MQ100" s="242"/>
      <c r="MR100" s="242"/>
      <c r="MS100" s="242"/>
      <c r="MT100" s="242"/>
      <c r="MU100" s="242"/>
      <c r="MV100" s="242"/>
      <c r="MW100" s="242"/>
      <c r="MX100" s="243"/>
      <c r="MY100" s="243"/>
      <c r="MZ100" s="243"/>
      <c r="NA100" s="243"/>
      <c r="NB100" s="243"/>
      <c r="NC100" s="243"/>
      <c r="ND100" s="243"/>
      <c r="NE100" s="242"/>
      <c r="NF100" s="242"/>
      <c r="NG100" s="242"/>
      <c r="NH100" s="339" t="s">
        <v>1152</v>
      </c>
    </row>
    <row r="101" spans="1:372">
      <c r="A101" s="254" t="s">
        <v>980</v>
      </c>
      <c r="B101" s="239" t="s">
        <v>981</v>
      </c>
      <c r="C101" s="240" t="s">
        <v>675</v>
      </c>
      <c r="D101" s="240" t="e">
        <v>#N/A</v>
      </c>
      <c r="E101" s="241">
        <v>0</v>
      </c>
      <c r="F101" s="252">
        <v>168</v>
      </c>
      <c r="G101" s="242"/>
      <c r="H101" s="242"/>
      <c r="I101" s="242"/>
      <c r="J101" s="242"/>
      <c r="K101" s="242"/>
      <c r="L101" s="243"/>
      <c r="M101" s="243"/>
      <c r="N101" s="243"/>
      <c r="O101" s="243"/>
      <c r="P101" s="243"/>
      <c r="Q101" s="243"/>
      <c r="R101" s="243"/>
      <c r="S101" s="242"/>
      <c r="T101" s="242"/>
      <c r="U101" s="242"/>
      <c r="V101" s="242"/>
      <c r="W101" s="242"/>
      <c r="X101" s="242"/>
      <c r="Y101" s="242"/>
      <c r="Z101" s="243"/>
      <c r="AA101" s="243"/>
      <c r="AB101" s="243"/>
      <c r="AC101" s="243"/>
      <c r="AD101" s="243"/>
      <c r="AE101" s="243"/>
      <c r="AF101" s="243"/>
      <c r="AG101" s="242"/>
      <c r="AH101" s="242"/>
      <c r="AI101" s="242"/>
      <c r="AJ101" s="242"/>
      <c r="AK101" s="242"/>
      <c r="AL101" s="242"/>
      <c r="AM101" s="242"/>
      <c r="AN101" s="243"/>
      <c r="AO101" s="243"/>
      <c r="AP101" s="243"/>
      <c r="AQ101" s="243"/>
      <c r="AR101" s="243"/>
      <c r="AS101" s="243"/>
      <c r="AT101" s="243"/>
      <c r="AU101" s="242"/>
      <c r="AV101" s="242"/>
      <c r="AW101" s="242"/>
      <c r="AX101" s="242"/>
      <c r="AY101" s="242"/>
      <c r="AZ101" s="242"/>
      <c r="BA101" s="242"/>
      <c r="BB101" s="243"/>
      <c r="BC101" s="243"/>
      <c r="BD101" s="243"/>
      <c r="BE101" s="243"/>
      <c r="BF101" s="243"/>
      <c r="BG101" s="243"/>
      <c r="BH101" s="243"/>
      <c r="BI101" s="242"/>
      <c r="BJ101" s="242"/>
      <c r="BK101" s="242"/>
      <c r="BL101" s="242"/>
      <c r="BM101" s="242"/>
      <c r="BN101" s="242"/>
      <c r="BO101" s="242"/>
      <c r="BP101" s="243"/>
      <c r="BQ101" s="243"/>
      <c r="BR101" s="243"/>
      <c r="BS101" s="243"/>
      <c r="BT101" s="243"/>
      <c r="BU101" s="243"/>
      <c r="BV101" s="243"/>
      <c r="BW101" s="242"/>
      <c r="BX101" s="242"/>
      <c r="BY101" s="242"/>
      <c r="BZ101" s="242"/>
      <c r="CA101" s="242">
        <v>24</v>
      </c>
      <c r="CB101" s="242">
        <v>24</v>
      </c>
      <c r="CC101" s="242">
        <v>24</v>
      </c>
      <c r="CD101" s="243">
        <v>24</v>
      </c>
      <c r="CE101" s="243">
        <v>24</v>
      </c>
      <c r="CF101" s="243">
        <v>24</v>
      </c>
      <c r="CG101" s="243">
        <v>24</v>
      </c>
      <c r="CH101" s="243"/>
      <c r="CI101" s="243"/>
      <c r="CJ101" s="243"/>
      <c r="CK101" s="242"/>
      <c r="CL101" s="242"/>
      <c r="CM101" s="242"/>
      <c r="CN101" s="242"/>
      <c r="CO101" s="242"/>
      <c r="CP101" s="242"/>
      <c r="CQ101" s="242"/>
      <c r="CR101" s="243"/>
      <c r="CS101" s="243"/>
      <c r="CT101" s="243"/>
      <c r="CU101" s="243"/>
      <c r="CV101" s="243"/>
      <c r="CW101" s="243"/>
      <c r="CX101" s="243"/>
      <c r="CY101" s="242"/>
      <c r="CZ101" s="242"/>
      <c r="DA101" s="242"/>
      <c r="DB101" s="242"/>
      <c r="DC101" s="242"/>
      <c r="DD101" s="242"/>
      <c r="DE101" s="242"/>
      <c r="DF101" s="243"/>
      <c r="DG101" s="243"/>
      <c r="DH101" s="243"/>
      <c r="DI101" s="243"/>
      <c r="DJ101" s="243"/>
      <c r="DK101" s="243"/>
      <c r="DL101" s="243"/>
      <c r="DM101" s="242"/>
      <c r="DN101" s="242"/>
      <c r="DO101" s="242"/>
      <c r="DP101" s="242"/>
      <c r="DQ101" s="242"/>
      <c r="DR101" s="242"/>
      <c r="DS101" s="242"/>
      <c r="DT101" s="243"/>
      <c r="DU101" s="243"/>
      <c r="DV101" s="243"/>
      <c r="DW101" s="243"/>
      <c r="DX101" s="243"/>
      <c r="DY101" s="243"/>
      <c r="DZ101" s="243"/>
      <c r="EA101" s="242"/>
      <c r="EB101" s="242"/>
      <c r="EC101" s="242"/>
      <c r="ED101" s="242"/>
      <c r="EE101" s="242"/>
      <c r="EF101" s="242"/>
      <c r="EG101" s="242"/>
      <c r="EH101" s="243"/>
      <c r="EI101" s="243"/>
      <c r="EJ101" s="243"/>
      <c r="EK101" s="243"/>
      <c r="EL101" s="243"/>
      <c r="EM101" s="243"/>
      <c r="EN101" s="243"/>
      <c r="EO101" s="242"/>
      <c r="EP101" s="242"/>
      <c r="EQ101" s="242"/>
      <c r="ER101" s="242"/>
      <c r="ES101" s="242"/>
      <c r="ET101" s="242"/>
      <c r="EU101" s="242"/>
      <c r="EV101" s="243"/>
      <c r="EW101" s="243"/>
      <c r="EX101" s="243"/>
      <c r="EY101" s="243"/>
      <c r="EZ101" s="243"/>
      <c r="FA101" s="243"/>
      <c r="FB101" s="243"/>
      <c r="FC101" s="242"/>
      <c r="FD101" s="242"/>
      <c r="FE101" s="242"/>
      <c r="FF101" s="242"/>
      <c r="FG101" s="242"/>
      <c r="FH101" s="242"/>
      <c r="FI101" s="242"/>
      <c r="FJ101" s="243"/>
      <c r="FK101" s="243"/>
      <c r="FL101" s="243"/>
      <c r="FM101" s="243"/>
      <c r="FN101" s="243"/>
      <c r="FO101" s="243"/>
      <c r="FP101" s="243"/>
      <c r="FQ101" s="242"/>
      <c r="FR101" s="242"/>
      <c r="FS101" s="242"/>
      <c r="FT101" s="242"/>
      <c r="FU101" s="242"/>
      <c r="FV101" s="242"/>
      <c r="FW101" s="242"/>
      <c r="FX101" s="243"/>
      <c r="FY101" s="243"/>
      <c r="FZ101" s="243"/>
      <c r="GA101" s="243"/>
      <c r="GB101" s="243"/>
      <c r="GC101" s="243"/>
      <c r="GD101" s="243"/>
      <c r="GE101" s="242"/>
      <c r="GF101" s="242"/>
      <c r="GG101" s="242"/>
      <c r="GH101" s="242"/>
      <c r="GI101" s="242"/>
      <c r="GJ101" s="242"/>
      <c r="GK101" s="242"/>
      <c r="GL101" s="243"/>
      <c r="GM101" s="243"/>
      <c r="GN101" s="243"/>
      <c r="GO101" s="243"/>
      <c r="GP101" s="243"/>
      <c r="GQ101" s="243"/>
      <c r="GR101" s="243"/>
      <c r="GS101" s="242"/>
      <c r="GT101" s="242"/>
      <c r="GU101" s="242"/>
      <c r="GV101" s="242"/>
      <c r="GW101" s="242"/>
      <c r="GX101" s="242"/>
      <c r="GY101" s="242"/>
      <c r="GZ101" s="243"/>
      <c r="HA101" s="243"/>
      <c r="HB101" s="243"/>
      <c r="HC101" s="243"/>
      <c r="HD101" s="243"/>
      <c r="HE101" s="243"/>
      <c r="HF101" s="243"/>
      <c r="HG101" s="242"/>
      <c r="HH101" s="242"/>
      <c r="HI101" s="242"/>
      <c r="HJ101" s="242"/>
      <c r="HK101" s="242"/>
      <c r="HL101" s="242"/>
      <c r="HM101" s="242"/>
      <c r="HN101" s="243"/>
      <c r="HO101" s="243"/>
      <c r="HP101" s="243"/>
      <c r="HQ101" s="243"/>
      <c r="HR101" s="243"/>
      <c r="HS101" s="243"/>
      <c r="HT101" s="243"/>
      <c r="HU101" s="242"/>
      <c r="HV101" s="242"/>
      <c r="HW101" s="242"/>
      <c r="HX101" s="242"/>
      <c r="HY101" s="242"/>
      <c r="HZ101" s="242"/>
      <c r="IA101" s="242"/>
      <c r="IB101" s="243"/>
      <c r="IC101" s="243"/>
      <c r="ID101" s="243"/>
      <c r="IE101" s="243"/>
      <c r="IF101" s="243"/>
      <c r="IG101" s="243"/>
      <c r="IH101" s="243"/>
      <c r="II101" s="242"/>
      <c r="IJ101" s="242"/>
      <c r="IK101" s="242"/>
      <c r="IL101" s="242"/>
      <c r="IM101" s="242"/>
      <c r="IN101" s="242"/>
      <c r="IO101" s="242"/>
      <c r="IP101" s="243"/>
      <c r="IQ101" s="243"/>
      <c r="IR101" s="243"/>
      <c r="IS101" s="243"/>
      <c r="IT101" s="243"/>
      <c r="IU101" s="243"/>
      <c r="IV101" s="243"/>
      <c r="IW101" s="242"/>
      <c r="IX101" s="242"/>
      <c r="IY101" s="242"/>
      <c r="IZ101" s="242"/>
      <c r="JA101" s="242"/>
      <c r="JB101" s="242"/>
      <c r="JC101" s="242"/>
      <c r="JD101" s="243"/>
      <c r="JE101" s="243"/>
      <c r="JF101" s="243"/>
      <c r="JG101" s="243"/>
      <c r="JH101" s="243"/>
      <c r="JI101" s="243"/>
      <c r="JJ101" s="243"/>
      <c r="JK101" s="242"/>
      <c r="JL101" s="242"/>
      <c r="JM101" s="242"/>
      <c r="JN101" s="242"/>
      <c r="JO101" s="242"/>
      <c r="JP101" s="242"/>
      <c r="JQ101" s="242"/>
      <c r="JR101" s="243"/>
      <c r="JS101" s="243"/>
      <c r="JT101" s="243"/>
      <c r="JU101" s="243"/>
      <c r="JV101" s="243"/>
      <c r="JW101" s="243"/>
      <c r="JX101" s="243"/>
      <c r="JY101" s="242"/>
      <c r="JZ101" s="242"/>
      <c r="KA101" s="242"/>
      <c r="KB101" s="242"/>
      <c r="KC101" s="242"/>
      <c r="KD101" s="242"/>
      <c r="KE101" s="242"/>
      <c r="KF101" s="243"/>
      <c r="KG101" s="243"/>
      <c r="KH101" s="243"/>
      <c r="KI101" s="243"/>
      <c r="KJ101" s="243"/>
      <c r="KK101" s="243"/>
      <c r="KL101" s="243"/>
      <c r="KM101" s="242"/>
      <c r="KN101" s="242"/>
      <c r="KO101" s="242"/>
      <c r="KP101" s="242"/>
      <c r="KQ101" s="242"/>
      <c r="KR101" s="242"/>
      <c r="KS101" s="242"/>
      <c r="KT101" s="243"/>
      <c r="KU101" s="243"/>
      <c r="KV101" s="243"/>
      <c r="KW101" s="243"/>
      <c r="KX101" s="243"/>
      <c r="KY101" s="243"/>
      <c r="KZ101" s="243"/>
      <c r="LA101" s="242"/>
      <c r="LB101" s="242"/>
      <c r="LC101" s="242"/>
      <c r="LD101" s="242"/>
      <c r="LE101" s="242"/>
      <c r="LF101" s="242"/>
      <c r="LG101" s="242"/>
      <c r="LH101" s="243"/>
      <c r="LI101" s="243"/>
      <c r="LJ101" s="243"/>
      <c r="LK101" s="243"/>
      <c r="LL101" s="243"/>
      <c r="LM101" s="243"/>
      <c r="LN101" s="243"/>
      <c r="LO101" s="242"/>
      <c r="LP101" s="242"/>
      <c r="LQ101" s="242"/>
      <c r="LR101" s="242"/>
      <c r="LS101" s="242"/>
      <c r="LT101" s="242"/>
      <c r="LU101" s="242"/>
      <c r="LV101" s="243"/>
      <c r="LW101" s="243"/>
      <c r="LX101" s="243"/>
      <c r="LY101" s="243"/>
      <c r="LZ101" s="243"/>
      <c r="MA101" s="243"/>
      <c r="MB101" s="243"/>
      <c r="MC101" s="242"/>
      <c r="MD101" s="242"/>
      <c r="ME101" s="242"/>
      <c r="MF101" s="242"/>
      <c r="MG101" s="242"/>
      <c r="MH101" s="242"/>
      <c r="MI101" s="242"/>
      <c r="MJ101" s="243"/>
      <c r="MK101" s="243"/>
      <c r="ML101" s="243"/>
      <c r="MM101" s="243"/>
      <c r="MN101" s="243"/>
      <c r="MO101" s="243"/>
      <c r="MP101" s="243"/>
      <c r="MQ101" s="242"/>
      <c r="MR101" s="242"/>
      <c r="MS101" s="242"/>
      <c r="MT101" s="242"/>
      <c r="MU101" s="242"/>
      <c r="MV101" s="242"/>
      <c r="MW101" s="242"/>
      <c r="MX101" s="243"/>
      <c r="MY101" s="243"/>
      <c r="MZ101" s="243"/>
      <c r="NA101" s="243"/>
      <c r="NB101" s="243"/>
      <c r="NC101" s="243"/>
      <c r="ND101" s="243"/>
      <c r="NE101" s="242"/>
      <c r="NF101" s="242"/>
      <c r="NG101" s="242"/>
      <c r="NH101" s="243" t="s">
        <v>1153</v>
      </c>
    </row>
    <row r="102" spans="1:372">
      <c r="A102" s="254" t="s">
        <v>983</v>
      </c>
      <c r="B102" s="239" t="s">
        <v>82</v>
      </c>
      <c r="C102" s="240" t="s">
        <v>675</v>
      </c>
      <c r="D102" s="240" t="s">
        <v>982</v>
      </c>
      <c r="E102" s="241">
        <v>376.0086444288367</v>
      </c>
      <c r="F102" s="252">
        <v>376</v>
      </c>
      <c r="G102" s="242"/>
      <c r="H102" s="242"/>
      <c r="I102" s="242"/>
      <c r="J102" s="242"/>
      <c r="K102" s="242"/>
      <c r="L102" s="243"/>
      <c r="M102" s="243"/>
      <c r="N102" s="243"/>
      <c r="O102" s="243"/>
      <c r="P102" s="243"/>
      <c r="Q102" s="243"/>
      <c r="R102" s="243"/>
      <c r="S102" s="242"/>
      <c r="T102" s="242"/>
      <c r="U102" s="242"/>
      <c r="V102" s="242"/>
      <c r="W102" s="242"/>
      <c r="X102" s="242"/>
      <c r="Y102" s="242"/>
      <c r="Z102" s="243"/>
      <c r="AA102" s="243"/>
      <c r="AB102" s="243"/>
      <c r="AC102" s="243"/>
      <c r="AD102" s="243"/>
      <c r="AE102" s="243"/>
      <c r="AF102" s="243"/>
      <c r="AG102" s="242"/>
      <c r="AH102" s="242"/>
      <c r="AI102" s="242"/>
      <c r="AJ102" s="242"/>
      <c r="AK102" s="242"/>
      <c r="AL102" s="242"/>
      <c r="AM102" s="242"/>
      <c r="AN102" s="243"/>
      <c r="AO102" s="243"/>
      <c r="AP102" s="243"/>
      <c r="AQ102" s="243"/>
      <c r="AR102" s="243"/>
      <c r="AS102" s="243"/>
      <c r="AT102" s="243"/>
      <c r="AU102" s="242"/>
      <c r="AV102" s="242"/>
      <c r="AW102" s="242"/>
      <c r="AX102" s="242"/>
      <c r="AY102" s="242"/>
      <c r="AZ102" s="242"/>
      <c r="BA102" s="242"/>
      <c r="BB102" s="243"/>
      <c r="BC102" s="243"/>
      <c r="BD102" s="243"/>
      <c r="BE102" s="243"/>
      <c r="BF102" s="243"/>
      <c r="BG102" s="243"/>
      <c r="BH102" s="243"/>
      <c r="BI102" s="242"/>
      <c r="BJ102" s="242"/>
      <c r="BK102" s="242"/>
      <c r="BL102" s="242"/>
      <c r="BM102" s="242"/>
      <c r="BN102" s="242"/>
      <c r="BO102" s="242"/>
      <c r="BP102" s="243"/>
      <c r="BQ102" s="243"/>
      <c r="BR102" s="243"/>
      <c r="BS102" s="243"/>
      <c r="BT102" s="243"/>
      <c r="BU102" s="243"/>
      <c r="BV102" s="243"/>
      <c r="BW102" s="242"/>
      <c r="BX102" s="242"/>
      <c r="BY102" s="242"/>
      <c r="BZ102" s="242"/>
      <c r="CA102" s="242"/>
      <c r="CB102" s="242"/>
      <c r="CC102" s="242"/>
      <c r="CD102" s="243"/>
      <c r="CE102" s="243"/>
      <c r="CF102" s="243"/>
      <c r="CG102" s="243"/>
      <c r="CH102" s="243"/>
      <c r="CI102" s="243"/>
      <c r="CJ102" s="243"/>
      <c r="CK102" s="242"/>
      <c r="CL102" s="242"/>
      <c r="CM102" s="242"/>
      <c r="CN102" s="242"/>
      <c r="CO102" s="242"/>
      <c r="CP102" s="242"/>
      <c r="CQ102" s="242"/>
      <c r="CR102" s="243"/>
      <c r="CS102" s="243"/>
      <c r="CT102" s="243"/>
      <c r="CU102" s="243"/>
      <c r="CV102" s="243"/>
      <c r="CW102" s="243"/>
      <c r="CX102" s="243"/>
      <c r="CY102" s="242"/>
      <c r="CZ102" s="242"/>
      <c r="DA102" s="242"/>
      <c r="DB102" s="242"/>
      <c r="DC102" s="242"/>
      <c r="DD102" s="242"/>
      <c r="DE102" s="242"/>
      <c r="DF102" s="243"/>
      <c r="DG102" s="243"/>
      <c r="DH102" s="243"/>
      <c r="DI102" s="243"/>
      <c r="DJ102" s="243"/>
      <c r="DK102" s="243"/>
      <c r="DL102" s="243"/>
      <c r="DM102" s="242"/>
      <c r="DN102" s="242"/>
      <c r="DO102" s="242"/>
      <c r="DP102" s="242"/>
      <c r="DQ102" s="242"/>
      <c r="DR102" s="242"/>
      <c r="DS102" s="242"/>
      <c r="DT102" s="243"/>
      <c r="DU102" s="243"/>
      <c r="DV102" s="243"/>
      <c r="DW102" s="243"/>
      <c r="DX102" s="243"/>
      <c r="DY102" s="243"/>
      <c r="DZ102" s="243"/>
      <c r="EA102" s="242"/>
      <c r="EB102" s="242"/>
      <c r="EC102" s="242"/>
      <c r="ED102" s="242"/>
      <c r="EE102" s="242"/>
      <c r="EF102" s="242"/>
      <c r="EG102" s="242"/>
      <c r="EH102" s="243"/>
      <c r="EI102" s="243"/>
      <c r="EJ102" s="243"/>
      <c r="EK102" s="243"/>
      <c r="EL102" s="243"/>
      <c r="EM102" s="243"/>
      <c r="EN102" s="243"/>
      <c r="EO102" s="242"/>
      <c r="EP102" s="242"/>
      <c r="EQ102" s="242"/>
      <c r="ER102" s="242"/>
      <c r="ES102" s="242"/>
      <c r="ET102" s="242"/>
      <c r="EU102" s="242"/>
      <c r="EV102" s="243"/>
      <c r="EW102" s="243"/>
      <c r="EX102" s="243"/>
      <c r="EY102" s="243"/>
      <c r="EZ102" s="243"/>
      <c r="FA102" s="243"/>
      <c r="FB102" s="243"/>
      <c r="FC102" s="242"/>
      <c r="FD102" s="242"/>
      <c r="FE102" s="242"/>
      <c r="FF102" s="242"/>
      <c r="FG102" s="242"/>
      <c r="FH102" s="242"/>
      <c r="FI102" s="242"/>
      <c r="FJ102" s="243"/>
      <c r="FK102" s="243"/>
      <c r="FL102" s="243"/>
      <c r="FM102" s="243"/>
      <c r="FN102" s="243"/>
      <c r="FO102" s="243"/>
      <c r="FP102" s="243"/>
      <c r="FQ102" s="242"/>
      <c r="FR102" s="242"/>
      <c r="FS102" s="242"/>
      <c r="FT102" s="242"/>
      <c r="FU102" s="242"/>
      <c r="FV102" s="242"/>
      <c r="FW102" s="242"/>
      <c r="FX102" s="243"/>
      <c r="FY102" s="243"/>
      <c r="FZ102" s="243"/>
      <c r="GA102" s="243"/>
      <c r="GB102" s="243"/>
      <c r="GC102" s="243"/>
      <c r="GD102" s="243"/>
      <c r="GE102" s="242"/>
      <c r="GF102" s="242"/>
      <c r="GG102" s="242"/>
      <c r="GH102" s="242"/>
      <c r="GI102" s="242"/>
      <c r="GJ102" s="242"/>
      <c r="GK102" s="242"/>
      <c r="GL102" s="243"/>
      <c r="GM102" s="243"/>
      <c r="GN102" s="243"/>
      <c r="GO102" s="243"/>
      <c r="GP102" s="243"/>
      <c r="GQ102" s="243"/>
      <c r="GR102" s="243"/>
      <c r="GS102" s="242"/>
      <c r="GT102" s="242"/>
      <c r="GU102" s="242"/>
      <c r="GV102" s="242"/>
      <c r="GW102" s="242"/>
      <c r="GX102" s="242"/>
      <c r="GY102" s="242"/>
      <c r="GZ102" s="243"/>
      <c r="HA102" s="243"/>
      <c r="HB102" s="243"/>
      <c r="HC102" s="243"/>
      <c r="HD102" s="243"/>
      <c r="HE102" s="243"/>
      <c r="HF102" s="243"/>
      <c r="HG102" s="242"/>
      <c r="HH102" s="242"/>
      <c r="HI102" s="242"/>
      <c r="HJ102" s="242"/>
      <c r="HK102" s="242"/>
      <c r="HL102" s="242"/>
      <c r="HM102" s="242"/>
      <c r="HN102" s="243"/>
      <c r="HO102" s="243"/>
      <c r="HP102" s="243"/>
      <c r="HQ102" s="243"/>
      <c r="HR102" s="243"/>
      <c r="HS102" s="243"/>
      <c r="HT102" s="243"/>
      <c r="HU102" s="242"/>
      <c r="HV102" s="242"/>
      <c r="HW102" s="242"/>
      <c r="HX102" s="242"/>
      <c r="HY102" s="242"/>
      <c r="HZ102" s="242"/>
      <c r="IA102" s="242"/>
      <c r="IB102" s="243"/>
      <c r="IC102" s="243"/>
      <c r="ID102" s="243"/>
      <c r="IE102" s="243"/>
      <c r="IF102" s="243"/>
      <c r="IG102" s="243"/>
      <c r="IH102" s="243"/>
      <c r="II102" s="242"/>
      <c r="IJ102" s="242"/>
      <c r="IK102" s="242"/>
      <c r="IL102" s="242"/>
      <c r="IM102" s="242"/>
      <c r="IN102" s="242"/>
      <c r="IO102" s="242">
        <v>16</v>
      </c>
      <c r="IP102" s="243">
        <v>24</v>
      </c>
      <c r="IQ102" s="243">
        <v>24</v>
      </c>
      <c r="IR102" s="243">
        <v>24</v>
      </c>
      <c r="IS102" s="243">
        <v>24</v>
      </c>
      <c r="IT102" s="243">
        <v>24</v>
      </c>
      <c r="IU102" s="243">
        <v>24</v>
      </c>
      <c r="IV102" s="243">
        <v>24</v>
      </c>
      <c r="IW102" s="242">
        <v>24</v>
      </c>
      <c r="IX102" s="242">
        <v>24</v>
      </c>
      <c r="IY102" s="242">
        <v>24</v>
      </c>
      <c r="IZ102" s="242">
        <v>24</v>
      </c>
      <c r="JA102" s="242">
        <v>24</v>
      </c>
      <c r="JB102" s="242">
        <v>24</v>
      </c>
      <c r="JC102" s="242">
        <v>24</v>
      </c>
      <c r="JD102" s="243">
        <v>24</v>
      </c>
      <c r="JE102" s="243"/>
      <c r="JF102" s="243"/>
      <c r="JG102" s="243"/>
      <c r="JH102" s="243"/>
      <c r="JI102" s="243"/>
      <c r="JJ102" s="243"/>
      <c r="JK102" s="242"/>
      <c r="JL102" s="242"/>
      <c r="JM102" s="242"/>
      <c r="JN102" s="242"/>
      <c r="JO102" s="242"/>
      <c r="JP102" s="242"/>
      <c r="JQ102" s="242"/>
      <c r="JR102" s="243"/>
      <c r="JS102" s="243"/>
      <c r="JT102" s="243"/>
      <c r="JU102" s="243"/>
      <c r="JV102" s="243"/>
      <c r="JW102" s="243"/>
      <c r="JX102" s="243"/>
      <c r="JY102" s="242"/>
      <c r="JZ102" s="242"/>
      <c r="KA102" s="242"/>
      <c r="KB102" s="242"/>
      <c r="KC102" s="242"/>
      <c r="KD102" s="242"/>
      <c r="KE102" s="242"/>
      <c r="KF102" s="243"/>
      <c r="KG102" s="243"/>
      <c r="KH102" s="243"/>
      <c r="KI102" s="243"/>
      <c r="KJ102" s="243"/>
      <c r="KK102" s="243"/>
      <c r="KL102" s="243"/>
      <c r="KM102" s="242"/>
      <c r="KN102" s="242"/>
      <c r="KO102" s="242"/>
      <c r="KP102" s="242"/>
      <c r="KQ102" s="242"/>
      <c r="KR102" s="242"/>
      <c r="KS102" s="242"/>
      <c r="KT102" s="243"/>
      <c r="KU102" s="243"/>
      <c r="KV102" s="243"/>
      <c r="KW102" s="243"/>
      <c r="KX102" s="243"/>
      <c r="KY102" s="243"/>
      <c r="KZ102" s="243"/>
      <c r="LA102" s="242"/>
      <c r="LB102" s="242"/>
      <c r="LC102" s="242"/>
      <c r="LD102" s="242"/>
      <c r="LE102" s="242"/>
      <c r="LF102" s="242"/>
      <c r="LG102" s="242"/>
      <c r="LH102" s="243"/>
      <c r="LI102" s="243"/>
      <c r="LJ102" s="243"/>
      <c r="LK102" s="243"/>
      <c r="LL102" s="243"/>
      <c r="LM102" s="243"/>
      <c r="LN102" s="243"/>
      <c r="LO102" s="242"/>
      <c r="LP102" s="242"/>
      <c r="LQ102" s="242"/>
      <c r="LR102" s="242"/>
      <c r="LS102" s="242"/>
      <c r="LT102" s="242"/>
      <c r="LU102" s="242"/>
      <c r="LV102" s="243"/>
      <c r="LW102" s="243"/>
      <c r="LX102" s="243"/>
      <c r="LY102" s="243"/>
      <c r="LZ102" s="243"/>
      <c r="MA102" s="243"/>
      <c r="MB102" s="243"/>
      <c r="MC102" s="242"/>
      <c r="MD102" s="242"/>
      <c r="ME102" s="242"/>
      <c r="MF102" s="242"/>
      <c r="MG102" s="242"/>
      <c r="MH102" s="242"/>
      <c r="MI102" s="242"/>
      <c r="MJ102" s="243"/>
      <c r="MK102" s="243"/>
      <c r="ML102" s="243"/>
      <c r="MM102" s="243"/>
      <c r="MN102" s="243"/>
      <c r="MO102" s="243"/>
      <c r="MP102" s="243"/>
      <c r="MQ102" s="242"/>
      <c r="MR102" s="242"/>
      <c r="MS102" s="242"/>
      <c r="MT102" s="242"/>
      <c r="MU102" s="242"/>
      <c r="MV102" s="242"/>
      <c r="MW102" s="242"/>
      <c r="MX102" s="243"/>
      <c r="MY102" s="243"/>
      <c r="MZ102" s="243"/>
      <c r="NA102" s="243"/>
      <c r="NB102" s="243"/>
      <c r="NC102" s="243"/>
      <c r="ND102" s="243"/>
      <c r="NE102" s="242"/>
      <c r="NF102" s="242"/>
      <c r="NG102" s="242"/>
      <c r="NH102" s="243"/>
    </row>
    <row r="103" spans="1:372">
      <c r="A103" s="254" t="s">
        <v>984</v>
      </c>
      <c r="B103" s="239" t="s">
        <v>369</v>
      </c>
      <c r="C103" s="240" t="s">
        <v>674</v>
      </c>
      <c r="D103" s="240" t="s">
        <v>982</v>
      </c>
      <c r="E103" s="241">
        <v>8.8412222170000003</v>
      </c>
      <c r="F103" s="252">
        <v>178</v>
      </c>
      <c r="G103" s="242"/>
      <c r="H103" s="242"/>
      <c r="I103" s="242"/>
      <c r="J103" s="242"/>
      <c r="K103" s="242"/>
      <c r="L103" s="243"/>
      <c r="M103" s="243"/>
      <c r="N103" s="243"/>
      <c r="O103" s="243"/>
      <c r="P103" s="243"/>
      <c r="Q103" s="243"/>
      <c r="R103" s="243"/>
      <c r="S103" s="242"/>
      <c r="T103" s="242"/>
      <c r="U103" s="242"/>
      <c r="V103" s="242"/>
      <c r="W103" s="242"/>
      <c r="X103" s="242"/>
      <c r="Y103" s="242"/>
      <c r="Z103" s="243"/>
      <c r="AA103" s="243"/>
      <c r="AB103" s="243"/>
      <c r="AC103" s="243"/>
      <c r="AD103" s="243"/>
      <c r="AE103" s="243"/>
      <c r="AF103" s="243"/>
      <c r="AG103" s="242"/>
      <c r="AH103" s="242"/>
      <c r="AI103" s="242"/>
      <c r="AJ103" s="242"/>
      <c r="AK103" s="242"/>
      <c r="AL103" s="242"/>
      <c r="AM103" s="242"/>
      <c r="AN103" s="243"/>
      <c r="AO103" s="243"/>
      <c r="AP103" s="243"/>
      <c r="AQ103" s="243"/>
      <c r="AR103" s="243"/>
      <c r="AS103" s="243"/>
      <c r="AT103" s="243"/>
      <c r="AU103" s="242"/>
      <c r="AV103" s="242"/>
      <c r="AW103" s="242"/>
      <c r="AX103" s="242"/>
      <c r="AY103" s="242"/>
      <c r="AZ103" s="242"/>
      <c r="BA103" s="242"/>
      <c r="BB103" s="243"/>
      <c r="BC103" s="243"/>
      <c r="BD103" s="243"/>
      <c r="BE103" s="243"/>
      <c r="BF103" s="243"/>
      <c r="BG103" s="243"/>
      <c r="BH103" s="243"/>
      <c r="BI103" s="242"/>
      <c r="BJ103" s="242"/>
      <c r="BK103" s="242"/>
      <c r="BL103" s="242"/>
      <c r="BM103" s="242"/>
      <c r="BN103" s="242"/>
      <c r="BO103" s="242"/>
      <c r="BP103" s="243"/>
      <c r="BQ103" s="243"/>
      <c r="BR103" s="243"/>
      <c r="BS103" s="243"/>
      <c r="BT103" s="243"/>
      <c r="BU103" s="243"/>
      <c r="BV103" s="243"/>
      <c r="BW103" s="242"/>
      <c r="BX103" s="242"/>
      <c r="BY103" s="242"/>
      <c r="BZ103" s="242"/>
      <c r="CA103" s="242"/>
      <c r="CB103" s="242"/>
      <c r="CC103" s="242"/>
      <c r="CD103" s="243"/>
      <c r="CE103" s="243"/>
      <c r="CF103" s="243"/>
      <c r="CG103" s="243"/>
      <c r="CH103" s="243"/>
      <c r="CI103" s="243"/>
      <c r="CJ103" s="243"/>
      <c r="CK103" s="242"/>
      <c r="CL103" s="242"/>
      <c r="CM103" s="242"/>
      <c r="CN103" s="242"/>
      <c r="CO103" s="242"/>
      <c r="CP103" s="242"/>
      <c r="CQ103" s="242"/>
      <c r="CR103" s="243"/>
      <c r="CS103" s="243"/>
      <c r="CT103" s="243"/>
      <c r="CU103" s="243"/>
      <c r="CV103" s="243"/>
      <c r="CW103" s="243"/>
      <c r="CX103" s="243"/>
      <c r="CY103" s="242"/>
      <c r="CZ103" s="242"/>
      <c r="DA103" s="242"/>
      <c r="DB103" s="242"/>
      <c r="DC103" s="242"/>
      <c r="DD103" s="242"/>
      <c r="DE103" s="242"/>
      <c r="DF103" s="243"/>
      <c r="DG103" s="243"/>
      <c r="DH103" s="243"/>
      <c r="DI103" s="243"/>
      <c r="DJ103" s="243"/>
      <c r="DK103" s="243"/>
      <c r="DL103" s="243"/>
      <c r="DM103" s="242"/>
      <c r="DN103" s="242"/>
      <c r="DO103" s="242"/>
      <c r="DP103" s="242"/>
      <c r="DQ103" s="242"/>
      <c r="DR103" s="242"/>
      <c r="DS103" s="242"/>
      <c r="DT103" s="243"/>
      <c r="DU103" s="243"/>
      <c r="DV103" s="243"/>
      <c r="DW103" s="243"/>
      <c r="DX103" s="243"/>
      <c r="DY103" s="243"/>
      <c r="DZ103" s="243"/>
      <c r="EA103" s="242"/>
      <c r="EB103" s="242"/>
      <c r="EC103" s="242"/>
      <c r="ED103" s="242"/>
      <c r="EE103" s="242"/>
      <c r="EF103" s="242"/>
      <c r="EG103" s="242"/>
      <c r="EH103" s="243"/>
      <c r="EI103" s="243"/>
      <c r="EJ103" s="243"/>
      <c r="EK103" s="243"/>
      <c r="EL103" s="243"/>
      <c r="EM103" s="243"/>
      <c r="EN103" s="243"/>
      <c r="EO103" s="242"/>
      <c r="EP103" s="242"/>
      <c r="EQ103" s="242"/>
      <c r="ER103" s="242"/>
      <c r="ES103" s="242"/>
      <c r="ET103" s="242"/>
      <c r="EU103" s="242"/>
      <c r="EV103" s="243"/>
      <c r="EW103" s="243"/>
      <c r="EX103" s="243"/>
      <c r="EY103" s="243"/>
      <c r="EZ103" s="243"/>
      <c r="FA103" s="243"/>
      <c r="FB103" s="243"/>
      <c r="FC103" s="242"/>
      <c r="FD103" s="242"/>
      <c r="FE103" s="242"/>
      <c r="FF103" s="242"/>
      <c r="FG103" s="242"/>
      <c r="FH103" s="242"/>
      <c r="FI103" s="242"/>
      <c r="FJ103" s="243"/>
      <c r="FK103" s="243"/>
      <c r="FL103" s="243"/>
      <c r="FM103" s="243"/>
      <c r="FN103" s="243"/>
      <c r="FO103" s="243"/>
      <c r="FP103" s="243"/>
      <c r="FQ103" s="242"/>
      <c r="FR103" s="242"/>
      <c r="FS103" s="242"/>
      <c r="FT103" s="242"/>
      <c r="FU103" s="242"/>
      <c r="FV103" s="242"/>
      <c r="FW103" s="242"/>
      <c r="FX103" s="243"/>
      <c r="FY103" s="243"/>
      <c r="FZ103" s="243"/>
      <c r="GA103" s="243"/>
      <c r="GB103" s="243"/>
      <c r="GC103" s="243"/>
      <c r="GD103" s="243"/>
      <c r="GE103" s="242"/>
      <c r="GF103" s="242"/>
      <c r="GG103" s="242"/>
      <c r="GH103" s="242"/>
      <c r="GI103" s="242"/>
      <c r="GJ103" s="242"/>
      <c r="GK103" s="242"/>
      <c r="GL103" s="243"/>
      <c r="GM103" s="243"/>
      <c r="GN103" s="243"/>
      <c r="GO103" s="243"/>
      <c r="GP103" s="243"/>
      <c r="GQ103" s="243"/>
      <c r="GR103" s="243"/>
      <c r="GS103" s="242"/>
      <c r="GT103" s="242"/>
      <c r="GU103" s="242"/>
      <c r="GV103" s="242"/>
      <c r="GW103" s="242"/>
      <c r="GX103" s="242"/>
      <c r="GY103" s="242"/>
      <c r="GZ103" s="243"/>
      <c r="HA103" s="243"/>
      <c r="HB103" s="243"/>
      <c r="HC103" s="243"/>
      <c r="HD103" s="243"/>
      <c r="HE103" s="243"/>
      <c r="HF103" s="243"/>
      <c r="HG103" s="242"/>
      <c r="HH103" s="242"/>
      <c r="HI103" s="242"/>
      <c r="HJ103" s="242"/>
      <c r="HK103" s="242"/>
      <c r="HL103" s="242"/>
      <c r="HM103" s="242"/>
      <c r="HN103" s="243"/>
      <c r="HO103" s="243"/>
      <c r="HP103" s="243"/>
      <c r="HQ103" s="243"/>
      <c r="HR103" s="243"/>
      <c r="HS103" s="243"/>
      <c r="HT103" s="243"/>
      <c r="HU103" s="242"/>
      <c r="HV103" s="242"/>
      <c r="HW103" s="242"/>
      <c r="HX103" s="242"/>
      <c r="HY103" s="242"/>
      <c r="HZ103" s="242"/>
      <c r="IA103" s="242"/>
      <c r="IB103" s="243"/>
      <c r="IC103" s="243"/>
      <c r="ID103" s="243"/>
      <c r="IE103" s="243"/>
      <c r="IF103" s="243"/>
      <c r="IG103" s="243"/>
      <c r="IH103" s="243"/>
      <c r="II103" s="242"/>
      <c r="IJ103" s="242"/>
      <c r="IK103" s="242"/>
      <c r="IL103" s="242"/>
      <c r="IM103" s="242"/>
      <c r="IN103" s="242"/>
      <c r="IO103" s="242"/>
      <c r="IP103" s="243"/>
      <c r="IQ103" s="243"/>
      <c r="IR103" s="243"/>
      <c r="IS103" s="243"/>
      <c r="IT103" s="243"/>
      <c r="IU103" s="243"/>
      <c r="IV103" s="243"/>
      <c r="IW103" s="242"/>
      <c r="IX103" s="242"/>
      <c r="IY103" s="242"/>
      <c r="IZ103" s="242"/>
      <c r="JA103" s="242"/>
      <c r="JB103" s="242">
        <v>5</v>
      </c>
      <c r="JC103" s="242">
        <v>12</v>
      </c>
      <c r="JD103" s="243">
        <v>24</v>
      </c>
      <c r="JE103" s="243">
        <v>24</v>
      </c>
      <c r="JF103" s="243">
        <v>24</v>
      </c>
      <c r="JG103" s="243">
        <v>24</v>
      </c>
      <c r="JH103" s="243">
        <v>24</v>
      </c>
      <c r="JI103" s="243">
        <v>24</v>
      </c>
      <c r="JJ103" s="243">
        <v>12</v>
      </c>
      <c r="JK103" s="242">
        <v>5</v>
      </c>
      <c r="JL103" s="242"/>
      <c r="JM103" s="242"/>
      <c r="JN103" s="242"/>
      <c r="JO103" s="242"/>
      <c r="JP103" s="242"/>
      <c r="JQ103" s="242"/>
      <c r="JR103" s="243"/>
      <c r="JS103" s="243"/>
      <c r="JT103" s="243"/>
      <c r="JU103" s="243"/>
      <c r="JV103" s="243"/>
      <c r="JW103" s="243"/>
      <c r="JX103" s="243"/>
      <c r="JY103" s="242"/>
      <c r="JZ103" s="242"/>
      <c r="KA103" s="242"/>
      <c r="KB103" s="242"/>
      <c r="KC103" s="242"/>
      <c r="KD103" s="242"/>
      <c r="KE103" s="242"/>
      <c r="KF103" s="243"/>
      <c r="KG103" s="243"/>
      <c r="KH103" s="243"/>
      <c r="KI103" s="243"/>
      <c r="KJ103" s="243"/>
      <c r="KK103" s="243"/>
      <c r="KL103" s="243"/>
      <c r="KM103" s="242"/>
      <c r="KN103" s="242"/>
      <c r="KO103" s="242"/>
      <c r="KP103" s="242"/>
      <c r="KQ103" s="242"/>
      <c r="KR103" s="242"/>
      <c r="KS103" s="242"/>
      <c r="KT103" s="243"/>
      <c r="KU103" s="243"/>
      <c r="KV103" s="243"/>
      <c r="KW103" s="243"/>
      <c r="KX103" s="243"/>
      <c r="KY103" s="243"/>
      <c r="KZ103" s="243"/>
      <c r="LA103" s="242"/>
      <c r="LB103" s="242"/>
      <c r="LC103" s="242"/>
      <c r="LD103" s="242"/>
      <c r="LE103" s="242"/>
      <c r="LF103" s="242"/>
      <c r="LG103" s="242"/>
      <c r="LH103" s="243"/>
      <c r="LI103" s="243"/>
      <c r="LJ103" s="243"/>
      <c r="LK103" s="243"/>
      <c r="LL103" s="243"/>
      <c r="LM103" s="243"/>
      <c r="LN103" s="243"/>
      <c r="LO103" s="242"/>
      <c r="LP103" s="242"/>
      <c r="LQ103" s="242"/>
      <c r="LR103" s="242"/>
      <c r="LS103" s="242"/>
      <c r="LT103" s="242"/>
      <c r="LU103" s="242"/>
      <c r="LV103" s="243"/>
      <c r="LW103" s="243"/>
      <c r="LX103" s="243"/>
      <c r="LY103" s="243"/>
      <c r="LZ103" s="243"/>
      <c r="MA103" s="243"/>
      <c r="MB103" s="243"/>
      <c r="MC103" s="242"/>
      <c r="MD103" s="242"/>
      <c r="ME103" s="242"/>
      <c r="MF103" s="242"/>
      <c r="MG103" s="242"/>
      <c r="MH103" s="242"/>
      <c r="MI103" s="242"/>
      <c r="MJ103" s="243"/>
      <c r="MK103" s="243"/>
      <c r="ML103" s="243"/>
      <c r="MM103" s="243"/>
      <c r="MN103" s="243"/>
      <c r="MO103" s="243"/>
      <c r="MP103" s="243"/>
      <c r="MQ103" s="242"/>
      <c r="MR103" s="242"/>
      <c r="MS103" s="242"/>
      <c r="MT103" s="242"/>
      <c r="MU103" s="242"/>
      <c r="MV103" s="242"/>
      <c r="MW103" s="242"/>
      <c r="MX103" s="243"/>
      <c r="MY103" s="243"/>
      <c r="MZ103" s="243"/>
      <c r="NA103" s="243"/>
      <c r="NB103" s="243"/>
      <c r="NC103" s="243"/>
      <c r="ND103" s="243"/>
      <c r="NE103" s="242"/>
      <c r="NF103" s="242"/>
      <c r="NG103" s="242"/>
      <c r="NH103" s="243" t="s">
        <v>1154</v>
      </c>
    </row>
    <row r="104" spans="1:372">
      <c r="A104" s="254" t="s">
        <v>984</v>
      </c>
      <c r="B104" s="239" t="s">
        <v>101</v>
      </c>
      <c r="C104" s="240" t="s">
        <v>675</v>
      </c>
      <c r="D104" s="240" t="s">
        <v>997</v>
      </c>
      <c r="E104" s="241">
        <v>308.17061663309045</v>
      </c>
      <c r="F104" s="252">
        <v>590</v>
      </c>
      <c r="G104" s="242"/>
      <c r="H104" s="242"/>
      <c r="I104" s="242"/>
      <c r="J104" s="242"/>
      <c r="K104" s="242"/>
      <c r="L104" s="243"/>
      <c r="M104" s="243"/>
      <c r="N104" s="243"/>
      <c r="O104" s="243"/>
      <c r="P104" s="243"/>
      <c r="Q104" s="243"/>
      <c r="R104" s="243"/>
      <c r="S104" s="242"/>
      <c r="T104" s="242"/>
      <c r="U104" s="242"/>
      <c r="V104" s="242"/>
      <c r="W104" s="242"/>
      <c r="X104" s="242"/>
      <c r="Y104" s="242"/>
      <c r="Z104" s="243"/>
      <c r="AA104" s="243"/>
      <c r="AB104" s="243"/>
      <c r="AC104" s="243"/>
      <c r="AD104" s="243"/>
      <c r="AE104" s="243"/>
      <c r="AF104" s="243"/>
      <c r="AG104" s="242"/>
      <c r="AH104" s="242"/>
      <c r="AI104" s="242"/>
      <c r="AJ104" s="242"/>
      <c r="AK104" s="242"/>
      <c r="AL104" s="242"/>
      <c r="AM104" s="242"/>
      <c r="AN104" s="243"/>
      <c r="AO104" s="243"/>
      <c r="AP104" s="243"/>
      <c r="AQ104" s="243"/>
      <c r="AR104" s="243"/>
      <c r="AS104" s="243"/>
      <c r="AT104" s="243"/>
      <c r="AU104" s="242"/>
      <c r="AV104" s="242"/>
      <c r="AW104" s="242"/>
      <c r="AX104" s="242"/>
      <c r="AY104" s="242"/>
      <c r="AZ104" s="242"/>
      <c r="BA104" s="242"/>
      <c r="BB104" s="243"/>
      <c r="BC104" s="243"/>
      <c r="BD104" s="243"/>
      <c r="BE104" s="243"/>
      <c r="BF104" s="243"/>
      <c r="BG104" s="243"/>
      <c r="BH104" s="243"/>
      <c r="BI104" s="242"/>
      <c r="BJ104" s="242"/>
      <c r="BK104" s="242"/>
      <c r="BL104" s="242"/>
      <c r="BM104" s="242"/>
      <c r="BN104" s="242"/>
      <c r="BO104" s="242"/>
      <c r="BP104" s="243"/>
      <c r="BQ104" s="243"/>
      <c r="BR104" s="243"/>
      <c r="BS104" s="243"/>
      <c r="BT104" s="243"/>
      <c r="BU104" s="243"/>
      <c r="BV104" s="243"/>
      <c r="BW104" s="242"/>
      <c r="BX104" s="242"/>
      <c r="BY104" s="242"/>
      <c r="BZ104" s="242"/>
      <c r="CA104" s="242"/>
      <c r="CB104" s="242"/>
      <c r="CC104" s="242"/>
      <c r="CD104" s="243"/>
      <c r="CE104" s="243"/>
      <c r="CF104" s="243"/>
      <c r="CG104" s="243"/>
      <c r="CH104" s="243"/>
      <c r="CI104" s="243"/>
      <c r="CJ104" s="243"/>
      <c r="CK104" s="242"/>
      <c r="CL104" s="242"/>
      <c r="CM104" s="242"/>
      <c r="CN104" s="242"/>
      <c r="CO104" s="242"/>
      <c r="CP104" s="242"/>
      <c r="CQ104" s="242"/>
      <c r="CR104" s="243"/>
      <c r="CS104" s="243"/>
      <c r="CT104" s="243"/>
      <c r="CU104" s="243"/>
      <c r="CV104" s="243"/>
      <c r="CW104" s="243"/>
      <c r="CX104" s="243"/>
      <c r="CY104" s="242"/>
      <c r="CZ104" s="242"/>
      <c r="DA104" s="242"/>
      <c r="DB104" s="242"/>
      <c r="DC104" s="242"/>
      <c r="DD104" s="242"/>
      <c r="DE104" s="242"/>
      <c r="DF104" s="243"/>
      <c r="DG104" s="243"/>
      <c r="DH104" s="243"/>
      <c r="DI104" s="243"/>
      <c r="DJ104" s="243"/>
      <c r="DK104" s="243"/>
      <c r="DL104" s="243"/>
      <c r="DM104" s="242"/>
      <c r="DN104" s="242"/>
      <c r="DO104" s="242"/>
      <c r="DP104" s="242"/>
      <c r="DQ104" s="242"/>
      <c r="DR104" s="242"/>
      <c r="DS104" s="242"/>
      <c r="DT104" s="243"/>
      <c r="DU104" s="243"/>
      <c r="DV104" s="243"/>
      <c r="DW104" s="243"/>
      <c r="DX104" s="243"/>
      <c r="DY104" s="243"/>
      <c r="DZ104" s="243"/>
      <c r="EA104" s="242"/>
      <c r="EB104" s="242"/>
      <c r="EC104" s="242"/>
      <c r="ED104" s="242"/>
      <c r="EE104" s="242"/>
      <c r="EF104" s="242"/>
      <c r="EG104" s="242"/>
      <c r="EH104" s="243"/>
      <c r="EI104" s="243"/>
      <c r="EJ104" s="243"/>
      <c r="EK104" s="243"/>
      <c r="EL104" s="243"/>
      <c r="EM104" s="243"/>
      <c r="EN104" s="243"/>
      <c r="EO104" s="242"/>
      <c r="EP104" s="242"/>
      <c r="EQ104" s="242"/>
      <c r="ER104" s="242"/>
      <c r="ES104" s="242"/>
      <c r="ET104" s="242"/>
      <c r="EU104" s="242"/>
      <c r="EV104" s="243"/>
      <c r="EW104" s="243"/>
      <c r="EX104" s="243"/>
      <c r="EY104" s="243"/>
      <c r="EZ104" s="243"/>
      <c r="FA104" s="243"/>
      <c r="FB104" s="243"/>
      <c r="FC104" s="242"/>
      <c r="FD104" s="242"/>
      <c r="FE104" s="242"/>
      <c r="FF104" s="242"/>
      <c r="FG104" s="242"/>
      <c r="FH104" s="242"/>
      <c r="FI104" s="242"/>
      <c r="FJ104" s="243"/>
      <c r="FK104" s="243"/>
      <c r="FL104" s="243"/>
      <c r="FM104" s="243"/>
      <c r="FN104" s="243"/>
      <c r="FO104" s="243"/>
      <c r="FP104" s="243"/>
      <c r="FQ104" s="242"/>
      <c r="FR104" s="242"/>
      <c r="FS104" s="242"/>
      <c r="FT104" s="242"/>
      <c r="FU104" s="242"/>
      <c r="FV104" s="242"/>
      <c r="FW104" s="242"/>
      <c r="FX104" s="243"/>
      <c r="FY104" s="243"/>
      <c r="FZ104" s="243"/>
      <c r="GA104" s="243"/>
      <c r="GB104" s="243"/>
      <c r="GC104" s="243"/>
      <c r="GD104" s="243"/>
      <c r="GE104" s="242"/>
      <c r="GF104" s="242"/>
      <c r="GG104" s="242"/>
      <c r="GH104" s="242"/>
      <c r="GI104" s="242"/>
      <c r="GJ104" s="242"/>
      <c r="GK104" s="242"/>
      <c r="GL104" s="243"/>
      <c r="GM104" s="243"/>
      <c r="GN104" s="243"/>
      <c r="GO104" s="243"/>
      <c r="GP104" s="243"/>
      <c r="GQ104" s="243"/>
      <c r="GR104" s="243"/>
      <c r="GS104" s="242"/>
      <c r="GT104" s="242"/>
      <c r="GU104" s="242"/>
      <c r="GV104" s="242"/>
      <c r="GW104" s="242"/>
      <c r="GX104" s="242"/>
      <c r="GY104" s="242"/>
      <c r="GZ104" s="243"/>
      <c r="HA104" s="243"/>
      <c r="HB104" s="243"/>
      <c r="HC104" s="243"/>
      <c r="HD104" s="243"/>
      <c r="HE104" s="243"/>
      <c r="HF104" s="243"/>
      <c r="HG104" s="242"/>
      <c r="HH104" s="242"/>
      <c r="HI104" s="242"/>
      <c r="HJ104" s="242"/>
      <c r="HK104" s="242"/>
      <c r="HL104" s="242"/>
      <c r="HM104" s="242"/>
      <c r="HN104" s="243"/>
      <c r="HO104" s="243"/>
      <c r="HP104" s="243"/>
      <c r="HQ104" s="243"/>
      <c r="HR104" s="243"/>
      <c r="HS104" s="243"/>
      <c r="HT104" s="243"/>
      <c r="HU104" s="242"/>
      <c r="HV104" s="242"/>
      <c r="HW104" s="242"/>
      <c r="HX104" s="242"/>
      <c r="HY104" s="242"/>
      <c r="HZ104" s="242"/>
      <c r="IA104" s="242"/>
      <c r="IB104" s="243"/>
      <c r="IC104" s="243"/>
      <c r="ID104" s="243"/>
      <c r="IE104" s="243"/>
      <c r="IF104" s="243"/>
      <c r="IG104" s="243"/>
      <c r="IH104" s="243"/>
      <c r="II104" s="242"/>
      <c r="IJ104" s="242"/>
      <c r="IK104" s="242"/>
      <c r="IL104" s="242"/>
      <c r="IM104" s="242"/>
      <c r="IN104" s="242"/>
      <c r="IO104" s="242"/>
      <c r="IP104" s="243"/>
      <c r="IQ104" s="243"/>
      <c r="IR104" s="243"/>
      <c r="IS104" s="243"/>
      <c r="IT104" s="243"/>
      <c r="IU104" s="243"/>
      <c r="IV104" s="243"/>
      <c r="IW104" s="242"/>
      <c r="IX104" s="242"/>
      <c r="IY104" s="242">
        <v>12</v>
      </c>
      <c r="IZ104" s="242">
        <v>24</v>
      </c>
      <c r="JA104" s="242">
        <v>24</v>
      </c>
      <c r="JB104" s="242">
        <v>24</v>
      </c>
      <c r="JC104" s="242">
        <v>24</v>
      </c>
      <c r="JD104" s="243">
        <v>24</v>
      </c>
      <c r="JE104" s="243">
        <v>24</v>
      </c>
      <c r="JF104" s="243">
        <v>24</v>
      </c>
      <c r="JG104" s="243">
        <v>24</v>
      </c>
      <c r="JH104" s="243">
        <v>24</v>
      </c>
      <c r="JI104" s="243">
        <v>24</v>
      </c>
      <c r="JJ104" s="243">
        <v>24</v>
      </c>
      <c r="JK104" s="242">
        <v>24</v>
      </c>
      <c r="JL104" s="242">
        <v>24</v>
      </c>
      <c r="JM104" s="242">
        <v>24</v>
      </c>
      <c r="JN104" s="242">
        <v>24</v>
      </c>
      <c r="JO104" s="242">
        <v>24</v>
      </c>
      <c r="JP104" s="242">
        <v>24</v>
      </c>
      <c r="JQ104" s="242">
        <v>24</v>
      </c>
      <c r="JR104" s="243">
        <v>24</v>
      </c>
      <c r="JS104" s="243">
        <v>24</v>
      </c>
      <c r="JT104" s="243">
        <v>24</v>
      </c>
      <c r="JU104" s="243">
        <v>20</v>
      </c>
      <c r="JV104" s="243">
        <v>18</v>
      </c>
      <c r="JW104" s="243">
        <v>12</v>
      </c>
      <c r="JX104" s="243">
        <v>8</v>
      </c>
      <c r="JY104" s="242">
        <v>8</v>
      </c>
      <c r="JZ104" s="242">
        <v>8</v>
      </c>
      <c r="KA104" s="242"/>
      <c r="KB104" s="242"/>
      <c r="KC104" s="242"/>
      <c r="KD104" s="242"/>
      <c r="KE104" s="242"/>
      <c r="KF104" s="243"/>
      <c r="KG104" s="243"/>
      <c r="KH104" s="243"/>
      <c r="KI104" s="243"/>
      <c r="KJ104" s="243"/>
      <c r="KK104" s="243"/>
      <c r="KL104" s="243"/>
      <c r="KM104" s="242"/>
      <c r="KN104" s="242"/>
      <c r="KO104" s="242"/>
      <c r="KP104" s="242"/>
      <c r="KQ104" s="242"/>
      <c r="KR104" s="242"/>
      <c r="KS104" s="242"/>
      <c r="KT104" s="243"/>
      <c r="KU104" s="243"/>
      <c r="KV104" s="243"/>
      <c r="KW104" s="243"/>
      <c r="KX104" s="243"/>
      <c r="KY104" s="243"/>
      <c r="KZ104" s="243"/>
      <c r="LA104" s="242"/>
      <c r="LB104" s="242"/>
      <c r="LC104" s="242"/>
      <c r="LD104" s="242"/>
      <c r="LE104" s="242"/>
      <c r="LF104" s="242"/>
      <c r="LG104" s="242"/>
      <c r="LH104" s="243"/>
      <c r="LI104" s="243"/>
      <c r="LJ104" s="243"/>
      <c r="LK104" s="243"/>
      <c r="LL104" s="243"/>
      <c r="LM104" s="243"/>
      <c r="LN104" s="243"/>
      <c r="LO104" s="242"/>
      <c r="LP104" s="242"/>
      <c r="LQ104" s="242"/>
      <c r="LR104" s="242"/>
      <c r="LS104" s="242"/>
      <c r="LT104" s="242"/>
      <c r="LU104" s="242"/>
      <c r="LV104" s="243"/>
      <c r="LW104" s="243"/>
      <c r="LX104" s="243"/>
      <c r="LY104" s="243"/>
      <c r="LZ104" s="243"/>
      <c r="MA104" s="243"/>
      <c r="MB104" s="243"/>
      <c r="MC104" s="242"/>
      <c r="MD104" s="242"/>
      <c r="ME104" s="242"/>
      <c r="MF104" s="242"/>
      <c r="MG104" s="242"/>
      <c r="MH104" s="242"/>
      <c r="MI104" s="242"/>
      <c r="MJ104" s="243"/>
      <c r="MK104" s="243"/>
      <c r="ML104" s="243"/>
      <c r="MM104" s="243"/>
      <c r="MN104" s="243"/>
      <c r="MO104" s="243"/>
      <c r="MP104" s="243"/>
      <c r="MQ104" s="242"/>
      <c r="MR104" s="242"/>
      <c r="MS104" s="242"/>
      <c r="MT104" s="242"/>
      <c r="MU104" s="242"/>
      <c r="MV104" s="242"/>
      <c r="MW104" s="242"/>
      <c r="MX104" s="243"/>
      <c r="MY104" s="243"/>
      <c r="MZ104" s="243"/>
      <c r="NA104" s="243"/>
      <c r="NB104" s="243"/>
      <c r="NC104" s="243"/>
      <c r="ND104" s="243"/>
      <c r="NE104" s="242"/>
      <c r="NF104" s="242"/>
      <c r="NG104" s="242"/>
      <c r="NH104" s="243" t="s">
        <v>1155</v>
      </c>
    </row>
    <row r="105" spans="1:372">
      <c r="A105" s="254" t="s">
        <v>984</v>
      </c>
      <c r="B105" s="239" t="s">
        <v>102</v>
      </c>
      <c r="C105" s="240" t="s">
        <v>674</v>
      </c>
      <c r="D105" s="240" t="s">
        <v>982</v>
      </c>
      <c r="E105" s="241">
        <v>0.442583333333333</v>
      </c>
      <c r="F105" s="252">
        <v>178</v>
      </c>
      <c r="G105" s="242"/>
      <c r="H105" s="242"/>
      <c r="I105" s="242"/>
      <c r="J105" s="242"/>
      <c r="K105" s="242"/>
      <c r="L105" s="243"/>
      <c r="M105" s="243"/>
      <c r="N105" s="243"/>
      <c r="O105" s="243"/>
      <c r="P105" s="243"/>
      <c r="Q105" s="243"/>
      <c r="R105" s="243"/>
      <c r="S105" s="242"/>
      <c r="T105" s="242"/>
      <c r="U105" s="242"/>
      <c r="V105" s="242"/>
      <c r="W105" s="242"/>
      <c r="X105" s="242"/>
      <c r="Y105" s="242"/>
      <c r="Z105" s="243"/>
      <c r="AA105" s="243"/>
      <c r="AB105" s="243"/>
      <c r="AC105" s="243"/>
      <c r="AD105" s="243"/>
      <c r="AE105" s="243"/>
      <c r="AF105" s="243"/>
      <c r="AG105" s="242"/>
      <c r="AH105" s="242"/>
      <c r="AI105" s="242"/>
      <c r="AJ105" s="242"/>
      <c r="AK105" s="242"/>
      <c r="AL105" s="242"/>
      <c r="AM105" s="242"/>
      <c r="AN105" s="243"/>
      <c r="AO105" s="243"/>
      <c r="AP105" s="243"/>
      <c r="AQ105" s="243"/>
      <c r="AR105" s="243"/>
      <c r="AS105" s="243"/>
      <c r="AT105" s="243"/>
      <c r="AU105" s="242"/>
      <c r="AV105" s="242"/>
      <c r="AW105" s="242"/>
      <c r="AX105" s="242"/>
      <c r="AY105" s="242"/>
      <c r="AZ105" s="242"/>
      <c r="BA105" s="242"/>
      <c r="BB105" s="243"/>
      <c r="BC105" s="243"/>
      <c r="BD105" s="243"/>
      <c r="BE105" s="243"/>
      <c r="BF105" s="243"/>
      <c r="BG105" s="243"/>
      <c r="BH105" s="243"/>
      <c r="BI105" s="242"/>
      <c r="BJ105" s="242"/>
      <c r="BK105" s="242"/>
      <c r="BL105" s="242"/>
      <c r="BM105" s="242"/>
      <c r="BN105" s="242"/>
      <c r="BO105" s="242"/>
      <c r="BP105" s="243"/>
      <c r="BQ105" s="243"/>
      <c r="BR105" s="243"/>
      <c r="BS105" s="243"/>
      <c r="BT105" s="243"/>
      <c r="BU105" s="243"/>
      <c r="BV105" s="243"/>
      <c r="BW105" s="242"/>
      <c r="BX105" s="242"/>
      <c r="BY105" s="242"/>
      <c r="BZ105" s="242"/>
      <c r="CA105" s="242"/>
      <c r="CB105" s="242"/>
      <c r="CC105" s="242"/>
      <c r="CD105" s="243"/>
      <c r="CE105" s="243"/>
      <c r="CF105" s="243"/>
      <c r="CG105" s="243"/>
      <c r="CH105" s="243"/>
      <c r="CI105" s="243"/>
      <c r="CJ105" s="243"/>
      <c r="CK105" s="242"/>
      <c r="CL105" s="242"/>
      <c r="CM105" s="242"/>
      <c r="CN105" s="242"/>
      <c r="CO105" s="242"/>
      <c r="CP105" s="242"/>
      <c r="CQ105" s="242"/>
      <c r="CR105" s="243"/>
      <c r="CS105" s="243"/>
      <c r="CT105" s="243"/>
      <c r="CU105" s="243"/>
      <c r="CV105" s="243"/>
      <c r="CW105" s="243"/>
      <c r="CX105" s="243"/>
      <c r="CY105" s="242"/>
      <c r="CZ105" s="242"/>
      <c r="DA105" s="242"/>
      <c r="DB105" s="242"/>
      <c r="DC105" s="242"/>
      <c r="DD105" s="242"/>
      <c r="DE105" s="242"/>
      <c r="DF105" s="243"/>
      <c r="DG105" s="243"/>
      <c r="DH105" s="243"/>
      <c r="DI105" s="243"/>
      <c r="DJ105" s="243"/>
      <c r="DK105" s="243"/>
      <c r="DL105" s="243"/>
      <c r="DM105" s="242"/>
      <c r="DN105" s="242"/>
      <c r="DO105" s="242"/>
      <c r="DP105" s="242"/>
      <c r="DQ105" s="242"/>
      <c r="DR105" s="242"/>
      <c r="DS105" s="242"/>
      <c r="DT105" s="243"/>
      <c r="DU105" s="243"/>
      <c r="DV105" s="243"/>
      <c r="DW105" s="243"/>
      <c r="DX105" s="243"/>
      <c r="DY105" s="243"/>
      <c r="DZ105" s="243"/>
      <c r="EA105" s="242"/>
      <c r="EB105" s="242"/>
      <c r="EC105" s="242"/>
      <c r="ED105" s="242"/>
      <c r="EE105" s="242"/>
      <c r="EF105" s="242"/>
      <c r="EG105" s="242"/>
      <c r="EH105" s="243"/>
      <c r="EI105" s="243"/>
      <c r="EJ105" s="243"/>
      <c r="EK105" s="243"/>
      <c r="EL105" s="243"/>
      <c r="EM105" s="243"/>
      <c r="EN105" s="243"/>
      <c r="EO105" s="242"/>
      <c r="EP105" s="242"/>
      <c r="EQ105" s="242"/>
      <c r="ER105" s="242"/>
      <c r="ES105" s="242"/>
      <c r="ET105" s="242"/>
      <c r="EU105" s="242"/>
      <c r="EV105" s="243"/>
      <c r="EW105" s="243"/>
      <c r="EX105" s="243"/>
      <c r="EY105" s="243"/>
      <c r="EZ105" s="243"/>
      <c r="FA105" s="243"/>
      <c r="FB105" s="243"/>
      <c r="FC105" s="242"/>
      <c r="FD105" s="242"/>
      <c r="FE105" s="242"/>
      <c r="FF105" s="242"/>
      <c r="FG105" s="242"/>
      <c r="FH105" s="242"/>
      <c r="FI105" s="242"/>
      <c r="FJ105" s="243"/>
      <c r="FK105" s="243"/>
      <c r="FL105" s="243"/>
      <c r="FM105" s="243"/>
      <c r="FN105" s="243"/>
      <c r="FO105" s="243"/>
      <c r="FP105" s="243"/>
      <c r="FQ105" s="242"/>
      <c r="FR105" s="242"/>
      <c r="FS105" s="242"/>
      <c r="FT105" s="242"/>
      <c r="FU105" s="242"/>
      <c r="FV105" s="242"/>
      <c r="FW105" s="242"/>
      <c r="FX105" s="243"/>
      <c r="FY105" s="243"/>
      <c r="FZ105" s="243"/>
      <c r="GA105" s="243"/>
      <c r="GB105" s="243"/>
      <c r="GC105" s="243"/>
      <c r="GD105" s="243"/>
      <c r="GE105" s="242"/>
      <c r="GF105" s="242"/>
      <c r="GG105" s="242"/>
      <c r="GH105" s="242"/>
      <c r="GI105" s="242"/>
      <c r="GJ105" s="242"/>
      <c r="GK105" s="242"/>
      <c r="GL105" s="243"/>
      <c r="GM105" s="243"/>
      <c r="GN105" s="243"/>
      <c r="GO105" s="243"/>
      <c r="GP105" s="243"/>
      <c r="GQ105" s="243"/>
      <c r="GR105" s="243"/>
      <c r="GS105" s="242"/>
      <c r="GT105" s="242"/>
      <c r="GU105" s="242"/>
      <c r="GV105" s="242"/>
      <c r="GW105" s="242"/>
      <c r="GX105" s="242"/>
      <c r="GY105" s="242"/>
      <c r="GZ105" s="243"/>
      <c r="HA105" s="243"/>
      <c r="HB105" s="243"/>
      <c r="HC105" s="243"/>
      <c r="HD105" s="243"/>
      <c r="HE105" s="243"/>
      <c r="HF105" s="243"/>
      <c r="HG105" s="242"/>
      <c r="HH105" s="242"/>
      <c r="HI105" s="242"/>
      <c r="HJ105" s="242"/>
      <c r="HK105" s="242"/>
      <c r="HL105" s="242"/>
      <c r="HM105" s="242"/>
      <c r="HN105" s="243"/>
      <c r="HO105" s="243"/>
      <c r="HP105" s="243"/>
      <c r="HQ105" s="243"/>
      <c r="HR105" s="243"/>
      <c r="HS105" s="243"/>
      <c r="HT105" s="243"/>
      <c r="HU105" s="242"/>
      <c r="HV105" s="242"/>
      <c r="HW105" s="242"/>
      <c r="HX105" s="242"/>
      <c r="HY105" s="242"/>
      <c r="HZ105" s="242"/>
      <c r="IA105" s="242"/>
      <c r="IB105" s="243"/>
      <c r="IC105" s="243"/>
      <c r="ID105" s="243"/>
      <c r="IE105" s="243"/>
      <c r="IF105" s="243"/>
      <c r="IG105" s="243"/>
      <c r="IH105" s="243"/>
      <c r="II105" s="242"/>
      <c r="IJ105" s="242"/>
      <c r="IK105" s="242"/>
      <c r="IL105" s="242"/>
      <c r="IM105" s="242"/>
      <c r="IN105" s="242"/>
      <c r="IO105" s="242"/>
      <c r="IP105" s="243"/>
      <c r="IQ105" s="243"/>
      <c r="IR105" s="243"/>
      <c r="IS105" s="243"/>
      <c r="IT105" s="243"/>
      <c r="IU105" s="243"/>
      <c r="IV105" s="243"/>
      <c r="IW105" s="242"/>
      <c r="IX105" s="242"/>
      <c r="IY105" s="242"/>
      <c r="IZ105" s="242"/>
      <c r="JA105" s="242"/>
      <c r="JB105" s="242">
        <v>5</v>
      </c>
      <c r="JC105" s="242">
        <v>12</v>
      </c>
      <c r="JD105" s="243">
        <v>24</v>
      </c>
      <c r="JE105" s="243">
        <v>24</v>
      </c>
      <c r="JF105" s="243">
        <v>24</v>
      </c>
      <c r="JG105" s="243">
        <v>24</v>
      </c>
      <c r="JH105" s="243">
        <v>24</v>
      </c>
      <c r="JI105" s="243">
        <v>24</v>
      </c>
      <c r="JJ105" s="243">
        <v>12</v>
      </c>
      <c r="JK105" s="242">
        <v>5</v>
      </c>
      <c r="JL105" s="242"/>
      <c r="JM105" s="242"/>
      <c r="JN105" s="242"/>
      <c r="JO105" s="242"/>
      <c r="JP105" s="242"/>
      <c r="JQ105" s="242"/>
      <c r="JR105" s="243"/>
      <c r="JS105" s="243"/>
      <c r="JT105" s="243"/>
      <c r="JU105" s="243"/>
      <c r="JV105" s="243"/>
      <c r="JW105" s="243"/>
      <c r="JX105" s="243"/>
      <c r="JY105" s="242"/>
      <c r="JZ105" s="242"/>
      <c r="KA105" s="242"/>
      <c r="KB105" s="242"/>
      <c r="KC105" s="242"/>
      <c r="KD105" s="242"/>
      <c r="KE105" s="242"/>
      <c r="KF105" s="243"/>
      <c r="KG105" s="243"/>
      <c r="KH105" s="243"/>
      <c r="KI105" s="243"/>
      <c r="KJ105" s="243"/>
      <c r="KK105" s="243"/>
      <c r="KL105" s="243"/>
      <c r="KM105" s="242"/>
      <c r="KN105" s="242"/>
      <c r="KO105" s="242"/>
      <c r="KP105" s="242"/>
      <c r="KQ105" s="242"/>
      <c r="KR105" s="242"/>
      <c r="KS105" s="242"/>
      <c r="KT105" s="243"/>
      <c r="KU105" s="243"/>
      <c r="KV105" s="243"/>
      <c r="KW105" s="243"/>
      <c r="KX105" s="243"/>
      <c r="KY105" s="243"/>
      <c r="KZ105" s="243"/>
      <c r="LA105" s="242"/>
      <c r="LB105" s="242"/>
      <c r="LC105" s="242"/>
      <c r="LD105" s="242"/>
      <c r="LE105" s="242"/>
      <c r="LF105" s="242"/>
      <c r="LG105" s="242"/>
      <c r="LH105" s="243"/>
      <c r="LI105" s="243"/>
      <c r="LJ105" s="243"/>
      <c r="LK105" s="243"/>
      <c r="LL105" s="243"/>
      <c r="LM105" s="243"/>
      <c r="LN105" s="243"/>
      <c r="LO105" s="242"/>
      <c r="LP105" s="242"/>
      <c r="LQ105" s="242"/>
      <c r="LR105" s="242"/>
      <c r="LS105" s="242"/>
      <c r="LT105" s="242"/>
      <c r="LU105" s="242"/>
      <c r="LV105" s="243"/>
      <c r="LW105" s="243"/>
      <c r="LX105" s="243"/>
      <c r="LY105" s="243"/>
      <c r="LZ105" s="243"/>
      <c r="MA105" s="243"/>
      <c r="MB105" s="243"/>
      <c r="MC105" s="242"/>
      <c r="MD105" s="242"/>
      <c r="ME105" s="242"/>
      <c r="MF105" s="242"/>
      <c r="MG105" s="242"/>
      <c r="MH105" s="242"/>
      <c r="MI105" s="242"/>
      <c r="MJ105" s="243"/>
      <c r="MK105" s="243"/>
      <c r="ML105" s="243"/>
      <c r="MM105" s="243"/>
      <c r="MN105" s="243"/>
      <c r="MO105" s="243"/>
      <c r="MP105" s="243"/>
      <c r="MQ105" s="242"/>
      <c r="MR105" s="242"/>
      <c r="MS105" s="242"/>
      <c r="MT105" s="242"/>
      <c r="MU105" s="242"/>
      <c r="MV105" s="242"/>
      <c r="MW105" s="242"/>
      <c r="MX105" s="243"/>
      <c r="MY105" s="243"/>
      <c r="MZ105" s="243"/>
      <c r="NA105" s="243"/>
      <c r="NB105" s="243"/>
      <c r="NC105" s="243"/>
      <c r="ND105" s="243"/>
      <c r="NE105" s="242"/>
      <c r="NF105" s="242"/>
      <c r="NG105" s="242"/>
      <c r="NH105" s="243" t="s">
        <v>1156</v>
      </c>
    </row>
    <row r="106" spans="1:372">
      <c r="A106" s="254" t="s">
        <v>984</v>
      </c>
      <c r="B106" s="239" t="s">
        <v>103</v>
      </c>
      <c r="C106" s="240" t="s">
        <v>674</v>
      </c>
      <c r="D106" s="240" t="s">
        <v>982</v>
      </c>
      <c r="E106" s="241">
        <v>0</v>
      </c>
      <c r="F106" s="252">
        <v>178</v>
      </c>
      <c r="G106" s="242"/>
      <c r="H106" s="242"/>
      <c r="I106" s="242"/>
      <c r="J106" s="242"/>
      <c r="K106" s="242"/>
      <c r="L106" s="243"/>
      <c r="M106" s="243"/>
      <c r="N106" s="243"/>
      <c r="O106" s="243"/>
      <c r="P106" s="243"/>
      <c r="Q106" s="243"/>
      <c r="R106" s="243"/>
      <c r="S106" s="242"/>
      <c r="T106" s="242"/>
      <c r="U106" s="242"/>
      <c r="V106" s="242"/>
      <c r="W106" s="242"/>
      <c r="X106" s="242"/>
      <c r="Y106" s="242"/>
      <c r="Z106" s="243"/>
      <c r="AA106" s="243"/>
      <c r="AB106" s="243"/>
      <c r="AC106" s="243"/>
      <c r="AD106" s="243"/>
      <c r="AE106" s="243"/>
      <c r="AF106" s="243"/>
      <c r="AG106" s="242"/>
      <c r="AH106" s="242"/>
      <c r="AI106" s="242"/>
      <c r="AJ106" s="242"/>
      <c r="AK106" s="242"/>
      <c r="AL106" s="242"/>
      <c r="AM106" s="242"/>
      <c r="AN106" s="243"/>
      <c r="AO106" s="243"/>
      <c r="AP106" s="243"/>
      <c r="AQ106" s="243"/>
      <c r="AR106" s="243"/>
      <c r="AS106" s="243"/>
      <c r="AT106" s="243"/>
      <c r="AU106" s="242"/>
      <c r="AV106" s="242"/>
      <c r="AW106" s="242"/>
      <c r="AX106" s="242"/>
      <c r="AY106" s="242"/>
      <c r="AZ106" s="242"/>
      <c r="BA106" s="242"/>
      <c r="BB106" s="243"/>
      <c r="BC106" s="243"/>
      <c r="BD106" s="243"/>
      <c r="BE106" s="243"/>
      <c r="BF106" s="243"/>
      <c r="BG106" s="243"/>
      <c r="BH106" s="243"/>
      <c r="BI106" s="242"/>
      <c r="BJ106" s="242"/>
      <c r="BK106" s="242"/>
      <c r="BL106" s="242"/>
      <c r="BM106" s="242"/>
      <c r="BN106" s="242"/>
      <c r="BO106" s="242"/>
      <c r="BP106" s="243"/>
      <c r="BQ106" s="243"/>
      <c r="BR106" s="243"/>
      <c r="BS106" s="243"/>
      <c r="BT106" s="243"/>
      <c r="BU106" s="243"/>
      <c r="BV106" s="243"/>
      <c r="BW106" s="242"/>
      <c r="BX106" s="242"/>
      <c r="BY106" s="242"/>
      <c r="BZ106" s="242"/>
      <c r="CA106" s="242"/>
      <c r="CB106" s="242"/>
      <c r="CC106" s="242"/>
      <c r="CD106" s="243"/>
      <c r="CE106" s="243"/>
      <c r="CF106" s="243"/>
      <c r="CG106" s="243"/>
      <c r="CH106" s="243"/>
      <c r="CI106" s="243"/>
      <c r="CJ106" s="243"/>
      <c r="CK106" s="242"/>
      <c r="CL106" s="242"/>
      <c r="CM106" s="242"/>
      <c r="CN106" s="242"/>
      <c r="CO106" s="242"/>
      <c r="CP106" s="242"/>
      <c r="CQ106" s="242"/>
      <c r="CR106" s="243"/>
      <c r="CS106" s="243"/>
      <c r="CT106" s="243"/>
      <c r="CU106" s="243"/>
      <c r="CV106" s="243"/>
      <c r="CW106" s="243"/>
      <c r="CX106" s="243"/>
      <c r="CY106" s="242"/>
      <c r="CZ106" s="242"/>
      <c r="DA106" s="242"/>
      <c r="DB106" s="242"/>
      <c r="DC106" s="242"/>
      <c r="DD106" s="242"/>
      <c r="DE106" s="242"/>
      <c r="DF106" s="243"/>
      <c r="DG106" s="243"/>
      <c r="DH106" s="243"/>
      <c r="DI106" s="243"/>
      <c r="DJ106" s="243"/>
      <c r="DK106" s="243"/>
      <c r="DL106" s="243"/>
      <c r="DM106" s="242"/>
      <c r="DN106" s="242"/>
      <c r="DO106" s="242"/>
      <c r="DP106" s="242"/>
      <c r="DQ106" s="242"/>
      <c r="DR106" s="242"/>
      <c r="DS106" s="242"/>
      <c r="DT106" s="243"/>
      <c r="DU106" s="243"/>
      <c r="DV106" s="243"/>
      <c r="DW106" s="243"/>
      <c r="DX106" s="243"/>
      <c r="DY106" s="243"/>
      <c r="DZ106" s="243"/>
      <c r="EA106" s="242"/>
      <c r="EB106" s="242"/>
      <c r="EC106" s="242"/>
      <c r="ED106" s="242"/>
      <c r="EE106" s="242"/>
      <c r="EF106" s="242"/>
      <c r="EG106" s="242"/>
      <c r="EH106" s="243"/>
      <c r="EI106" s="243"/>
      <c r="EJ106" s="243"/>
      <c r="EK106" s="243"/>
      <c r="EL106" s="243"/>
      <c r="EM106" s="243"/>
      <c r="EN106" s="243"/>
      <c r="EO106" s="242"/>
      <c r="EP106" s="242"/>
      <c r="EQ106" s="242"/>
      <c r="ER106" s="242"/>
      <c r="ES106" s="242"/>
      <c r="ET106" s="242"/>
      <c r="EU106" s="242"/>
      <c r="EV106" s="243"/>
      <c r="EW106" s="243"/>
      <c r="EX106" s="243"/>
      <c r="EY106" s="243"/>
      <c r="EZ106" s="243"/>
      <c r="FA106" s="243"/>
      <c r="FB106" s="243"/>
      <c r="FC106" s="242"/>
      <c r="FD106" s="242"/>
      <c r="FE106" s="242"/>
      <c r="FF106" s="242"/>
      <c r="FG106" s="242"/>
      <c r="FH106" s="242"/>
      <c r="FI106" s="242"/>
      <c r="FJ106" s="243"/>
      <c r="FK106" s="243"/>
      <c r="FL106" s="243"/>
      <c r="FM106" s="243"/>
      <c r="FN106" s="243"/>
      <c r="FO106" s="243"/>
      <c r="FP106" s="243"/>
      <c r="FQ106" s="242"/>
      <c r="FR106" s="242"/>
      <c r="FS106" s="242"/>
      <c r="FT106" s="242"/>
      <c r="FU106" s="242"/>
      <c r="FV106" s="242"/>
      <c r="FW106" s="242"/>
      <c r="FX106" s="243"/>
      <c r="FY106" s="243"/>
      <c r="FZ106" s="243"/>
      <c r="GA106" s="243"/>
      <c r="GB106" s="243"/>
      <c r="GC106" s="243"/>
      <c r="GD106" s="243"/>
      <c r="GE106" s="242"/>
      <c r="GF106" s="242"/>
      <c r="GG106" s="242"/>
      <c r="GH106" s="242"/>
      <c r="GI106" s="242"/>
      <c r="GJ106" s="242"/>
      <c r="GK106" s="242"/>
      <c r="GL106" s="243"/>
      <c r="GM106" s="243"/>
      <c r="GN106" s="243"/>
      <c r="GO106" s="243"/>
      <c r="GP106" s="243"/>
      <c r="GQ106" s="243"/>
      <c r="GR106" s="243"/>
      <c r="GS106" s="242"/>
      <c r="GT106" s="242"/>
      <c r="GU106" s="242"/>
      <c r="GV106" s="242"/>
      <c r="GW106" s="242"/>
      <c r="GX106" s="242"/>
      <c r="GY106" s="242"/>
      <c r="GZ106" s="243"/>
      <c r="HA106" s="243"/>
      <c r="HB106" s="243"/>
      <c r="HC106" s="243"/>
      <c r="HD106" s="243"/>
      <c r="HE106" s="243"/>
      <c r="HF106" s="243"/>
      <c r="HG106" s="242"/>
      <c r="HH106" s="242"/>
      <c r="HI106" s="242"/>
      <c r="HJ106" s="242"/>
      <c r="HK106" s="242"/>
      <c r="HL106" s="242"/>
      <c r="HM106" s="242"/>
      <c r="HN106" s="243"/>
      <c r="HO106" s="243"/>
      <c r="HP106" s="243"/>
      <c r="HQ106" s="243"/>
      <c r="HR106" s="243"/>
      <c r="HS106" s="243"/>
      <c r="HT106" s="243"/>
      <c r="HU106" s="242"/>
      <c r="HV106" s="242"/>
      <c r="HW106" s="242"/>
      <c r="HX106" s="242"/>
      <c r="HY106" s="242"/>
      <c r="HZ106" s="242"/>
      <c r="IA106" s="242"/>
      <c r="IB106" s="243"/>
      <c r="IC106" s="243"/>
      <c r="ID106" s="243"/>
      <c r="IE106" s="243"/>
      <c r="IF106" s="243"/>
      <c r="IG106" s="243"/>
      <c r="IH106" s="243"/>
      <c r="II106" s="242"/>
      <c r="IJ106" s="242"/>
      <c r="IK106" s="242"/>
      <c r="IL106" s="242"/>
      <c r="IM106" s="242"/>
      <c r="IN106" s="242"/>
      <c r="IO106" s="242"/>
      <c r="IP106" s="243"/>
      <c r="IQ106" s="243"/>
      <c r="IR106" s="243"/>
      <c r="IS106" s="243"/>
      <c r="IT106" s="243"/>
      <c r="IU106" s="243"/>
      <c r="IV106" s="243"/>
      <c r="IW106" s="242"/>
      <c r="IX106" s="242"/>
      <c r="IY106" s="242"/>
      <c r="IZ106" s="242"/>
      <c r="JA106" s="242"/>
      <c r="JB106" s="242">
        <v>5</v>
      </c>
      <c r="JC106" s="242">
        <v>12</v>
      </c>
      <c r="JD106" s="243">
        <v>24</v>
      </c>
      <c r="JE106" s="243">
        <v>24</v>
      </c>
      <c r="JF106" s="243">
        <v>24</v>
      </c>
      <c r="JG106" s="243">
        <v>24</v>
      </c>
      <c r="JH106" s="243">
        <v>24</v>
      </c>
      <c r="JI106" s="243">
        <v>24</v>
      </c>
      <c r="JJ106" s="243">
        <v>12</v>
      </c>
      <c r="JK106" s="242">
        <v>5</v>
      </c>
      <c r="JL106" s="242"/>
      <c r="JM106" s="242"/>
      <c r="JN106" s="242"/>
      <c r="JO106" s="242"/>
      <c r="JP106" s="242"/>
      <c r="JQ106" s="242"/>
      <c r="JR106" s="243"/>
      <c r="JS106" s="243"/>
      <c r="JT106" s="243"/>
      <c r="JU106" s="243"/>
      <c r="JV106" s="243"/>
      <c r="JW106" s="243"/>
      <c r="JX106" s="243"/>
      <c r="JY106" s="242"/>
      <c r="JZ106" s="242"/>
      <c r="KA106" s="242"/>
      <c r="KB106" s="242"/>
      <c r="KC106" s="242"/>
      <c r="KD106" s="242"/>
      <c r="KE106" s="242"/>
      <c r="KF106" s="243"/>
      <c r="KG106" s="243"/>
      <c r="KH106" s="243"/>
      <c r="KI106" s="243"/>
      <c r="KJ106" s="243"/>
      <c r="KK106" s="243"/>
      <c r="KL106" s="243"/>
      <c r="KM106" s="242"/>
      <c r="KN106" s="242"/>
      <c r="KO106" s="242"/>
      <c r="KP106" s="242"/>
      <c r="KQ106" s="242"/>
      <c r="KR106" s="242"/>
      <c r="KS106" s="242"/>
      <c r="KT106" s="243"/>
      <c r="KU106" s="243"/>
      <c r="KV106" s="243"/>
      <c r="KW106" s="243"/>
      <c r="KX106" s="243"/>
      <c r="KY106" s="243"/>
      <c r="KZ106" s="243"/>
      <c r="LA106" s="242"/>
      <c r="LB106" s="242"/>
      <c r="LC106" s="242"/>
      <c r="LD106" s="242"/>
      <c r="LE106" s="242"/>
      <c r="LF106" s="242"/>
      <c r="LG106" s="242"/>
      <c r="LH106" s="243"/>
      <c r="LI106" s="243"/>
      <c r="LJ106" s="243"/>
      <c r="LK106" s="243"/>
      <c r="LL106" s="243"/>
      <c r="LM106" s="243"/>
      <c r="LN106" s="243"/>
      <c r="LO106" s="242"/>
      <c r="LP106" s="242"/>
      <c r="LQ106" s="242"/>
      <c r="LR106" s="242"/>
      <c r="LS106" s="242"/>
      <c r="LT106" s="242"/>
      <c r="LU106" s="242"/>
      <c r="LV106" s="243"/>
      <c r="LW106" s="243"/>
      <c r="LX106" s="243"/>
      <c r="LY106" s="243"/>
      <c r="LZ106" s="243"/>
      <c r="MA106" s="243"/>
      <c r="MB106" s="243"/>
      <c r="MC106" s="242"/>
      <c r="MD106" s="242"/>
      <c r="ME106" s="242"/>
      <c r="MF106" s="242"/>
      <c r="MG106" s="242"/>
      <c r="MH106" s="242"/>
      <c r="MI106" s="242"/>
      <c r="MJ106" s="243"/>
      <c r="MK106" s="243"/>
      <c r="ML106" s="243"/>
      <c r="MM106" s="243"/>
      <c r="MN106" s="243"/>
      <c r="MO106" s="243"/>
      <c r="MP106" s="243"/>
      <c r="MQ106" s="242"/>
      <c r="MR106" s="242"/>
      <c r="MS106" s="242"/>
      <c r="MT106" s="242"/>
      <c r="MU106" s="242"/>
      <c r="MV106" s="242"/>
      <c r="MW106" s="242"/>
      <c r="MX106" s="243"/>
      <c r="MY106" s="243"/>
      <c r="MZ106" s="243"/>
      <c r="NA106" s="243"/>
      <c r="NB106" s="243"/>
      <c r="NC106" s="243"/>
      <c r="ND106" s="243"/>
      <c r="NE106" s="242"/>
      <c r="NF106" s="242"/>
      <c r="NG106" s="242"/>
      <c r="NH106" s="243" t="s">
        <v>1156</v>
      </c>
    </row>
    <row r="107" spans="1:372">
      <c r="A107" s="254" t="s">
        <v>984</v>
      </c>
      <c r="B107" s="239" t="s">
        <v>104</v>
      </c>
      <c r="C107" s="240" t="s">
        <v>674</v>
      </c>
      <c r="D107" s="240" t="s">
        <v>982</v>
      </c>
      <c r="E107" s="241">
        <v>0.90866666666666696</v>
      </c>
      <c r="F107" s="252">
        <v>178</v>
      </c>
      <c r="G107" s="242"/>
      <c r="H107" s="242"/>
      <c r="I107" s="242"/>
      <c r="J107" s="242"/>
      <c r="K107" s="242"/>
      <c r="L107" s="243"/>
      <c r="M107" s="243"/>
      <c r="N107" s="243"/>
      <c r="O107" s="243"/>
      <c r="P107" s="243"/>
      <c r="Q107" s="243"/>
      <c r="R107" s="243"/>
      <c r="S107" s="242"/>
      <c r="T107" s="242"/>
      <c r="U107" s="242"/>
      <c r="V107" s="242"/>
      <c r="W107" s="242"/>
      <c r="X107" s="242"/>
      <c r="Y107" s="242"/>
      <c r="Z107" s="243"/>
      <c r="AA107" s="243"/>
      <c r="AB107" s="243"/>
      <c r="AC107" s="243"/>
      <c r="AD107" s="243"/>
      <c r="AE107" s="243"/>
      <c r="AF107" s="243"/>
      <c r="AG107" s="242"/>
      <c r="AH107" s="242"/>
      <c r="AI107" s="242"/>
      <c r="AJ107" s="242"/>
      <c r="AK107" s="242"/>
      <c r="AL107" s="242"/>
      <c r="AM107" s="242"/>
      <c r="AN107" s="243"/>
      <c r="AO107" s="243"/>
      <c r="AP107" s="243"/>
      <c r="AQ107" s="243"/>
      <c r="AR107" s="243"/>
      <c r="AS107" s="243"/>
      <c r="AT107" s="243"/>
      <c r="AU107" s="242"/>
      <c r="AV107" s="242"/>
      <c r="AW107" s="242"/>
      <c r="AX107" s="242"/>
      <c r="AY107" s="242"/>
      <c r="AZ107" s="242"/>
      <c r="BA107" s="242"/>
      <c r="BB107" s="243"/>
      <c r="BC107" s="243"/>
      <c r="BD107" s="243"/>
      <c r="BE107" s="243"/>
      <c r="BF107" s="243"/>
      <c r="BG107" s="243"/>
      <c r="BH107" s="243"/>
      <c r="BI107" s="242"/>
      <c r="BJ107" s="242"/>
      <c r="BK107" s="242"/>
      <c r="BL107" s="242"/>
      <c r="BM107" s="242"/>
      <c r="BN107" s="242"/>
      <c r="BO107" s="242"/>
      <c r="BP107" s="243"/>
      <c r="BQ107" s="243"/>
      <c r="BR107" s="243"/>
      <c r="BS107" s="243"/>
      <c r="BT107" s="243"/>
      <c r="BU107" s="243"/>
      <c r="BV107" s="243"/>
      <c r="BW107" s="242"/>
      <c r="BX107" s="242"/>
      <c r="BY107" s="242"/>
      <c r="BZ107" s="242"/>
      <c r="CA107" s="242"/>
      <c r="CB107" s="242"/>
      <c r="CC107" s="242"/>
      <c r="CD107" s="243"/>
      <c r="CE107" s="243"/>
      <c r="CF107" s="243"/>
      <c r="CG107" s="243"/>
      <c r="CH107" s="243"/>
      <c r="CI107" s="243"/>
      <c r="CJ107" s="243"/>
      <c r="CK107" s="242"/>
      <c r="CL107" s="242"/>
      <c r="CM107" s="242"/>
      <c r="CN107" s="242"/>
      <c r="CO107" s="242"/>
      <c r="CP107" s="242"/>
      <c r="CQ107" s="242"/>
      <c r="CR107" s="243"/>
      <c r="CS107" s="243"/>
      <c r="CT107" s="243"/>
      <c r="CU107" s="243"/>
      <c r="CV107" s="243"/>
      <c r="CW107" s="243"/>
      <c r="CX107" s="243"/>
      <c r="CY107" s="242"/>
      <c r="CZ107" s="242"/>
      <c r="DA107" s="242"/>
      <c r="DB107" s="242"/>
      <c r="DC107" s="242"/>
      <c r="DD107" s="242"/>
      <c r="DE107" s="242"/>
      <c r="DF107" s="243"/>
      <c r="DG107" s="243"/>
      <c r="DH107" s="243"/>
      <c r="DI107" s="243"/>
      <c r="DJ107" s="243"/>
      <c r="DK107" s="243"/>
      <c r="DL107" s="243"/>
      <c r="DM107" s="242"/>
      <c r="DN107" s="242"/>
      <c r="DO107" s="242"/>
      <c r="DP107" s="242"/>
      <c r="DQ107" s="242"/>
      <c r="DR107" s="242"/>
      <c r="DS107" s="242"/>
      <c r="DT107" s="243"/>
      <c r="DU107" s="243"/>
      <c r="DV107" s="243"/>
      <c r="DW107" s="243"/>
      <c r="DX107" s="243"/>
      <c r="DY107" s="243"/>
      <c r="DZ107" s="243"/>
      <c r="EA107" s="242"/>
      <c r="EB107" s="242"/>
      <c r="EC107" s="242"/>
      <c r="ED107" s="242"/>
      <c r="EE107" s="242"/>
      <c r="EF107" s="242"/>
      <c r="EG107" s="242"/>
      <c r="EH107" s="243"/>
      <c r="EI107" s="243"/>
      <c r="EJ107" s="243"/>
      <c r="EK107" s="243"/>
      <c r="EL107" s="243"/>
      <c r="EM107" s="243"/>
      <c r="EN107" s="243"/>
      <c r="EO107" s="242"/>
      <c r="EP107" s="242"/>
      <c r="EQ107" s="242"/>
      <c r="ER107" s="242"/>
      <c r="ES107" s="242"/>
      <c r="ET107" s="242"/>
      <c r="EU107" s="242"/>
      <c r="EV107" s="243"/>
      <c r="EW107" s="243"/>
      <c r="EX107" s="243"/>
      <c r="EY107" s="243"/>
      <c r="EZ107" s="243"/>
      <c r="FA107" s="243"/>
      <c r="FB107" s="243"/>
      <c r="FC107" s="242"/>
      <c r="FD107" s="242"/>
      <c r="FE107" s="242"/>
      <c r="FF107" s="242"/>
      <c r="FG107" s="242"/>
      <c r="FH107" s="242"/>
      <c r="FI107" s="242"/>
      <c r="FJ107" s="243"/>
      <c r="FK107" s="243"/>
      <c r="FL107" s="243"/>
      <c r="FM107" s="243"/>
      <c r="FN107" s="243"/>
      <c r="FO107" s="243"/>
      <c r="FP107" s="243"/>
      <c r="FQ107" s="242"/>
      <c r="FR107" s="242"/>
      <c r="FS107" s="242"/>
      <c r="FT107" s="242"/>
      <c r="FU107" s="242"/>
      <c r="FV107" s="242"/>
      <c r="FW107" s="242"/>
      <c r="FX107" s="243"/>
      <c r="FY107" s="243"/>
      <c r="FZ107" s="243"/>
      <c r="GA107" s="243"/>
      <c r="GB107" s="243"/>
      <c r="GC107" s="243"/>
      <c r="GD107" s="243"/>
      <c r="GE107" s="242"/>
      <c r="GF107" s="242"/>
      <c r="GG107" s="242"/>
      <c r="GH107" s="242"/>
      <c r="GI107" s="242"/>
      <c r="GJ107" s="242"/>
      <c r="GK107" s="242"/>
      <c r="GL107" s="243"/>
      <c r="GM107" s="243"/>
      <c r="GN107" s="243"/>
      <c r="GO107" s="243"/>
      <c r="GP107" s="243"/>
      <c r="GQ107" s="243"/>
      <c r="GR107" s="243"/>
      <c r="GS107" s="242"/>
      <c r="GT107" s="242"/>
      <c r="GU107" s="242"/>
      <c r="GV107" s="242"/>
      <c r="GW107" s="242"/>
      <c r="GX107" s="242"/>
      <c r="GY107" s="242"/>
      <c r="GZ107" s="243"/>
      <c r="HA107" s="243"/>
      <c r="HB107" s="243"/>
      <c r="HC107" s="243"/>
      <c r="HD107" s="243"/>
      <c r="HE107" s="243"/>
      <c r="HF107" s="243"/>
      <c r="HG107" s="242"/>
      <c r="HH107" s="242"/>
      <c r="HI107" s="242"/>
      <c r="HJ107" s="242"/>
      <c r="HK107" s="242"/>
      <c r="HL107" s="242"/>
      <c r="HM107" s="242"/>
      <c r="HN107" s="243"/>
      <c r="HO107" s="243"/>
      <c r="HP107" s="243"/>
      <c r="HQ107" s="243"/>
      <c r="HR107" s="243"/>
      <c r="HS107" s="243"/>
      <c r="HT107" s="243"/>
      <c r="HU107" s="242"/>
      <c r="HV107" s="242"/>
      <c r="HW107" s="242"/>
      <c r="HX107" s="242"/>
      <c r="HY107" s="242"/>
      <c r="HZ107" s="242"/>
      <c r="IA107" s="242"/>
      <c r="IB107" s="243"/>
      <c r="IC107" s="243"/>
      <c r="ID107" s="243"/>
      <c r="IE107" s="243"/>
      <c r="IF107" s="243"/>
      <c r="IG107" s="243"/>
      <c r="IH107" s="243"/>
      <c r="II107" s="242"/>
      <c r="IJ107" s="242"/>
      <c r="IK107" s="242"/>
      <c r="IL107" s="242"/>
      <c r="IM107" s="242"/>
      <c r="IN107" s="242"/>
      <c r="IO107" s="242"/>
      <c r="IP107" s="243"/>
      <c r="IQ107" s="243"/>
      <c r="IR107" s="243"/>
      <c r="IS107" s="243"/>
      <c r="IT107" s="243"/>
      <c r="IU107" s="243"/>
      <c r="IV107" s="243"/>
      <c r="IW107" s="242"/>
      <c r="IX107" s="242"/>
      <c r="IY107" s="242"/>
      <c r="IZ107" s="242"/>
      <c r="JA107" s="242"/>
      <c r="JB107" s="242">
        <v>5</v>
      </c>
      <c r="JC107" s="242">
        <v>12</v>
      </c>
      <c r="JD107" s="243">
        <v>24</v>
      </c>
      <c r="JE107" s="243">
        <v>24</v>
      </c>
      <c r="JF107" s="243">
        <v>24</v>
      </c>
      <c r="JG107" s="243">
        <v>24</v>
      </c>
      <c r="JH107" s="243">
        <v>24</v>
      </c>
      <c r="JI107" s="243">
        <v>24</v>
      </c>
      <c r="JJ107" s="243">
        <v>12</v>
      </c>
      <c r="JK107" s="242">
        <v>5</v>
      </c>
      <c r="JL107" s="242"/>
      <c r="JM107" s="242"/>
      <c r="JN107" s="242"/>
      <c r="JO107" s="242"/>
      <c r="JP107" s="242"/>
      <c r="JQ107" s="242"/>
      <c r="JR107" s="243"/>
      <c r="JS107" s="243"/>
      <c r="JT107" s="243"/>
      <c r="JU107" s="243"/>
      <c r="JV107" s="243"/>
      <c r="JW107" s="243"/>
      <c r="JX107" s="243"/>
      <c r="JY107" s="242"/>
      <c r="JZ107" s="242"/>
      <c r="KA107" s="242"/>
      <c r="KB107" s="242"/>
      <c r="KC107" s="242"/>
      <c r="KD107" s="242"/>
      <c r="KE107" s="242"/>
      <c r="KF107" s="243"/>
      <c r="KG107" s="243"/>
      <c r="KH107" s="243"/>
      <c r="KI107" s="243"/>
      <c r="KJ107" s="243"/>
      <c r="KK107" s="243"/>
      <c r="KL107" s="243"/>
      <c r="KM107" s="242"/>
      <c r="KN107" s="242"/>
      <c r="KO107" s="242"/>
      <c r="KP107" s="242"/>
      <c r="KQ107" s="242"/>
      <c r="KR107" s="242"/>
      <c r="KS107" s="242"/>
      <c r="KT107" s="243"/>
      <c r="KU107" s="243"/>
      <c r="KV107" s="243"/>
      <c r="KW107" s="243"/>
      <c r="KX107" s="243"/>
      <c r="KY107" s="243"/>
      <c r="KZ107" s="243"/>
      <c r="LA107" s="242"/>
      <c r="LB107" s="242"/>
      <c r="LC107" s="242"/>
      <c r="LD107" s="242"/>
      <c r="LE107" s="242"/>
      <c r="LF107" s="242"/>
      <c r="LG107" s="242"/>
      <c r="LH107" s="243"/>
      <c r="LI107" s="243"/>
      <c r="LJ107" s="243"/>
      <c r="LK107" s="243"/>
      <c r="LL107" s="243"/>
      <c r="LM107" s="243"/>
      <c r="LN107" s="243"/>
      <c r="LO107" s="242"/>
      <c r="LP107" s="242"/>
      <c r="LQ107" s="242"/>
      <c r="LR107" s="242"/>
      <c r="LS107" s="242"/>
      <c r="LT107" s="242"/>
      <c r="LU107" s="242"/>
      <c r="LV107" s="243"/>
      <c r="LW107" s="243"/>
      <c r="LX107" s="243"/>
      <c r="LY107" s="243"/>
      <c r="LZ107" s="243"/>
      <c r="MA107" s="243"/>
      <c r="MB107" s="243"/>
      <c r="MC107" s="242"/>
      <c r="MD107" s="242"/>
      <c r="ME107" s="242"/>
      <c r="MF107" s="242"/>
      <c r="MG107" s="242"/>
      <c r="MH107" s="242"/>
      <c r="MI107" s="242"/>
      <c r="MJ107" s="243"/>
      <c r="MK107" s="243"/>
      <c r="ML107" s="243"/>
      <c r="MM107" s="243"/>
      <c r="MN107" s="243"/>
      <c r="MO107" s="243"/>
      <c r="MP107" s="243"/>
      <c r="MQ107" s="242"/>
      <c r="MR107" s="242"/>
      <c r="MS107" s="242"/>
      <c r="MT107" s="242"/>
      <c r="MU107" s="242"/>
      <c r="MV107" s="242"/>
      <c r="MW107" s="242"/>
      <c r="MX107" s="243"/>
      <c r="MY107" s="243"/>
      <c r="MZ107" s="243"/>
      <c r="NA107" s="243"/>
      <c r="NB107" s="243"/>
      <c r="NC107" s="243"/>
      <c r="ND107" s="243"/>
      <c r="NE107" s="242"/>
      <c r="NF107" s="242"/>
      <c r="NG107" s="242"/>
      <c r="NH107" s="243" t="s">
        <v>1156</v>
      </c>
    </row>
    <row r="108" spans="1:372">
      <c r="A108" s="254" t="s">
        <v>984</v>
      </c>
      <c r="B108" s="239" t="s">
        <v>105</v>
      </c>
      <c r="C108" s="240" t="s">
        <v>674</v>
      </c>
      <c r="D108" s="240" t="s">
        <v>982</v>
      </c>
      <c r="E108" s="241">
        <v>0</v>
      </c>
      <c r="F108" s="252">
        <v>178</v>
      </c>
      <c r="G108" s="242"/>
      <c r="H108" s="242"/>
      <c r="I108" s="242"/>
      <c r="J108" s="242"/>
      <c r="K108" s="242"/>
      <c r="L108" s="243"/>
      <c r="M108" s="243"/>
      <c r="N108" s="243"/>
      <c r="O108" s="243"/>
      <c r="P108" s="243"/>
      <c r="Q108" s="243"/>
      <c r="R108" s="243"/>
      <c r="S108" s="242"/>
      <c r="T108" s="242"/>
      <c r="U108" s="242"/>
      <c r="V108" s="242"/>
      <c r="W108" s="242"/>
      <c r="X108" s="242"/>
      <c r="Y108" s="242"/>
      <c r="Z108" s="243"/>
      <c r="AA108" s="243"/>
      <c r="AB108" s="243"/>
      <c r="AC108" s="243"/>
      <c r="AD108" s="243"/>
      <c r="AE108" s="243"/>
      <c r="AF108" s="243"/>
      <c r="AG108" s="242"/>
      <c r="AH108" s="242"/>
      <c r="AI108" s="242"/>
      <c r="AJ108" s="242"/>
      <c r="AK108" s="242"/>
      <c r="AL108" s="242"/>
      <c r="AM108" s="242"/>
      <c r="AN108" s="243"/>
      <c r="AO108" s="243"/>
      <c r="AP108" s="243"/>
      <c r="AQ108" s="243"/>
      <c r="AR108" s="243"/>
      <c r="AS108" s="243"/>
      <c r="AT108" s="243"/>
      <c r="AU108" s="242"/>
      <c r="AV108" s="242"/>
      <c r="AW108" s="242"/>
      <c r="AX108" s="242"/>
      <c r="AY108" s="242"/>
      <c r="AZ108" s="242"/>
      <c r="BA108" s="242"/>
      <c r="BB108" s="243"/>
      <c r="BC108" s="243"/>
      <c r="BD108" s="243"/>
      <c r="BE108" s="243"/>
      <c r="BF108" s="243"/>
      <c r="BG108" s="243"/>
      <c r="BH108" s="243"/>
      <c r="BI108" s="242"/>
      <c r="BJ108" s="242"/>
      <c r="BK108" s="242"/>
      <c r="BL108" s="242"/>
      <c r="BM108" s="242"/>
      <c r="BN108" s="242"/>
      <c r="BO108" s="242"/>
      <c r="BP108" s="243"/>
      <c r="BQ108" s="243"/>
      <c r="BR108" s="243"/>
      <c r="BS108" s="243"/>
      <c r="BT108" s="243"/>
      <c r="BU108" s="243"/>
      <c r="BV108" s="243"/>
      <c r="BW108" s="242"/>
      <c r="BX108" s="242"/>
      <c r="BY108" s="242"/>
      <c r="BZ108" s="242"/>
      <c r="CA108" s="242"/>
      <c r="CB108" s="242"/>
      <c r="CC108" s="242"/>
      <c r="CD108" s="243"/>
      <c r="CE108" s="243"/>
      <c r="CF108" s="243"/>
      <c r="CG108" s="243"/>
      <c r="CH108" s="243"/>
      <c r="CI108" s="243"/>
      <c r="CJ108" s="243"/>
      <c r="CK108" s="242"/>
      <c r="CL108" s="242"/>
      <c r="CM108" s="242"/>
      <c r="CN108" s="242"/>
      <c r="CO108" s="242"/>
      <c r="CP108" s="242"/>
      <c r="CQ108" s="242"/>
      <c r="CR108" s="243"/>
      <c r="CS108" s="243"/>
      <c r="CT108" s="243"/>
      <c r="CU108" s="243"/>
      <c r="CV108" s="243"/>
      <c r="CW108" s="243"/>
      <c r="CX108" s="243"/>
      <c r="CY108" s="242"/>
      <c r="CZ108" s="242"/>
      <c r="DA108" s="242"/>
      <c r="DB108" s="242"/>
      <c r="DC108" s="242"/>
      <c r="DD108" s="242"/>
      <c r="DE108" s="242"/>
      <c r="DF108" s="243"/>
      <c r="DG108" s="243"/>
      <c r="DH108" s="243"/>
      <c r="DI108" s="243"/>
      <c r="DJ108" s="243"/>
      <c r="DK108" s="243"/>
      <c r="DL108" s="243"/>
      <c r="DM108" s="242"/>
      <c r="DN108" s="242"/>
      <c r="DO108" s="242"/>
      <c r="DP108" s="242"/>
      <c r="DQ108" s="242"/>
      <c r="DR108" s="242"/>
      <c r="DS108" s="242"/>
      <c r="DT108" s="243"/>
      <c r="DU108" s="243"/>
      <c r="DV108" s="243"/>
      <c r="DW108" s="243"/>
      <c r="DX108" s="243"/>
      <c r="DY108" s="243"/>
      <c r="DZ108" s="243"/>
      <c r="EA108" s="242"/>
      <c r="EB108" s="242"/>
      <c r="EC108" s="242"/>
      <c r="ED108" s="242"/>
      <c r="EE108" s="242"/>
      <c r="EF108" s="242"/>
      <c r="EG108" s="242"/>
      <c r="EH108" s="243"/>
      <c r="EI108" s="243"/>
      <c r="EJ108" s="243"/>
      <c r="EK108" s="243"/>
      <c r="EL108" s="243"/>
      <c r="EM108" s="243"/>
      <c r="EN108" s="243"/>
      <c r="EO108" s="242"/>
      <c r="EP108" s="242"/>
      <c r="EQ108" s="242"/>
      <c r="ER108" s="242"/>
      <c r="ES108" s="242"/>
      <c r="ET108" s="242"/>
      <c r="EU108" s="242"/>
      <c r="EV108" s="243"/>
      <c r="EW108" s="243"/>
      <c r="EX108" s="243"/>
      <c r="EY108" s="243"/>
      <c r="EZ108" s="243"/>
      <c r="FA108" s="243"/>
      <c r="FB108" s="243"/>
      <c r="FC108" s="242"/>
      <c r="FD108" s="242"/>
      <c r="FE108" s="242"/>
      <c r="FF108" s="242"/>
      <c r="FG108" s="242"/>
      <c r="FH108" s="242"/>
      <c r="FI108" s="242"/>
      <c r="FJ108" s="243"/>
      <c r="FK108" s="243"/>
      <c r="FL108" s="243"/>
      <c r="FM108" s="243"/>
      <c r="FN108" s="243"/>
      <c r="FO108" s="243"/>
      <c r="FP108" s="243"/>
      <c r="FQ108" s="242"/>
      <c r="FR108" s="242"/>
      <c r="FS108" s="242"/>
      <c r="FT108" s="242"/>
      <c r="FU108" s="242"/>
      <c r="FV108" s="242"/>
      <c r="FW108" s="242"/>
      <c r="FX108" s="243"/>
      <c r="FY108" s="243"/>
      <c r="FZ108" s="243"/>
      <c r="GA108" s="243"/>
      <c r="GB108" s="243"/>
      <c r="GC108" s="243"/>
      <c r="GD108" s="243"/>
      <c r="GE108" s="242"/>
      <c r="GF108" s="242"/>
      <c r="GG108" s="242"/>
      <c r="GH108" s="242"/>
      <c r="GI108" s="242"/>
      <c r="GJ108" s="242"/>
      <c r="GK108" s="242"/>
      <c r="GL108" s="243"/>
      <c r="GM108" s="243"/>
      <c r="GN108" s="243"/>
      <c r="GO108" s="243"/>
      <c r="GP108" s="243"/>
      <c r="GQ108" s="243"/>
      <c r="GR108" s="243"/>
      <c r="GS108" s="242"/>
      <c r="GT108" s="242"/>
      <c r="GU108" s="242"/>
      <c r="GV108" s="242"/>
      <c r="GW108" s="242"/>
      <c r="GX108" s="242"/>
      <c r="GY108" s="242"/>
      <c r="GZ108" s="243"/>
      <c r="HA108" s="243"/>
      <c r="HB108" s="243"/>
      <c r="HC108" s="243"/>
      <c r="HD108" s="243"/>
      <c r="HE108" s="243"/>
      <c r="HF108" s="243"/>
      <c r="HG108" s="242"/>
      <c r="HH108" s="242"/>
      <c r="HI108" s="242"/>
      <c r="HJ108" s="242"/>
      <c r="HK108" s="242"/>
      <c r="HL108" s="242"/>
      <c r="HM108" s="242"/>
      <c r="HN108" s="243"/>
      <c r="HO108" s="243"/>
      <c r="HP108" s="243"/>
      <c r="HQ108" s="243"/>
      <c r="HR108" s="243"/>
      <c r="HS108" s="243"/>
      <c r="HT108" s="243"/>
      <c r="HU108" s="242"/>
      <c r="HV108" s="242"/>
      <c r="HW108" s="242"/>
      <c r="HX108" s="242"/>
      <c r="HY108" s="242"/>
      <c r="HZ108" s="242"/>
      <c r="IA108" s="242"/>
      <c r="IB108" s="243"/>
      <c r="IC108" s="243"/>
      <c r="ID108" s="243"/>
      <c r="IE108" s="243"/>
      <c r="IF108" s="243"/>
      <c r="IG108" s="243"/>
      <c r="IH108" s="243"/>
      <c r="II108" s="242"/>
      <c r="IJ108" s="242"/>
      <c r="IK108" s="242"/>
      <c r="IL108" s="242"/>
      <c r="IM108" s="242"/>
      <c r="IN108" s="242"/>
      <c r="IO108" s="242"/>
      <c r="IP108" s="243"/>
      <c r="IQ108" s="243"/>
      <c r="IR108" s="243"/>
      <c r="IS108" s="243"/>
      <c r="IT108" s="243"/>
      <c r="IU108" s="243"/>
      <c r="IV108" s="243"/>
      <c r="IW108" s="242"/>
      <c r="IX108" s="242"/>
      <c r="IY108" s="242"/>
      <c r="IZ108" s="242"/>
      <c r="JA108" s="242"/>
      <c r="JB108" s="242">
        <v>5</v>
      </c>
      <c r="JC108" s="242">
        <v>12</v>
      </c>
      <c r="JD108" s="243">
        <v>24</v>
      </c>
      <c r="JE108" s="243">
        <v>24</v>
      </c>
      <c r="JF108" s="243">
        <v>24</v>
      </c>
      <c r="JG108" s="243">
        <v>24</v>
      </c>
      <c r="JH108" s="243">
        <v>24</v>
      </c>
      <c r="JI108" s="243">
        <v>24</v>
      </c>
      <c r="JJ108" s="243">
        <v>12</v>
      </c>
      <c r="JK108" s="242">
        <v>5</v>
      </c>
      <c r="JL108" s="242"/>
      <c r="JM108" s="242"/>
      <c r="JN108" s="242"/>
      <c r="JO108" s="242"/>
      <c r="JP108" s="242"/>
      <c r="JQ108" s="242"/>
      <c r="JR108" s="243"/>
      <c r="JS108" s="243"/>
      <c r="JT108" s="243"/>
      <c r="JU108" s="243"/>
      <c r="JV108" s="243"/>
      <c r="JW108" s="243"/>
      <c r="JX108" s="243"/>
      <c r="JY108" s="242"/>
      <c r="JZ108" s="242"/>
      <c r="KA108" s="242"/>
      <c r="KB108" s="242"/>
      <c r="KC108" s="242"/>
      <c r="KD108" s="242"/>
      <c r="KE108" s="242"/>
      <c r="KF108" s="243"/>
      <c r="KG108" s="243"/>
      <c r="KH108" s="243"/>
      <c r="KI108" s="243"/>
      <c r="KJ108" s="243"/>
      <c r="KK108" s="243"/>
      <c r="KL108" s="243"/>
      <c r="KM108" s="242"/>
      <c r="KN108" s="242"/>
      <c r="KO108" s="242"/>
      <c r="KP108" s="242"/>
      <c r="KQ108" s="242"/>
      <c r="KR108" s="242"/>
      <c r="KS108" s="242"/>
      <c r="KT108" s="243"/>
      <c r="KU108" s="243"/>
      <c r="KV108" s="243"/>
      <c r="KW108" s="243"/>
      <c r="KX108" s="243"/>
      <c r="KY108" s="243"/>
      <c r="KZ108" s="243"/>
      <c r="LA108" s="242"/>
      <c r="LB108" s="242"/>
      <c r="LC108" s="242"/>
      <c r="LD108" s="242"/>
      <c r="LE108" s="242"/>
      <c r="LF108" s="242"/>
      <c r="LG108" s="242"/>
      <c r="LH108" s="243"/>
      <c r="LI108" s="243"/>
      <c r="LJ108" s="243"/>
      <c r="LK108" s="243"/>
      <c r="LL108" s="243"/>
      <c r="LM108" s="243"/>
      <c r="LN108" s="243"/>
      <c r="LO108" s="242"/>
      <c r="LP108" s="242"/>
      <c r="LQ108" s="242"/>
      <c r="LR108" s="242"/>
      <c r="LS108" s="242"/>
      <c r="LT108" s="242"/>
      <c r="LU108" s="242"/>
      <c r="LV108" s="243"/>
      <c r="LW108" s="243"/>
      <c r="LX108" s="243"/>
      <c r="LY108" s="243"/>
      <c r="LZ108" s="243"/>
      <c r="MA108" s="243"/>
      <c r="MB108" s="243"/>
      <c r="MC108" s="242"/>
      <c r="MD108" s="242"/>
      <c r="ME108" s="242"/>
      <c r="MF108" s="242"/>
      <c r="MG108" s="242"/>
      <c r="MH108" s="242"/>
      <c r="MI108" s="242"/>
      <c r="MJ108" s="243"/>
      <c r="MK108" s="243"/>
      <c r="ML108" s="243"/>
      <c r="MM108" s="243"/>
      <c r="MN108" s="243"/>
      <c r="MO108" s="243"/>
      <c r="MP108" s="243"/>
      <c r="MQ108" s="242"/>
      <c r="MR108" s="242"/>
      <c r="MS108" s="242"/>
      <c r="MT108" s="242"/>
      <c r="MU108" s="242"/>
      <c r="MV108" s="242"/>
      <c r="MW108" s="242"/>
      <c r="MX108" s="243"/>
      <c r="MY108" s="243"/>
      <c r="MZ108" s="243"/>
      <c r="NA108" s="243"/>
      <c r="NB108" s="243"/>
      <c r="NC108" s="243"/>
      <c r="ND108" s="243"/>
      <c r="NE108" s="242"/>
      <c r="NF108" s="242"/>
      <c r="NG108" s="242"/>
      <c r="NH108" s="243" t="s">
        <v>1156</v>
      </c>
    </row>
    <row r="109" spans="1:372">
      <c r="A109" s="254" t="s">
        <v>984</v>
      </c>
      <c r="B109" s="239" t="s">
        <v>106</v>
      </c>
      <c r="C109" s="240" t="s">
        <v>675</v>
      </c>
      <c r="D109" s="240" t="s">
        <v>997</v>
      </c>
      <c r="E109" s="241">
        <v>0</v>
      </c>
      <c r="F109" s="252">
        <v>628</v>
      </c>
      <c r="G109" s="242"/>
      <c r="H109" s="242"/>
      <c r="I109" s="242"/>
      <c r="J109" s="242"/>
      <c r="K109" s="242"/>
      <c r="L109" s="243"/>
      <c r="M109" s="243"/>
      <c r="N109" s="243"/>
      <c r="O109" s="243"/>
      <c r="P109" s="243"/>
      <c r="Q109" s="243"/>
      <c r="R109" s="243"/>
      <c r="S109" s="242"/>
      <c r="T109" s="242"/>
      <c r="U109" s="242"/>
      <c r="V109" s="242"/>
      <c r="W109" s="242"/>
      <c r="X109" s="242"/>
      <c r="Y109" s="242"/>
      <c r="Z109" s="243"/>
      <c r="AA109" s="243"/>
      <c r="AB109" s="243"/>
      <c r="AC109" s="243"/>
      <c r="AD109" s="243"/>
      <c r="AE109" s="243"/>
      <c r="AF109" s="243"/>
      <c r="AG109" s="242"/>
      <c r="AH109" s="242"/>
      <c r="AI109" s="242"/>
      <c r="AJ109" s="242"/>
      <c r="AK109" s="242"/>
      <c r="AL109" s="242"/>
      <c r="AM109" s="242"/>
      <c r="AN109" s="243"/>
      <c r="AO109" s="243"/>
      <c r="AP109" s="243"/>
      <c r="AQ109" s="243"/>
      <c r="AR109" s="243"/>
      <c r="AS109" s="243"/>
      <c r="AT109" s="243"/>
      <c r="AU109" s="242"/>
      <c r="AV109" s="242"/>
      <c r="AW109" s="242"/>
      <c r="AX109" s="242"/>
      <c r="AY109" s="242"/>
      <c r="AZ109" s="242"/>
      <c r="BA109" s="242"/>
      <c r="BB109" s="243"/>
      <c r="BC109" s="243"/>
      <c r="BD109" s="243"/>
      <c r="BE109" s="243"/>
      <c r="BF109" s="243"/>
      <c r="BG109" s="243"/>
      <c r="BH109" s="243"/>
      <c r="BI109" s="242"/>
      <c r="BJ109" s="242"/>
      <c r="BK109" s="242"/>
      <c r="BL109" s="242"/>
      <c r="BM109" s="242"/>
      <c r="BN109" s="242"/>
      <c r="BO109" s="242"/>
      <c r="BP109" s="243"/>
      <c r="BQ109" s="243"/>
      <c r="BR109" s="243"/>
      <c r="BS109" s="243"/>
      <c r="BT109" s="243"/>
      <c r="BU109" s="243"/>
      <c r="BV109" s="243"/>
      <c r="BW109" s="242"/>
      <c r="BX109" s="242"/>
      <c r="BY109" s="242"/>
      <c r="BZ109" s="242"/>
      <c r="CA109" s="242"/>
      <c r="CB109" s="242"/>
      <c r="CC109" s="242"/>
      <c r="CD109" s="243"/>
      <c r="CE109" s="243"/>
      <c r="CF109" s="243"/>
      <c r="CG109" s="243"/>
      <c r="CH109" s="243"/>
      <c r="CI109" s="243"/>
      <c r="CJ109" s="243"/>
      <c r="CK109" s="242"/>
      <c r="CL109" s="242"/>
      <c r="CM109" s="242"/>
      <c r="CN109" s="242"/>
      <c r="CO109" s="242"/>
      <c r="CP109" s="242"/>
      <c r="CQ109" s="242"/>
      <c r="CR109" s="243"/>
      <c r="CS109" s="243"/>
      <c r="CT109" s="243"/>
      <c r="CU109" s="243"/>
      <c r="CV109" s="243"/>
      <c r="CW109" s="243"/>
      <c r="CX109" s="243"/>
      <c r="CY109" s="242"/>
      <c r="CZ109" s="242"/>
      <c r="DA109" s="242"/>
      <c r="DB109" s="242"/>
      <c r="DC109" s="242"/>
      <c r="DD109" s="242"/>
      <c r="DE109" s="242"/>
      <c r="DF109" s="243"/>
      <c r="DG109" s="243"/>
      <c r="DH109" s="243"/>
      <c r="DI109" s="243"/>
      <c r="DJ109" s="243"/>
      <c r="DK109" s="243"/>
      <c r="DL109" s="243"/>
      <c r="DM109" s="242"/>
      <c r="DN109" s="242"/>
      <c r="DO109" s="242"/>
      <c r="DP109" s="242"/>
      <c r="DQ109" s="242"/>
      <c r="DR109" s="242"/>
      <c r="DS109" s="242"/>
      <c r="DT109" s="243"/>
      <c r="DU109" s="243"/>
      <c r="DV109" s="243"/>
      <c r="DW109" s="243"/>
      <c r="DX109" s="243"/>
      <c r="DY109" s="243"/>
      <c r="DZ109" s="243"/>
      <c r="EA109" s="242"/>
      <c r="EB109" s="242"/>
      <c r="EC109" s="242"/>
      <c r="ED109" s="242"/>
      <c r="EE109" s="242"/>
      <c r="EF109" s="242"/>
      <c r="EG109" s="242"/>
      <c r="EH109" s="243"/>
      <c r="EI109" s="243"/>
      <c r="EJ109" s="243"/>
      <c r="EK109" s="243"/>
      <c r="EL109" s="243"/>
      <c r="EM109" s="243"/>
      <c r="EN109" s="243"/>
      <c r="EO109" s="242"/>
      <c r="EP109" s="242"/>
      <c r="EQ109" s="242"/>
      <c r="ER109" s="242"/>
      <c r="ES109" s="242"/>
      <c r="ET109" s="242"/>
      <c r="EU109" s="242"/>
      <c r="EV109" s="243"/>
      <c r="EW109" s="243"/>
      <c r="EX109" s="243"/>
      <c r="EY109" s="243"/>
      <c r="EZ109" s="243"/>
      <c r="FA109" s="243"/>
      <c r="FB109" s="243"/>
      <c r="FC109" s="242"/>
      <c r="FD109" s="242"/>
      <c r="FE109" s="242"/>
      <c r="FF109" s="242"/>
      <c r="FG109" s="242"/>
      <c r="FH109" s="242"/>
      <c r="FI109" s="242"/>
      <c r="FJ109" s="243"/>
      <c r="FK109" s="243"/>
      <c r="FL109" s="243"/>
      <c r="FM109" s="243"/>
      <c r="FN109" s="243"/>
      <c r="FO109" s="243"/>
      <c r="FP109" s="243"/>
      <c r="FQ109" s="242"/>
      <c r="FR109" s="242"/>
      <c r="FS109" s="242"/>
      <c r="FT109" s="242"/>
      <c r="FU109" s="242"/>
      <c r="FV109" s="242"/>
      <c r="FW109" s="242"/>
      <c r="FX109" s="243"/>
      <c r="FY109" s="243"/>
      <c r="FZ109" s="243"/>
      <c r="GA109" s="243"/>
      <c r="GB109" s="243"/>
      <c r="GC109" s="243"/>
      <c r="GD109" s="243"/>
      <c r="GE109" s="242"/>
      <c r="GF109" s="242"/>
      <c r="GG109" s="242"/>
      <c r="GH109" s="242"/>
      <c r="GI109" s="242"/>
      <c r="GJ109" s="242"/>
      <c r="GK109" s="242"/>
      <c r="GL109" s="243"/>
      <c r="GM109" s="243"/>
      <c r="GN109" s="243"/>
      <c r="GO109" s="243"/>
      <c r="GP109" s="243"/>
      <c r="GQ109" s="243"/>
      <c r="GR109" s="243"/>
      <c r="GS109" s="242"/>
      <c r="GT109" s="242"/>
      <c r="GU109" s="242"/>
      <c r="GV109" s="242"/>
      <c r="GW109" s="242"/>
      <c r="GX109" s="242"/>
      <c r="GY109" s="242"/>
      <c r="GZ109" s="243"/>
      <c r="HA109" s="243"/>
      <c r="HB109" s="243"/>
      <c r="HC109" s="243"/>
      <c r="HD109" s="243"/>
      <c r="HE109" s="243"/>
      <c r="HF109" s="243"/>
      <c r="HG109" s="242"/>
      <c r="HH109" s="242"/>
      <c r="HI109" s="242"/>
      <c r="HJ109" s="242"/>
      <c r="HK109" s="242"/>
      <c r="HL109" s="242"/>
      <c r="HM109" s="242"/>
      <c r="HN109" s="243"/>
      <c r="HO109" s="243"/>
      <c r="HP109" s="243"/>
      <c r="HQ109" s="243"/>
      <c r="HR109" s="243"/>
      <c r="HS109" s="243"/>
      <c r="HT109" s="243"/>
      <c r="HU109" s="242"/>
      <c r="HV109" s="242"/>
      <c r="HW109" s="242"/>
      <c r="HX109" s="242"/>
      <c r="HY109" s="242"/>
      <c r="HZ109" s="242"/>
      <c r="IA109" s="242"/>
      <c r="IB109" s="243"/>
      <c r="IC109" s="243"/>
      <c r="ID109" s="243"/>
      <c r="IE109" s="243"/>
      <c r="IF109" s="243"/>
      <c r="IG109" s="243"/>
      <c r="IH109" s="243"/>
      <c r="II109" s="242"/>
      <c r="IJ109" s="242"/>
      <c r="IK109" s="242"/>
      <c r="IL109" s="242"/>
      <c r="IM109" s="242"/>
      <c r="IN109" s="242"/>
      <c r="IO109" s="242"/>
      <c r="IP109" s="243"/>
      <c r="IQ109" s="243"/>
      <c r="IR109" s="243"/>
      <c r="IS109" s="243"/>
      <c r="IT109" s="243"/>
      <c r="IU109" s="243"/>
      <c r="IV109" s="243"/>
      <c r="IW109" s="242"/>
      <c r="IX109" s="242"/>
      <c r="IY109" s="242">
        <v>20</v>
      </c>
      <c r="IZ109" s="242">
        <v>24</v>
      </c>
      <c r="JA109" s="242">
        <v>24</v>
      </c>
      <c r="JB109" s="242">
        <v>24</v>
      </c>
      <c r="JC109" s="242">
        <v>24</v>
      </c>
      <c r="JD109" s="243">
        <v>24</v>
      </c>
      <c r="JE109" s="243">
        <v>24</v>
      </c>
      <c r="JF109" s="243">
        <v>24</v>
      </c>
      <c r="JG109" s="243">
        <v>24</v>
      </c>
      <c r="JH109" s="243">
        <v>24</v>
      </c>
      <c r="JI109" s="243">
        <v>24</v>
      </c>
      <c r="JJ109" s="243">
        <v>24</v>
      </c>
      <c r="JK109" s="242">
        <v>24</v>
      </c>
      <c r="JL109" s="242">
        <v>24</v>
      </c>
      <c r="JM109" s="242">
        <v>24</v>
      </c>
      <c r="JN109" s="242">
        <v>24</v>
      </c>
      <c r="JO109" s="242">
        <v>24</v>
      </c>
      <c r="JP109" s="242">
        <v>24</v>
      </c>
      <c r="JQ109" s="242">
        <v>24</v>
      </c>
      <c r="JR109" s="243">
        <v>24</v>
      </c>
      <c r="JS109" s="243">
        <v>24</v>
      </c>
      <c r="JT109" s="243">
        <v>24</v>
      </c>
      <c r="JU109" s="243">
        <v>20</v>
      </c>
      <c r="JV109" s="243">
        <v>12</v>
      </c>
      <c r="JW109" s="243">
        <v>8</v>
      </c>
      <c r="JX109" s="243">
        <v>8</v>
      </c>
      <c r="JY109" s="242">
        <v>8</v>
      </c>
      <c r="JZ109" s="242">
        <v>8</v>
      </c>
      <c r="KA109" s="242">
        <v>8</v>
      </c>
      <c r="KB109" s="242">
        <v>8</v>
      </c>
      <c r="KC109" s="242">
        <v>8</v>
      </c>
      <c r="KD109" s="242">
        <v>8</v>
      </c>
      <c r="KE109" s="242">
        <v>8</v>
      </c>
      <c r="KF109" s="243"/>
      <c r="KG109" s="243"/>
      <c r="KH109" s="243"/>
      <c r="KI109" s="243"/>
      <c r="KJ109" s="243"/>
      <c r="KK109" s="243"/>
      <c r="KL109" s="243"/>
      <c r="KM109" s="242"/>
      <c r="KN109" s="242"/>
      <c r="KO109" s="242"/>
      <c r="KP109" s="242"/>
      <c r="KQ109" s="242"/>
      <c r="KR109" s="242"/>
      <c r="KS109" s="242"/>
      <c r="KT109" s="243"/>
      <c r="KU109" s="243"/>
      <c r="KV109" s="243"/>
      <c r="KW109" s="243"/>
      <c r="KX109" s="243"/>
      <c r="KY109" s="243"/>
      <c r="KZ109" s="243"/>
      <c r="LA109" s="242"/>
      <c r="LB109" s="242"/>
      <c r="LC109" s="242"/>
      <c r="LD109" s="242"/>
      <c r="LE109" s="242"/>
      <c r="LF109" s="242"/>
      <c r="LG109" s="242"/>
      <c r="LH109" s="243"/>
      <c r="LI109" s="243"/>
      <c r="LJ109" s="243"/>
      <c r="LK109" s="243"/>
      <c r="LL109" s="243"/>
      <c r="LM109" s="243"/>
      <c r="LN109" s="243"/>
      <c r="LO109" s="242"/>
      <c r="LP109" s="242"/>
      <c r="LQ109" s="242"/>
      <c r="LR109" s="242"/>
      <c r="LS109" s="242"/>
      <c r="LT109" s="242"/>
      <c r="LU109" s="242"/>
      <c r="LV109" s="243"/>
      <c r="LW109" s="243"/>
      <c r="LX109" s="243"/>
      <c r="LY109" s="243"/>
      <c r="LZ109" s="243"/>
      <c r="MA109" s="243"/>
      <c r="MB109" s="243"/>
      <c r="MC109" s="242"/>
      <c r="MD109" s="242"/>
      <c r="ME109" s="242"/>
      <c r="MF109" s="242"/>
      <c r="MG109" s="242"/>
      <c r="MH109" s="242"/>
      <c r="MI109" s="242"/>
      <c r="MJ109" s="243"/>
      <c r="MK109" s="243"/>
      <c r="ML109" s="243"/>
      <c r="MM109" s="243"/>
      <c r="MN109" s="243"/>
      <c r="MO109" s="243"/>
      <c r="MP109" s="243"/>
      <c r="MQ109" s="242"/>
      <c r="MR109" s="242"/>
      <c r="MS109" s="242"/>
      <c r="MT109" s="242"/>
      <c r="MU109" s="242"/>
      <c r="MV109" s="242"/>
      <c r="MW109" s="242"/>
      <c r="MX109" s="243"/>
      <c r="MY109" s="243"/>
      <c r="MZ109" s="243"/>
      <c r="NA109" s="243"/>
      <c r="NB109" s="243"/>
      <c r="NC109" s="243"/>
      <c r="ND109" s="243"/>
      <c r="NE109" s="242"/>
      <c r="NF109" s="242"/>
      <c r="NG109" s="242"/>
      <c r="NH109" s="243" t="s">
        <v>1155</v>
      </c>
    </row>
    <row r="110" spans="1:372">
      <c r="A110" s="254" t="s">
        <v>984</v>
      </c>
      <c r="B110" s="239" t="s">
        <v>107</v>
      </c>
      <c r="C110" s="240" t="s">
        <v>675</v>
      </c>
      <c r="D110" s="240" t="s">
        <v>997</v>
      </c>
      <c r="E110" s="241">
        <v>346.95687219437121</v>
      </c>
      <c r="F110" s="252">
        <v>648</v>
      </c>
      <c r="G110" s="242"/>
      <c r="H110" s="242"/>
      <c r="I110" s="242"/>
      <c r="J110" s="242"/>
      <c r="K110" s="242"/>
      <c r="L110" s="243"/>
      <c r="M110" s="243"/>
      <c r="N110" s="243"/>
      <c r="O110" s="243"/>
      <c r="P110" s="243"/>
      <c r="Q110" s="243"/>
      <c r="R110" s="243"/>
      <c r="S110" s="242"/>
      <c r="T110" s="242"/>
      <c r="U110" s="242"/>
      <c r="V110" s="242"/>
      <c r="W110" s="242"/>
      <c r="X110" s="242"/>
      <c r="Y110" s="242"/>
      <c r="Z110" s="243"/>
      <c r="AA110" s="243"/>
      <c r="AB110" s="243"/>
      <c r="AC110" s="243"/>
      <c r="AD110" s="243"/>
      <c r="AE110" s="243"/>
      <c r="AF110" s="243"/>
      <c r="AG110" s="242"/>
      <c r="AH110" s="242"/>
      <c r="AI110" s="242"/>
      <c r="AJ110" s="242"/>
      <c r="AK110" s="242"/>
      <c r="AL110" s="242"/>
      <c r="AM110" s="242"/>
      <c r="AN110" s="243"/>
      <c r="AO110" s="243"/>
      <c r="AP110" s="243"/>
      <c r="AQ110" s="243"/>
      <c r="AR110" s="243"/>
      <c r="AS110" s="243"/>
      <c r="AT110" s="243"/>
      <c r="AU110" s="242"/>
      <c r="AV110" s="242"/>
      <c r="AW110" s="242"/>
      <c r="AX110" s="242"/>
      <c r="AY110" s="242"/>
      <c r="AZ110" s="242"/>
      <c r="BA110" s="242"/>
      <c r="BB110" s="243"/>
      <c r="BC110" s="243"/>
      <c r="BD110" s="243"/>
      <c r="BE110" s="243"/>
      <c r="BF110" s="243"/>
      <c r="BG110" s="243"/>
      <c r="BH110" s="243"/>
      <c r="BI110" s="242"/>
      <c r="BJ110" s="242"/>
      <c r="BK110" s="242"/>
      <c r="BL110" s="242"/>
      <c r="BM110" s="242"/>
      <c r="BN110" s="242"/>
      <c r="BO110" s="242"/>
      <c r="BP110" s="243"/>
      <c r="BQ110" s="243"/>
      <c r="BR110" s="243"/>
      <c r="BS110" s="243"/>
      <c r="BT110" s="243"/>
      <c r="BU110" s="243"/>
      <c r="BV110" s="243"/>
      <c r="BW110" s="242"/>
      <c r="BX110" s="242"/>
      <c r="BY110" s="242"/>
      <c r="BZ110" s="242"/>
      <c r="CA110" s="242"/>
      <c r="CB110" s="242"/>
      <c r="CC110" s="242"/>
      <c r="CD110" s="243"/>
      <c r="CE110" s="243"/>
      <c r="CF110" s="243"/>
      <c r="CG110" s="243"/>
      <c r="CH110" s="243"/>
      <c r="CI110" s="243"/>
      <c r="CJ110" s="243"/>
      <c r="CK110" s="242"/>
      <c r="CL110" s="242"/>
      <c r="CM110" s="242"/>
      <c r="CN110" s="242"/>
      <c r="CO110" s="242"/>
      <c r="CP110" s="242"/>
      <c r="CQ110" s="242"/>
      <c r="CR110" s="243"/>
      <c r="CS110" s="243"/>
      <c r="CT110" s="243"/>
      <c r="CU110" s="243"/>
      <c r="CV110" s="243"/>
      <c r="CW110" s="243"/>
      <c r="CX110" s="243"/>
      <c r="CY110" s="242"/>
      <c r="CZ110" s="242"/>
      <c r="DA110" s="242"/>
      <c r="DB110" s="242"/>
      <c r="DC110" s="242"/>
      <c r="DD110" s="242"/>
      <c r="DE110" s="242"/>
      <c r="DF110" s="243"/>
      <c r="DG110" s="243"/>
      <c r="DH110" s="243"/>
      <c r="DI110" s="243"/>
      <c r="DJ110" s="243"/>
      <c r="DK110" s="243"/>
      <c r="DL110" s="243"/>
      <c r="DM110" s="242"/>
      <c r="DN110" s="242"/>
      <c r="DO110" s="242"/>
      <c r="DP110" s="242"/>
      <c r="DQ110" s="242"/>
      <c r="DR110" s="242"/>
      <c r="DS110" s="242"/>
      <c r="DT110" s="243"/>
      <c r="DU110" s="243"/>
      <c r="DV110" s="243"/>
      <c r="DW110" s="243"/>
      <c r="DX110" s="243"/>
      <c r="DY110" s="243"/>
      <c r="DZ110" s="243"/>
      <c r="EA110" s="242"/>
      <c r="EB110" s="242"/>
      <c r="EC110" s="242"/>
      <c r="ED110" s="242"/>
      <c r="EE110" s="242"/>
      <c r="EF110" s="242"/>
      <c r="EG110" s="242"/>
      <c r="EH110" s="243"/>
      <c r="EI110" s="243"/>
      <c r="EJ110" s="243"/>
      <c r="EK110" s="243"/>
      <c r="EL110" s="243"/>
      <c r="EM110" s="243"/>
      <c r="EN110" s="243"/>
      <c r="EO110" s="242"/>
      <c r="EP110" s="242"/>
      <c r="EQ110" s="242"/>
      <c r="ER110" s="242"/>
      <c r="ES110" s="242"/>
      <c r="ET110" s="242"/>
      <c r="EU110" s="242"/>
      <c r="EV110" s="243"/>
      <c r="EW110" s="243"/>
      <c r="EX110" s="243"/>
      <c r="EY110" s="243"/>
      <c r="EZ110" s="243"/>
      <c r="FA110" s="243"/>
      <c r="FB110" s="243"/>
      <c r="FC110" s="242"/>
      <c r="FD110" s="242"/>
      <c r="FE110" s="242"/>
      <c r="FF110" s="242"/>
      <c r="FG110" s="242"/>
      <c r="FH110" s="242"/>
      <c r="FI110" s="242"/>
      <c r="FJ110" s="243"/>
      <c r="FK110" s="243"/>
      <c r="FL110" s="243"/>
      <c r="FM110" s="243"/>
      <c r="FN110" s="243"/>
      <c r="FO110" s="243"/>
      <c r="FP110" s="243"/>
      <c r="FQ110" s="242"/>
      <c r="FR110" s="242"/>
      <c r="FS110" s="242"/>
      <c r="FT110" s="242"/>
      <c r="FU110" s="242"/>
      <c r="FV110" s="242"/>
      <c r="FW110" s="242"/>
      <c r="FX110" s="243"/>
      <c r="FY110" s="243"/>
      <c r="FZ110" s="243"/>
      <c r="GA110" s="243"/>
      <c r="GB110" s="243"/>
      <c r="GC110" s="243"/>
      <c r="GD110" s="243"/>
      <c r="GE110" s="242"/>
      <c r="GF110" s="242"/>
      <c r="GG110" s="242"/>
      <c r="GH110" s="242"/>
      <c r="GI110" s="242"/>
      <c r="GJ110" s="242"/>
      <c r="GK110" s="242"/>
      <c r="GL110" s="243"/>
      <c r="GM110" s="243"/>
      <c r="GN110" s="243"/>
      <c r="GO110" s="243"/>
      <c r="GP110" s="243"/>
      <c r="GQ110" s="243"/>
      <c r="GR110" s="243"/>
      <c r="GS110" s="242"/>
      <c r="GT110" s="242"/>
      <c r="GU110" s="242"/>
      <c r="GV110" s="242"/>
      <c r="GW110" s="242"/>
      <c r="GX110" s="242"/>
      <c r="GY110" s="242"/>
      <c r="GZ110" s="243"/>
      <c r="HA110" s="243"/>
      <c r="HB110" s="243"/>
      <c r="HC110" s="243"/>
      <c r="HD110" s="243"/>
      <c r="HE110" s="243"/>
      <c r="HF110" s="243"/>
      <c r="HG110" s="242"/>
      <c r="HH110" s="242"/>
      <c r="HI110" s="242"/>
      <c r="HJ110" s="242"/>
      <c r="HK110" s="242"/>
      <c r="HL110" s="242"/>
      <c r="HM110" s="242"/>
      <c r="HN110" s="243"/>
      <c r="HO110" s="243"/>
      <c r="HP110" s="243"/>
      <c r="HQ110" s="243"/>
      <c r="HR110" s="243"/>
      <c r="HS110" s="243"/>
      <c r="HT110" s="243"/>
      <c r="HU110" s="242"/>
      <c r="HV110" s="242"/>
      <c r="HW110" s="242"/>
      <c r="HX110" s="242"/>
      <c r="HY110" s="242"/>
      <c r="HZ110" s="242"/>
      <c r="IA110" s="242"/>
      <c r="IB110" s="243"/>
      <c r="IC110" s="243"/>
      <c r="ID110" s="243"/>
      <c r="IE110" s="243"/>
      <c r="IF110" s="243"/>
      <c r="IG110" s="243"/>
      <c r="IH110" s="243"/>
      <c r="II110" s="242"/>
      <c r="IJ110" s="242"/>
      <c r="IK110" s="242"/>
      <c r="IL110" s="242"/>
      <c r="IM110" s="242"/>
      <c r="IN110" s="242"/>
      <c r="IO110" s="242"/>
      <c r="IP110" s="243"/>
      <c r="IQ110" s="243"/>
      <c r="IR110" s="243"/>
      <c r="IS110" s="243"/>
      <c r="IT110" s="243"/>
      <c r="IU110" s="243"/>
      <c r="IV110" s="243"/>
      <c r="IW110" s="242"/>
      <c r="IX110" s="242"/>
      <c r="IY110" s="242">
        <v>20</v>
      </c>
      <c r="IZ110" s="242">
        <v>24</v>
      </c>
      <c r="JA110" s="242">
        <v>24</v>
      </c>
      <c r="JB110" s="242">
        <v>24</v>
      </c>
      <c r="JC110" s="242">
        <v>24</v>
      </c>
      <c r="JD110" s="243">
        <v>24</v>
      </c>
      <c r="JE110" s="243">
        <v>24</v>
      </c>
      <c r="JF110" s="243">
        <v>24</v>
      </c>
      <c r="JG110" s="243">
        <v>24</v>
      </c>
      <c r="JH110" s="243">
        <v>24</v>
      </c>
      <c r="JI110" s="243">
        <v>24</v>
      </c>
      <c r="JJ110" s="243">
        <v>24</v>
      </c>
      <c r="JK110" s="242">
        <v>24</v>
      </c>
      <c r="JL110" s="242">
        <v>24</v>
      </c>
      <c r="JM110" s="242">
        <v>24</v>
      </c>
      <c r="JN110" s="242">
        <v>24</v>
      </c>
      <c r="JO110" s="242">
        <v>24</v>
      </c>
      <c r="JP110" s="242">
        <v>24</v>
      </c>
      <c r="JQ110" s="242">
        <v>24</v>
      </c>
      <c r="JR110" s="243">
        <v>24</v>
      </c>
      <c r="JS110" s="243">
        <v>24</v>
      </c>
      <c r="JT110" s="243">
        <v>24</v>
      </c>
      <c r="JU110" s="243">
        <v>24</v>
      </c>
      <c r="JV110" s="243">
        <v>24</v>
      </c>
      <c r="JW110" s="243">
        <v>24</v>
      </c>
      <c r="JX110" s="243">
        <v>20</v>
      </c>
      <c r="JY110" s="242">
        <v>12</v>
      </c>
      <c r="JZ110" s="242">
        <v>10</v>
      </c>
      <c r="KA110" s="242">
        <v>5</v>
      </c>
      <c r="KB110" s="242">
        <v>5</v>
      </c>
      <c r="KC110" s="242"/>
      <c r="KD110" s="242"/>
      <c r="KE110" s="242"/>
      <c r="KF110" s="243"/>
      <c r="KG110" s="243"/>
      <c r="KH110" s="243"/>
      <c r="KI110" s="243"/>
      <c r="KJ110" s="243"/>
      <c r="KK110" s="243"/>
      <c r="KL110" s="243"/>
      <c r="KM110" s="242"/>
      <c r="KN110" s="242"/>
      <c r="KO110" s="242"/>
      <c r="KP110" s="242"/>
      <c r="KQ110" s="242"/>
      <c r="KR110" s="242"/>
      <c r="KS110" s="242"/>
      <c r="KT110" s="243"/>
      <c r="KU110" s="243"/>
      <c r="KV110" s="243"/>
      <c r="KW110" s="243"/>
      <c r="KX110" s="243"/>
      <c r="KY110" s="243"/>
      <c r="KZ110" s="243"/>
      <c r="LA110" s="242"/>
      <c r="LB110" s="242"/>
      <c r="LC110" s="242"/>
      <c r="LD110" s="242"/>
      <c r="LE110" s="242"/>
      <c r="LF110" s="242"/>
      <c r="LG110" s="242"/>
      <c r="LH110" s="243"/>
      <c r="LI110" s="243"/>
      <c r="LJ110" s="243"/>
      <c r="LK110" s="243"/>
      <c r="LL110" s="243"/>
      <c r="LM110" s="243"/>
      <c r="LN110" s="243"/>
      <c r="LO110" s="242"/>
      <c r="LP110" s="242"/>
      <c r="LQ110" s="242"/>
      <c r="LR110" s="242"/>
      <c r="LS110" s="242"/>
      <c r="LT110" s="242"/>
      <c r="LU110" s="242"/>
      <c r="LV110" s="243"/>
      <c r="LW110" s="243"/>
      <c r="LX110" s="243"/>
      <c r="LY110" s="243"/>
      <c r="LZ110" s="243"/>
      <c r="MA110" s="243"/>
      <c r="MB110" s="243"/>
      <c r="MC110" s="242"/>
      <c r="MD110" s="242"/>
      <c r="ME110" s="242"/>
      <c r="MF110" s="242"/>
      <c r="MG110" s="242"/>
      <c r="MH110" s="242"/>
      <c r="MI110" s="242"/>
      <c r="MJ110" s="243"/>
      <c r="MK110" s="243"/>
      <c r="ML110" s="243"/>
      <c r="MM110" s="243"/>
      <c r="MN110" s="243"/>
      <c r="MO110" s="243"/>
      <c r="MP110" s="243"/>
      <c r="MQ110" s="242"/>
      <c r="MR110" s="242"/>
      <c r="MS110" s="242"/>
      <c r="MT110" s="242"/>
      <c r="MU110" s="242"/>
      <c r="MV110" s="242"/>
      <c r="MW110" s="242"/>
      <c r="MX110" s="243"/>
      <c r="MY110" s="243"/>
      <c r="MZ110" s="243"/>
      <c r="NA110" s="243"/>
      <c r="NB110" s="243"/>
      <c r="NC110" s="243"/>
      <c r="ND110" s="243"/>
      <c r="NE110" s="242"/>
      <c r="NF110" s="242"/>
      <c r="NG110" s="242"/>
      <c r="NH110" s="243" t="s">
        <v>1155</v>
      </c>
    </row>
    <row r="111" spans="1:372">
      <c r="A111" s="254" t="s">
        <v>984</v>
      </c>
      <c r="B111" s="239" t="s">
        <v>370</v>
      </c>
      <c r="C111" s="240" t="s">
        <v>674</v>
      </c>
      <c r="D111" s="240" t="s">
        <v>982</v>
      </c>
      <c r="E111" s="241">
        <v>5.6386944339999996</v>
      </c>
      <c r="F111" s="252">
        <v>178</v>
      </c>
      <c r="G111" s="242"/>
      <c r="H111" s="242"/>
      <c r="I111" s="242"/>
      <c r="J111" s="242"/>
      <c r="K111" s="242"/>
      <c r="L111" s="243"/>
      <c r="M111" s="243"/>
      <c r="N111" s="243"/>
      <c r="O111" s="243"/>
      <c r="P111" s="243"/>
      <c r="Q111" s="243"/>
      <c r="R111" s="243"/>
      <c r="S111" s="242"/>
      <c r="T111" s="242"/>
      <c r="U111" s="242"/>
      <c r="V111" s="242"/>
      <c r="W111" s="242"/>
      <c r="X111" s="242"/>
      <c r="Y111" s="242"/>
      <c r="Z111" s="243"/>
      <c r="AA111" s="243"/>
      <c r="AB111" s="243"/>
      <c r="AC111" s="243"/>
      <c r="AD111" s="243"/>
      <c r="AE111" s="243"/>
      <c r="AF111" s="243"/>
      <c r="AG111" s="242"/>
      <c r="AH111" s="242"/>
      <c r="AI111" s="242"/>
      <c r="AJ111" s="242"/>
      <c r="AK111" s="242"/>
      <c r="AL111" s="242"/>
      <c r="AM111" s="242"/>
      <c r="AN111" s="243"/>
      <c r="AO111" s="243"/>
      <c r="AP111" s="243"/>
      <c r="AQ111" s="243"/>
      <c r="AR111" s="243"/>
      <c r="AS111" s="243"/>
      <c r="AT111" s="243"/>
      <c r="AU111" s="242"/>
      <c r="AV111" s="242"/>
      <c r="AW111" s="242"/>
      <c r="AX111" s="242"/>
      <c r="AY111" s="242"/>
      <c r="AZ111" s="242"/>
      <c r="BA111" s="242"/>
      <c r="BB111" s="243"/>
      <c r="BC111" s="243"/>
      <c r="BD111" s="243"/>
      <c r="BE111" s="243"/>
      <c r="BF111" s="243"/>
      <c r="BG111" s="243"/>
      <c r="BH111" s="243"/>
      <c r="BI111" s="242"/>
      <c r="BJ111" s="242"/>
      <c r="BK111" s="242"/>
      <c r="BL111" s="242"/>
      <c r="BM111" s="242"/>
      <c r="BN111" s="242"/>
      <c r="BO111" s="242"/>
      <c r="BP111" s="243"/>
      <c r="BQ111" s="243"/>
      <c r="BR111" s="243"/>
      <c r="BS111" s="243"/>
      <c r="BT111" s="243"/>
      <c r="BU111" s="243"/>
      <c r="BV111" s="243"/>
      <c r="BW111" s="242"/>
      <c r="BX111" s="242"/>
      <c r="BY111" s="242"/>
      <c r="BZ111" s="242"/>
      <c r="CA111" s="242"/>
      <c r="CB111" s="242"/>
      <c r="CC111" s="242"/>
      <c r="CD111" s="243"/>
      <c r="CE111" s="243"/>
      <c r="CF111" s="243"/>
      <c r="CG111" s="243"/>
      <c r="CH111" s="243"/>
      <c r="CI111" s="243"/>
      <c r="CJ111" s="243"/>
      <c r="CK111" s="242"/>
      <c r="CL111" s="242"/>
      <c r="CM111" s="242"/>
      <c r="CN111" s="242"/>
      <c r="CO111" s="242"/>
      <c r="CP111" s="242"/>
      <c r="CQ111" s="242"/>
      <c r="CR111" s="243"/>
      <c r="CS111" s="243"/>
      <c r="CT111" s="243"/>
      <c r="CU111" s="243"/>
      <c r="CV111" s="243"/>
      <c r="CW111" s="243"/>
      <c r="CX111" s="243"/>
      <c r="CY111" s="242"/>
      <c r="CZ111" s="242"/>
      <c r="DA111" s="242"/>
      <c r="DB111" s="242"/>
      <c r="DC111" s="242"/>
      <c r="DD111" s="242"/>
      <c r="DE111" s="242"/>
      <c r="DF111" s="243"/>
      <c r="DG111" s="243"/>
      <c r="DH111" s="243"/>
      <c r="DI111" s="243"/>
      <c r="DJ111" s="243"/>
      <c r="DK111" s="243"/>
      <c r="DL111" s="243"/>
      <c r="DM111" s="242"/>
      <c r="DN111" s="242"/>
      <c r="DO111" s="242"/>
      <c r="DP111" s="242"/>
      <c r="DQ111" s="242"/>
      <c r="DR111" s="242"/>
      <c r="DS111" s="242"/>
      <c r="DT111" s="243"/>
      <c r="DU111" s="243"/>
      <c r="DV111" s="243"/>
      <c r="DW111" s="243"/>
      <c r="DX111" s="243"/>
      <c r="DY111" s="243"/>
      <c r="DZ111" s="243"/>
      <c r="EA111" s="242"/>
      <c r="EB111" s="242"/>
      <c r="EC111" s="242"/>
      <c r="ED111" s="242"/>
      <c r="EE111" s="242"/>
      <c r="EF111" s="242"/>
      <c r="EG111" s="242"/>
      <c r="EH111" s="243"/>
      <c r="EI111" s="243"/>
      <c r="EJ111" s="243"/>
      <c r="EK111" s="243"/>
      <c r="EL111" s="243"/>
      <c r="EM111" s="243"/>
      <c r="EN111" s="243"/>
      <c r="EO111" s="242"/>
      <c r="EP111" s="242"/>
      <c r="EQ111" s="242"/>
      <c r="ER111" s="242"/>
      <c r="ES111" s="242"/>
      <c r="ET111" s="242"/>
      <c r="EU111" s="242"/>
      <c r="EV111" s="243"/>
      <c r="EW111" s="243"/>
      <c r="EX111" s="243"/>
      <c r="EY111" s="243"/>
      <c r="EZ111" s="243"/>
      <c r="FA111" s="243"/>
      <c r="FB111" s="243"/>
      <c r="FC111" s="242"/>
      <c r="FD111" s="242"/>
      <c r="FE111" s="242"/>
      <c r="FF111" s="242"/>
      <c r="FG111" s="242"/>
      <c r="FH111" s="242"/>
      <c r="FI111" s="242"/>
      <c r="FJ111" s="243"/>
      <c r="FK111" s="243"/>
      <c r="FL111" s="243"/>
      <c r="FM111" s="243"/>
      <c r="FN111" s="243"/>
      <c r="FO111" s="243"/>
      <c r="FP111" s="243"/>
      <c r="FQ111" s="242"/>
      <c r="FR111" s="242"/>
      <c r="FS111" s="242"/>
      <c r="FT111" s="242"/>
      <c r="FU111" s="242"/>
      <c r="FV111" s="242"/>
      <c r="FW111" s="242"/>
      <c r="FX111" s="243"/>
      <c r="FY111" s="243"/>
      <c r="FZ111" s="243"/>
      <c r="GA111" s="243"/>
      <c r="GB111" s="243"/>
      <c r="GC111" s="243"/>
      <c r="GD111" s="243"/>
      <c r="GE111" s="242"/>
      <c r="GF111" s="242"/>
      <c r="GG111" s="242"/>
      <c r="GH111" s="242"/>
      <c r="GI111" s="242"/>
      <c r="GJ111" s="242"/>
      <c r="GK111" s="242"/>
      <c r="GL111" s="243"/>
      <c r="GM111" s="243"/>
      <c r="GN111" s="243"/>
      <c r="GO111" s="243"/>
      <c r="GP111" s="243"/>
      <c r="GQ111" s="243"/>
      <c r="GR111" s="243"/>
      <c r="GS111" s="242"/>
      <c r="GT111" s="242"/>
      <c r="GU111" s="242"/>
      <c r="GV111" s="242"/>
      <c r="GW111" s="242"/>
      <c r="GX111" s="242"/>
      <c r="GY111" s="242"/>
      <c r="GZ111" s="243"/>
      <c r="HA111" s="243"/>
      <c r="HB111" s="243"/>
      <c r="HC111" s="243"/>
      <c r="HD111" s="243"/>
      <c r="HE111" s="243"/>
      <c r="HF111" s="243"/>
      <c r="HG111" s="242"/>
      <c r="HH111" s="242"/>
      <c r="HI111" s="242"/>
      <c r="HJ111" s="242"/>
      <c r="HK111" s="242"/>
      <c r="HL111" s="242"/>
      <c r="HM111" s="242"/>
      <c r="HN111" s="243"/>
      <c r="HO111" s="243"/>
      <c r="HP111" s="243"/>
      <c r="HQ111" s="243"/>
      <c r="HR111" s="243"/>
      <c r="HS111" s="243"/>
      <c r="HT111" s="243"/>
      <c r="HU111" s="242"/>
      <c r="HV111" s="242"/>
      <c r="HW111" s="242"/>
      <c r="HX111" s="242"/>
      <c r="HY111" s="242"/>
      <c r="HZ111" s="242"/>
      <c r="IA111" s="242"/>
      <c r="IB111" s="243"/>
      <c r="IC111" s="243"/>
      <c r="ID111" s="243"/>
      <c r="IE111" s="243"/>
      <c r="IF111" s="243"/>
      <c r="IG111" s="243"/>
      <c r="IH111" s="243"/>
      <c r="II111" s="242"/>
      <c r="IJ111" s="242"/>
      <c r="IK111" s="242"/>
      <c r="IL111" s="242"/>
      <c r="IM111" s="242"/>
      <c r="IN111" s="242"/>
      <c r="IO111" s="242"/>
      <c r="IP111" s="243"/>
      <c r="IQ111" s="243"/>
      <c r="IR111" s="243"/>
      <c r="IS111" s="243"/>
      <c r="IT111" s="243"/>
      <c r="IU111" s="243"/>
      <c r="IV111" s="243"/>
      <c r="IW111" s="242"/>
      <c r="IX111" s="242"/>
      <c r="IY111" s="242"/>
      <c r="IZ111" s="242"/>
      <c r="JA111" s="242"/>
      <c r="JB111" s="242">
        <v>5</v>
      </c>
      <c r="JC111" s="242">
        <v>12</v>
      </c>
      <c r="JD111" s="243">
        <v>24</v>
      </c>
      <c r="JE111" s="243">
        <v>24</v>
      </c>
      <c r="JF111" s="243">
        <v>24</v>
      </c>
      <c r="JG111" s="243">
        <v>24</v>
      </c>
      <c r="JH111" s="243">
        <v>24</v>
      </c>
      <c r="JI111" s="243">
        <v>24</v>
      </c>
      <c r="JJ111" s="243">
        <v>12</v>
      </c>
      <c r="JK111" s="242">
        <v>5</v>
      </c>
      <c r="JL111" s="242"/>
      <c r="JM111" s="242"/>
      <c r="JN111" s="242"/>
      <c r="JO111" s="242"/>
      <c r="JP111" s="242"/>
      <c r="JQ111" s="242"/>
      <c r="JR111" s="243"/>
      <c r="JS111" s="243"/>
      <c r="JT111" s="243"/>
      <c r="JU111" s="243"/>
      <c r="JV111" s="243"/>
      <c r="JW111" s="243"/>
      <c r="JX111" s="243"/>
      <c r="JY111" s="242"/>
      <c r="JZ111" s="242"/>
      <c r="KA111" s="242"/>
      <c r="KB111" s="242"/>
      <c r="KC111" s="242"/>
      <c r="KD111" s="242"/>
      <c r="KE111" s="242"/>
      <c r="KF111" s="243"/>
      <c r="KG111" s="243"/>
      <c r="KH111" s="243"/>
      <c r="KI111" s="243"/>
      <c r="KJ111" s="243"/>
      <c r="KK111" s="243"/>
      <c r="KL111" s="243"/>
      <c r="KM111" s="242"/>
      <c r="KN111" s="242"/>
      <c r="KO111" s="242"/>
      <c r="KP111" s="242"/>
      <c r="KQ111" s="242"/>
      <c r="KR111" s="242"/>
      <c r="KS111" s="242"/>
      <c r="KT111" s="243"/>
      <c r="KU111" s="243"/>
      <c r="KV111" s="243"/>
      <c r="KW111" s="243"/>
      <c r="KX111" s="243"/>
      <c r="KY111" s="243"/>
      <c r="KZ111" s="243"/>
      <c r="LA111" s="242"/>
      <c r="LB111" s="242"/>
      <c r="LC111" s="242"/>
      <c r="LD111" s="242"/>
      <c r="LE111" s="242"/>
      <c r="LF111" s="242"/>
      <c r="LG111" s="242"/>
      <c r="LH111" s="243"/>
      <c r="LI111" s="243"/>
      <c r="LJ111" s="243"/>
      <c r="LK111" s="243"/>
      <c r="LL111" s="243"/>
      <c r="LM111" s="243"/>
      <c r="LN111" s="243"/>
      <c r="LO111" s="242"/>
      <c r="LP111" s="242"/>
      <c r="LQ111" s="242"/>
      <c r="LR111" s="242"/>
      <c r="LS111" s="242"/>
      <c r="LT111" s="242"/>
      <c r="LU111" s="242"/>
      <c r="LV111" s="243"/>
      <c r="LW111" s="243"/>
      <c r="LX111" s="243"/>
      <c r="LY111" s="243"/>
      <c r="LZ111" s="243"/>
      <c r="MA111" s="243"/>
      <c r="MB111" s="243"/>
      <c r="MC111" s="242"/>
      <c r="MD111" s="242"/>
      <c r="ME111" s="242"/>
      <c r="MF111" s="242"/>
      <c r="MG111" s="242"/>
      <c r="MH111" s="242"/>
      <c r="MI111" s="242"/>
      <c r="MJ111" s="243"/>
      <c r="MK111" s="243"/>
      <c r="ML111" s="243"/>
      <c r="MM111" s="243"/>
      <c r="MN111" s="243"/>
      <c r="MO111" s="243"/>
      <c r="MP111" s="243"/>
      <c r="MQ111" s="242"/>
      <c r="MR111" s="242"/>
      <c r="MS111" s="242"/>
      <c r="MT111" s="242"/>
      <c r="MU111" s="242"/>
      <c r="MV111" s="242"/>
      <c r="MW111" s="242"/>
      <c r="MX111" s="243"/>
      <c r="MY111" s="243"/>
      <c r="MZ111" s="243"/>
      <c r="NA111" s="243"/>
      <c r="NB111" s="243"/>
      <c r="NC111" s="243"/>
      <c r="ND111" s="243"/>
      <c r="NE111" s="242"/>
      <c r="NF111" s="242"/>
      <c r="NG111" s="242"/>
      <c r="NH111" s="243" t="s">
        <v>1156</v>
      </c>
    </row>
    <row r="112" spans="1:372">
      <c r="A112" s="254" t="s">
        <v>985</v>
      </c>
      <c r="B112" s="239" t="s">
        <v>326</v>
      </c>
      <c r="C112" s="240" t="s">
        <v>674</v>
      </c>
      <c r="D112" s="240" t="s">
        <v>982</v>
      </c>
      <c r="E112" s="241">
        <v>157.9199999997744</v>
      </c>
      <c r="F112" s="252">
        <v>0</v>
      </c>
      <c r="G112" s="242"/>
      <c r="H112" s="242"/>
      <c r="I112" s="242"/>
      <c r="J112" s="242"/>
      <c r="K112" s="242"/>
      <c r="L112" s="243"/>
      <c r="M112" s="243"/>
      <c r="N112" s="243"/>
      <c r="O112" s="243"/>
      <c r="P112" s="243"/>
      <c r="Q112" s="243"/>
      <c r="R112" s="243"/>
      <c r="S112" s="242"/>
      <c r="T112" s="242"/>
      <c r="U112" s="242"/>
      <c r="V112" s="242"/>
      <c r="W112" s="242"/>
      <c r="X112" s="242"/>
      <c r="Y112" s="242"/>
      <c r="Z112" s="243"/>
      <c r="AA112" s="243"/>
      <c r="AB112" s="243"/>
      <c r="AC112" s="243"/>
      <c r="AD112" s="243"/>
      <c r="AE112" s="243"/>
      <c r="AF112" s="243"/>
      <c r="AG112" s="242"/>
      <c r="AH112" s="242"/>
      <c r="AI112" s="242"/>
      <c r="AJ112" s="242"/>
      <c r="AK112" s="242"/>
      <c r="AL112" s="242"/>
      <c r="AM112" s="242"/>
      <c r="AN112" s="243"/>
      <c r="AO112" s="243"/>
      <c r="AP112" s="243"/>
      <c r="AQ112" s="243"/>
      <c r="AR112" s="243"/>
      <c r="AS112" s="243"/>
      <c r="AT112" s="243"/>
      <c r="AU112" s="242"/>
      <c r="AV112" s="242"/>
      <c r="AW112" s="242"/>
      <c r="AX112" s="242"/>
      <c r="AY112" s="242"/>
      <c r="AZ112" s="242"/>
      <c r="BA112" s="242"/>
      <c r="BB112" s="243"/>
      <c r="BC112" s="243"/>
      <c r="BD112" s="243"/>
      <c r="BE112" s="243"/>
      <c r="BF112" s="243"/>
      <c r="BG112" s="243"/>
      <c r="BH112" s="243"/>
      <c r="BI112" s="242"/>
      <c r="BJ112" s="242"/>
      <c r="BK112" s="242"/>
      <c r="BL112" s="242"/>
      <c r="BM112" s="242"/>
      <c r="BN112" s="242"/>
      <c r="BO112" s="242"/>
      <c r="BP112" s="243"/>
      <c r="BQ112" s="243"/>
      <c r="BR112" s="243"/>
      <c r="BS112" s="243"/>
      <c r="BT112" s="243"/>
      <c r="BU112" s="243"/>
      <c r="BV112" s="243"/>
      <c r="BW112" s="242"/>
      <c r="BX112" s="242"/>
      <c r="BY112" s="242"/>
      <c r="BZ112" s="242"/>
      <c r="CA112" s="242"/>
      <c r="CB112" s="242"/>
      <c r="CC112" s="242"/>
      <c r="CD112" s="243"/>
      <c r="CE112" s="243"/>
      <c r="CF112" s="243"/>
      <c r="CG112" s="243"/>
      <c r="CH112" s="243"/>
      <c r="CI112" s="243"/>
      <c r="CJ112" s="243"/>
      <c r="CK112" s="242"/>
      <c r="CL112" s="242"/>
      <c r="CM112" s="242"/>
      <c r="CN112" s="242"/>
      <c r="CO112" s="242"/>
      <c r="CP112" s="242"/>
      <c r="CQ112" s="242"/>
      <c r="CR112" s="243"/>
      <c r="CS112" s="243"/>
      <c r="CT112" s="243"/>
      <c r="CU112" s="243"/>
      <c r="CV112" s="243"/>
      <c r="CW112" s="243"/>
      <c r="CX112" s="243"/>
      <c r="CY112" s="242"/>
      <c r="CZ112" s="242"/>
      <c r="DA112" s="242"/>
      <c r="DB112" s="242"/>
      <c r="DC112" s="242"/>
      <c r="DD112" s="242"/>
      <c r="DE112" s="242"/>
      <c r="DF112" s="243"/>
      <c r="DG112" s="243"/>
      <c r="DH112" s="243"/>
      <c r="DI112" s="243"/>
      <c r="DJ112" s="243"/>
      <c r="DK112" s="243"/>
      <c r="DL112" s="243"/>
      <c r="DM112" s="242"/>
      <c r="DN112" s="242"/>
      <c r="DO112" s="242"/>
      <c r="DP112" s="242"/>
      <c r="DQ112" s="242"/>
      <c r="DR112" s="242"/>
      <c r="DS112" s="242"/>
      <c r="DT112" s="243"/>
      <c r="DU112" s="243"/>
      <c r="DV112" s="243"/>
      <c r="DW112" s="243"/>
      <c r="DX112" s="243"/>
      <c r="DY112" s="243"/>
      <c r="DZ112" s="243"/>
      <c r="EA112" s="242"/>
      <c r="EB112" s="242"/>
      <c r="EC112" s="242"/>
      <c r="ED112" s="242"/>
      <c r="EE112" s="242"/>
      <c r="EF112" s="242"/>
      <c r="EG112" s="242"/>
      <c r="EH112" s="243"/>
      <c r="EI112" s="243"/>
      <c r="EJ112" s="243"/>
      <c r="EK112" s="243"/>
      <c r="EL112" s="243"/>
      <c r="EM112" s="243"/>
      <c r="EN112" s="243"/>
      <c r="EO112" s="242"/>
      <c r="EP112" s="242"/>
      <c r="EQ112" s="242"/>
      <c r="ER112" s="242"/>
      <c r="ES112" s="242"/>
      <c r="ET112" s="242"/>
      <c r="EU112" s="242"/>
      <c r="EV112" s="243"/>
      <c r="EW112" s="243"/>
      <c r="EX112" s="243"/>
      <c r="EY112" s="243"/>
      <c r="EZ112" s="243"/>
      <c r="FA112" s="243"/>
      <c r="FB112" s="243"/>
      <c r="FC112" s="242"/>
      <c r="FD112" s="242"/>
      <c r="FE112" s="242"/>
      <c r="FF112" s="242"/>
      <c r="FG112" s="242"/>
      <c r="FH112" s="242"/>
      <c r="FI112" s="242"/>
      <c r="FJ112" s="243"/>
      <c r="FK112" s="243"/>
      <c r="FL112" s="243"/>
      <c r="FM112" s="243"/>
      <c r="FN112" s="243"/>
      <c r="FO112" s="243"/>
      <c r="FP112" s="243"/>
      <c r="FQ112" s="242"/>
      <c r="FR112" s="242"/>
      <c r="FS112" s="242"/>
      <c r="FT112" s="242"/>
      <c r="FU112" s="242"/>
      <c r="FV112" s="242"/>
      <c r="FW112" s="242"/>
      <c r="FX112" s="243"/>
      <c r="FY112" s="243"/>
      <c r="FZ112" s="243"/>
      <c r="GA112" s="243"/>
      <c r="GB112" s="243"/>
      <c r="GC112" s="243"/>
      <c r="GD112" s="243"/>
      <c r="GE112" s="242"/>
      <c r="GF112" s="242"/>
      <c r="GG112" s="242"/>
      <c r="GH112" s="242"/>
      <c r="GI112" s="242"/>
      <c r="GJ112" s="242"/>
      <c r="GK112" s="242"/>
      <c r="GL112" s="243"/>
      <c r="GM112" s="243"/>
      <c r="GN112" s="243"/>
      <c r="GO112" s="243"/>
      <c r="GP112" s="243"/>
      <c r="GQ112" s="243"/>
      <c r="GR112" s="243"/>
      <c r="GS112" s="242"/>
      <c r="GT112" s="242"/>
      <c r="GU112" s="242"/>
      <c r="GV112" s="242"/>
      <c r="GW112" s="242"/>
      <c r="GX112" s="242"/>
      <c r="GY112" s="242"/>
      <c r="GZ112" s="243"/>
      <c r="HA112" s="243"/>
      <c r="HB112" s="243"/>
      <c r="HC112" s="243"/>
      <c r="HD112" s="243"/>
      <c r="HE112" s="243"/>
      <c r="HF112" s="243"/>
      <c r="HG112" s="242"/>
      <c r="HH112" s="242"/>
      <c r="HI112" s="242"/>
      <c r="HJ112" s="242"/>
      <c r="HK112" s="242"/>
      <c r="HL112" s="242"/>
      <c r="HM112" s="242"/>
      <c r="HN112" s="243"/>
      <c r="HO112" s="243"/>
      <c r="HP112" s="243"/>
      <c r="HQ112" s="243"/>
      <c r="HR112" s="243"/>
      <c r="HS112" s="243"/>
      <c r="HT112" s="243"/>
      <c r="HU112" s="242"/>
      <c r="HV112" s="242"/>
      <c r="HW112" s="242"/>
      <c r="HX112" s="242"/>
      <c r="HY112" s="242"/>
      <c r="HZ112" s="242"/>
      <c r="IA112" s="242"/>
      <c r="IB112" s="243"/>
      <c r="IC112" s="243"/>
      <c r="ID112" s="243"/>
      <c r="IE112" s="243"/>
      <c r="IF112" s="243"/>
      <c r="IG112" s="243"/>
      <c r="IH112" s="243"/>
      <c r="II112" s="242"/>
      <c r="IJ112" s="242"/>
      <c r="IK112" s="242"/>
      <c r="IL112" s="242"/>
      <c r="IM112" s="242"/>
      <c r="IN112" s="242"/>
      <c r="IO112" s="242"/>
      <c r="IP112" s="243"/>
      <c r="IQ112" s="243"/>
      <c r="IR112" s="243"/>
      <c r="IS112" s="243"/>
      <c r="IT112" s="243"/>
      <c r="IU112" s="243"/>
      <c r="IV112" s="243"/>
      <c r="IW112" s="242"/>
      <c r="IX112" s="242"/>
      <c r="IY112" s="242"/>
      <c r="IZ112" s="242"/>
      <c r="JA112" s="242"/>
      <c r="JB112" s="242"/>
      <c r="JC112" s="242"/>
      <c r="JD112" s="243"/>
      <c r="JE112" s="243"/>
      <c r="JF112" s="243"/>
      <c r="JG112" s="243"/>
      <c r="JH112" s="243"/>
      <c r="JI112" s="243"/>
      <c r="JJ112" s="243"/>
      <c r="JK112" s="242"/>
      <c r="JL112" s="242"/>
      <c r="JM112" s="242"/>
      <c r="JN112" s="242"/>
      <c r="JO112" s="242"/>
      <c r="JP112" s="242"/>
      <c r="JQ112" s="242"/>
      <c r="JR112" s="243"/>
      <c r="JS112" s="243"/>
      <c r="JT112" s="243"/>
      <c r="JU112" s="243"/>
      <c r="JV112" s="243"/>
      <c r="JW112" s="243"/>
      <c r="JX112" s="243"/>
      <c r="JY112" s="242"/>
      <c r="JZ112" s="242"/>
      <c r="KA112" s="242"/>
      <c r="KB112" s="242"/>
      <c r="KC112" s="242"/>
      <c r="KD112" s="242"/>
      <c r="KE112" s="242"/>
      <c r="KF112" s="243"/>
      <c r="KG112" s="243"/>
      <c r="KH112" s="243"/>
      <c r="KI112" s="243"/>
      <c r="KJ112" s="243"/>
      <c r="KK112" s="243"/>
      <c r="KL112" s="243"/>
      <c r="KM112" s="242"/>
      <c r="KN112" s="242"/>
      <c r="KO112" s="242"/>
      <c r="KP112" s="242"/>
      <c r="KQ112" s="242"/>
      <c r="KR112" s="242"/>
      <c r="KS112" s="242"/>
      <c r="KT112" s="243"/>
      <c r="KU112" s="243"/>
      <c r="KV112" s="243"/>
      <c r="KW112" s="243"/>
      <c r="KX112" s="243"/>
      <c r="KY112" s="243"/>
      <c r="KZ112" s="243"/>
      <c r="LA112" s="242"/>
      <c r="LB112" s="242"/>
      <c r="LC112" s="242"/>
      <c r="LD112" s="242"/>
      <c r="LE112" s="242"/>
      <c r="LF112" s="242"/>
      <c r="LG112" s="242"/>
      <c r="LH112" s="243"/>
      <c r="LI112" s="243"/>
      <c r="LJ112" s="243"/>
      <c r="LK112" s="243"/>
      <c r="LL112" s="243"/>
      <c r="LM112" s="243"/>
      <c r="LN112" s="243"/>
      <c r="LO112" s="242"/>
      <c r="LP112" s="242"/>
      <c r="LQ112" s="242"/>
      <c r="LR112" s="242"/>
      <c r="LS112" s="242"/>
      <c r="LT112" s="242"/>
      <c r="LU112" s="242"/>
      <c r="LV112" s="243"/>
      <c r="LW112" s="243"/>
      <c r="LX112" s="243"/>
      <c r="LY112" s="243"/>
      <c r="LZ112" s="243"/>
      <c r="MA112" s="243"/>
      <c r="MB112" s="243"/>
      <c r="MC112" s="242"/>
      <c r="MD112" s="242"/>
      <c r="ME112" s="242"/>
      <c r="MF112" s="242"/>
      <c r="MG112" s="242"/>
      <c r="MH112" s="242"/>
      <c r="MI112" s="242"/>
      <c r="MJ112" s="243"/>
      <c r="MK112" s="243"/>
      <c r="ML112" s="243"/>
      <c r="MM112" s="243"/>
      <c r="MN112" s="243"/>
      <c r="MO112" s="243"/>
      <c r="MP112" s="243"/>
      <c r="MQ112" s="242"/>
      <c r="MR112" s="242"/>
      <c r="MS112" s="242"/>
      <c r="MT112" s="242"/>
      <c r="MU112" s="242"/>
      <c r="MV112" s="242"/>
      <c r="MW112" s="242"/>
      <c r="MX112" s="243"/>
      <c r="MY112" s="243"/>
      <c r="MZ112" s="243"/>
      <c r="NA112" s="243"/>
      <c r="NB112" s="243"/>
      <c r="NC112" s="243"/>
      <c r="ND112" s="243"/>
      <c r="NE112" s="242"/>
      <c r="NF112" s="242"/>
      <c r="NG112" s="242"/>
      <c r="NH112" s="243"/>
    </row>
    <row r="113" spans="1:372">
      <c r="A113" s="254" t="s">
        <v>985</v>
      </c>
      <c r="B113" s="239" t="s">
        <v>83</v>
      </c>
      <c r="C113" s="240" t="s">
        <v>674</v>
      </c>
      <c r="D113" s="240" t="s">
        <v>982</v>
      </c>
      <c r="E113" s="241">
        <v>281.74541666602238</v>
      </c>
      <c r="F113" s="252">
        <v>288</v>
      </c>
      <c r="G113" s="242"/>
      <c r="H113" s="242"/>
      <c r="I113" s="242"/>
      <c r="J113" s="242"/>
      <c r="K113" s="242"/>
      <c r="L113" s="243"/>
      <c r="M113" s="243"/>
      <c r="N113" s="243"/>
      <c r="O113" s="243"/>
      <c r="P113" s="243"/>
      <c r="Q113" s="243"/>
      <c r="R113" s="243"/>
      <c r="S113" s="242"/>
      <c r="T113" s="242"/>
      <c r="U113" s="242"/>
      <c r="V113" s="242"/>
      <c r="W113" s="242"/>
      <c r="X113" s="242"/>
      <c r="Y113" s="242"/>
      <c r="Z113" s="243"/>
      <c r="AA113" s="243"/>
      <c r="AB113" s="243"/>
      <c r="AC113" s="243"/>
      <c r="AD113" s="243"/>
      <c r="AE113" s="243"/>
      <c r="AF113" s="243"/>
      <c r="AG113" s="242"/>
      <c r="AH113" s="242"/>
      <c r="AI113" s="242"/>
      <c r="AJ113" s="242"/>
      <c r="AK113" s="242"/>
      <c r="AL113" s="242"/>
      <c r="AM113" s="242"/>
      <c r="AN113" s="243"/>
      <c r="AO113" s="243"/>
      <c r="AP113" s="243"/>
      <c r="AQ113" s="243"/>
      <c r="AR113" s="243"/>
      <c r="AS113" s="243"/>
      <c r="AT113" s="243"/>
      <c r="AU113" s="242"/>
      <c r="AV113" s="242"/>
      <c r="AW113" s="242"/>
      <c r="AX113" s="242"/>
      <c r="AY113" s="242"/>
      <c r="AZ113" s="242"/>
      <c r="BA113" s="242"/>
      <c r="BB113" s="243"/>
      <c r="BC113" s="243"/>
      <c r="BD113" s="243"/>
      <c r="BE113" s="243"/>
      <c r="BF113" s="243"/>
      <c r="BG113" s="243"/>
      <c r="BH113" s="243"/>
      <c r="BI113" s="242"/>
      <c r="BJ113" s="242"/>
      <c r="BK113" s="242"/>
      <c r="BL113" s="242"/>
      <c r="BM113" s="242"/>
      <c r="BN113" s="242"/>
      <c r="BO113" s="242"/>
      <c r="BP113" s="243"/>
      <c r="BQ113" s="243"/>
      <c r="BR113" s="243"/>
      <c r="BS113" s="243"/>
      <c r="BT113" s="243"/>
      <c r="BU113" s="243"/>
      <c r="BV113" s="243"/>
      <c r="BW113" s="242"/>
      <c r="BX113" s="242"/>
      <c r="BY113" s="242"/>
      <c r="BZ113" s="242"/>
      <c r="CA113" s="242"/>
      <c r="CB113" s="242"/>
      <c r="CC113" s="242"/>
      <c r="CD113" s="243"/>
      <c r="CE113" s="243"/>
      <c r="CF113" s="243"/>
      <c r="CG113" s="243"/>
      <c r="CH113" s="243"/>
      <c r="CI113" s="243"/>
      <c r="CJ113" s="243"/>
      <c r="CK113" s="242"/>
      <c r="CL113" s="242"/>
      <c r="CM113" s="242"/>
      <c r="CN113" s="242"/>
      <c r="CO113" s="242"/>
      <c r="CP113" s="242"/>
      <c r="CQ113" s="242"/>
      <c r="CR113" s="243"/>
      <c r="CS113" s="243"/>
      <c r="CT113" s="243"/>
      <c r="CU113" s="243"/>
      <c r="CV113" s="243"/>
      <c r="CW113" s="243"/>
      <c r="CX113" s="243"/>
      <c r="CY113" s="242"/>
      <c r="CZ113" s="242"/>
      <c r="DA113" s="242"/>
      <c r="DB113" s="242"/>
      <c r="DC113" s="242"/>
      <c r="DD113" s="242"/>
      <c r="DE113" s="242"/>
      <c r="DF113" s="243"/>
      <c r="DG113" s="243"/>
      <c r="DH113" s="243"/>
      <c r="DI113" s="243"/>
      <c r="DJ113" s="243"/>
      <c r="DK113" s="243"/>
      <c r="DL113" s="243"/>
      <c r="DM113" s="242"/>
      <c r="DN113" s="242"/>
      <c r="DO113" s="242"/>
      <c r="DP113" s="242"/>
      <c r="DQ113" s="242"/>
      <c r="DR113" s="242"/>
      <c r="DS113" s="242"/>
      <c r="DT113" s="243"/>
      <c r="DU113" s="243"/>
      <c r="DV113" s="243"/>
      <c r="DW113" s="243"/>
      <c r="DX113" s="243"/>
      <c r="DY113" s="243"/>
      <c r="DZ113" s="243"/>
      <c r="EA113" s="242"/>
      <c r="EB113" s="242"/>
      <c r="EC113" s="242"/>
      <c r="ED113" s="242"/>
      <c r="EE113" s="242"/>
      <c r="EF113" s="242"/>
      <c r="EG113" s="242"/>
      <c r="EH113" s="243"/>
      <c r="EI113" s="243"/>
      <c r="EJ113" s="243"/>
      <c r="EK113" s="243">
        <v>24</v>
      </c>
      <c r="EL113" s="243">
        <v>24</v>
      </c>
      <c r="EM113" s="243">
        <v>24</v>
      </c>
      <c r="EN113" s="243">
        <v>24</v>
      </c>
      <c r="EO113" s="242">
        <v>24</v>
      </c>
      <c r="EP113" s="242">
        <v>24</v>
      </c>
      <c r="EQ113" s="242">
        <v>24</v>
      </c>
      <c r="ER113" s="242">
        <v>24</v>
      </c>
      <c r="ES113" s="242">
        <v>24</v>
      </c>
      <c r="ET113" s="242">
        <v>24</v>
      </c>
      <c r="EU113" s="242">
        <v>24</v>
      </c>
      <c r="EV113" s="243">
        <v>24</v>
      </c>
      <c r="EW113" s="243"/>
      <c r="EX113" s="243"/>
      <c r="EY113" s="243"/>
      <c r="EZ113" s="243"/>
      <c r="FA113" s="243"/>
      <c r="FB113" s="243"/>
      <c r="FC113" s="242"/>
      <c r="FD113" s="242"/>
      <c r="FE113" s="242"/>
      <c r="FF113" s="242"/>
      <c r="FG113" s="242"/>
      <c r="FH113" s="242"/>
      <c r="FI113" s="242"/>
      <c r="FJ113" s="243"/>
      <c r="FK113" s="243"/>
      <c r="FL113" s="243"/>
      <c r="FM113" s="243"/>
      <c r="FN113" s="243"/>
      <c r="FO113" s="243"/>
      <c r="FP113" s="243"/>
      <c r="FQ113" s="242"/>
      <c r="FR113" s="242"/>
      <c r="FS113" s="242"/>
      <c r="FT113" s="242"/>
      <c r="FU113" s="242"/>
      <c r="FV113" s="242"/>
      <c r="FW113" s="242"/>
      <c r="FX113" s="243"/>
      <c r="FY113" s="243"/>
      <c r="FZ113" s="243"/>
      <c r="GA113" s="243"/>
      <c r="GB113" s="243"/>
      <c r="GC113" s="243"/>
      <c r="GD113" s="243"/>
      <c r="GE113" s="242"/>
      <c r="GF113" s="242"/>
      <c r="GG113" s="242"/>
      <c r="GH113" s="242"/>
      <c r="GI113" s="242"/>
      <c r="GJ113" s="242"/>
      <c r="GK113" s="242"/>
      <c r="GL113" s="243"/>
      <c r="GM113" s="243"/>
      <c r="GN113" s="243"/>
      <c r="GO113" s="243"/>
      <c r="GP113" s="243"/>
      <c r="GQ113" s="243"/>
      <c r="GR113" s="243"/>
      <c r="GS113" s="242"/>
      <c r="GT113" s="242"/>
      <c r="GU113" s="242"/>
      <c r="GV113" s="242"/>
      <c r="GW113" s="242"/>
      <c r="GX113" s="242"/>
      <c r="GY113" s="242"/>
      <c r="GZ113" s="243"/>
      <c r="HA113" s="243"/>
      <c r="HB113" s="243"/>
      <c r="HC113" s="243"/>
      <c r="HD113" s="243"/>
      <c r="HE113" s="243"/>
      <c r="HF113" s="243"/>
      <c r="HG113" s="242"/>
      <c r="HH113" s="242"/>
      <c r="HI113" s="242"/>
      <c r="HJ113" s="242"/>
      <c r="HK113" s="242"/>
      <c r="HL113" s="242"/>
      <c r="HM113" s="242"/>
      <c r="HN113" s="243"/>
      <c r="HO113" s="243"/>
      <c r="HP113" s="243"/>
      <c r="HQ113" s="243"/>
      <c r="HR113" s="243"/>
      <c r="HS113" s="243"/>
      <c r="HT113" s="243"/>
      <c r="HU113" s="242"/>
      <c r="HV113" s="242"/>
      <c r="HW113" s="242"/>
      <c r="HX113" s="242"/>
      <c r="HY113" s="242"/>
      <c r="HZ113" s="242"/>
      <c r="IA113" s="242"/>
      <c r="IB113" s="243"/>
      <c r="IC113" s="243"/>
      <c r="ID113" s="243"/>
      <c r="IE113" s="243"/>
      <c r="IF113" s="243"/>
      <c r="IG113" s="243"/>
      <c r="IH113" s="243"/>
      <c r="II113" s="242"/>
      <c r="IJ113" s="242"/>
      <c r="IK113" s="242"/>
      <c r="IL113" s="242"/>
      <c r="IM113" s="242"/>
      <c r="IN113" s="242"/>
      <c r="IO113" s="242"/>
      <c r="IP113" s="243"/>
      <c r="IQ113" s="243"/>
      <c r="IR113" s="243"/>
      <c r="IS113" s="243"/>
      <c r="IT113" s="243"/>
      <c r="IU113" s="243"/>
      <c r="IV113" s="243"/>
      <c r="IW113" s="242"/>
      <c r="IX113" s="242"/>
      <c r="IY113" s="242"/>
      <c r="IZ113" s="242"/>
      <c r="JA113" s="242"/>
      <c r="JB113" s="242"/>
      <c r="JC113" s="242"/>
      <c r="JD113" s="243"/>
      <c r="JE113" s="243"/>
      <c r="JF113" s="243"/>
      <c r="JG113" s="243"/>
      <c r="JH113" s="243"/>
      <c r="JI113" s="243"/>
      <c r="JJ113" s="243"/>
      <c r="JK113" s="242"/>
      <c r="JL113" s="242"/>
      <c r="JM113" s="242"/>
      <c r="JN113" s="242"/>
      <c r="JO113" s="242"/>
      <c r="JP113" s="242"/>
      <c r="JQ113" s="242"/>
      <c r="JR113" s="243"/>
      <c r="JS113" s="243"/>
      <c r="JT113" s="243"/>
      <c r="JU113" s="243"/>
      <c r="JV113" s="243"/>
      <c r="JW113" s="243"/>
      <c r="JX113" s="243"/>
      <c r="JY113" s="242"/>
      <c r="JZ113" s="242"/>
      <c r="KA113" s="242"/>
      <c r="KB113" s="242"/>
      <c r="KC113" s="242"/>
      <c r="KD113" s="242"/>
      <c r="KE113" s="242"/>
      <c r="KF113" s="243"/>
      <c r="KG113" s="243"/>
      <c r="KH113" s="243"/>
      <c r="KI113" s="243"/>
      <c r="KJ113" s="243"/>
      <c r="KK113" s="243"/>
      <c r="KL113" s="243"/>
      <c r="KM113" s="242"/>
      <c r="KN113" s="242"/>
      <c r="KO113" s="242"/>
      <c r="KP113" s="242"/>
      <c r="KQ113" s="242"/>
      <c r="KR113" s="242"/>
      <c r="KS113" s="242"/>
      <c r="KT113" s="243"/>
      <c r="KU113" s="243"/>
      <c r="KV113" s="243"/>
      <c r="KW113" s="243"/>
      <c r="KX113" s="243"/>
      <c r="KY113" s="243"/>
      <c r="KZ113" s="243"/>
      <c r="LA113" s="242"/>
      <c r="LB113" s="242"/>
      <c r="LC113" s="242"/>
      <c r="LD113" s="242"/>
      <c r="LE113" s="242"/>
      <c r="LF113" s="242"/>
      <c r="LG113" s="242"/>
      <c r="LH113" s="243"/>
      <c r="LI113" s="243"/>
      <c r="LJ113" s="243"/>
      <c r="LK113" s="243"/>
      <c r="LL113" s="243"/>
      <c r="LM113" s="243"/>
      <c r="LN113" s="243"/>
      <c r="LO113" s="242"/>
      <c r="LP113" s="242"/>
      <c r="LQ113" s="242"/>
      <c r="LR113" s="242"/>
      <c r="LS113" s="242"/>
      <c r="LT113" s="242"/>
      <c r="LU113" s="242"/>
      <c r="LV113" s="243"/>
      <c r="LW113" s="243"/>
      <c r="LX113" s="243"/>
      <c r="LY113" s="243"/>
      <c r="LZ113" s="243"/>
      <c r="MA113" s="243"/>
      <c r="MB113" s="243"/>
      <c r="MC113" s="242"/>
      <c r="MD113" s="242"/>
      <c r="ME113" s="242"/>
      <c r="MF113" s="242"/>
      <c r="MG113" s="242"/>
      <c r="MH113" s="242"/>
      <c r="MI113" s="242"/>
      <c r="MJ113" s="243"/>
      <c r="MK113" s="243"/>
      <c r="ML113" s="243"/>
      <c r="MM113" s="243"/>
      <c r="MN113" s="243"/>
      <c r="MO113" s="243"/>
      <c r="MP113" s="243"/>
      <c r="MQ113" s="242"/>
      <c r="MR113" s="242"/>
      <c r="MS113" s="242"/>
      <c r="MT113" s="242"/>
      <c r="MU113" s="242"/>
      <c r="MV113" s="242"/>
      <c r="MW113" s="242"/>
      <c r="MX113" s="243"/>
      <c r="MY113" s="243"/>
      <c r="MZ113" s="243"/>
      <c r="NA113" s="243"/>
      <c r="NB113" s="243"/>
      <c r="NC113" s="243"/>
      <c r="ND113" s="243"/>
      <c r="NE113" s="242"/>
      <c r="NF113" s="242"/>
      <c r="NG113" s="242"/>
      <c r="NH113" s="243" t="s">
        <v>1157</v>
      </c>
    </row>
    <row r="114" spans="1:372">
      <c r="A114" s="254" t="s">
        <v>985</v>
      </c>
      <c r="B114" s="239" t="s">
        <v>84</v>
      </c>
      <c r="C114" s="240" t="s">
        <v>674</v>
      </c>
      <c r="D114" s="240" t="s">
        <v>982</v>
      </c>
      <c r="E114" s="241">
        <v>294.96808333259384</v>
      </c>
      <c r="F114" s="252">
        <v>288</v>
      </c>
      <c r="G114" s="242"/>
      <c r="H114" s="242"/>
      <c r="I114" s="242"/>
      <c r="J114" s="242"/>
      <c r="K114" s="242"/>
      <c r="L114" s="243"/>
      <c r="M114" s="243"/>
      <c r="N114" s="243"/>
      <c r="O114" s="243"/>
      <c r="P114" s="243"/>
      <c r="Q114" s="243"/>
      <c r="R114" s="243"/>
      <c r="S114" s="242"/>
      <c r="T114" s="242"/>
      <c r="U114" s="242"/>
      <c r="V114" s="242"/>
      <c r="W114" s="242"/>
      <c r="X114" s="242"/>
      <c r="Y114" s="242"/>
      <c r="Z114" s="243"/>
      <c r="AA114" s="243"/>
      <c r="AB114" s="243"/>
      <c r="AC114" s="243"/>
      <c r="AD114" s="243"/>
      <c r="AE114" s="243"/>
      <c r="AF114" s="243"/>
      <c r="AG114" s="242"/>
      <c r="AH114" s="242"/>
      <c r="AI114" s="242"/>
      <c r="AJ114" s="242"/>
      <c r="AK114" s="242"/>
      <c r="AL114" s="242"/>
      <c r="AM114" s="242"/>
      <c r="AN114" s="243"/>
      <c r="AO114" s="243"/>
      <c r="AP114" s="243"/>
      <c r="AQ114" s="243"/>
      <c r="AR114" s="243"/>
      <c r="AS114" s="243"/>
      <c r="AT114" s="243"/>
      <c r="AU114" s="242"/>
      <c r="AV114" s="242"/>
      <c r="AW114" s="242"/>
      <c r="AX114" s="242"/>
      <c r="AY114" s="242"/>
      <c r="AZ114" s="242"/>
      <c r="BA114" s="242"/>
      <c r="BB114" s="243"/>
      <c r="BC114" s="243"/>
      <c r="BD114" s="243"/>
      <c r="BE114" s="243"/>
      <c r="BF114" s="243"/>
      <c r="BG114" s="243"/>
      <c r="BH114" s="243"/>
      <c r="BI114" s="242"/>
      <c r="BJ114" s="242"/>
      <c r="BK114" s="242"/>
      <c r="BL114" s="242"/>
      <c r="BM114" s="242"/>
      <c r="BN114" s="242"/>
      <c r="BO114" s="242"/>
      <c r="BP114" s="243"/>
      <c r="BQ114" s="243"/>
      <c r="BR114" s="243"/>
      <c r="BS114" s="243"/>
      <c r="BT114" s="243"/>
      <c r="BU114" s="243"/>
      <c r="BV114" s="243"/>
      <c r="BW114" s="242"/>
      <c r="BX114" s="242"/>
      <c r="BY114" s="242"/>
      <c r="BZ114" s="242"/>
      <c r="CA114" s="242"/>
      <c r="CB114" s="242"/>
      <c r="CC114" s="242"/>
      <c r="CD114" s="243"/>
      <c r="CE114" s="243"/>
      <c r="CF114" s="243"/>
      <c r="CG114" s="243"/>
      <c r="CH114" s="243"/>
      <c r="CI114" s="243"/>
      <c r="CJ114" s="243"/>
      <c r="CK114" s="242"/>
      <c r="CL114" s="242"/>
      <c r="CM114" s="242"/>
      <c r="CN114" s="242"/>
      <c r="CO114" s="242"/>
      <c r="CP114" s="242"/>
      <c r="CQ114" s="242"/>
      <c r="CR114" s="243"/>
      <c r="CS114" s="243"/>
      <c r="CT114" s="243"/>
      <c r="CU114" s="243"/>
      <c r="CV114" s="243"/>
      <c r="CW114" s="243"/>
      <c r="CX114" s="243"/>
      <c r="CY114" s="242"/>
      <c r="CZ114" s="242"/>
      <c r="DA114" s="242"/>
      <c r="DB114" s="242"/>
      <c r="DC114" s="242"/>
      <c r="DD114" s="242"/>
      <c r="DE114" s="242"/>
      <c r="DF114" s="243"/>
      <c r="DG114" s="243"/>
      <c r="DH114" s="243"/>
      <c r="DI114" s="243"/>
      <c r="DJ114" s="243"/>
      <c r="DK114" s="243"/>
      <c r="DL114" s="243"/>
      <c r="DM114" s="242"/>
      <c r="DN114" s="242"/>
      <c r="DO114" s="242"/>
      <c r="DP114" s="242"/>
      <c r="DQ114" s="242"/>
      <c r="DR114" s="242"/>
      <c r="DS114" s="242"/>
      <c r="DT114" s="243"/>
      <c r="DU114" s="243"/>
      <c r="DV114" s="243"/>
      <c r="DW114" s="243"/>
      <c r="DX114" s="243"/>
      <c r="DY114" s="243"/>
      <c r="DZ114" s="243"/>
      <c r="EA114" s="242"/>
      <c r="EB114" s="242"/>
      <c r="EC114" s="242"/>
      <c r="ED114" s="242"/>
      <c r="EE114" s="242"/>
      <c r="EF114" s="242"/>
      <c r="EG114" s="242"/>
      <c r="EH114" s="243"/>
      <c r="EI114" s="243"/>
      <c r="EJ114" s="243"/>
      <c r="EK114" s="243">
        <v>24</v>
      </c>
      <c r="EL114" s="243">
        <v>24</v>
      </c>
      <c r="EM114" s="243">
        <v>24</v>
      </c>
      <c r="EN114" s="243">
        <v>24</v>
      </c>
      <c r="EO114" s="242">
        <v>24</v>
      </c>
      <c r="EP114" s="242">
        <v>24</v>
      </c>
      <c r="EQ114" s="242">
        <v>24</v>
      </c>
      <c r="ER114" s="242">
        <v>24</v>
      </c>
      <c r="ES114" s="242">
        <v>24</v>
      </c>
      <c r="ET114" s="242">
        <v>24</v>
      </c>
      <c r="EU114" s="242">
        <v>24</v>
      </c>
      <c r="EV114" s="243">
        <v>24</v>
      </c>
      <c r="EW114" s="243"/>
      <c r="EX114" s="243"/>
      <c r="EY114" s="243"/>
      <c r="EZ114" s="243"/>
      <c r="FA114" s="243"/>
      <c r="FB114" s="243"/>
      <c r="FC114" s="242"/>
      <c r="FD114" s="242"/>
      <c r="FE114" s="242"/>
      <c r="FF114" s="242"/>
      <c r="FG114" s="242"/>
      <c r="FH114" s="242"/>
      <c r="FI114" s="242"/>
      <c r="FJ114" s="243"/>
      <c r="FK114" s="243"/>
      <c r="FL114" s="243"/>
      <c r="FM114" s="243"/>
      <c r="FN114" s="243"/>
      <c r="FO114" s="243"/>
      <c r="FP114" s="243"/>
      <c r="FQ114" s="242"/>
      <c r="FR114" s="242"/>
      <c r="FS114" s="242"/>
      <c r="FT114" s="242"/>
      <c r="FU114" s="242"/>
      <c r="FV114" s="242"/>
      <c r="FW114" s="242"/>
      <c r="FX114" s="243"/>
      <c r="FY114" s="243"/>
      <c r="FZ114" s="243"/>
      <c r="GA114" s="243"/>
      <c r="GB114" s="243"/>
      <c r="GC114" s="243"/>
      <c r="GD114" s="243"/>
      <c r="GE114" s="242"/>
      <c r="GF114" s="242"/>
      <c r="GG114" s="242"/>
      <c r="GH114" s="242"/>
      <c r="GI114" s="242"/>
      <c r="GJ114" s="242"/>
      <c r="GK114" s="242"/>
      <c r="GL114" s="243"/>
      <c r="GM114" s="243"/>
      <c r="GN114" s="243"/>
      <c r="GO114" s="243"/>
      <c r="GP114" s="243"/>
      <c r="GQ114" s="243"/>
      <c r="GR114" s="243"/>
      <c r="GS114" s="242"/>
      <c r="GT114" s="242"/>
      <c r="GU114" s="242"/>
      <c r="GV114" s="242"/>
      <c r="GW114" s="242"/>
      <c r="GX114" s="242"/>
      <c r="GY114" s="242"/>
      <c r="GZ114" s="243"/>
      <c r="HA114" s="243"/>
      <c r="HB114" s="243"/>
      <c r="HC114" s="243"/>
      <c r="HD114" s="243"/>
      <c r="HE114" s="243"/>
      <c r="HF114" s="243"/>
      <c r="HG114" s="242"/>
      <c r="HH114" s="242"/>
      <c r="HI114" s="242"/>
      <c r="HJ114" s="242"/>
      <c r="HK114" s="242"/>
      <c r="HL114" s="242"/>
      <c r="HM114" s="242"/>
      <c r="HN114" s="243"/>
      <c r="HO114" s="243"/>
      <c r="HP114" s="243"/>
      <c r="HQ114" s="243"/>
      <c r="HR114" s="243"/>
      <c r="HS114" s="243"/>
      <c r="HT114" s="243"/>
      <c r="HU114" s="242"/>
      <c r="HV114" s="242"/>
      <c r="HW114" s="242"/>
      <c r="HX114" s="242"/>
      <c r="HY114" s="242"/>
      <c r="HZ114" s="242"/>
      <c r="IA114" s="242"/>
      <c r="IB114" s="243"/>
      <c r="IC114" s="243"/>
      <c r="ID114" s="243"/>
      <c r="IE114" s="243"/>
      <c r="IF114" s="243"/>
      <c r="IG114" s="243"/>
      <c r="IH114" s="243"/>
      <c r="II114" s="242"/>
      <c r="IJ114" s="242"/>
      <c r="IK114" s="242"/>
      <c r="IL114" s="242"/>
      <c r="IM114" s="242"/>
      <c r="IN114" s="242"/>
      <c r="IO114" s="242"/>
      <c r="IP114" s="243"/>
      <c r="IQ114" s="243"/>
      <c r="IR114" s="243"/>
      <c r="IS114" s="243"/>
      <c r="IT114" s="243"/>
      <c r="IU114" s="243"/>
      <c r="IV114" s="243"/>
      <c r="IW114" s="242"/>
      <c r="IX114" s="242"/>
      <c r="IY114" s="242"/>
      <c r="IZ114" s="242"/>
      <c r="JA114" s="242"/>
      <c r="JB114" s="242"/>
      <c r="JC114" s="242"/>
      <c r="JD114" s="243"/>
      <c r="JE114" s="243"/>
      <c r="JF114" s="243"/>
      <c r="JG114" s="243"/>
      <c r="JH114" s="243"/>
      <c r="JI114" s="243"/>
      <c r="JJ114" s="243"/>
      <c r="JK114" s="242"/>
      <c r="JL114" s="242"/>
      <c r="JM114" s="242"/>
      <c r="JN114" s="242"/>
      <c r="JO114" s="242"/>
      <c r="JP114" s="242"/>
      <c r="JQ114" s="242"/>
      <c r="JR114" s="243"/>
      <c r="JS114" s="243"/>
      <c r="JT114" s="243"/>
      <c r="JU114" s="243"/>
      <c r="JV114" s="243"/>
      <c r="JW114" s="243"/>
      <c r="JX114" s="243"/>
      <c r="JY114" s="242"/>
      <c r="JZ114" s="242"/>
      <c r="KA114" s="242"/>
      <c r="KB114" s="242"/>
      <c r="KC114" s="242"/>
      <c r="KD114" s="242"/>
      <c r="KE114" s="242"/>
      <c r="KF114" s="243"/>
      <c r="KG114" s="243"/>
      <c r="KH114" s="243"/>
      <c r="KI114" s="243"/>
      <c r="KJ114" s="243"/>
      <c r="KK114" s="243"/>
      <c r="KL114" s="243"/>
      <c r="KM114" s="242"/>
      <c r="KN114" s="242"/>
      <c r="KO114" s="242"/>
      <c r="KP114" s="242"/>
      <c r="KQ114" s="242"/>
      <c r="KR114" s="242"/>
      <c r="KS114" s="242"/>
      <c r="KT114" s="243"/>
      <c r="KU114" s="243"/>
      <c r="KV114" s="243"/>
      <c r="KW114" s="243"/>
      <c r="KX114" s="243"/>
      <c r="KY114" s="243"/>
      <c r="KZ114" s="243"/>
      <c r="LA114" s="242"/>
      <c r="LB114" s="242"/>
      <c r="LC114" s="242"/>
      <c r="LD114" s="242"/>
      <c r="LE114" s="242"/>
      <c r="LF114" s="242"/>
      <c r="LG114" s="242"/>
      <c r="LH114" s="243"/>
      <c r="LI114" s="243"/>
      <c r="LJ114" s="243"/>
      <c r="LK114" s="243"/>
      <c r="LL114" s="243"/>
      <c r="LM114" s="243"/>
      <c r="LN114" s="243"/>
      <c r="LO114" s="242"/>
      <c r="LP114" s="242"/>
      <c r="LQ114" s="242"/>
      <c r="LR114" s="242"/>
      <c r="LS114" s="242"/>
      <c r="LT114" s="242"/>
      <c r="LU114" s="242"/>
      <c r="LV114" s="243"/>
      <c r="LW114" s="243"/>
      <c r="LX114" s="243"/>
      <c r="LY114" s="243"/>
      <c r="LZ114" s="243"/>
      <c r="MA114" s="243"/>
      <c r="MB114" s="243"/>
      <c r="MC114" s="242"/>
      <c r="MD114" s="242"/>
      <c r="ME114" s="242"/>
      <c r="MF114" s="242"/>
      <c r="MG114" s="242"/>
      <c r="MH114" s="242"/>
      <c r="MI114" s="242"/>
      <c r="MJ114" s="243"/>
      <c r="MK114" s="243"/>
      <c r="ML114" s="243"/>
      <c r="MM114" s="243"/>
      <c r="MN114" s="243"/>
      <c r="MO114" s="243"/>
      <c r="MP114" s="243"/>
      <c r="MQ114" s="242"/>
      <c r="MR114" s="242"/>
      <c r="MS114" s="242"/>
      <c r="MT114" s="242"/>
      <c r="MU114" s="242"/>
      <c r="MV114" s="242"/>
      <c r="MW114" s="242"/>
      <c r="MX114" s="243"/>
      <c r="MY114" s="243"/>
      <c r="MZ114" s="243"/>
      <c r="NA114" s="243"/>
      <c r="NB114" s="243"/>
      <c r="NC114" s="243"/>
      <c r="ND114" s="243"/>
      <c r="NE114" s="242"/>
      <c r="NF114" s="242"/>
      <c r="NG114" s="242"/>
      <c r="NH114" s="340"/>
    </row>
    <row r="115" spans="1:372">
      <c r="A115" s="254" t="s">
        <v>985</v>
      </c>
      <c r="B115" s="239" t="s">
        <v>85</v>
      </c>
      <c r="C115" s="240" t="s">
        <v>674</v>
      </c>
      <c r="D115" s="240" t="s">
        <v>982</v>
      </c>
      <c r="E115" s="241">
        <v>279.26616666596823</v>
      </c>
      <c r="F115" s="252">
        <v>288</v>
      </c>
      <c r="G115" s="242"/>
      <c r="H115" s="242"/>
      <c r="I115" s="242"/>
      <c r="J115" s="242"/>
      <c r="K115" s="242"/>
      <c r="L115" s="243"/>
      <c r="M115" s="243"/>
      <c r="N115" s="243"/>
      <c r="O115" s="243"/>
      <c r="P115" s="243"/>
      <c r="Q115" s="243"/>
      <c r="R115" s="243"/>
      <c r="S115" s="242"/>
      <c r="T115" s="242"/>
      <c r="U115" s="242"/>
      <c r="V115" s="242"/>
      <c r="W115" s="242"/>
      <c r="X115" s="242"/>
      <c r="Y115" s="242"/>
      <c r="Z115" s="243"/>
      <c r="AA115" s="243"/>
      <c r="AB115" s="243"/>
      <c r="AC115" s="243"/>
      <c r="AD115" s="243"/>
      <c r="AE115" s="243"/>
      <c r="AF115" s="243"/>
      <c r="AG115" s="242"/>
      <c r="AH115" s="242"/>
      <c r="AI115" s="242"/>
      <c r="AJ115" s="242"/>
      <c r="AK115" s="242"/>
      <c r="AL115" s="242"/>
      <c r="AM115" s="242"/>
      <c r="AN115" s="243"/>
      <c r="AO115" s="243"/>
      <c r="AP115" s="243"/>
      <c r="AQ115" s="243"/>
      <c r="AR115" s="243"/>
      <c r="AS115" s="243"/>
      <c r="AT115" s="243"/>
      <c r="AU115" s="242"/>
      <c r="AV115" s="242"/>
      <c r="AW115" s="242"/>
      <c r="AX115" s="242"/>
      <c r="AY115" s="242"/>
      <c r="AZ115" s="242"/>
      <c r="BA115" s="242"/>
      <c r="BB115" s="243"/>
      <c r="BC115" s="243"/>
      <c r="BD115" s="243"/>
      <c r="BE115" s="243"/>
      <c r="BF115" s="243"/>
      <c r="BG115" s="243"/>
      <c r="BH115" s="243"/>
      <c r="BI115" s="242"/>
      <c r="BJ115" s="242"/>
      <c r="BK115" s="242"/>
      <c r="BL115" s="242"/>
      <c r="BM115" s="242"/>
      <c r="BN115" s="242"/>
      <c r="BO115" s="242"/>
      <c r="BP115" s="243"/>
      <c r="BQ115" s="243"/>
      <c r="BR115" s="243"/>
      <c r="BS115" s="243"/>
      <c r="BT115" s="243"/>
      <c r="BU115" s="243"/>
      <c r="BV115" s="243"/>
      <c r="BW115" s="242"/>
      <c r="BX115" s="242"/>
      <c r="BY115" s="242"/>
      <c r="BZ115" s="242"/>
      <c r="CA115" s="242"/>
      <c r="CB115" s="242"/>
      <c r="CC115" s="242"/>
      <c r="CD115" s="243"/>
      <c r="CE115" s="243"/>
      <c r="CF115" s="243"/>
      <c r="CG115" s="243"/>
      <c r="CH115" s="243"/>
      <c r="CI115" s="243"/>
      <c r="CJ115" s="243"/>
      <c r="CK115" s="242"/>
      <c r="CL115" s="242"/>
      <c r="CM115" s="242"/>
      <c r="CN115" s="242"/>
      <c r="CO115" s="242"/>
      <c r="CP115" s="242"/>
      <c r="CQ115" s="242"/>
      <c r="CR115" s="243"/>
      <c r="CS115" s="243"/>
      <c r="CT115" s="243"/>
      <c r="CU115" s="243"/>
      <c r="CV115" s="243"/>
      <c r="CW115" s="243"/>
      <c r="CX115" s="243"/>
      <c r="CY115" s="242"/>
      <c r="CZ115" s="242"/>
      <c r="DA115" s="242"/>
      <c r="DB115" s="242"/>
      <c r="DC115" s="242"/>
      <c r="DD115" s="242"/>
      <c r="DE115" s="242"/>
      <c r="DF115" s="243"/>
      <c r="DG115" s="243"/>
      <c r="DH115" s="243"/>
      <c r="DI115" s="243"/>
      <c r="DJ115" s="243"/>
      <c r="DK115" s="243"/>
      <c r="DL115" s="243"/>
      <c r="DM115" s="242"/>
      <c r="DN115" s="242"/>
      <c r="DO115" s="242"/>
      <c r="DP115" s="242"/>
      <c r="DQ115" s="242"/>
      <c r="DR115" s="242"/>
      <c r="DS115" s="242"/>
      <c r="DT115" s="243"/>
      <c r="DU115" s="243"/>
      <c r="DV115" s="243"/>
      <c r="DW115" s="243"/>
      <c r="DX115" s="243"/>
      <c r="DY115" s="243"/>
      <c r="DZ115" s="243"/>
      <c r="EA115" s="242"/>
      <c r="EB115" s="242"/>
      <c r="EC115" s="242"/>
      <c r="ED115" s="242"/>
      <c r="EE115" s="242"/>
      <c r="EF115" s="242"/>
      <c r="EG115" s="242"/>
      <c r="EH115" s="243"/>
      <c r="EI115" s="243"/>
      <c r="EJ115" s="243"/>
      <c r="EK115" s="243">
        <v>24</v>
      </c>
      <c r="EL115" s="243">
        <v>24</v>
      </c>
      <c r="EM115" s="243">
        <v>24</v>
      </c>
      <c r="EN115" s="243">
        <v>24</v>
      </c>
      <c r="EO115" s="242">
        <v>24</v>
      </c>
      <c r="EP115" s="242">
        <v>24</v>
      </c>
      <c r="EQ115" s="242">
        <v>24</v>
      </c>
      <c r="ER115" s="242">
        <v>24</v>
      </c>
      <c r="ES115" s="242">
        <v>24</v>
      </c>
      <c r="ET115" s="242">
        <v>24</v>
      </c>
      <c r="EU115" s="242">
        <v>24</v>
      </c>
      <c r="EV115" s="243">
        <v>24</v>
      </c>
      <c r="EW115" s="243"/>
      <c r="EX115" s="243"/>
      <c r="EY115" s="243"/>
      <c r="EZ115" s="243"/>
      <c r="FA115" s="243"/>
      <c r="FB115" s="243"/>
      <c r="FC115" s="242"/>
      <c r="FD115" s="242"/>
      <c r="FE115" s="242"/>
      <c r="FF115" s="242"/>
      <c r="FG115" s="242"/>
      <c r="FH115" s="242"/>
      <c r="FI115" s="242"/>
      <c r="FJ115" s="243"/>
      <c r="FK115" s="243"/>
      <c r="FL115" s="243"/>
      <c r="FM115" s="243"/>
      <c r="FN115" s="243"/>
      <c r="FO115" s="243"/>
      <c r="FP115" s="243"/>
      <c r="FQ115" s="242"/>
      <c r="FR115" s="242"/>
      <c r="FS115" s="242"/>
      <c r="FT115" s="242"/>
      <c r="FU115" s="242"/>
      <c r="FV115" s="242"/>
      <c r="FW115" s="242"/>
      <c r="FX115" s="243"/>
      <c r="FY115" s="243"/>
      <c r="FZ115" s="243"/>
      <c r="GA115" s="243"/>
      <c r="GB115" s="243"/>
      <c r="GC115" s="243"/>
      <c r="GD115" s="243"/>
      <c r="GE115" s="242"/>
      <c r="GF115" s="242"/>
      <c r="GG115" s="242"/>
      <c r="GH115" s="242"/>
      <c r="GI115" s="242"/>
      <c r="GJ115" s="242"/>
      <c r="GK115" s="242"/>
      <c r="GL115" s="243"/>
      <c r="GM115" s="243"/>
      <c r="GN115" s="243"/>
      <c r="GO115" s="243"/>
      <c r="GP115" s="243"/>
      <c r="GQ115" s="243"/>
      <c r="GR115" s="243"/>
      <c r="GS115" s="242"/>
      <c r="GT115" s="242"/>
      <c r="GU115" s="242"/>
      <c r="GV115" s="242"/>
      <c r="GW115" s="242"/>
      <c r="GX115" s="242"/>
      <c r="GY115" s="242"/>
      <c r="GZ115" s="243"/>
      <c r="HA115" s="243"/>
      <c r="HB115" s="243"/>
      <c r="HC115" s="243"/>
      <c r="HD115" s="243"/>
      <c r="HE115" s="243"/>
      <c r="HF115" s="243"/>
      <c r="HG115" s="242"/>
      <c r="HH115" s="242"/>
      <c r="HI115" s="242"/>
      <c r="HJ115" s="242"/>
      <c r="HK115" s="242"/>
      <c r="HL115" s="242"/>
      <c r="HM115" s="242"/>
      <c r="HN115" s="243"/>
      <c r="HO115" s="243"/>
      <c r="HP115" s="243"/>
      <c r="HQ115" s="243"/>
      <c r="HR115" s="243"/>
      <c r="HS115" s="243"/>
      <c r="HT115" s="243"/>
      <c r="HU115" s="242"/>
      <c r="HV115" s="242"/>
      <c r="HW115" s="242"/>
      <c r="HX115" s="242"/>
      <c r="HY115" s="242"/>
      <c r="HZ115" s="242"/>
      <c r="IA115" s="242"/>
      <c r="IB115" s="243"/>
      <c r="IC115" s="243"/>
      <c r="ID115" s="243"/>
      <c r="IE115" s="243"/>
      <c r="IF115" s="243"/>
      <c r="IG115" s="243"/>
      <c r="IH115" s="243"/>
      <c r="II115" s="242"/>
      <c r="IJ115" s="242"/>
      <c r="IK115" s="242"/>
      <c r="IL115" s="242"/>
      <c r="IM115" s="242"/>
      <c r="IN115" s="242"/>
      <c r="IO115" s="242"/>
      <c r="IP115" s="243"/>
      <c r="IQ115" s="243"/>
      <c r="IR115" s="243"/>
      <c r="IS115" s="243"/>
      <c r="IT115" s="243"/>
      <c r="IU115" s="243"/>
      <c r="IV115" s="243"/>
      <c r="IW115" s="242"/>
      <c r="IX115" s="242"/>
      <c r="IY115" s="242"/>
      <c r="IZ115" s="242"/>
      <c r="JA115" s="242"/>
      <c r="JB115" s="242"/>
      <c r="JC115" s="242"/>
      <c r="JD115" s="243"/>
      <c r="JE115" s="243"/>
      <c r="JF115" s="243"/>
      <c r="JG115" s="243"/>
      <c r="JH115" s="243"/>
      <c r="JI115" s="243"/>
      <c r="JJ115" s="243"/>
      <c r="JK115" s="242"/>
      <c r="JL115" s="242"/>
      <c r="JM115" s="242"/>
      <c r="JN115" s="242"/>
      <c r="JO115" s="242"/>
      <c r="JP115" s="242"/>
      <c r="JQ115" s="242"/>
      <c r="JR115" s="243"/>
      <c r="JS115" s="243"/>
      <c r="JT115" s="243"/>
      <c r="JU115" s="243"/>
      <c r="JV115" s="243"/>
      <c r="JW115" s="243"/>
      <c r="JX115" s="243"/>
      <c r="JY115" s="242"/>
      <c r="JZ115" s="242"/>
      <c r="KA115" s="242"/>
      <c r="KB115" s="242"/>
      <c r="KC115" s="242"/>
      <c r="KD115" s="242"/>
      <c r="KE115" s="242"/>
      <c r="KF115" s="243"/>
      <c r="KG115" s="243"/>
      <c r="KH115" s="243"/>
      <c r="KI115" s="243"/>
      <c r="KJ115" s="243"/>
      <c r="KK115" s="243"/>
      <c r="KL115" s="243"/>
      <c r="KM115" s="242"/>
      <c r="KN115" s="242"/>
      <c r="KO115" s="242"/>
      <c r="KP115" s="242"/>
      <c r="KQ115" s="242"/>
      <c r="KR115" s="242"/>
      <c r="KS115" s="242"/>
      <c r="KT115" s="243"/>
      <c r="KU115" s="243"/>
      <c r="KV115" s="243"/>
      <c r="KW115" s="243"/>
      <c r="KX115" s="243"/>
      <c r="KY115" s="243"/>
      <c r="KZ115" s="243"/>
      <c r="LA115" s="242"/>
      <c r="LB115" s="242"/>
      <c r="LC115" s="242"/>
      <c r="LD115" s="242"/>
      <c r="LE115" s="242"/>
      <c r="LF115" s="242"/>
      <c r="LG115" s="242"/>
      <c r="LH115" s="243"/>
      <c r="LI115" s="243"/>
      <c r="LJ115" s="243"/>
      <c r="LK115" s="243"/>
      <c r="LL115" s="243"/>
      <c r="LM115" s="243"/>
      <c r="LN115" s="243"/>
      <c r="LO115" s="242"/>
      <c r="LP115" s="242"/>
      <c r="LQ115" s="242"/>
      <c r="LR115" s="242"/>
      <c r="LS115" s="242"/>
      <c r="LT115" s="242"/>
      <c r="LU115" s="242"/>
      <c r="LV115" s="243"/>
      <c r="LW115" s="243"/>
      <c r="LX115" s="243"/>
      <c r="LY115" s="243"/>
      <c r="LZ115" s="243"/>
      <c r="MA115" s="243"/>
      <c r="MB115" s="243"/>
      <c r="MC115" s="242"/>
      <c r="MD115" s="242"/>
      <c r="ME115" s="242"/>
      <c r="MF115" s="242"/>
      <c r="MG115" s="242"/>
      <c r="MH115" s="242"/>
      <c r="MI115" s="242"/>
      <c r="MJ115" s="243"/>
      <c r="MK115" s="243"/>
      <c r="ML115" s="243"/>
      <c r="MM115" s="243"/>
      <c r="MN115" s="243"/>
      <c r="MO115" s="243"/>
      <c r="MP115" s="243"/>
      <c r="MQ115" s="242"/>
      <c r="MR115" s="242"/>
      <c r="MS115" s="242"/>
      <c r="MT115" s="242"/>
      <c r="MU115" s="242"/>
      <c r="MV115" s="242"/>
      <c r="MW115" s="242"/>
      <c r="MX115" s="243"/>
      <c r="MY115" s="243"/>
      <c r="MZ115" s="243"/>
      <c r="NA115" s="243"/>
      <c r="NB115" s="243"/>
      <c r="NC115" s="243"/>
      <c r="ND115" s="243"/>
      <c r="NE115" s="242"/>
      <c r="NF115" s="242"/>
      <c r="NG115" s="242"/>
      <c r="NH115" s="340" t="s">
        <v>1157</v>
      </c>
    </row>
    <row r="116" spans="1:372">
      <c r="A116" s="254" t="s">
        <v>985</v>
      </c>
      <c r="B116" s="239" t="s">
        <v>86</v>
      </c>
      <c r="C116" s="240" t="s">
        <v>674</v>
      </c>
      <c r="D116" s="240" t="s">
        <v>982</v>
      </c>
      <c r="E116" s="241">
        <v>273.17966666603957</v>
      </c>
      <c r="F116" s="252">
        <v>264</v>
      </c>
      <c r="G116" s="242"/>
      <c r="H116" s="242"/>
      <c r="I116" s="242"/>
      <c r="J116" s="242"/>
      <c r="K116" s="242"/>
      <c r="L116" s="243"/>
      <c r="M116" s="243"/>
      <c r="N116" s="243"/>
      <c r="O116" s="243"/>
      <c r="P116" s="243"/>
      <c r="Q116" s="243"/>
      <c r="R116" s="243"/>
      <c r="S116" s="242"/>
      <c r="T116" s="242"/>
      <c r="U116" s="242"/>
      <c r="V116" s="242"/>
      <c r="W116" s="242"/>
      <c r="X116" s="242"/>
      <c r="Y116" s="242"/>
      <c r="Z116" s="243"/>
      <c r="AA116" s="243"/>
      <c r="AB116" s="243"/>
      <c r="AC116" s="243"/>
      <c r="AD116" s="243"/>
      <c r="AE116" s="243"/>
      <c r="AF116" s="243"/>
      <c r="AG116" s="242"/>
      <c r="AH116" s="242"/>
      <c r="AI116" s="242"/>
      <c r="AJ116" s="242"/>
      <c r="AK116" s="242"/>
      <c r="AL116" s="242"/>
      <c r="AM116" s="242"/>
      <c r="AN116" s="243"/>
      <c r="AO116" s="243"/>
      <c r="AP116" s="243"/>
      <c r="AQ116" s="243"/>
      <c r="AR116" s="243"/>
      <c r="AS116" s="243"/>
      <c r="AT116" s="243"/>
      <c r="AU116" s="242"/>
      <c r="AV116" s="242"/>
      <c r="AW116" s="242"/>
      <c r="AX116" s="242"/>
      <c r="AY116" s="242"/>
      <c r="AZ116" s="242"/>
      <c r="BA116" s="242"/>
      <c r="BB116" s="243"/>
      <c r="BC116" s="243"/>
      <c r="BD116" s="243"/>
      <c r="BE116" s="243"/>
      <c r="BF116" s="243"/>
      <c r="BG116" s="243"/>
      <c r="BH116" s="243"/>
      <c r="BI116" s="242"/>
      <c r="BJ116" s="242"/>
      <c r="BK116" s="242"/>
      <c r="BL116" s="242"/>
      <c r="BM116" s="242"/>
      <c r="BN116" s="242"/>
      <c r="BO116" s="242"/>
      <c r="BP116" s="243"/>
      <c r="BQ116" s="243"/>
      <c r="BR116" s="243"/>
      <c r="BS116" s="243"/>
      <c r="BT116" s="243"/>
      <c r="BU116" s="243"/>
      <c r="BV116" s="243"/>
      <c r="BW116" s="242"/>
      <c r="BX116" s="242"/>
      <c r="BY116" s="242"/>
      <c r="BZ116" s="242"/>
      <c r="CA116" s="242"/>
      <c r="CB116" s="242"/>
      <c r="CC116" s="242"/>
      <c r="CD116" s="243"/>
      <c r="CE116" s="243"/>
      <c r="CF116" s="243"/>
      <c r="CG116" s="243"/>
      <c r="CH116" s="243"/>
      <c r="CI116" s="243"/>
      <c r="CJ116" s="243"/>
      <c r="CK116" s="242"/>
      <c r="CL116" s="242"/>
      <c r="CM116" s="242"/>
      <c r="CN116" s="242"/>
      <c r="CO116" s="242"/>
      <c r="CP116" s="242"/>
      <c r="CQ116" s="242"/>
      <c r="CR116" s="243"/>
      <c r="CS116" s="243"/>
      <c r="CT116" s="243"/>
      <c r="CU116" s="243"/>
      <c r="CV116" s="243"/>
      <c r="CW116" s="243"/>
      <c r="CX116" s="243"/>
      <c r="CY116" s="242"/>
      <c r="CZ116" s="242"/>
      <c r="DA116" s="242"/>
      <c r="DB116" s="242"/>
      <c r="DC116" s="242"/>
      <c r="DD116" s="242"/>
      <c r="DE116" s="242"/>
      <c r="DF116" s="243"/>
      <c r="DG116" s="243"/>
      <c r="DH116" s="243"/>
      <c r="DI116" s="243"/>
      <c r="DJ116" s="243"/>
      <c r="DK116" s="243"/>
      <c r="DL116" s="243"/>
      <c r="DM116" s="242"/>
      <c r="DN116" s="242"/>
      <c r="DO116" s="242"/>
      <c r="DP116" s="242"/>
      <c r="DQ116" s="242"/>
      <c r="DR116" s="242"/>
      <c r="DS116" s="242"/>
      <c r="DT116" s="243"/>
      <c r="DU116" s="243"/>
      <c r="DV116" s="243"/>
      <c r="DW116" s="243"/>
      <c r="DX116" s="243"/>
      <c r="DY116" s="243"/>
      <c r="DZ116" s="243"/>
      <c r="EA116" s="242"/>
      <c r="EB116" s="242"/>
      <c r="EC116" s="242"/>
      <c r="ED116" s="242"/>
      <c r="EE116" s="242"/>
      <c r="EF116" s="242"/>
      <c r="EG116" s="242"/>
      <c r="EH116" s="243"/>
      <c r="EI116" s="243"/>
      <c r="EJ116" s="243"/>
      <c r="EK116" s="243"/>
      <c r="EL116" s="243">
        <v>24</v>
      </c>
      <c r="EM116" s="243">
        <v>24</v>
      </c>
      <c r="EN116" s="243">
        <v>24</v>
      </c>
      <c r="EO116" s="242">
        <v>24</v>
      </c>
      <c r="EP116" s="242">
        <v>24</v>
      </c>
      <c r="EQ116" s="242">
        <v>24</v>
      </c>
      <c r="ER116" s="242">
        <v>24</v>
      </c>
      <c r="ES116" s="242">
        <v>24</v>
      </c>
      <c r="ET116" s="242">
        <v>24</v>
      </c>
      <c r="EU116" s="242">
        <v>24</v>
      </c>
      <c r="EV116" s="243">
        <v>24</v>
      </c>
      <c r="EW116" s="243"/>
      <c r="EX116" s="243"/>
      <c r="EY116" s="243"/>
      <c r="EZ116" s="243"/>
      <c r="FA116" s="243"/>
      <c r="FB116" s="243"/>
      <c r="FC116" s="242"/>
      <c r="FD116" s="242"/>
      <c r="FE116" s="242"/>
      <c r="FF116" s="242"/>
      <c r="FG116" s="242"/>
      <c r="FH116" s="242"/>
      <c r="FI116" s="242"/>
      <c r="FJ116" s="243"/>
      <c r="FK116" s="243"/>
      <c r="FL116" s="243"/>
      <c r="FM116" s="243"/>
      <c r="FN116" s="243"/>
      <c r="FO116" s="243"/>
      <c r="FP116" s="243"/>
      <c r="FQ116" s="242"/>
      <c r="FR116" s="242"/>
      <c r="FS116" s="242"/>
      <c r="FT116" s="242"/>
      <c r="FU116" s="242"/>
      <c r="FV116" s="242"/>
      <c r="FW116" s="242"/>
      <c r="FX116" s="243"/>
      <c r="FY116" s="243"/>
      <c r="FZ116" s="243"/>
      <c r="GA116" s="243"/>
      <c r="GB116" s="243"/>
      <c r="GC116" s="243"/>
      <c r="GD116" s="243"/>
      <c r="GE116" s="242"/>
      <c r="GF116" s="242"/>
      <c r="GG116" s="242"/>
      <c r="GH116" s="242"/>
      <c r="GI116" s="242"/>
      <c r="GJ116" s="242"/>
      <c r="GK116" s="242"/>
      <c r="GL116" s="243"/>
      <c r="GM116" s="243"/>
      <c r="GN116" s="243"/>
      <c r="GO116" s="243"/>
      <c r="GP116" s="243"/>
      <c r="GQ116" s="243"/>
      <c r="GR116" s="243"/>
      <c r="GS116" s="242"/>
      <c r="GT116" s="242"/>
      <c r="GU116" s="242"/>
      <c r="GV116" s="242"/>
      <c r="GW116" s="242"/>
      <c r="GX116" s="242"/>
      <c r="GY116" s="242"/>
      <c r="GZ116" s="243"/>
      <c r="HA116" s="243"/>
      <c r="HB116" s="243"/>
      <c r="HC116" s="243"/>
      <c r="HD116" s="243"/>
      <c r="HE116" s="243"/>
      <c r="HF116" s="243"/>
      <c r="HG116" s="242"/>
      <c r="HH116" s="242"/>
      <c r="HI116" s="242"/>
      <c r="HJ116" s="242"/>
      <c r="HK116" s="242"/>
      <c r="HL116" s="242"/>
      <c r="HM116" s="242"/>
      <c r="HN116" s="243"/>
      <c r="HO116" s="243"/>
      <c r="HP116" s="243"/>
      <c r="HQ116" s="243"/>
      <c r="HR116" s="243"/>
      <c r="HS116" s="243"/>
      <c r="HT116" s="243"/>
      <c r="HU116" s="242"/>
      <c r="HV116" s="242"/>
      <c r="HW116" s="242"/>
      <c r="HX116" s="242"/>
      <c r="HY116" s="242"/>
      <c r="HZ116" s="242"/>
      <c r="IA116" s="242"/>
      <c r="IB116" s="243"/>
      <c r="IC116" s="243"/>
      <c r="ID116" s="243"/>
      <c r="IE116" s="243"/>
      <c r="IF116" s="243"/>
      <c r="IG116" s="243"/>
      <c r="IH116" s="243"/>
      <c r="II116" s="242"/>
      <c r="IJ116" s="242"/>
      <c r="IK116" s="242"/>
      <c r="IL116" s="242"/>
      <c r="IM116" s="242"/>
      <c r="IN116" s="242"/>
      <c r="IO116" s="242"/>
      <c r="IP116" s="243"/>
      <c r="IQ116" s="243"/>
      <c r="IR116" s="243"/>
      <c r="IS116" s="243"/>
      <c r="IT116" s="243"/>
      <c r="IU116" s="243"/>
      <c r="IV116" s="243"/>
      <c r="IW116" s="242"/>
      <c r="IX116" s="242"/>
      <c r="IY116" s="242"/>
      <c r="IZ116" s="242"/>
      <c r="JA116" s="242"/>
      <c r="JB116" s="242"/>
      <c r="JC116" s="242"/>
      <c r="JD116" s="243"/>
      <c r="JE116" s="243"/>
      <c r="JF116" s="243"/>
      <c r="JG116" s="243"/>
      <c r="JH116" s="243"/>
      <c r="JI116" s="243"/>
      <c r="JJ116" s="243"/>
      <c r="JK116" s="242"/>
      <c r="JL116" s="242"/>
      <c r="JM116" s="242"/>
      <c r="JN116" s="242"/>
      <c r="JO116" s="242"/>
      <c r="JP116" s="242"/>
      <c r="JQ116" s="242"/>
      <c r="JR116" s="243"/>
      <c r="JS116" s="243"/>
      <c r="JT116" s="243"/>
      <c r="JU116" s="243"/>
      <c r="JV116" s="243"/>
      <c r="JW116" s="243"/>
      <c r="JX116" s="243"/>
      <c r="JY116" s="242"/>
      <c r="JZ116" s="242"/>
      <c r="KA116" s="242"/>
      <c r="KB116" s="242"/>
      <c r="KC116" s="242"/>
      <c r="KD116" s="242"/>
      <c r="KE116" s="242"/>
      <c r="KF116" s="243"/>
      <c r="KG116" s="243"/>
      <c r="KH116" s="243"/>
      <c r="KI116" s="243"/>
      <c r="KJ116" s="243"/>
      <c r="KK116" s="243"/>
      <c r="KL116" s="243"/>
      <c r="KM116" s="242"/>
      <c r="KN116" s="242"/>
      <c r="KO116" s="242"/>
      <c r="KP116" s="242"/>
      <c r="KQ116" s="242"/>
      <c r="KR116" s="242"/>
      <c r="KS116" s="242"/>
      <c r="KT116" s="243"/>
      <c r="KU116" s="243"/>
      <c r="KV116" s="243"/>
      <c r="KW116" s="243"/>
      <c r="KX116" s="243"/>
      <c r="KY116" s="243"/>
      <c r="KZ116" s="243"/>
      <c r="LA116" s="242"/>
      <c r="LB116" s="242"/>
      <c r="LC116" s="242"/>
      <c r="LD116" s="242"/>
      <c r="LE116" s="242"/>
      <c r="LF116" s="242"/>
      <c r="LG116" s="242"/>
      <c r="LH116" s="243"/>
      <c r="LI116" s="243"/>
      <c r="LJ116" s="243"/>
      <c r="LK116" s="243"/>
      <c r="LL116" s="243"/>
      <c r="LM116" s="243"/>
      <c r="LN116" s="243"/>
      <c r="LO116" s="242"/>
      <c r="LP116" s="242"/>
      <c r="LQ116" s="242"/>
      <c r="LR116" s="242"/>
      <c r="LS116" s="242"/>
      <c r="LT116" s="242"/>
      <c r="LU116" s="242"/>
      <c r="LV116" s="243"/>
      <c r="LW116" s="243"/>
      <c r="LX116" s="243"/>
      <c r="LY116" s="243"/>
      <c r="LZ116" s="243"/>
      <c r="MA116" s="243"/>
      <c r="MB116" s="243"/>
      <c r="MC116" s="242"/>
      <c r="MD116" s="242"/>
      <c r="ME116" s="242"/>
      <c r="MF116" s="242"/>
      <c r="MG116" s="242"/>
      <c r="MH116" s="242"/>
      <c r="MI116" s="242"/>
      <c r="MJ116" s="243"/>
      <c r="MK116" s="243"/>
      <c r="ML116" s="243"/>
      <c r="MM116" s="243"/>
      <c r="MN116" s="243"/>
      <c r="MO116" s="243"/>
      <c r="MP116" s="243"/>
      <c r="MQ116" s="242"/>
      <c r="MR116" s="242"/>
      <c r="MS116" s="242"/>
      <c r="MT116" s="242"/>
      <c r="MU116" s="242"/>
      <c r="MV116" s="242"/>
      <c r="MW116" s="242"/>
      <c r="MX116" s="243"/>
      <c r="MY116" s="243"/>
      <c r="MZ116" s="243"/>
      <c r="NA116" s="243"/>
      <c r="NB116" s="243"/>
      <c r="NC116" s="243"/>
      <c r="ND116" s="243"/>
      <c r="NE116" s="242"/>
      <c r="NF116" s="242"/>
      <c r="NG116" s="242"/>
      <c r="NH116" s="243"/>
    </row>
    <row r="117" spans="1:372">
      <c r="A117" s="254" t="s">
        <v>985</v>
      </c>
      <c r="B117" s="239" t="s">
        <v>986</v>
      </c>
      <c r="C117" s="240" t="s">
        <v>674</v>
      </c>
      <c r="D117" s="240" t="s">
        <v>982</v>
      </c>
      <c r="E117" s="241">
        <v>0</v>
      </c>
      <c r="F117" s="252">
        <v>264</v>
      </c>
      <c r="G117" s="242"/>
      <c r="H117" s="242"/>
      <c r="I117" s="242"/>
      <c r="J117" s="242"/>
      <c r="K117" s="242"/>
      <c r="L117" s="243"/>
      <c r="M117" s="243"/>
      <c r="N117" s="243"/>
      <c r="O117" s="243"/>
      <c r="P117" s="243"/>
      <c r="Q117" s="243"/>
      <c r="R117" s="243"/>
      <c r="S117" s="242"/>
      <c r="T117" s="242"/>
      <c r="U117" s="242"/>
      <c r="V117" s="242"/>
      <c r="W117" s="242"/>
      <c r="X117" s="242"/>
      <c r="Y117" s="242"/>
      <c r="Z117" s="243"/>
      <c r="AA117" s="243"/>
      <c r="AB117" s="243"/>
      <c r="AC117" s="243"/>
      <c r="AD117" s="243"/>
      <c r="AE117" s="243"/>
      <c r="AF117" s="243"/>
      <c r="AG117" s="242"/>
      <c r="AH117" s="242"/>
      <c r="AI117" s="242"/>
      <c r="AJ117" s="242"/>
      <c r="AK117" s="242"/>
      <c r="AL117" s="242"/>
      <c r="AM117" s="242"/>
      <c r="AN117" s="243"/>
      <c r="AO117" s="243"/>
      <c r="AP117" s="243"/>
      <c r="AQ117" s="243"/>
      <c r="AR117" s="243"/>
      <c r="AS117" s="243"/>
      <c r="AT117" s="243"/>
      <c r="AU117" s="242"/>
      <c r="AV117" s="242"/>
      <c r="AW117" s="242"/>
      <c r="AX117" s="242"/>
      <c r="AY117" s="242"/>
      <c r="AZ117" s="242"/>
      <c r="BA117" s="242"/>
      <c r="BB117" s="243"/>
      <c r="BC117" s="243"/>
      <c r="BD117" s="243"/>
      <c r="BE117" s="243"/>
      <c r="BF117" s="243"/>
      <c r="BG117" s="243"/>
      <c r="BH117" s="243"/>
      <c r="BI117" s="242"/>
      <c r="BJ117" s="242"/>
      <c r="BK117" s="242"/>
      <c r="BL117" s="242"/>
      <c r="BM117" s="242"/>
      <c r="BN117" s="242"/>
      <c r="BO117" s="242"/>
      <c r="BP117" s="243"/>
      <c r="BQ117" s="243"/>
      <c r="BR117" s="243"/>
      <c r="BS117" s="243"/>
      <c r="BT117" s="243"/>
      <c r="BU117" s="243"/>
      <c r="BV117" s="243"/>
      <c r="BW117" s="242"/>
      <c r="BX117" s="242"/>
      <c r="BY117" s="242"/>
      <c r="BZ117" s="242"/>
      <c r="CA117" s="242"/>
      <c r="CB117" s="242"/>
      <c r="CC117" s="242"/>
      <c r="CD117" s="243"/>
      <c r="CE117" s="243"/>
      <c r="CF117" s="243"/>
      <c r="CG117" s="243"/>
      <c r="CH117" s="243"/>
      <c r="CI117" s="243"/>
      <c r="CJ117" s="243"/>
      <c r="CK117" s="242"/>
      <c r="CL117" s="242"/>
      <c r="CM117" s="242"/>
      <c r="CN117" s="242"/>
      <c r="CO117" s="242"/>
      <c r="CP117" s="242"/>
      <c r="CQ117" s="242"/>
      <c r="CR117" s="243"/>
      <c r="CS117" s="243"/>
      <c r="CT117" s="243"/>
      <c r="CU117" s="243"/>
      <c r="CV117" s="243"/>
      <c r="CW117" s="243"/>
      <c r="CX117" s="243"/>
      <c r="CY117" s="242"/>
      <c r="CZ117" s="242"/>
      <c r="DA117" s="242"/>
      <c r="DB117" s="242"/>
      <c r="DC117" s="242"/>
      <c r="DD117" s="242"/>
      <c r="DE117" s="242"/>
      <c r="DF117" s="243"/>
      <c r="DG117" s="243"/>
      <c r="DH117" s="243"/>
      <c r="DI117" s="243"/>
      <c r="DJ117" s="243"/>
      <c r="DK117" s="243"/>
      <c r="DL117" s="243"/>
      <c r="DM117" s="242"/>
      <c r="DN117" s="242"/>
      <c r="DO117" s="242"/>
      <c r="DP117" s="242"/>
      <c r="DQ117" s="242"/>
      <c r="DR117" s="242"/>
      <c r="DS117" s="242"/>
      <c r="DT117" s="243"/>
      <c r="DU117" s="243"/>
      <c r="DV117" s="243"/>
      <c r="DW117" s="243"/>
      <c r="DX117" s="243"/>
      <c r="DY117" s="243"/>
      <c r="DZ117" s="243"/>
      <c r="EA117" s="242"/>
      <c r="EB117" s="242"/>
      <c r="EC117" s="242"/>
      <c r="ED117" s="242"/>
      <c r="EE117" s="242"/>
      <c r="EF117" s="242"/>
      <c r="EG117" s="242"/>
      <c r="EH117" s="243"/>
      <c r="EI117" s="243"/>
      <c r="EJ117" s="243"/>
      <c r="EK117" s="243"/>
      <c r="EL117" s="243">
        <v>24</v>
      </c>
      <c r="EM117" s="243">
        <v>24</v>
      </c>
      <c r="EN117" s="243">
        <v>24</v>
      </c>
      <c r="EO117" s="242">
        <v>24</v>
      </c>
      <c r="EP117" s="242">
        <v>24</v>
      </c>
      <c r="EQ117" s="242">
        <v>24</v>
      </c>
      <c r="ER117" s="242">
        <v>24</v>
      </c>
      <c r="ES117" s="242">
        <v>24</v>
      </c>
      <c r="ET117" s="242">
        <v>24</v>
      </c>
      <c r="EU117" s="242">
        <v>24</v>
      </c>
      <c r="EV117" s="243">
        <v>24</v>
      </c>
      <c r="EW117" s="243"/>
      <c r="EX117" s="243"/>
      <c r="EY117" s="243"/>
      <c r="EZ117" s="243"/>
      <c r="FA117" s="243"/>
      <c r="FB117" s="243"/>
      <c r="FC117" s="242"/>
      <c r="FD117" s="242"/>
      <c r="FE117" s="242"/>
      <c r="FF117" s="242"/>
      <c r="FG117" s="242"/>
      <c r="FH117" s="242"/>
      <c r="FI117" s="242"/>
      <c r="FJ117" s="243"/>
      <c r="FK117" s="243"/>
      <c r="FL117" s="243"/>
      <c r="FM117" s="243"/>
      <c r="FN117" s="243"/>
      <c r="FO117" s="243"/>
      <c r="FP117" s="243"/>
      <c r="FQ117" s="242"/>
      <c r="FR117" s="242"/>
      <c r="FS117" s="242"/>
      <c r="FT117" s="242"/>
      <c r="FU117" s="242"/>
      <c r="FV117" s="242"/>
      <c r="FW117" s="242"/>
      <c r="FX117" s="243"/>
      <c r="FY117" s="243"/>
      <c r="FZ117" s="243"/>
      <c r="GA117" s="243"/>
      <c r="GB117" s="243"/>
      <c r="GC117" s="243"/>
      <c r="GD117" s="243"/>
      <c r="GE117" s="242"/>
      <c r="GF117" s="242"/>
      <c r="GG117" s="242"/>
      <c r="GH117" s="242"/>
      <c r="GI117" s="242"/>
      <c r="GJ117" s="242"/>
      <c r="GK117" s="242"/>
      <c r="GL117" s="243"/>
      <c r="GM117" s="243"/>
      <c r="GN117" s="243"/>
      <c r="GO117" s="243"/>
      <c r="GP117" s="243"/>
      <c r="GQ117" s="243"/>
      <c r="GR117" s="243"/>
      <c r="GS117" s="242"/>
      <c r="GT117" s="242"/>
      <c r="GU117" s="242"/>
      <c r="GV117" s="242"/>
      <c r="GW117" s="242"/>
      <c r="GX117" s="242"/>
      <c r="GY117" s="242"/>
      <c r="GZ117" s="243"/>
      <c r="HA117" s="243"/>
      <c r="HB117" s="243"/>
      <c r="HC117" s="243"/>
      <c r="HD117" s="243"/>
      <c r="HE117" s="243"/>
      <c r="HF117" s="243"/>
      <c r="HG117" s="242"/>
      <c r="HH117" s="242"/>
      <c r="HI117" s="242"/>
      <c r="HJ117" s="242"/>
      <c r="HK117" s="242"/>
      <c r="HL117" s="242"/>
      <c r="HM117" s="242"/>
      <c r="HN117" s="243"/>
      <c r="HO117" s="243"/>
      <c r="HP117" s="243"/>
      <c r="HQ117" s="243"/>
      <c r="HR117" s="243"/>
      <c r="HS117" s="243"/>
      <c r="HT117" s="243"/>
      <c r="HU117" s="242"/>
      <c r="HV117" s="242"/>
      <c r="HW117" s="242"/>
      <c r="HX117" s="242"/>
      <c r="HY117" s="242"/>
      <c r="HZ117" s="242"/>
      <c r="IA117" s="242"/>
      <c r="IB117" s="243"/>
      <c r="IC117" s="243"/>
      <c r="ID117" s="243"/>
      <c r="IE117" s="243"/>
      <c r="IF117" s="243"/>
      <c r="IG117" s="243"/>
      <c r="IH117" s="243"/>
      <c r="II117" s="242"/>
      <c r="IJ117" s="242"/>
      <c r="IK117" s="242"/>
      <c r="IL117" s="242"/>
      <c r="IM117" s="242"/>
      <c r="IN117" s="242"/>
      <c r="IO117" s="242"/>
      <c r="IP117" s="243"/>
      <c r="IQ117" s="243"/>
      <c r="IR117" s="243"/>
      <c r="IS117" s="243"/>
      <c r="IT117" s="243"/>
      <c r="IU117" s="243"/>
      <c r="IV117" s="243"/>
      <c r="IW117" s="242"/>
      <c r="IX117" s="242"/>
      <c r="IY117" s="242"/>
      <c r="IZ117" s="242"/>
      <c r="JA117" s="242"/>
      <c r="JB117" s="242"/>
      <c r="JC117" s="242"/>
      <c r="JD117" s="243"/>
      <c r="JE117" s="243"/>
      <c r="JF117" s="243"/>
      <c r="JG117" s="243"/>
      <c r="JH117" s="243"/>
      <c r="JI117" s="243"/>
      <c r="JJ117" s="243"/>
      <c r="JK117" s="242"/>
      <c r="JL117" s="242"/>
      <c r="JM117" s="242"/>
      <c r="JN117" s="242"/>
      <c r="JO117" s="242"/>
      <c r="JP117" s="242"/>
      <c r="JQ117" s="242"/>
      <c r="JR117" s="243"/>
      <c r="JS117" s="243"/>
      <c r="JT117" s="243"/>
      <c r="JU117" s="243"/>
      <c r="JV117" s="243"/>
      <c r="JW117" s="243"/>
      <c r="JX117" s="243"/>
      <c r="JY117" s="242"/>
      <c r="JZ117" s="242"/>
      <c r="KA117" s="242"/>
      <c r="KB117" s="242"/>
      <c r="KC117" s="242"/>
      <c r="KD117" s="242"/>
      <c r="KE117" s="242"/>
      <c r="KF117" s="243"/>
      <c r="KG117" s="243"/>
      <c r="KH117" s="243"/>
      <c r="KI117" s="243"/>
      <c r="KJ117" s="243"/>
      <c r="KK117" s="243"/>
      <c r="KL117" s="243"/>
      <c r="KM117" s="242"/>
      <c r="KN117" s="242"/>
      <c r="KO117" s="242"/>
      <c r="KP117" s="242"/>
      <c r="KQ117" s="242"/>
      <c r="KR117" s="242"/>
      <c r="KS117" s="242"/>
      <c r="KT117" s="243"/>
      <c r="KU117" s="243"/>
      <c r="KV117" s="243"/>
      <c r="KW117" s="243"/>
      <c r="KX117" s="243"/>
      <c r="KY117" s="243"/>
      <c r="KZ117" s="243"/>
      <c r="LA117" s="242"/>
      <c r="LB117" s="242"/>
      <c r="LC117" s="242"/>
      <c r="LD117" s="242"/>
      <c r="LE117" s="242"/>
      <c r="LF117" s="242"/>
      <c r="LG117" s="242"/>
      <c r="LH117" s="243"/>
      <c r="LI117" s="243"/>
      <c r="LJ117" s="243"/>
      <c r="LK117" s="243"/>
      <c r="LL117" s="243"/>
      <c r="LM117" s="243"/>
      <c r="LN117" s="243"/>
      <c r="LO117" s="242"/>
      <c r="LP117" s="242"/>
      <c r="LQ117" s="242"/>
      <c r="LR117" s="242"/>
      <c r="LS117" s="242"/>
      <c r="LT117" s="242"/>
      <c r="LU117" s="242"/>
      <c r="LV117" s="243"/>
      <c r="LW117" s="243"/>
      <c r="LX117" s="243"/>
      <c r="LY117" s="243"/>
      <c r="LZ117" s="243"/>
      <c r="MA117" s="243"/>
      <c r="MB117" s="243"/>
      <c r="MC117" s="242"/>
      <c r="MD117" s="242"/>
      <c r="ME117" s="242"/>
      <c r="MF117" s="242"/>
      <c r="MG117" s="242"/>
      <c r="MH117" s="242"/>
      <c r="MI117" s="242"/>
      <c r="MJ117" s="243"/>
      <c r="MK117" s="243"/>
      <c r="ML117" s="243"/>
      <c r="MM117" s="243"/>
      <c r="MN117" s="243"/>
      <c r="MO117" s="243"/>
      <c r="MP117" s="243"/>
      <c r="MQ117" s="242"/>
      <c r="MR117" s="242"/>
      <c r="MS117" s="242"/>
      <c r="MT117" s="242"/>
      <c r="MU117" s="242"/>
      <c r="MV117" s="242"/>
      <c r="MW117" s="242"/>
      <c r="MX117" s="243"/>
      <c r="MY117" s="243"/>
      <c r="MZ117" s="243"/>
      <c r="NA117" s="243"/>
      <c r="NB117" s="243"/>
      <c r="NC117" s="243"/>
      <c r="ND117" s="243"/>
      <c r="NE117" s="242"/>
      <c r="NF117" s="242"/>
      <c r="NG117" s="242"/>
      <c r="NH117" s="243" t="s">
        <v>1157</v>
      </c>
    </row>
    <row r="118" spans="1:372">
      <c r="A118" s="254" t="s">
        <v>985</v>
      </c>
      <c r="B118" s="239" t="s">
        <v>87</v>
      </c>
      <c r="C118" s="240" t="s">
        <v>674</v>
      </c>
      <c r="D118" s="240" t="s">
        <v>982</v>
      </c>
      <c r="E118" s="241">
        <v>265.76567776670765</v>
      </c>
      <c r="F118" s="252">
        <v>264</v>
      </c>
      <c r="G118" s="242"/>
      <c r="H118" s="242"/>
      <c r="I118" s="242"/>
      <c r="J118" s="242"/>
      <c r="K118" s="242"/>
      <c r="L118" s="243"/>
      <c r="M118" s="243"/>
      <c r="N118" s="243"/>
      <c r="O118" s="243"/>
      <c r="P118" s="243"/>
      <c r="Q118" s="243"/>
      <c r="R118" s="243"/>
      <c r="S118" s="242"/>
      <c r="T118" s="242"/>
      <c r="U118" s="242"/>
      <c r="V118" s="242"/>
      <c r="W118" s="242"/>
      <c r="X118" s="242"/>
      <c r="Y118" s="242"/>
      <c r="Z118" s="243"/>
      <c r="AA118" s="243"/>
      <c r="AB118" s="243"/>
      <c r="AC118" s="243"/>
      <c r="AD118" s="243"/>
      <c r="AE118" s="243"/>
      <c r="AF118" s="243"/>
      <c r="AG118" s="242"/>
      <c r="AH118" s="242"/>
      <c r="AI118" s="242"/>
      <c r="AJ118" s="242"/>
      <c r="AK118" s="242"/>
      <c r="AL118" s="242"/>
      <c r="AM118" s="242"/>
      <c r="AN118" s="243"/>
      <c r="AO118" s="243"/>
      <c r="AP118" s="243"/>
      <c r="AQ118" s="243"/>
      <c r="AR118" s="243"/>
      <c r="AS118" s="243"/>
      <c r="AT118" s="243"/>
      <c r="AU118" s="242"/>
      <c r="AV118" s="242"/>
      <c r="AW118" s="242"/>
      <c r="AX118" s="242"/>
      <c r="AY118" s="242"/>
      <c r="AZ118" s="242"/>
      <c r="BA118" s="242"/>
      <c r="BB118" s="243"/>
      <c r="BC118" s="243"/>
      <c r="BD118" s="243"/>
      <c r="BE118" s="243"/>
      <c r="BF118" s="243"/>
      <c r="BG118" s="243"/>
      <c r="BH118" s="243"/>
      <c r="BI118" s="242"/>
      <c r="BJ118" s="242"/>
      <c r="BK118" s="242"/>
      <c r="BL118" s="242"/>
      <c r="BM118" s="242"/>
      <c r="BN118" s="242"/>
      <c r="BO118" s="242"/>
      <c r="BP118" s="243"/>
      <c r="BQ118" s="243"/>
      <c r="BR118" s="243"/>
      <c r="BS118" s="243"/>
      <c r="BT118" s="243"/>
      <c r="BU118" s="243"/>
      <c r="BV118" s="243"/>
      <c r="BW118" s="242"/>
      <c r="BX118" s="242"/>
      <c r="BY118" s="242"/>
      <c r="BZ118" s="242"/>
      <c r="CA118" s="242"/>
      <c r="CB118" s="242"/>
      <c r="CC118" s="242"/>
      <c r="CD118" s="243"/>
      <c r="CE118" s="243"/>
      <c r="CF118" s="243"/>
      <c r="CG118" s="243"/>
      <c r="CH118" s="243"/>
      <c r="CI118" s="243"/>
      <c r="CJ118" s="243"/>
      <c r="CK118" s="242"/>
      <c r="CL118" s="242"/>
      <c r="CM118" s="242"/>
      <c r="CN118" s="242"/>
      <c r="CO118" s="242"/>
      <c r="CP118" s="242"/>
      <c r="CQ118" s="242"/>
      <c r="CR118" s="243"/>
      <c r="CS118" s="243"/>
      <c r="CT118" s="243"/>
      <c r="CU118" s="243"/>
      <c r="CV118" s="243"/>
      <c r="CW118" s="243"/>
      <c r="CX118" s="243"/>
      <c r="CY118" s="242"/>
      <c r="CZ118" s="242"/>
      <c r="DA118" s="242"/>
      <c r="DB118" s="242"/>
      <c r="DC118" s="242"/>
      <c r="DD118" s="242"/>
      <c r="DE118" s="242"/>
      <c r="DF118" s="243"/>
      <c r="DG118" s="243"/>
      <c r="DH118" s="243"/>
      <c r="DI118" s="243"/>
      <c r="DJ118" s="243"/>
      <c r="DK118" s="243"/>
      <c r="DL118" s="243"/>
      <c r="DM118" s="242"/>
      <c r="DN118" s="242"/>
      <c r="DO118" s="242"/>
      <c r="DP118" s="242"/>
      <c r="DQ118" s="242"/>
      <c r="DR118" s="242"/>
      <c r="DS118" s="242"/>
      <c r="DT118" s="243"/>
      <c r="DU118" s="243"/>
      <c r="DV118" s="243"/>
      <c r="DW118" s="243"/>
      <c r="DX118" s="243"/>
      <c r="DY118" s="243"/>
      <c r="DZ118" s="243"/>
      <c r="EA118" s="242"/>
      <c r="EB118" s="242"/>
      <c r="EC118" s="242"/>
      <c r="ED118" s="242"/>
      <c r="EE118" s="242"/>
      <c r="EF118" s="242"/>
      <c r="EG118" s="242"/>
      <c r="EH118" s="243"/>
      <c r="EI118" s="243"/>
      <c r="EJ118" s="243"/>
      <c r="EK118" s="243"/>
      <c r="EL118" s="243">
        <v>24</v>
      </c>
      <c r="EM118" s="243">
        <v>24</v>
      </c>
      <c r="EN118" s="243">
        <v>24</v>
      </c>
      <c r="EO118" s="242">
        <v>24</v>
      </c>
      <c r="EP118" s="242">
        <v>24</v>
      </c>
      <c r="EQ118" s="242">
        <v>24</v>
      </c>
      <c r="ER118" s="242">
        <v>24</v>
      </c>
      <c r="ES118" s="242">
        <v>24</v>
      </c>
      <c r="ET118" s="242">
        <v>24</v>
      </c>
      <c r="EU118" s="242">
        <v>24</v>
      </c>
      <c r="EV118" s="243">
        <v>24</v>
      </c>
      <c r="EW118" s="243"/>
      <c r="EX118" s="243"/>
      <c r="EY118" s="243"/>
      <c r="EZ118" s="243"/>
      <c r="FA118" s="243"/>
      <c r="FB118" s="243"/>
      <c r="FC118" s="242"/>
      <c r="FD118" s="242"/>
      <c r="FE118" s="242"/>
      <c r="FF118" s="242"/>
      <c r="FG118" s="242"/>
      <c r="FH118" s="242"/>
      <c r="FI118" s="242"/>
      <c r="FJ118" s="243"/>
      <c r="FK118" s="243"/>
      <c r="FL118" s="243"/>
      <c r="FM118" s="243"/>
      <c r="FN118" s="243"/>
      <c r="FO118" s="243"/>
      <c r="FP118" s="243"/>
      <c r="FQ118" s="242"/>
      <c r="FR118" s="242"/>
      <c r="FS118" s="242"/>
      <c r="FT118" s="242"/>
      <c r="FU118" s="242"/>
      <c r="FV118" s="242"/>
      <c r="FW118" s="242"/>
      <c r="FX118" s="243"/>
      <c r="FY118" s="243"/>
      <c r="FZ118" s="243"/>
      <c r="GA118" s="243"/>
      <c r="GB118" s="243"/>
      <c r="GC118" s="243"/>
      <c r="GD118" s="243"/>
      <c r="GE118" s="242"/>
      <c r="GF118" s="242"/>
      <c r="GG118" s="242"/>
      <c r="GH118" s="242"/>
      <c r="GI118" s="242"/>
      <c r="GJ118" s="242"/>
      <c r="GK118" s="242"/>
      <c r="GL118" s="243"/>
      <c r="GM118" s="243"/>
      <c r="GN118" s="243"/>
      <c r="GO118" s="243"/>
      <c r="GP118" s="243"/>
      <c r="GQ118" s="243"/>
      <c r="GR118" s="243"/>
      <c r="GS118" s="242"/>
      <c r="GT118" s="242"/>
      <c r="GU118" s="242"/>
      <c r="GV118" s="242"/>
      <c r="GW118" s="242"/>
      <c r="GX118" s="242"/>
      <c r="GY118" s="242"/>
      <c r="GZ118" s="243"/>
      <c r="HA118" s="243"/>
      <c r="HB118" s="243"/>
      <c r="HC118" s="243"/>
      <c r="HD118" s="243"/>
      <c r="HE118" s="243"/>
      <c r="HF118" s="243"/>
      <c r="HG118" s="242"/>
      <c r="HH118" s="242"/>
      <c r="HI118" s="242"/>
      <c r="HJ118" s="242"/>
      <c r="HK118" s="242"/>
      <c r="HL118" s="242"/>
      <c r="HM118" s="242"/>
      <c r="HN118" s="243"/>
      <c r="HO118" s="243"/>
      <c r="HP118" s="243"/>
      <c r="HQ118" s="243"/>
      <c r="HR118" s="243"/>
      <c r="HS118" s="243"/>
      <c r="HT118" s="243"/>
      <c r="HU118" s="242"/>
      <c r="HV118" s="242"/>
      <c r="HW118" s="242"/>
      <c r="HX118" s="242"/>
      <c r="HY118" s="242"/>
      <c r="HZ118" s="242"/>
      <c r="IA118" s="242"/>
      <c r="IB118" s="243"/>
      <c r="IC118" s="243"/>
      <c r="ID118" s="243"/>
      <c r="IE118" s="243"/>
      <c r="IF118" s="243"/>
      <c r="IG118" s="243"/>
      <c r="IH118" s="243"/>
      <c r="II118" s="242"/>
      <c r="IJ118" s="242"/>
      <c r="IK118" s="242"/>
      <c r="IL118" s="242"/>
      <c r="IM118" s="242"/>
      <c r="IN118" s="242"/>
      <c r="IO118" s="242"/>
      <c r="IP118" s="243"/>
      <c r="IQ118" s="243"/>
      <c r="IR118" s="243"/>
      <c r="IS118" s="243"/>
      <c r="IT118" s="243"/>
      <c r="IU118" s="243"/>
      <c r="IV118" s="243"/>
      <c r="IW118" s="242"/>
      <c r="IX118" s="242"/>
      <c r="IY118" s="242"/>
      <c r="IZ118" s="242"/>
      <c r="JA118" s="242"/>
      <c r="JB118" s="242"/>
      <c r="JC118" s="242"/>
      <c r="JD118" s="243"/>
      <c r="JE118" s="243"/>
      <c r="JF118" s="243"/>
      <c r="JG118" s="243"/>
      <c r="JH118" s="243"/>
      <c r="JI118" s="243"/>
      <c r="JJ118" s="243"/>
      <c r="JK118" s="242"/>
      <c r="JL118" s="242"/>
      <c r="JM118" s="242"/>
      <c r="JN118" s="242"/>
      <c r="JO118" s="242"/>
      <c r="JP118" s="242"/>
      <c r="JQ118" s="242"/>
      <c r="JR118" s="243"/>
      <c r="JS118" s="243"/>
      <c r="JT118" s="243"/>
      <c r="JU118" s="243"/>
      <c r="JV118" s="243"/>
      <c r="JW118" s="243"/>
      <c r="JX118" s="243"/>
      <c r="JY118" s="242"/>
      <c r="JZ118" s="242"/>
      <c r="KA118" s="242"/>
      <c r="KB118" s="242"/>
      <c r="KC118" s="242"/>
      <c r="KD118" s="242"/>
      <c r="KE118" s="242"/>
      <c r="KF118" s="243"/>
      <c r="KG118" s="243"/>
      <c r="KH118" s="243"/>
      <c r="KI118" s="243"/>
      <c r="KJ118" s="243"/>
      <c r="KK118" s="243"/>
      <c r="KL118" s="243"/>
      <c r="KM118" s="242"/>
      <c r="KN118" s="242"/>
      <c r="KO118" s="242"/>
      <c r="KP118" s="242"/>
      <c r="KQ118" s="242"/>
      <c r="KR118" s="242"/>
      <c r="KS118" s="242"/>
      <c r="KT118" s="243"/>
      <c r="KU118" s="243"/>
      <c r="KV118" s="243"/>
      <c r="KW118" s="243"/>
      <c r="KX118" s="243"/>
      <c r="KY118" s="243"/>
      <c r="KZ118" s="243"/>
      <c r="LA118" s="242"/>
      <c r="LB118" s="242"/>
      <c r="LC118" s="242"/>
      <c r="LD118" s="242"/>
      <c r="LE118" s="242"/>
      <c r="LF118" s="242"/>
      <c r="LG118" s="242"/>
      <c r="LH118" s="243"/>
      <c r="LI118" s="243"/>
      <c r="LJ118" s="243"/>
      <c r="LK118" s="243"/>
      <c r="LL118" s="243"/>
      <c r="LM118" s="243"/>
      <c r="LN118" s="243"/>
      <c r="LO118" s="242"/>
      <c r="LP118" s="242"/>
      <c r="LQ118" s="242"/>
      <c r="LR118" s="242"/>
      <c r="LS118" s="242"/>
      <c r="LT118" s="242"/>
      <c r="LU118" s="242"/>
      <c r="LV118" s="243"/>
      <c r="LW118" s="243"/>
      <c r="LX118" s="243"/>
      <c r="LY118" s="243"/>
      <c r="LZ118" s="243"/>
      <c r="MA118" s="243"/>
      <c r="MB118" s="243"/>
      <c r="MC118" s="242"/>
      <c r="MD118" s="242"/>
      <c r="ME118" s="242"/>
      <c r="MF118" s="242"/>
      <c r="MG118" s="242"/>
      <c r="MH118" s="242"/>
      <c r="MI118" s="242"/>
      <c r="MJ118" s="243"/>
      <c r="MK118" s="243"/>
      <c r="ML118" s="243"/>
      <c r="MM118" s="243"/>
      <c r="MN118" s="243"/>
      <c r="MO118" s="243"/>
      <c r="MP118" s="243"/>
      <c r="MQ118" s="242"/>
      <c r="MR118" s="242"/>
      <c r="MS118" s="242"/>
      <c r="MT118" s="242"/>
      <c r="MU118" s="242"/>
      <c r="MV118" s="242"/>
      <c r="MW118" s="242"/>
      <c r="MX118" s="243"/>
      <c r="MY118" s="243"/>
      <c r="MZ118" s="243"/>
      <c r="NA118" s="243"/>
      <c r="NB118" s="243"/>
      <c r="NC118" s="243"/>
      <c r="ND118" s="243"/>
      <c r="NE118" s="242"/>
      <c r="NF118" s="242"/>
      <c r="NG118" s="242"/>
      <c r="NH118" s="243"/>
    </row>
    <row r="119" spans="1:372">
      <c r="A119" s="254" t="s">
        <v>985</v>
      </c>
      <c r="B119" s="239" t="s">
        <v>327</v>
      </c>
      <c r="C119" s="240" t="s">
        <v>674</v>
      </c>
      <c r="D119" s="240" t="s">
        <v>982</v>
      </c>
      <c r="E119" s="241">
        <v>184.4023888823935</v>
      </c>
      <c r="F119" s="252">
        <v>264</v>
      </c>
      <c r="G119" s="242"/>
      <c r="H119" s="242"/>
      <c r="I119" s="242"/>
      <c r="J119" s="242"/>
      <c r="K119" s="242"/>
      <c r="L119" s="243"/>
      <c r="M119" s="243"/>
      <c r="N119" s="243"/>
      <c r="O119" s="243"/>
      <c r="P119" s="243"/>
      <c r="Q119" s="243"/>
      <c r="R119" s="243"/>
      <c r="S119" s="242"/>
      <c r="T119" s="242"/>
      <c r="U119" s="242"/>
      <c r="V119" s="242"/>
      <c r="W119" s="242"/>
      <c r="X119" s="242"/>
      <c r="Y119" s="242"/>
      <c r="Z119" s="243"/>
      <c r="AA119" s="243"/>
      <c r="AB119" s="243"/>
      <c r="AC119" s="243"/>
      <c r="AD119" s="243"/>
      <c r="AE119" s="243"/>
      <c r="AF119" s="243"/>
      <c r="AG119" s="242"/>
      <c r="AH119" s="242"/>
      <c r="AI119" s="242"/>
      <c r="AJ119" s="242"/>
      <c r="AK119" s="242"/>
      <c r="AL119" s="242"/>
      <c r="AM119" s="242"/>
      <c r="AN119" s="243"/>
      <c r="AO119" s="243"/>
      <c r="AP119" s="243"/>
      <c r="AQ119" s="243"/>
      <c r="AR119" s="243"/>
      <c r="AS119" s="243"/>
      <c r="AT119" s="243"/>
      <c r="AU119" s="242"/>
      <c r="AV119" s="242"/>
      <c r="AW119" s="242"/>
      <c r="AX119" s="242"/>
      <c r="AY119" s="242"/>
      <c r="AZ119" s="242"/>
      <c r="BA119" s="242"/>
      <c r="BB119" s="243"/>
      <c r="BC119" s="243"/>
      <c r="BD119" s="243"/>
      <c r="BE119" s="243"/>
      <c r="BF119" s="243"/>
      <c r="BG119" s="243"/>
      <c r="BH119" s="243"/>
      <c r="BI119" s="242"/>
      <c r="BJ119" s="242"/>
      <c r="BK119" s="242"/>
      <c r="BL119" s="242"/>
      <c r="BM119" s="242"/>
      <c r="BN119" s="242"/>
      <c r="BO119" s="242"/>
      <c r="BP119" s="243"/>
      <c r="BQ119" s="243"/>
      <c r="BR119" s="243"/>
      <c r="BS119" s="243"/>
      <c r="BT119" s="243"/>
      <c r="BU119" s="243"/>
      <c r="BV119" s="243"/>
      <c r="BW119" s="242"/>
      <c r="BX119" s="242"/>
      <c r="BY119" s="242"/>
      <c r="BZ119" s="242"/>
      <c r="CA119" s="242"/>
      <c r="CB119" s="242"/>
      <c r="CC119" s="242"/>
      <c r="CD119" s="243"/>
      <c r="CE119" s="243"/>
      <c r="CF119" s="243"/>
      <c r="CG119" s="243"/>
      <c r="CH119" s="243"/>
      <c r="CI119" s="243"/>
      <c r="CJ119" s="243"/>
      <c r="CK119" s="242"/>
      <c r="CL119" s="242"/>
      <c r="CM119" s="242"/>
      <c r="CN119" s="242"/>
      <c r="CO119" s="242"/>
      <c r="CP119" s="242"/>
      <c r="CQ119" s="242"/>
      <c r="CR119" s="243"/>
      <c r="CS119" s="243"/>
      <c r="CT119" s="243"/>
      <c r="CU119" s="243"/>
      <c r="CV119" s="243"/>
      <c r="CW119" s="243"/>
      <c r="CX119" s="243"/>
      <c r="CY119" s="242"/>
      <c r="CZ119" s="242"/>
      <c r="DA119" s="242"/>
      <c r="DB119" s="242"/>
      <c r="DC119" s="242"/>
      <c r="DD119" s="242"/>
      <c r="DE119" s="242"/>
      <c r="DF119" s="243"/>
      <c r="DG119" s="243"/>
      <c r="DH119" s="243"/>
      <c r="DI119" s="243"/>
      <c r="DJ119" s="243"/>
      <c r="DK119" s="243"/>
      <c r="DL119" s="243"/>
      <c r="DM119" s="242"/>
      <c r="DN119" s="242"/>
      <c r="DO119" s="242"/>
      <c r="DP119" s="242"/>
      <c r="DQ119" s="242"/>
      <c r="DR119" s="242"/>
      <c r="DS119" s="242"/>
      <c r="DT119" s="243"/>
      <c r="DU119" s="243"/>
      <c r="DV119" s="243"/>
      <c r="DW119" s="243"/>
      <c r="DX119" s="243"/>
      <c r="DY119" s="243"/>
      <c r="DZ119" s="243"/>
      <c r="EA119" s="242"/>
      <c r="EB119" s="242"/>
      <c r="EC119" s="242"/>
      <c r="ED119" s="242"/>
      <c r="EE119" s="242"/>
      <c r="EF119" s="242"/>
      <c r="EG119" s="242"/>
      <c r="EH119" s="243"/>
      <c r="EI119" s="243"/>
      <c r="EJ119" s="243"/>
      <c r="EK119" s="243"/>
      <c r="EL119" s="243">
        <v>24</v>
      </c>
      <c r="EM119" s="243">
        <v>24</v>
      </c>
      <c r="EN119" s="243">
        <v>24</v>
      </c>
      <c r="EO119" s="242">
        <v>24</v>
      </c>
      <c r="EP119" s="242">
        <v>24</v>
      </c>
      <c r="EQ119" s="242">
        <v>24</v>
      </c>
      <c r="ER119" s="242">
        <v>24</v>
      </c>
      <c r="ES119" s="242">
        <v>24</v>
      </c>
      <c r="ET119" s="242">
        <v>24</v>
      </c>
      <c r="EU119" s="242">
        <v>24</v>
      </c>
      <c r="EV119" s="243">
        <v>24</v>
      </c>
      <c r="EW119" s="243"/>
      <c r="EX119" s="243"/>
      <c r="EY119" s="243"/>
      <c r="EZ119" s="243"/>
      <c r="FA119" s="243"/>
      <c r="FB119" s="243"/>
      <c r="FC119" s="242"/>
      <c r="FD119" s="242"/>
      <c r="FE119" s="242"/>
      <c r="FF119" s="242"/>
      <c r="FG119" s="242"/>
      <c r="FH119" s="242"/>
      <c r="FI119" s="242"/>
      <c r="FJ119" s="243"/>
      <c r="FK119" s="243"/>
      <c r="FL119" s="243"/>
      <c r="FM119" s="243"/>
      <c r="FN119" s="243"/>
      <c r="FO119" s="243"/>
      <c r="FP119" s="243"/>
      <c r="FQ119" s="242"/>
      <c r="FR119" s="242"/>
      <c r="FS119" s="242"/>
      <c r="FT119" s="242"/>
      <c r="FU119" s="242"/>
      <c r="FV119" s="242"/>
      <c r="FW119" s="242"/>
      <c r="FX119" s="243"/>
      <c r="FY119" s="243"/>
      <c r="FZ119" s="243"/>
      <c r="GA119" s="243"/>
      <c r="GB119" s="243"/>
      <c r="GC119" s="243"/>
      <c r="GD119" s="243"/>
      <c r="GE119" s="242"/>
      <c r="GF119" s="242"/>
      <c r="GG119" s="242"/>
      <c r="GH119" s="242"/>
      <c r="GI119" s="242"/>
      <c r="GJ119" s="242"/>
      <c r="GK119" s="242"/>
      <c r="GL119" s="243"/>
      <c r="GM119" s="243"/>
      <c r="GN119" s="243"/>
      <c r="GO119" s="243"/>
      <c r="GP119" s="243"/>
      <c r="GQ119" s="243"/>
      <c r="GR119" s="243"/>
      <c r="GS119" s="242"/>
      <c r="GT119" s="242"/>
      <c r="GU119" s="242"/>
      <c r="GV119" s="242"/>
      <c r="GW119" s="242"/>
      <c r="GX119" s="242"/>
      <c r="GY119" s="242"/>
      <c r="GZ119" s="243"/>
      <c r="HA119" s="243"/>
      <c r="HB119" s="243"/>
      <c r="HC119" s="243"/>
      <c r="HD119" s="243"/>
      <c r="HE119" s="243"/>
      <c r="HF119" s="243"/>
      <c r="HG119" s="242"/>
      <c r="HH119" s="242"/>
      <c r="HI119" s="242"/>
      <c r="HJ119" s="242"/>
      <c r="HK119" s="242"/>
      <c r="HL119" s="242"/>
      <c r="HM119" s="242"/>
      <c r="HN119" s="243"/>
      <c r="HO119" s="243"/>
      <c r="HP119" s="243"/>
      <c r="HQ119" s="243"/>
      <c r="HR119" s="243"/>
      <c r="HS119" s="243"/>
      <c r="HT119" s="243"/>
      <c r="HU119" s="242"/>
      <c r="HV119" s="242"/>
      <c r="HW119" s="242"/>
      <c r="HX119" s="242"/>
      <c r="HY119" s="242"/>
      <c r="HZ119" s="242"/>
      <c r="IA119" s="242"/>
      <c r="IB119" s="243"/>
      <c r="IC119" s="243"/>
      <c r="ID119" s="243"/>
      <c r="IE119" s="243"/>
      <c r="IF119" s="243"/>
      <c r="IG119" s="243"/>
      <c r="IH119" s="243"/>
      <c r="II119" s="242"/>
      <c r="IJ119" s="242"/>
      <c r="IK119" s="242"/>
      <c r="IL119" s="242"/>
      <c r="IM119" s="242"/>
      <c r="IN119" s="242"/>
      <c r="IO119" s="242"/>
      <c r="IP119" s="243"/>
      <c r="IQ119" s="243"/>
      <c r="IR119" s="243"/>
      <c r="IS119" s="243"/>
      <c r="IT119" s="243"/>
      <c r="IU119" s="243"/>
      <c r="IV119" s="243"/>
      <c r="IW119" s="242"/>
      <c r="IX119" s="242"/>
      <c r="IY119" s="242"/>
      <c r="IZ119" s="242"/>
      <c r="JA119" s="242"/>
      <c r="JB119" s="242"/>
      <c r="JC119" s="242"/>
      <c r="JD119" s="243"/>
      <c r="JE119" s="243"/>
      <c r="JF119" s="243"/>
      <c r="JG119" s="243"/>
      <c r="JH119" s="243"/>
      <c r="JI119" s="243"/>
      <c r="JJ119" s="243"/>
      <c r="JK119" s="242"/>
      <c r="JL119" s="242"/>
      <c r="JM119" s="242"/>
      <c r="JN119" s="242"/>
      <c r="JO119" s="242"/>
      <c r="JP119" s="242"/>
      <c r="JQ119" s="242"/>
      <c r="JR119" s="243"/>
      <c r="JS119" s="243"/>
      <c r="JT119" s="243"/>
      <c r="JU119" s="243"/>
      <c r="JV119" s="243"/>
      <c r="JW119" s="243"/>
      <c r="JX119" s="243"/>
      <c r="JY119" s="242"/>
      <c r="JZ119" s="242"/>
      <c r="KA119" s="242"/>
      <c r="KB119" s="242"/>
      <c r="KC119" s="242"/>
      <c r="KD119" s="242"/>
      <c r="KE119" s="242"/>
      <c r="KF119" s="243"/>
      <c r="KG119" s="243"/>
      <c r="KH119" s="243"/>
      <c r="KI119" s="243"/>
      <c r="KJ119" s="243"/>
      <c r="KK119" s="243"/>
      <c r="KL119" s="243"/>
      <c r="KM119" s="242"/>
      <c r="KN119" s="242"/>
      <c r="KO119" s="242"/>
      <c r="KP119" s="242"/>
      <c r="KQ119" s="242"/>
      <c r="KR119" s="242"/>
      <c r="KS119" s="242"/>
      <c r="KT119" s="243"/>
      <c r="KU119" s="243"/>
      <c r="KV119" s="243"/>
      <c r="KW119" s="243"/>
      <c r="KX119" s="243"/>
      <c r="KY119" s="243"/>
      <c r="KZ119" s="243"/>
      <c r="LA119" s="242"/>
      <c r="LB119" s="242"/>
      <c r="LC119" s="242"/>
      <c r="LD119" s="242"/>
      <c r="LE119" s="242"/>
      <c r="LF119" s="242"/>
      <c r="LG119" s="242"/>
      <c r="LH119" s="243"/>
      <c r="LI119" s="243"/>
      <c r="LJ119" s="243"/>
      <c r="LK119" s="243"/>
      <c r="LL119" s="243"/>
      <c r="LM119" s="243"/>
      <c r="LN119" s="243"/>
      <c r="LO119" s="242"/>
      <c r="LP119" s="242"/>
      <c r="LQ119" s="242"/>
      <c r="LR119" s="242"/>
      <c r="LS119" s="242"/>
      <c r="LT119" s="242"/>
      <c r="LU119" s="242"/>
      <c r="LV119" s="243"/>
      <c r="LW119" s="243"/>
      <c r="LX119" s="243"/>
      <c r="LY119" s="243"/>
      <c r="LZ119" s="243"/>
      <c r="MA119" s="243"/>
      <c r="MB119" s="243"/>
      <c r="MC119" s="242"/>
      <c r="MD119" s="242"/>
      <c r="ME119" s="242"/>
      <c r="MF119" s="242"/>
      <c r="MG119" s="242"/>
      <c r="MH119" s="242"/>
      <c r="MI119" s="242"/>
      <c r="MJ119" s="243"/>
      <c r="MK119" s="243"/>
      <c r="ML119" s="243"/>
      <c r="MM119" s="243"/>
      <c r="MN119" s="243"/>
      <c r="MO119" s="243"/>
      <c r="MP119" s="243"/>
      <c r="MQ119" s="242"/>
      <c r="MR119" s="242"/>
      <c r="MS119" s="242"/>
      <c r="MT119" s="242"/>
      <c r="MU119" s="242"/>
      <c r="MV119" s="242"/>
      <c r="MW119" s="242"/>
      <c r="MX119" s="243"/>
      <c r="MY119" s="243"/>
      <c r="MZ119" s="243"/>
      <c r="NA119" s="243"/>
      <c r="NB119" s="243"/>
      <c r="NC119" s="243"/>
      <c r="ND119" s="243"/>
      <c r="NE119" s="242"/>
      <c r="NF119" s="242"/>
      <c r="NG119" s="242"/>
      <c r="NH119" s="243" t="s">
        <v>1157</v>
      </c>
    </row>
    <row r="120" spans="1:372">
      <c r="A120" s="254" t="s">
        <v>985</v>
      </c>
      <c r="B120" s="239" t="s">
        <v>88</v>
      </c>
      <c r="C120" s="240" t="s">
        <v>674</v>
      </c>
      <c r="D120" s="240" t="s">
        <v>982</v>
      </c>
      <c r="E120" s="241">
        <v>166.09904443316941</v>
      </c>
      <c r="F120" s="252">
        <v>216</v>
      </c>
      <c r="G120" s="249"/>
      <c r="H120" s="249"/>
      <c r="I120" s="249"/>
      <c r="J120" s="249"/>
      <c r="K120" s="249"/>
      <c r="L120" s="250"/>
      <c r="M120" s="250"/>
      <c r="N120" s="250"/>
      <c r="O120" s="250"/>
      <c r="P120" s="250"/>
      <c r="Q120" s="250"/>
      <c r="R120" s="250"/>
      <c r="S120" s="249"/>
      <c r="T120" s="249"/>
      <c r="U120" s="249"/>
      <c r="V120" s="249"/>
      <c r="W120" s="249"/>
      <c r="X120" s="249"/>
      <c r="Y120" s="249"/>
      <c r="Z120" s="250"/>
      <c r="AA120" s="250"/>
      <c r="AB120" s="250"/>
      <c r="AC120" s="250"/>
      <c r="AD120" s="250"/>
      <c r="AE120" s="250"/>
      <c r="AF120" s="250"/>
      <c r="AG120" s="249"/>
      <c r="AH120" s="249"/>
      <c r="AI120" s="249"/>
      <c r="AJ120" s="249"/>
      <c r="AK120" s="249"/>
      <c r="AL120" s="249"/>
      <c r="AM120" s="249"/>
      <c r="AN120" s="250"/>
      <c r="AO120" s="250"/>
      <c r="AP120" s="250"/>
      <c r="AQ120" s="250"/>
      <c r="AR120" s="250"/>
      <c r="AS120" s="250"/>
      <c r="AT120" s="250"/>
      <c r="AU120" s="249"/>
      <c r="AV120" s="249"/>
      <c r="AW120" s="249"/>
      <c r="AX120" s="249"/>
      <c r="AY120" s="249"/>
      <c r="AZ120" s="249"/>
      <c r="BA120" s="249"/>
      <c r="BB120" s="250"/>
      <c r="BC120" s="250"/>
      <c r="BD120" s="250"/>
      <c r="BE120" s="250"/>
      <c r="BF120" s="250"/>
      <c r="BG120" s="250"/>
      <c r="BH120" s="250"/>
      <c r="BI120" s="249"/>
      <c r="BJ120" s="249"/>
      <c r="BK120" s="249"/>
      <c r="BL120" s="249"/>
      <c r="BM120" s="249"/>
      <c r="BN120" s="249"/>
      <c r="BO120" s="249"/>
      <c r="BP120" s="250"/>
      <c r="BQ120" s="250"/>
      <c r="BR120" s="250"/>
      <c r="BS120" s="250"/>
      <c r="BT120" s="250"/>
      <c r="BU120" s="250"/>
      <c r="BV120" s="250"/>
      <c r="BW120" s="249"/>
      <c r="BX120" s="249"/>
      <c r="BY120" s="249"/>
      <c r="BZ120" s="249"/>
      <c r="CA120" s="249"/>
      <c r="CB120" s="249"/>
      <c r="CC120" s="249"/>
      <c r="CD120" s="250"/>
      <c r="CE120" s="250"/>
      <c r="CF120" s="250"/>
      <c r="CG120" s="250"/>
      <c r="CH120" s="250"/>
      <c r="CI120" s="250"/>
      <c r="CJ120" s="250"/>
      <c r="CK120" s="249"/>
      <c r="CL120" s="249"/>
      <c r="CM120" s="249"/>
      <c r="CN120" s="249"/>
      <c r="CO120" s="249"/>
      <c r="CP120" s="249"/>
      <c r="CQ120" s="249"/>
      <c r="CR120" s="250"/>
      <c r="CS120" s="250"/>
      <c r="CT120" s="250"/>
      <c r="CU120" s="250"/>
      <c r="CV120" s="250"/>
      <c r="CW120" s="250"/>
      <c r="CX120" s="250"/>
      <c r="CY120" s="249"/>
      <c r="CZ120" s="249"/>
      <c r="DA120" s="249"/>
      <c r="DB120" s="249"/>
      <c r="DC120" s="249"/>
      <c r="DD120" s="249"/>
      <c r="DE120" s="249"/>
      <c r="DF120" s="250"/>
      <c r="DG120" s="250"/>
      <c r="DH120" s="250"/>
      <c r="DI120" s="250"/>
      <c r="DJ120" s="250"/>
      <c r="DK120" s="250"/>
      <c r="DL120" s="250"/>
      <c r="DM120" s="249"/>
      <c r="DN120" s="249"/>
      <c r="DO120" s="249"/>
      <c r="DP120" s="249"/>
      <c r="DQ120" s="249"/>
      <c r="DR120" s="249"/>
      <c r="DS120" s="249"/>
      <c r="DT120" s="250"/>
      <c r="DU120" s="250"/>
      <c r="DV120" s="250"/>
      <c r="DW120" s="250"/>
      <c r="DX120" s="250"/>
      <c r="DY120" s="250"/>
      <c r="DZ120" s="250"/>
      <c r="EA120" s="249"/>
      <c r="EB120" s="249"/>
      <c r="EC120" s="249"/>
      <c r="ED120" s="249"/>
      <c r="EE120" s="249"/>
      <c r="EF120" s="249"/>
      <c r="EG120" s="249"/>
      <c r="EH120" s="250"/>
      <c r="EI120" s="250"/>
      <c r="EJ120" s="250"/>
      <c r="EK120" s="250"/>
      <c r="EL120" s="250"/>
      <c r="EM120" s="250"/>
      <c r="EN120" s="250">
        <v>24</v>
      </c>
      <c r="EO120" s="249">
        <v>24</v>
      </c>
      <c r="EP120" s="249">
        <v>24</v>
      </c>
      <c r="EQ120" s="249">
        <v>24</v>
      </c>
      <c r="ER120" s="249">
        <v>24</v>
      </c>
      <c r="ES120" s="249">
        <v>24</v>
      </c>
      <c r="ET120" s="249">
        <v>24</v>
      </c>
      <c r="EU120" s="249">
        <v>24</v>
      </c>
      <c r="EV120" s="250">
        <v>24</v>
      </c>
      <c r="EW120" s="250"/>
      <c r="EX120" s="250"/>
      <c r="EY120" s="250"/>
      <c r="EZ120" s="250"/>
      <c r="FA120" s="250"/>
      <c r="FB120" s="250"/>
      <c r="FC120" s="249"/>
      <c r="FD120" s="249"/>
      <c r="FE120" s="249"/>
      <c r="FF120" s="249"/>
      <c r="FG120" s="249"/>
      <c r="FH120" s="249"/>
      <c r="FI120" s="249"/>
      <c r="FJ120" s="250"/>
      <c r="FK120" s="250"/>
      <c r="FL120" s="250"/>
      <c r="FM120" s="250"/>
      <c r="FN120" s="250"/>
      <c r="FO120" s="250"/>
      <c r="FP120" s="250"/>
      <c r="FQ120" s="249"/>
      <c r="FR120" s="249"/>
      <c r="FS120" s="249"/>
      <c r="FT120" s="249"/>
      <c r="FU120" s="249"/>
      <c r="FV120" s="249"/>
      <c r="FW120" s="249"/>
      <c r="FX120" s="250"/>
      <c r="FY120" s="250"/>
      <c r="FZ120" s="250"/>
      <c r="GA120" s="250"/>
      <c r="GB120" s="250"/>
      <c r="GC120" s="250"/>
      <c r="GD120" s="250"/>
      <c r="GE120" s="249"/>
      <c r="GF120" s="249"/>
      <c r="GG120" s="249"/>
      <c r="GH120" s="249"/>
      <c r="GI120" s="249"/>
      <c r="GJ120" s="249"/>
      <c r="GK120" s="249"/>
      <c r="GL120" s="250"/>
      <c r="GM120" s="250"/>
      <c r="GN120" s="250"/>
      <c r="GO120" s="250"/>
      <c r="GP120" s="250"/>
      <c r="GQ120" s="250"/>
      <c r="GR120" s="250"/>
      <c r="GS120" s="249"/>
      <c r="GT120" s="249"/>
      <c r="GU120" s="249"/>
      <c r="GV120" s="249"/>
      <c r="GW120" s="249"/>
      <c r="GX120" s="249"/>
      <c r="GY120" s="249"/>
      <c r="GZ120" s="250"/>
      <c r="HA120" s="250"/>
      <c r="HB120" s="250"/>
      <c r="HC120" s="250"/>
      <c r="HD120" s="250"/>
      <c r="HE120" s="250"/>
      <c r="HF120" s="250"/>
      <c r="HG120" s="249"/>
      <c r="HH120" s="249"/>
      <c r="HI120" s="249"/>
      <c r="HJ120" s="249"/>
      <c r="HK120" s="249"/>
      <c r="HL120" s="249"/>
      <c r="HM120" s="249"/>
      <c r="HN120" s="250"/>
      <c r="HO120" s="250"/>
      <c r="HP120" s="250"/>
      <c r="HQ120" s="250"/>
      <c r="HR120" s="250"/>
      <c r="HS120" s="250"/>
      <c r="HT120" s="250"/>
      <c r="HU120" s="249"/>
      <c r="HV120" s="249"/>
      <c r="HW120" s="249"/>
      <c r="HX120" s="249"/>
      <c r="HY120" s="249"/>
      <c r="HZ120" s="249"/>
      <c r="IA120" s="249"/>
      <c r="IB120" s="250"/>
      <c r="IC120" s="250"/>
      <c r="ID120" s="250"/>
      <c r="IE120" s="250"/>
      <c r="IF120" s="250"/>
      <c r="IG120" s="250"/>
      <c r="IH120" s="250"/>
      <c r="II120" s="249"/>
      <c r="IJ120" s="249"/>
      <c r="IK120" s="249"/>
      <c r="IL120" s="249"/>
      <c r="IM120" s="249"/>
      <c r="IN120" s="249"/>
      <c r="IO120" s="249"/>
      <c r="IP120" s="250"/>
      <c r="IQ120" s="250"/>
      <c r="IR120" s="250"/>
      <c r="IS120" s="250"/>
      <c r="IT120" s="250"/>
      <c r="IU120" s="250"/>
      <c r="IV120" s="250"/>
      <c r="IW120" s="249"/>
      <c r="IX120" s="249"/>
      <c r="IY120" s="249"/>
      <c r="IZ120" s="249"/>
      <c r="JA120" s="249"/>
      <c r="JB120" s="249"/>
      <c r="JC120" s="249"/>
      <c r="JD120" s="250"/>
      <c r="JE120" s="250"/>
      <c r="JF120" s="250"/>
      <c r="JG120" s="250"/>
      <c r="JH120" s="250"/>
      <c r="JI120" s="250"/>
      <c r="JJ120" s="250"/>
      <c r="JK120" s="249"/>
      <c r="JL120" s="249"/>
      <c r="JM120" s="249"/>
      <c r="JN120" s="249"/>
      <c r="JO120" s="249"/>
      <c r="JP120" s="249"/>
      <c r="JQ120" s="249"/>
      <c r="JR120" s="250"/>
      <c r="JS120" s="250"/>
      <c r="JT120" s="250"/>
      <c r="JU120" s="250"/>
      <c r="JV120" s="250"/>
      <c r="JW120" s="250"/>
      <c r="JX120" s="250"/>
      <c r="JY120" s="249"/>
      <c r="JZ120" s="249"/>
      <c r="KA120" s="249"/>
      <c r="KB120" s="249"/>
      <c r="KC120" s="249"/>
      <c r="KD120" s="249"/>
      <c r="KE120" s="249"/>
      <c r="KF120" s="250"/>
      <c r="KG120" s="250"/>
      <c r="KH120" s="250"/>
      <c r="KI120" s="250"/>
      <c r="KJ120" s="250"/>
      <c r="KK120" s="250"/>
      <c r="KL120" s="250"/>
      <c r="KM120" s="249"/>
      <c r="KN120" s="249"/>
      <c r="KO120" s="249"/>
      <c r="KP120" s="249"/>
      <c r="KQ120" s="249"/>
      <c r="KR120" s="249"/>
      <c r="KS120" s="249"/>
      <c r="KT120" s="250"/>
      <c r="KU120" s="250"/>
      <c r="KV120" s="250"/>
      <c r="KW120" s="250"/>
      <c r="KX120" s="250"/>
      <c r="KY120" s="250"/>
      <c r="KZ120" s="250"/>
      <c r="LA120" s="249"/>
      <c r="LB120" s="249"/>
      <c r="LC120" s="249"/>
      <c r="LD120" s="249"/>
      <c r="LE120" s="249"/>
      <c r="LF120" s="249"/>
      <c r="LG120" s="249"/>
      <c r="LH120" s="250"/>
      <c r="LI120" s="250"/>
      <c r="LJ120" s="250"/>
      <c r="LK120" s="250"/>
      <c r="LL120" s="250"/>
      <c r="LM120" s="250"/>
      <c r="LN120" s="250"/>
      <c r="LO120" s="249"/>
      <c r="LP120" s="249"/>
      <c r="LQ120" s="249"/>
      <c r="LR120" s="249"/>
      <c r="LS120" s="249"/>
      <c r="LT120" s="249"/>
      <c r="LU120" s="249"/>
      <c r="LV120" s="250"/>
      <c r="LW120" s="250"/>
      <c r="LX120" s="250"/>
      <c r="LY120" s="250"/>
      <c r="LZ120" s="250"/>
      <c r="MA120" s="250"/>
      <c r="MB120" s="250"/>
      <c r="MC120" s="249"/>
      <c r="MD120" s="249"/>
      <c r="ME120" s="249"/>
      <c r="MF120" s="249"/>
      <c r="MG120" s="249"/>
      <c r="MH120" s="249"/>
      <c r="MI120" s="249"/>
      <c r="MJ120" s="250"/>
      <c r="MK120" s="250"/>
      <c r="ML120" s="250"/>
      <c r="MM120" s="250"/>
      <c r="MN120" s="250"/>
      <c r="MO120" s="250"/>
      <c r="MP120" s="250"/>
      <c r="MQ120" s="249"/>
      <c r="MR120" s="249"/>
      <c r="MS120" s="249"/>
      <c r="MT120" s="249"/>
      <c r="MU120" s="249"/>
      <c r="MV120" s="249"/>
      <c r="MW120" s="249"/>
      <c r="MX120" s="250"/>
      <c r="MY120" s="250"/>
      <c r="MZ120" s="250"/>
      <c r="NA120" s="250"/>
      <c r="NB120" s="250"/>
      <c r="NC120" s="250"/>
      <c r="ND120" s="250"/>
      <c r="NE120" s="249"/>
      <c r="NF120" s="249"/>
      <c r="NG120" s="249"/>
      <c r="NH120" s="250" t="s">
        <v>1157</v>
      </c>
    </row>
    <row r="121" spans="1:372">
      <c r="A121" s="254" t="s">
        <v>985</v>
      </c>
      <c r="B121" s="239" t="s">
        <v>90</v>
      </c>
      <c r="C121" s="240" t="s">
        <v>675</v>
      </c>
      <c r="D121" s="240" t="s">
        <v>997</v>
      </c>
      <c r="E121" s="241">
        <v>167.32419152104495</v>
      </c>
      <c r="F121" s="252">
        <v>164</v>
      </c>
      <c r="G121" s="249"/>
      <c r="H121" s="249"/>
      <c r="I121" s="249"/>
      <c r="J121" s="249"/>
      <c r="K121" s="249"/>
      <c r="L121" s="250"/>
      <c r="M121" s="250"/>
      <c r="N121" s="250"/>
      <c r="O121" s="250"/>
      <c r="P121" s="250"/>
      <c r="Q121" s="250"/>
      <c r="R121" s="250"/>
      <c r="S121" s="249"/>
      <c r="T121" s="249"/>
      <c r="U121" s="249"/>
      <c r="V121" s="249"/>
      <c r="W121" s="249"/>
      <c r="X121" s="249"/>
      <c r="Y121" s="249"/>
      <c r="Z121" s="250"/>
      <c r="AA121" s="250"/>
      <c r="AB121" s="250"/>
      <c r="AC121" s="250"/>
      <c r="AD121" s="250"/>
      <c r="AE121" s="250"/>
      <c r="AF121" s="250"/>
      <c r="AG121" s="249"/>
      <c r="AH121" s="249"/>
      <c r="AI121" s="249"/>
      <c r="AJ121" s="249"/>
      <c r="AK121" s="249"/>
      <c r="AL121" s="249"/>
      <c r="AM121" s="249"/>
      <c r="AN121" s="250"/>
      <c r="AO121" s="250"/>
      <c r="AP121" s="250"/>
      <c r="AQ121" s="250"/>
      <c r="AR121" s="250"/>
      <c r="AS121" s="250"/>
      <c r="AT121" s="250"/>
      <c r="AU121" s="249"/>
      <c r="AV121" s="249"/>
      <c r="AW121" s="249"/>
      <c r="AX121" s="249"/>
      <c r="AY121" s="249"/>
      <c r="AZ121" s="249"/>
      <c r="BA121" s="249"/>
      <c r="BB121" s="250"/>
      <c r="BC121" s="250"/>
      <c r="BD121" s="250"/>
      <c r="BE121" s="250"/>
      <c r="BF121" s="250"/>
      <c r="BG121" s="250"/>
      <c r="BH121" s="250"/>
      <c r="BI121" s="249"/>
      <c r="BJ121" s="249"/>
      <c r="BK121" s="249"/>
      <c r="BL121" s="249"/>
      <c r="BM121" s="249"/>
      <c r="BN121" s="249"/>
      <c r="BO121" s="249"/>
      <c r="BP121" s="250"/>
      <c r="BQ121" s="250"/>
      <c r="BR121" s="250"/>
      <c r="BS121" s="250"/>
      <c r="BT121" s="250"/>
      <c r="BU121" s="250"/>
      <c r="BV121" s="250"/>
      <c r="BW121" s="249"/>
      <c r="BX121" s="249"/>
      <c r="BY121" s="249"/>
      <c r="BZ121" s="249"/>
      <c r="CA121" s="249"/>
      <c r="CB121" s="249"/>
      <c r="CC121" s="249"/>
      <c r="CD121" s="250"/>
      <c r="CE121" s="250"/>
      <c r="CF121" s="250"/>
      <c r="CG121" s="250"/>
      <c r="CH121" s="250"/>
      <c r="CI121" s="250"/>
      <c r="CJ121" s="250"/>
      <c r="CK121" s="249"/>
      <c r="CL121" s="249"/>
      <c r="CM121" s="249"/>
      <c r="CN121" s="249"/>
      <c r="CO121" s="249"/>
      <c r="CP121" s="249"/>
      <c r="CQ121" s="249"/>
      <c r="CR121" s="250"/>
      <c r="CS121" s="250"/>
      <c r="CT121" s="250"/>
      <c r="CU121" s="250"/>
      <c r="CV121" s="250"/>
      <c r="CW121" s="250"/>
      <c r="CX121" s="250"/>
      <c r="CY121" s="249"/>
      <c r="CZ121" s="249"/>
      <c r="DA121" s="249"/>
      <c r="DB121" s="249"/>
      <c r="DC121" s="249"/>
      <c r="DD121" s="249"/>
      <c r="DE121" s="249"/>
      <c r="DF121" s="250"/>
      <c r="DG121" s="250"/>
      <c r="DH121" s="250"/>
      <c r="DI121" s="250"/>
      <c r="DJ121" s="250"/>
      <c r="DK121" s="250"/>
      <c r="DL121" s="250"/>
      <c r="DM121" s="249"/>
      <c r="DN121" s="249"/>
      <c r="DO121" s="249"/>
      <c r="DP121" s="249"/>
      <c r="DQ121" s="249"/>
      <c r="DR121" s="249"/>
      <c r="DS121" s="249"/>
      <c r="DT121" s="250"/>
      <c r="DU121" s="250"/>
      <c r="DV121" s="250"/>
      <c r="DW121" s="250"/>
      <c r="DX121" s="250"/>
      <c r="DY121" s="250"/>
      <c r="DZ121" s="250"/>
      <c r="EA121" s="249"/>
      <c r="EB121" s="249"/>
      <c r="EC121" s="249"/>
      <c r="ED121" s="249"/>
      <c r="EE121" s="249"/>
      <c r="EF121" s="249"/>
      <c r="EG121" s="249"/>
      <c r="EH121" s="250"/>
      <c r="EI121" s="250"/>
      <c r="EJ121" s="250"/>
      <c r="EK121" s="250"/>
      <c r="EL121" s="250"/>
      <c r="EM121" s="250"/>
      <c r="EN121" s="250"/>
      <c r="EO121" s="249">
        <v>12</v>
      </c>
      <c r="EP121" s="249">
        <v>24</v>
      </c>
      <c r="EQ121" s="249">
        <v>24</v>
      </c>
      <c r="ER121" s="249">
        <v>24</v>
      </c>
      <c r="ES121" s="249">
        <v>24</v>
      </c>
      <c r="ET121" s="249">
        <v>24</v>
      </c>
      <c r="EU121" s="249">
        <v>12</v>
      </c>
      <c r="EV121" s="250">
        <v>8</v>
      </c>
      <c r="EW121" s="250">
        <v>6</v>
      </c>
      <c r="EX121" s="250">
        <v>4</v>
      </c>
      <c r="EY121" s="250">
        <v>2</v>
      </c>
      <c r="EZ121" s="250"/>
      <c r="FA121" s="250"/>
      <c r="FB121" s="250"/>
      <c r="FC121" s="249"/>
      <c r="FD121" s="249"/>
      <c r="FE121" s="249"/>
      <c r="FF121" s="249"/>
      <c r="FG121" s="249"/>
      <c r="FH121" s="249"/>
      <c r="FI121" s="249"/>
      <c r="FJ121" s="250"/>
      <c r="FK121" s="250"/>
      <c r="FL121" s="250"/>
      <c r="FM121" s="250"/>
      <c r="FN121" s="250"/>
      <c r="FO121" s="250"/>
      <c r="FP121" s="250"/>
      <c r="FQ121" s="249"/>
      <c r="FR121" s="249"/>
      <c r="FS121" s="249"/>
      <c r="FT121" s="249"/>
      <c r="FU121" s="249"/>
      <c r="FV121" s="249"/>
      <c r="FW121" s="249"/>
      <c r="FX121" s="250"/>
      <c r="FY121" s="250"/>
      <c r="FZ121" s="250"/>
      <c r="GA121" s="250"/>
      <c r="GB121" s="250"/>
      <c r="GC121" s="250"/>
      <c r="GD121" s="250"/>
      <c r="GE121" s="249"/>
      <c r="GF121" s="249"/>
      <c r="GG121" s="249"/>
      <c r="GH121" s="249"/>
      <c r="GI121" s="249"/>
      <c r="GJ121" s="249"/>
      <c r="GK121" s="249"/>
      <c r="GL121" s="250"/>
      <c r="GM121" s="250"/>
      <c r="GN121" s="250"/>
      <c r="GO121" s="250"/>
      <c r="GP121" s="250"/>
      <c r="GQ121" s="250"/>
      <c r="GR121" s="250"/>
      <c r="GS121" s="249"/>
      <c r="GT121" s="249"/>
      <c r="GU121" s="249"/>
      <c r="GV121" s="249"/>
      <c r="GW121" s="249"/>
      <c r="GX121" s="249"/>
      <c r="GY121" s="249"/>
      <c r="GZ121" s="250"/>
      <c r="HA121" s="250"/>
      <c r="HB121" s="250"/>
      <c r="HC121" s="250"/>
      <c r="HD121" s="250"/>
      <c r="HE121" s="250"/>
      <c r="HF121" s="250"/>
      <c r="HG121" s="249"/>
      <c r="HH121" s="249"/>
      <c r="HI121" s="249"/>
      <c r="HJ121" s="249"/>
      <c r="HK121" s="249"/>
      <c r="HL121" s="249"/>
      <c r="HM121" s="249"/>
      <c r="HN121" s="250"/>
      <c r="HO121" s="250"/>
      <c r="HP121" s="250"/>
      <c r="HQ121" s="250"/>
      <c r="HR121" s="250"/>
      <c r="HS121" s="250"/>
      <c r="HT121" s="250"/>
      <c r="HU121" s="249"/>
      <c r="HV121" s="249"/>
      <c r="HW121" s="249"/>
      <c r="HX121" s="249"/>
      <c r="HY121" s="249"/>
      <c r="HZ121" s="249"/>
      <c r="IA121" s="249"/>
      <c r="IB121" s="250"/>
      <c r="IC121" s="250"/>
      <c r="ID121" s="250"/>
      <c r="IE121" s="250"/>
      <c r="IF121" s="250"/>
      <c r="IG121" s="250"/>
      <c r="IH121" s="250"/>
      <c r="II121" s="249"/>
      <c r="IJ121" s="249"/>
      <c r="IK121" s="249"/>
      <c r="IL121" s="249"/>
      <c r="IM121" s="249"/>
      <c r="IN121" s="249"/>
      <c r="IO121" s="249"/>
      <c r="IP121" s="250"/>
      <c r="IQ121" s="250"/>
      <c r="IR121" s="250"/>
      <c r="IS121" s="250"/>
      <c r="IT121" s="250"/>
      <c r="IU121" s="250"/>
      <c r="IV121" s="250"/>
      <c r="IW121" s="249"/>
      <c r="IX121" s="249"/>
      <c r="IY121" s="249"/>
      <c r="IZ121" s="249"/>
      <c r="JA121" s="249"/>
      <c r="JB121" s="249"/>
      <c r="JC121" s="249"/>
      <c r="JD121" s="250"/>
      <c r="JE121" s="250"/>
      <c r="JF121" s="250"/>
      <c r="JG121" s="250"/>
      <c r="JH121" s="250"/>
      <c r="JI121" s="250"/>
      <c r="JJ121" s="250"/>
      <c r="JK121" s="249"/>
      <c r="JL121" s="249"/>
      <c r="JM121" s="249"/>
      <c r="JN121" s="249"/>
      <c r="JO121" s="249"/>
      <c r="JP121" s="249"/>
      <c r="JQ121" s="249"/>
      <c r="JR121" s="250"/>
      <c r="JS121" s="250"/>
      <c r="JT121" s="250"/>
      <c r="JU121" s="250"/>
      <c r="JV121" s="250"/>
      <c r="JW121" s="250"/>
      <c r="JX121" s="250"/>
      <c r="JY121" s="249"/>
      <c r="JZ121" s="249"/>
      <c r="KA121" s="249"/>
      <c r="KB121" s="249"/>
      <c r="KC121" s="249"/>
      <c r="KD121" s="249"/>
      <c r="KE121" s="249"/>
      <c r="KF121" s="250"/>
      <c r="KG121" s="250"/>
      <c r="KH121" s="250"/>
      <c r="KI121" s="250"/>
      <c r="KJ121" s="250"/>
      <c r="KK121" s="250"/>
      <c r="KL121" s="250"/>
      <c r="KM121" s="249"/>
      <c r="KN121" s="249"/>
      <c r="KO121" s="249"/>
      <c r="KP121" s="249"/>
      <c r="KQ121" s="249"/>
      <c r="KR121" s="249"/>
      <c r="KS121" s="249"/>
      <c r="KT121" s="250"/>
      <c r="KU121" s="250"/>
      <c r="KV121" s="250"/>
      <c r="KW121" s="250"/>
      <c r="KX121" s="250"/>
      <c r="KY121" s="250"/>
      <c r="KZ121" s="250"/>
      <c r="LA121" s="249"/>
      <c r="LB121" s="249"/>
      <c r="LC121" s="249"/>
      <c r="LD121" s="249"/>
      <c r="LE121" s="249"/>
      <c r="LF121" s="249"/>
      <c r="LG121" s="249"/>
      <c r="LH121" s="250"/>
      <c r="LI121" s="250"/>
      <c r="LJ121" s="250"/>
      <c r="LK121" s="250"/>
      <c r="LL121" s="250"/>
      <c r="LM121" s="250"/>
      <c r="LN121" s="250"/>
      <c r="LO121" s="249"/>
      <c r="LP121" s="249"/>
      <c r="LQ121" s="249"/>
      <c r="LR121" s="249"/>
      <c r="LS121" s="249"/>
      <c r="LT121" s="249"/>
      <c r="LU121" s="249"/>
      <c r="LV121" s="250"/>
      <c r="LW121" s="250"/>
      <c r="LX121" s="250"/>
      <c r="LY121" s="250"/>
      <c r="LZ121" s="250"/>
      <c r="MA121" s="250"/>
      <c r="MB121" s="250"/>
      <c r="MC121" s="249"/>
      <c r="MD121" s="249"/>
      <c r="ME121" s="249"/>
      <c r="MF121" s="249"/>
      <c r="MG121" s="249"/>
      <c r="MH121" s="249"/>
      <c r="MI121" s="249"/>
      <c r="MJ121" s="250"/>
      <c r="MK121" s="250"/>
      <c r="ML121" s="250"/>
      <c r="MM121" s="250"/>
      <c r="MN121" s="250"/>
      <c r="MO121" s="250"/>
      <c r="MP121" s="250"/>
      <c r="MQ121" s="249"/>
      <c r="MR121" s="249"/>
      <c r="MS121" s="249"/>
      <c r="MT121" s="249"/>
      <c r="MU121" s="249"/>
      <c r="MV121" s="249"/>
      <c r="MW121" s="249"/>
      <c r="MX121" s="250"/>
      <c r="MY121" s="250"/>
      <c r="MZ121" s="250"/>
      <c r="NA121" s="250"/>
      <c r="NB121" s="250"/>
      <c r="NC121" s="250"/>
      <c r="ND121" s="250"/>
      <c r="NE121" s="249"/>
      <c r="NF121" s="249"/>
      <c r="NG121" s="249"/>
      <c r="NH121" s="250"/>
    </row>
    <row r="122" spans="1:372">
      <c r="A122" s="254" t="s">
        <v>985</v>
      </c>
      <c r="B122" s="239" t="s">
        <v>91</v>
      </c>
      <c r="C122" s="240" t="s">
        <v>675</v>
      </c>
      <c r="D122" s="240" t="s">
        <v>997</v>
      </c>
      <c r="E122" s="241">
        <v>153.38502211946877</v>
      </c>
      <c r="F122" s="252">
        <v>164</v>
      </c>
      <c r="G122" s="249"/>
      <c r="H122" s="249"/>
      <c r="I122" s="249"/>
      <c r="J122" s="249"/>
      <c r="K122" s="249"/>
      <c r="L122" s="250"/>
      <c r="M122" s="250"/>
      <c r="N122" s="250"/>
      <c r="O122" s="250"/>
      <c r="P122" s="250"/>
      <c r="Q122" s="250"/>
      <c r="R122" s="250"/>
      <c r="S122" s="249"/>
      <c r="T122" s="249"/>
      <c r="U122" s="249"/>
      <c r="V122" s="249"/>
      <c r="W122" s="249"/>
      <c r="X122" s="249"/>
      <c r="Y122" s="249"/>
      <c r="Z122" s="250"/>
      <c r="AA122" s="250"/>
      <c r="AB122" s="250"/>
      <c r="AC122" s="250"/>
      <c r="AD122" s="250"/>
      <c r="AE122" s="250"/>
      <c r="AF122" s="250"/>
      <c r="AG122" s="249"/>
      <c r="AH122" s="249"/>
      <c r="AI122" s="249"/>
      <c r="AJ122" s="249"/>
      <c r="AK122" s="249"/>
      <c r="AL122" s="249"/>
      <c r="AM122" s="249"/>
      <c r="AN122" s="250"/>
      <c r="AO122" s="250"/>
      <c r="AP122" s="250"/>
      <c r="AQ122" s="250"/>
      <c r="AR122" s="250"/>
      <c r="AS122" s="250"/>
      <c r="AT122" s="250"/>
      <c r="AU122" s="249"/>
      <c r="AV122" s="249"/>
      <c r="AW122" s="249"/>
      <c r="AX122" s="249"/>
      <c r="AY122" s="249"/>
      <c r="AZ122" s="249"/>
      <c r="BA122" s="249"/>
      <c r="BB122" s="250"/>
      <c r="BC122" s="250"/>
      <c r="BD122" s="250"/>
      <c r="BE122" s="250"/>
      <c r="BF122" s="250"/>
      <c r="BG122" s="250"/>
      <c r="BH122" s="250"/>
      <c r="BI122" s="249"/>
      <c r="BJ122" s="249"/>
      <c r="BK122" s="249"/>
      <c r="BL122" s="249"/>
      <c r="BM122" s="249"/>
      <c r="BN122" s="249"/>
      <c r="BO122" s="249"/>
      <c r="BP122" s="250"/>
      <c r="BQ122" s="250"/>
      <c r="BR122" s="250"/>
      <c r="BS122" s="250"/>
      <c r="BT122" s="250"/>
      <c r="BU122" s="250"/>
      <c r="BV122" s="250"/>
      <c r="BW122" s="249"/>
      <c r="BX122" s="249"/>
      <c r="BY122" s="249"/>
      <c r="BZ122" s="249"/>
      <c r="CA122" s="249"/>
      <c r="CB122" s="249"/>
      <c r="CC122" s="249"/>
      <c r="CD122" s="250"/>
      <c r="CE122" s="250"/>
      <c r="CF122" s="250"/>
      <c r="CG122" s="250"/>
      <c r="CH122" s="250"/>
      <c r="CI122" s="250"/>
      <c r="CJ122" s="250"/>
      <c r="CK122" s="249"/>
      <c r="CL122" s="249"/>
      <c r="CM122" s="249"/>
      <c r="CN122" s="249"/>
      <c r="CO122" s="249"/>
      <c r="CP122" s="249"/>
      <c r="CQ122" s="249"/>
      <c r="CR122" s="250"/>
      <c r="CS122" s="250"/>
      <c r="CT122" s="250"/>
      <c r="CU122" s="250"/>
      <c r="CV122" s="250"/>
      <c r="CW122" s="250"/>
      <c r="CX122" s="250"/>
      <c r="CY122" s="249"/>
      <c r="CZ122" s="249"/>
      <c r="DA122" s="249"/>
      <c r="DB122" s="249"/>
      <c r="DC122" s="249"/>
      <c r="DD122" s="249"/>
      <c r="DE122" s="249"/>
      <c r="DF122" s="250"/>
      <c r="DG122" s="250"/>
      <c r="DH122" s="250"/>
      <c r="DI122" s="250"/>
      <c r="DJ122" s="250"/>
      <c r="DK122" s="250"/>
      <c r="DL122" s="250"/>
      <c r="DM122" s="249"/>
      <c r="DN122" s="249"/>
      <c r="DO122" s="249"/>
      <c r="DP122" s="249"/>
      <c r="DQ122" s="249"/>
      <c r="DR122" s="249"/>
      <c r="DS122" s="249"/>
      <c r="DT122" s="250"/>
      <c r="DU122" s="250"/>
      <c r="DV122" s="250"/>
      <c r="DW122" s="250"/>
      <c r="DX122" s="250"/>
      <c r="DY122" s="250"/>
      <c r="DZ122" s="250"/>
      <c r="EA122" s="249"/>
      <c r="EB122" s="249"/>
      <c r="EC122" s="249"/>
      <c r="ED122" s="249"/>
      <c r="EE122" s="249"/>
      <c r="EF122" s="249"/>
      <c r="EG122" s="249"/>
      <c r="EH122" s="250"/>
      <c r="EI122" s="250"/>
      <c r="EJ122" s="250"/>
      <c r="EK122" s="250"/>
      <c r="EL122" s="250"/>
      <c r="EM122" s="250"/>
      <c r="EN122" s="250"/>
      <c r="EO122" s="249">
        <v>12</v>
      </c>
      <c r="EP122" s="249">
        <v>24</v>
      </c>
      <c r="EQ122" s="249">
        <v>24</v>
      </c>
      <c r="ER122" s="249">
        <v>24</v>
      </c>
      <c r="ES122" s="249">
        <v>24</v>
      </c>
      <c r="ET122" s="249">
        <v>24</v>
      </c>
      <c r="EU122" s="249">
        <v>12</v>
      </c>
      <c r="EV122" s="250">
        <v>8</v>
      </c>
      <c r="EW122" s="250">
        <v>6</v>
      </c>
      <c r="EX122" s="250">
        <v>4</v>
      </c>
      <c r="EY122" s="250">
        <v>2</v>
      </c>
      <c r="EZ122" s="250"/>
      <c r="FA122" s="250"/>
      <c r="FB122" s="250"/>
      <c r="FC122" s="249"/>
      <c r="FD122" s="249"/>
      <c r="FE122" s="249"/>
      <c r="FF122" s="249"/>
      <c r="FG122" s="249"/>
      <c r="FH122" s="249"/>
      <c r="FI122" s="249"/>
      <c r="FJ122" s="250"/>
      <c r="FK122" s="250"/>
      <c r="FL122" s="250"/>
      <c r="FM122" s="250"/>
      <c r="FN122" s="250"/>
      <c r="FO122" s="250"/>
      <c r="FP122" s="250"/>
      <c r="FQ122" s="249"/>
      <c r="FR122" s="249"/>
      <c r="FS122" s="249"/>
      <c r="FT122" s="249"/>
      <c r="FU122" s="249"/>
      <c r="FV122" s="249"/>
      <c r="FW122" s="249"/>
      <c r="FX122" s="250"/>
      <c r="FY122" s="250"/>
      <c r="FZ122" s="250"/>
      <c r="GA122" s="250"/>
      <c r="GB122" s="250"/>
      <c r="GC122" s="250"/>
      <c r="GD122" s="250"/>
      <c r="GE122" s="249"/>
      <c r="GF122" s="249"/>
      <c r="GG122" s="249"/>
      <c r="GH122" s="249"/>
      <c r="GI122" s="249"/>
      <c r="GJ122" s="249"/>
      <c r="GK122" s="249"/>
      <c r="GL122" s="250"/>
      <c r="GM122" s="250"/>
      <c r="GN122" s="250"/>
      <c r="GO122" s="250"/>
      <c r="GP122" s="250"/>
      <c r="GQ122" s="250"/>
      <c r="GR122" s="250"/>
      <c r="GS122" s="249"/>
      <c r="GT122" s="249"/>
      <c r="GU122" s="249"/>
      <c r="GV122" s="249"/>
      <c r="GW122" s="249"/>
      <c r="GX122" s="249"/>
      <c r="GY122" s="249"/>
      <c r="GZ122" s="250"/>
      <c r="HA122" s="250"/>
      <c r="HB122" s="250"/>
      <c r="HC122" s="250"/>
      <c r="HD122" s="250"/>
      <c r="HE122" s="250"/>
      <c r="HF122" s="250"/>
      <c r="HG122" s="249"/>
      <c r="HH122" s="249"/>
      <c r="HI122" s="249"/>
      <c r="HJ122" s="249"/>
      <c r="HK122" s="249"/>
      <c r="HL122" s="249"/>
      <c r="HM122" s="249"/>
      <c r="HN122" s="250"/>
      <c r="HO122" s="250"/>
      <c r="HP122" s="250"/>
      <c r="HQ122" s="250"/>
      <c r="HR122" s="250"/>
      <c r="HS122" s="250"/>
      <c r="HT122" s="250"/>
      <c r="HU122" s="249"/>
      <c r="HV122" s="249"/>
      <c r="HW122" s="249"/>
      <c r="HX122" s="249"/>
      <c r="HY122" s="249"/>
      <c r="HZ122" s="249"/>
      <c r="IA122" s="249"/>
      <c r="IB122" s="250"/>
      <c r="IC122" s="250"/>
      <c r="ID122" s="250"/>
      <c r="IE122" s="250"/>
      <c r="IF122" s="250"/>
      <c r="IG122" s="250"/>
      <c r="IH122" s="250"/>
      <c r="II122" s="249"/>
      <c r="IJ122" s="249"/>
      <c r="IK122" s="249"/>
      <c r="IL122" s="249"/>
      <c r="IM122" s="249"/>
      <c r="IN122" s="249"/>
      <c r="IO122" s="249"/>
      <c r="IP122" s="250"/>
      <c r="IQ122" s="250"/>
      <c r="IR122" s="250"/>
      <c r="IS122" s="250"/>
      <c r="IT122" s="250"/>
      <c r="IU122" s="250"/>
      <c r="IV122" s="250"/>
      <c r="IW122" s="249"/>
      <c r="IX122" s="249"/>
      <c r="IY122" s="249"/>
      <c r="IZ122" s="249"/>
      <c r="JA122" s="249"/>
      <c r="JB122" s="249"/>
      <c r="JC122" s="249"/>
      <c r="JD122" s="250"/>
      <c r="JE122" s="250"/>
      <c r="JF122" s="250"/>
      <c r="JG122" s="250"/>
      <c r="JH122" s="250"/>
      <c r="JI122" s="250"/>
      <c r="JJ122" s="250"/>
      <c r="JK122" s="249"/>
      <c r="JL122" s="249"/>
      <c r="JM122" s="249"/>
      <c r="JN122" s="249"/>
      <c r="JO122" s="249"/>
      <c r="JP122" s="249"/>
      <c r="JQ122" s="249"/>
      <c r="JR122" s="250"/>
      <c r="JS122" s="250"/>
      <c r="JT122" s="250"/>
      <c r="JU122" s="250"/>
      <c r="JV122" s="250"/>
      <c r="JW122" s="250"/>
      <c r="JX122" s="250"/>
      <c r="JY122" s="249"/>
      <c r="JZ122" s="249"/>
      <c r="KA122" s="249"/>
      <c r="KB122" s="249"/>
      <c r="KC122" s="249"/>
      <c r="KD122" s="249"/>
      <c r="KE122" s="249"/>
      <c r="KF122" s="250"/>
      <c r="KG122" s="250"/>
      <c r="KH122" s="250"/>
      <c r="KI122" s="250"/>
      <c r="KJ122" s="250"/>
      <c r="KK122" s="250"/>
      <c r="KL122" s="250"/>
      <c r="KM122" s="249"/>
      <c r="KN122" s="249"/>
      <c r="KO122" s="249"/>
      <c r="KP122" s="249"/>
      <c r="KQ122" s="249"/>
      <c r="KR122" s="249"/>
      <c r="KS122" s="249"/>
      <c r="KT122" s="250"/>
      <c r="KU122" s="250"/>
      <c r="KV122" s="250"/>
      <c r="KW122" s="250"/>
      <c r="KX122" s="250"/>
      <c r="KY122" s="250"/>
      <c r="KZ122" s="250"/>
      <c r="LA122" s="249"/>
      <c r="LB122" s="249"/>
      <c r="LC122" s="249"/>
      <c r="LD122" s="249"/>
      <c r="LE122" s="249"/>
      <c r="LF122" s="249"/>
      <c r="LG122" s="249"/>
      <c r="LH122" s="250"/>
      <c r="LI122" s="250"/>
      <c r="LJ122" s="250"/>
      <c r="LK122" s="250"/>
      <c r="LL122" s="250"/>
      <c r="LM122" s="250"/>
      <c r="LN122" s="250"/>
      <c r="LO122" s="249"/>
      <c r="LP122" s="249"/>
      <c r="LQ122" s="249"/>
      <c r="LR122" s="249"/>
      <c r="LS122" s="249"/>
      <c r="LT122" s="249"/>
      <c r="LU122" s="249"/>
      <c r="LV122" s="250"/>
      <c r="LW122" s="250"/>
      <c r="LX122" s="250"/>
      <c r="LY122" s="250"/>
      <c r="LZ122" s="250"/>
      <c r="MA122" s="250"/>
      <c r="MB122" s="250"/>
      <c r="MC122" s="249"/>
      <c r="MD122" s="249"/>
      <c r="ME122" s="249"/>
      <c r="MF122" s="249"/>
      <c r="MG122" s="249"/>
      <c r="MH122" s="249"/>
      <c r="MI122" s="249"/>
      <c r="MJ122" s="250"/>
      <c r="MK122" s="250"/>
      <c r="ML122" s="250"/>
      <c r="MM122" s="250"/>
      <c r="MN122" s="250"/>
      <c r="MO122" s="250"/>
      <c r="MP122" s="250"/>
      <c r="MQ122" s="249"/>
      <c r="MR122" s="249"/>
      <c r="MS122" s="249"/>
      <c r="MT122" s="249"/>
      <c r="MU122" s="249"/>
      <c r="MV122" s="249"/>
      <c r="MW122" s="249"/>
      <c r="MX122" s="250"/>
      <c r="MY122" s="250"/>
      <c r="MZ122" s="250"/>
      <c r="NA122" s="250"/>
      <c r="NB122" s="250"/>
      <c r="NC122" s="250"/>
      <c r="ND122" s="250"/>
      <c r="NE122" s="249"/>
      <c r="NF122" s="249"/>
      <c r="NG122" s="249"/>
      <c r="NH122" s="250" t="s">
        <v>1157</v>
      </c>
    </row>
    <row r="123" spans="1:372">
      <c r="A123" s="254" t="s">
        <v>985</v>
      </c>
      <c r="B123" s="239" t="s">
        <v>92</v>
      </c>
      <c r="C123" s="240" t="s">
        <v>674</v>
      </c>
      <c r="D123" s="240" t="s">
        <v>982</v>
      </c>
      <c r="E123" s="241">
        <v>67.679999999864634</v>
      </c>
      <c r="F123" s="252">
        <v>92</v>
      </c>
      <c r="G123" s="249"/>
      <c r="H123" s="249"/>
      <c r="I123" s="249"/>
      <c r="J123" s="249"/>
      <c r="K123" s="249"/>
      <c r="L123" s="250"/>
      <c r="M123" s="250"/>
      <c r="N123" s="250"/>
      <c r="O123" s="250"/>
      <c r="P123" s="250"/>
      <c r="Q123" s="250"/>
      <c r="R123" s="250"/>
      <c r="S123" s="249"/>
      <c r="T123" s="249"/>
      <c r="U123" s="249"/>
      <c r="V123" s="249"/>
      <c r="W123" s="249"/>
      <c r="X123" s="249"/>
      <c r="Y123" s="249"/>
      <c r="Z123" s="250"/>
      <c r="AA123" s="250"/>
      <c r="AB123" s="250"/>
      <c r="AC123" s="250"/>
      <c r="AD123" s="250"/>
      <c r="AE123" s="250"/>
      <c r="AF123" s="250"/>
      <c r="AG123" s="249"/>
      <c r="AH123" s="249"/>
      <c r="AI123" s="249"/>
      <c r="AJ123" s="249"/>
      <c r="AK123" s="249"/>
      <c r="AL123" s="249"/>
      <c r="AM123" s="249"/>
      <c r="AN123" s="250"/>
      <c r="AO123" s="250"/>
      <c r="AP123" s="250"/>
      <c r="AQ123" s="250"/>
      <c r="AR123" s="250"/>
      <c r="AS123" s="250"/>
      <c r="AT123" s="250"/>
      <c r="AU123" s="249"/>
      <c r="AV123" s="249"/>
      <c r="AW123" s="249"/>
      <c r="AX123" s="249"/>
      <c r="AY123" s="249"/>
      <c r="AZ123" s="249"/>
      <c r="BA123" s="249"/>
      <c r="BB123" s="250"/>
      <c r="BC123" s="250"/>
      <c r="BD123" s="250"/>
      <c r="BE123" s="250"/>
      <c r="BF123" s="250"/>
      <c r="BG123" s="250"/>
      <c r="BH123" s="250"/>
      <c r="BI123" s="249"/>
      <c r="BJ123" s="249"/>
      <c r="BK123" s="249"/>
      <c r="BL123" s="249"/>
      <c r="BM123" s="249"/>
      <c r="BN123" s="249"/>
      <c r="BO123" s="249"/>
      <c r="BP123" s="250"/>
      <c r="BQ123" s="250"/>
      <c r="BR123" s="250"/>
      <c r="BS123" s="250"/>
      <c r="BT123" s="250"/>
      <c r="BU123" s="250"/>
      <c r="BV123" s="250"/>
      <c r="BW123" s="249"/>
      <c r="BX123" s="249"/>
      <c r="BY123" s="249"/>
      <c r="BZ123" s="249"/>
      <c r="CA123" s="249"/>
      <c r="CB123" s="249"/>
      <c r="CC123" s="249"/>
      <c r="CD123" s="250"/>
      <c r="CE123" s="250"/>
      <c r="CF123" s="250"/>
      <c r="CG123" s="250"/>
      <c r="CH123" s="250"/>
      <c r="CI123" s="250"/>
      <c r="CJ123" s="250"/>
      <c r="CK123" s="249"/>
      <c r="CL123" s="249"/>
      <c r="CM123" s="249"/>
      <c r="CN123" s="249"/>
      <c r="CO123" s="249"/>
      <c r="CP123" s="249"/>
      <c r="CQ123" s="249"/>
      <c r="CR123" s="250"/>
      <c r="CS123" s="250"/>
      <c r="CT123" s="250"/>
      <c r="CU123" s="250"/>
      <c r="CV123" s="250"/>
      <c r="CW123" s="250"/>
      <c r="CX123" s="250"/>
      <c r="CY123" s="249"/>
      <c r="CZ123" s="249"/>
      <c r="DA123" s="249"/>
      <c r="DB123" s="249"/>
      <c r="DC123" s="249"/>
      <c r="DD123" s="249"/>
      <c r="DE123" s="249"/>
      <c r="DF123" s="250"/>
      <c r="DG123" s="250"/>
      <c r="DH123" s="250"/>
      <c r="DI123" s="250"/>
      <c r="DJ123" s="250"/>
      <c r="DK123" s="250"/>
      <c r="DL123" s="250"/>
      <c r="DM123" s="249"/>
      <c r="DN123" s="249"/>
      <c r="DO123" s="249"/>
      <c r="DP123" s="249"/>
      <c r="DQ123" s="249"/>
      <c r="DR123" s="249"/>
      <c r="DS123" s="249"/>
      <c r="DT123" s="250"/>
      <c r="DU123" s="250"/>
      <c r="DV123" s="250"/>
      <c r="DW123" s="250"/>
      <c r="DX123" s="250"/>
      <c r="DY123" s="250"/>
      <c r="DZ123" s="250"/>
      <c r="EA123" s="249"/>
      <c r="EB123" s="249"/>
      <c r="EC123" s="249"/>
      <c r="ED123" s="249"/>
      <c r="EE123" s="249"/>
      <c r="EF123" s="249"/>
      <c r="EG123" s="249"/>
      <c r="EH123" s="250"/>
      <c r="EI123" s="250"/>
      <c r="EJ123" s="250"/>
      <c r="EK123" s="250"/>
      <c r="EL123" s="250"/>
      <c r="EM123" s="250"/>
      <c r="EN123" s="250"/>
      <c r="EO123" s="249">
        <v>8</v>
      </c>
      <c r="EP123" s="249">
        <v>24</v>
      </c>
      <c r="EQ123" s="249">
        <v>24</v>
      </c>
      <c r="ER123" s="249">
        <v>24</v>
      </c>
      <c r="ES123" s="249">
        <v>12</v>
      </c>
      <c r="ET123" s="249"/>
      <c r="EU123" s="249"/>
      <c r="EV123" s="250"/>
      <c r="EW123" s="250"/>
      <c r="EX123" s="250"/>
      <c r="EY123" s="250"/>
      <c r="EZ123" s="250"/>
      <c r="FA123" s="250"/>
      <c r="FB123" s="250"/>
      <c r="FC123" s="249"/>
      <c r="FD123" s="249"/>
      <c r="FE123" s="249"/>
      <c r="FF123" s="249"/>
      <c r="FG123" s="249"/>
      <c r="FH123" s="249"/>
      <c r="FI123" s="249"/>
      <c r="FJ123" s="250"/>
      <c r="FK123" s="250"/>
      <c r="FL123" s="250"/>
      <c r="FM123" s="250"/>
      <c r="FN123" s="250"/>
      <c r="FO123" s="250"/>
      <c r="FP123" s="250"/>
      <c r="FQ123" s="249"/>
      <c r="FR123" s="249"/>
      <c r="FS123" s="249"/>
      <c r="FT123" s="249"/>
      <c r="FU123" s="249"/>
      <c r="FV123" s="249"/>
      <c r="FW123" s="249"/>
      <c r="FX123" s="250"/>
      <c r="FY123" s="250"/>
      <c r="FZ123" s="250"/>
      <c r="GA123" s="250"/>
      <c r="GB123" s="250"/>
      <c r="GC123" s="250"/>
      <c r="GD123" s="250"/>
      <c r="GE123" s="249"/>
      <c r="GF123" s="249"/>
      <c r="GG123" s="249"/>
      <c r="GH123" s="249"/>
      <c r="GI123" s="249"/>
      <c r="GJ123" s="249"/>
      <c r="GK123" s="249"/>
      <c r="GL123" s="250"/>
      <c r="GM123" s="250"/>
      <c r="GN123" s="250"/>
      <c r="GO123" s="250"/>
      <c r="GP123" s="250"/>
      <c r="GQ123" s="250"/>
      <c r="GR123" s="250"/>
      <c r="GS123" s="249"/>
      <c r="GT123" s="249"/>
      <c r="GU123" s="249"/>
      <c r="GV123" s="249"/>
      <c r="GW123" s="249"/>
      <c r="GX123" s="249"/>
      <c r="GY123" s="249"/>
      <c r="GZ123" s="250"/>
      <c r="HA123" s="250"/>
      <c r="HB123" s="250"/>
      <c r="HC123" s="250"/>
      <c r="HD123" s="250"/>
      <c r="HE123" s="250"/>
      <c r="HF123" s="250"/>
      <c r="HG123" s="249"/>
      <c r="HH123" s="249"/>
      <c r="HI123" s="249"/>
      <c r="HJ123" s="249"/>
      <c r="HK123" s="249"/>
      <c r="HL123" s="249"/>
      <c r="HM123" s="249"/>
      <c r="HN123" s="250"/>
      <c r="HO123" s="250"/>
      <c r="HP123" s="250"/>
      <c r="HQ123" s="250"/>
      <c r="HR123" s="250"/>
      <c r="HS123" s="250"/>
      <c r="HT123" s="250"/>
      <c r="HU123" s="249"/>
      <c r="HV123" s="249"/>
      <c r="HW123" s="249"/>
      <c r="HX123" s="249"/>
      <c r="HY123" s="249"/>
      <c r="HZ123" s="249"/>
      <c r="IA123" s="249"/>
      <c r="IB123" s="250"/>
      <c r="IC123" s="250"/>
      <c r="ID123" s="250"/>
      <c r="IE123" s="250"/>
      <c r="IF123" s="250"/>
      <c r="IG123" s="250"/>
      <c r="IH123" s="250"/>
      <c r="II123" s="249"/>
      <c r="IJ123" s="249"/>
      <c r="IK123" s="249"/>
      <c r="IL123" s="249"/>
      <c r="IM123" s="249"/>
      <c r="IN123" s="249"/>
      <c r="IO123" s="249"/>
      <c r="IP123" s="250"/>
      <c r="IQ123" s="250"/>
      <c r="IR123" s="250"/>
      <c r="IS123" s="250"/>
      <c r="IT123" s="250"/>
      <c r="IU123" s="250"/>
      <c r="IV123" s="250"/>
      <c r="IW123" s="249"/>
      <c r="IX123" s="249"/>
      <c r="IY123" s="249"/>
      <c r="IZ123" s="249"/>
      <c r="JA123" s="249"/>
      <c r="JB123" s="249"/>
      <c r="JC123" s="249"/>
      <c r="JD123" s="250"/>
      <c r="JE123" s="250"/>
      <c r="JF123" s="250"/>
      <c r="JG123" s="250"/>
      <c r="JH123" s="250"/>
      <c r="JI123" s="250"/>
      <c r="JJ123" s="250"/>
      <c r="JK123" s="249"/>
      <c r="JL123" s="249"/>
      <c r="JM123" s="249"/>
      <c r="JN123" s="249"/>
      <c r="JO123" s="249"/>
      <c r="JP123" s="249"/>
      <c r="JQ123" s="249"/>
      <c r="JR123" s="250"/>
      <c r="JS123" s="250"/>
      <c r="JT123" s="250"/>
      <c r="JU123" s="250"/>
      <c r="JV123" s="250"/>
      <c r="JW123" s="250"/>
      <c r="JX123" s="250"/>
      <c r="JY123" s="249"/>
      <c r="JZ123" s="249"/>
      <c r="KA123" s="249"/>
      <c r="KB123" s="249"/>
      <c r="KC123" s="249"/>
      <c r="KD123" s="249"/>
      <c r="KE123" s="249"/>
      <c r="KF123" s="250"/>
      <c r="KG123" s="250"/>
      <c r="KH123" s="250"/>
      <c r="KI123" s="250"/>
      <c r="KJ123" s="250"/>
      <c r="KK123" s="250"/>
      <c r="KL123" s="250"/>
      <c r="KM123" s="249"/>
      <c r="KN123" s="249"/>
      <c r="KO123" s="249"/>
      <c r="KP123" s="249"/>
      <c r="KQ123" s="249"/>
      <c r="KR123" s="249"/>
      <c r="KS123" s="249"/>
      <c r="KT123" s="250"/>
      <c r="KU123" s="250"/>
      <c r="KV123" s="250"/>
      <c r="KW123" s="250"/>
      <c r="KX123" s="250"/>
      <c r="KY123" s="250"/>
      <c r="KZ123" s="250"/>
      <c r="LA123" s="249"/>
      <c r="LB123" s="249"/>
      <c r="LC123" s="249"/>
      <c r="LD123" s="249"/>
      <c r="LE123" s="249"/>
      <c r="LF123" s="249"/>
      <c r="LG123" s="249"/>
      <c r="LH123" s="250"/>
      <c r="LI123" s="250"/>
      <c r="LJ123" s="250"/>
      <c r="LK123" s="250"/>
      <c r="LL123" s="250"/>
      <c r="LM123" s="250"/>
      <c r="LN123" s="250"/>
      <c r="LO123" s="249"/>
      <c r="LP123" s="249"/>
      <c r="LQ123" s="249"/>
      <c r="LR123" s="249"/>
      <c r="LS123" s="249"/>
      <c r="LT123" s="249"/>
      <c r="LU123" s="249"/>
      <c r="LV123" s="250"/>
      <c r="LW123" s="250"/>
      <c r="LX123" s="250"/>
      <c r="LY123" s="250"/>
      <c r="LZ123" s="250"/>
      <c r="MA123" s="250"/>
      <c r="MB123" s="250"/>
      <c r="MC123" s="249"/>
      <c r="MD123" s="249"/>
      <c r="ME123" s="249"/>
      <c r="MF123" s="249"/>
      <c r="MG123" s="249"/>
      <c r="MH123" s="249"/>
      <c r="MI123" s="249"/>
      <c r="MJ123" s="250"/>
      <c r="MK123" s="250"/>
      <c r="ML123" s="250"/>
      <c r="MM123" s="250"/>
      <c r="MN123" s="250"/>
      <c r="MO123" s="250"/>
      <c r="MP123" s="250"/>
      <c r="MQ123" s="249"/>
      <c r="MR123" s="249"/>
      <c r="MS123" s="249"/>
      <c r="MT123" s="249"/>
      <c r="MU123" s="249"/>
      <c r="MV123" s="249"/>
      <c r="MW123" s="249"/>
      <c r="MX123" s="250"/>
      <c r="MY123" s="250"/>
      <c r="MZ123" s="250"/>
      <c r="NA123" s="250"/>
      <c r="NB123" s="250"/>
      <c r="NC123" s="250"/>
      <c r="ND123" s="250"/>
      <c r="NE123" s="249"/>
      <c r="NF123" s="249"/>
      <c r="NG123" s="249"/>
      <c r="NH123" s="250"/>
    </row>
    <row r="124" spans="1:372">
      <c r="A124" s="254" t="s">
        <v>985</v>
      </c>
      <c r="B124" s="239" t="s">
        <v>93</v>
      </c>
      <c r="C124" s="240" t="s">
        <v>674</v>
      </c>
      <c r="D124" s="240" t="s">
        <v>997</v>
      </c>
      <c r="E124" s="241">
        <v>95.684166666475207</v>
      </c>
      <c r="F124" s="252">
        <v>92</v>
      </c>
      <c r="G124" s="249"/>
      <c r="H124" s="249"/>
      <c r="I124" s="249"/>
      <c r="J124" s="249"/>
      <c r="K124" s="249"/>
      <c r="L124" s="250"/>
      <c r="M124" s="250"/>
      <c r="N124" s="250"/>
      <c r="O124" s="250"/>
      <c r="P124" s="250"/>
      <c r="Q124" s="250"/>
      <c r="R124" s="250"/>
      <c r="S124" s="249"/>
      <c r="T124" s="249"/>
      <c r="U124" s="249"/>
      <c r="V124" s="249"/>
      <c r="W124" s="249"/>
      <c r="X124" s="249"/>
      <c r="Y124" s="249"/>
      <c r="Z124" s="250"/>
      <c r="AA124" s="250"/>
      <c r="AB124" s="250"/>
      <c r="AC124" s="250"/>
      <c r="AD124" s="250"/>
      <c r="AE124" s="250"/>
      <c r="AF124" s="250"/>
      <c r="AG124" s="249"/>
      <c r="AH124" s="249"/>
      <c r="AI124" s="249"/>
      <c r="AJ124" s="249"/>
      <c r="AK124" s="249"/>
      <c r="AL124" s="249"/>
      <c r="AM124" s="249"/>
      <c r="AN124" s="250"/>
      <c r="AO124" s="250"/>
      <c r="AP124" s="250"/>
      <c r="AQ124" s="250"/>
      <c r="AR124" s="250"/>
      <c r="AS124" s="250"/>
      <c r="AT124" s="250"/>
      <c r="AU124" s="249"/>
      <c r="AV124" s="249"/>
      <c r="AW124" s="249"/>
      <c r="AX124" s="249"/>
      <c r="AY124" s="249"/>
      <c r="AZ124" s="249"/>
      <c r="BA124" s="249"/>
      <c r="BB124" s="250"/>
      <c r="BC124" s="250"/>
      <c r="BD124" s="250"/>
      <c r="BE124" s="250"/>
      <c r="BF124" s="250"/>
      <c r="BG124" s="250"/>
      <c r="BH124" s="250"/>
      <c r="BI124" s="249"/>
      <c r="BJ124" s="249"/>
      <c r="BK124" s="249"/>
      <c r="BL124" s="249"/>
      <c r="BM124" s="249"/>
      <c r="BN124" s="249"/>
      <c r="BO124" s="249"/>
      <c r="BP124" s="250"/>
      <c r="BQ124" s="250"/>
      <c r="BR124" s="250"/>
      <c r="BS124" s="250"/>
      <c r="BT124" s="250"/>
      <c r="BU124" s="250"/>
      <c r="BV124" s="250"/>
      <c r="BW124" s="249"/>
      <c r="BX124" s="249"/>
      <c r="BY124" s="249"/>
      <c r="BZ124" s="249"/>
      <c r="CA124" s="249"/>
      <c r="CB124" s="249"/>
      <c r="CC124" s="249"/>
      <c r="CD124" s="250"/>
      <c r="CE124" s="250"/>
      <c r="CF124" s="250"/>
      <c r="CG124" s="250"/>
      <c r="CH124" s="250"/>
      <c r="CI124" s="250"/>
      <c r="CJ124" s="250"/>
      <c r="CK124" s="249"/>
      <c r="CL124" s="249"/>
      <c r="CM124" s="249"/>
      <c r="CN124" s="249"/>
      <c r="CO124" s="249"/>
      <c r="CP124" s="249"/>
      <c r="CQ124" s="249"/>
      <c r="CR124" s="250"/>
      <c r="CS124" s="250"/>
      <c r="CT124" s="250"/>
      <c r="CU124" s="250"/>
      <c r="CV124" s="250"/>
      <c r="CW124" s="250"/>
      <c r="CX124" s="250"/>
      <c r="CY124" s="249"/>
      <c r="CZ124" s="249"/>
      <c r="DA124" s="249"/>
      <c r="DB124" s="249"/>
      <c r="DC124" s="249"/>
      <c r="DD124" s="249"/>
      <c r="DE124" s="249"/>
      <c r="DF124" s="250"/>
      <c r="DG124" s="250"/>
      <c r="DH124" s="250"/>
      <c r="DI124" s="250"/>
      <c r="DJ124" s="250"/>
      <c r="DK124" s="250"/>
      <c r="DL124" s="250"/>
      <c r="DM124" s="249"/>
      <c r="DN124" s="249"/>
      <c r="DO124" s="249"/>
      <c r="DP124" s="249"/>
      <c r="DQ124" s="249"/>
      <c r="DR124" s="249"/>
      <c r="DS124" s="249"/>
      <c r="DT124" s="250"/>
      <c r="DU124" s="250"/>
      <c r="DV124" s="250"/>
      <c r="DW124" s="250"/>
      <c r="DX124" s="250"/>
      <c r="DY124" s="250"/>
      <c r="DZ124" s="250"/>
      <c r="EA124" s="249"/>
      <c r="EB124" s="249"/>
      <c r="EC124" s="249"/>
      <c r="ED124" s="249"/>
      <c r="EE124" s="249"/>
      <c r="EF124" s="249"/>
      <c r="EG124" s="249"/>
      <c r="EH124" s="250"/>
      <c r="EI124" s="250"/>
      <c r="EJ124" s="250"/>
      <c r="EK124" s="250"/>
      <c r="EL124" s="250"/>
      <c r="EM124" s="250"/>
      <c r="EN124" s="250"/>
      <c r="EO124" s="249">
        <v>8</v>
      </c>
      <c r="EP124" s="249">
        <v>24</v>
      </c>
      <c r="EQ124" s="249">
        <v>24</v>
      </c>
      <c r="ER124" s="249">
        <v>24</v>
      </c>
      <c r="ES124" s="249">
        <v>12</v>
      </c>
      <c r="ET124" s="249"/>
      <c r="EU124" s="249"/>
      <c r="EV124" s="250"/>
      <c r="EW124" s="250"/>
      <c r="EX124" s="250"/>
      <c r="EY124" s="250"/>
      <c r="EZ124" s="250"/>
      <c r="FA124" s="250"/>
      <c r="FB124" s="250"/>
      <c r="FC124" s="249"/>
      <c r="FD124" s="249"/>
      <c r="FE124" s="249"/>
      <c r="FF124" s="249"/>
      <c r="FG124" s="249"/>
      <c r="FH124" s="249"/>
      <c r="FI124" s="249"/>
      <c r="FJ124" s="250"/>
      <c r="FK124" s="250"/>
      <c r="FL124" s="250"/>
      <c r="FM124" s="250"/>
      <c r="FN124" s="250"/>
      <c r="FO124" s="250"/>
      <c r="FP124" s="250"/>
      <c r="FQ124" s="249"/>
      <c r="FR124" s="249"/>
      <c r="FS124" s="249"/>
      <c r="FT124" s="249"/>
      <c r="FU124" s="249"/>
      <c r="FV124" s="249"/>
      <c r="FW124" s="249"/>
      <c r="FX124" s="250"/>
      <c r="FY124" s="250"/>
      <c r="FZ124" s="250"/>
      <c r="GA124" s="250"/>
      <c r="GB124" s="250"/>
      <c r="GC124" s="250"/>
      <c r="GD124" s="250"/>
      <c r="GE124" s="249"/>
      <c r="GF124" s="249"/>
      <c r="GG124" s="249"/>
      <c r="GH124" s="249"/>
      <c r="GI124" s="249"/>
      <c r="GJ124" s="249"/>
      <c r="GK124" s="249"/>
      <c r="GL124" s="250"/>
      <c r="GM124" s="250"/>
      <c r="GN124" s="250"/>
      <c r="GO124" s="250"/>
      <c r="GP124" s="250"/>
      <c r="GQ124" s="250"/>
      <c r="GR124" s="250"/>
      <c r="GS124" s="249"/>
      <c r="GT124" s="249"/>
      <c r="GU124" s="249"/>
      <c r="GV124" s="249"/>
      <c r="GW124" s="249"/>
      <c r="GX124" s="249"/>
      <c r="GY124" s="249"/>
      <c r="GZ124" s="250"/>
      <c r="HA124" s="250"/>
      <c r="HB124" s="250"/>
      <c r="HC124" s="250"/>
      <c r="HD124" s="250"/>
      <c r="HE124" s="250"/>
      <c r="HF124" s="250"/>
      <c r="HG124" s="249"/>
      <c r="HH124" s="249"/>
      <c r="HI124" s="249"/>
      <c r="HJ124" s="249"/>
      <c r="HK124" s="249"/>
      <c r="HL124" s="249"/>
      <c r="HM124" s="249"/>
      <c r="HN124" s="250"/>
      <c r="HO124" s="250"/>
      <c r="HP124" s="250"/>
      <c r="HQ124" s="250"/>
      <c r="HR124" s="250"/>
      <c r="HS124" s="250"/>
      <c r="HT124" s="250"/>
      <c r="HU124" s="249"/>
      <c r="HV124" s="249"/>
      <c r="HW124" s="249"/>
      <c r="HX124" s="249"/>
      <c r="HY124" s="249"/>
      <c r="HZ124" s="249"/>
      <c r="IA124" s="249"/>
      <c r="IB124" s="250"/>
      <c r="IC124" s="250"/>
      <c r="ID124" s="250"/>
      <c r="IE124" s="250"/>
      <c r="IF124" s="250"/>
      <c r="IG124" s="250"/>
      <c r="IH124" s="250"/>
      <c r="II124" s="249"/>
      <c r="IJ124" s="249"/>
      <c r="IK124" s="249"/>
      <c r="IL124" s="249"/>
      <c r="IM124" s="249"/>
      <c r="IN124" s="249"/>
      <c r="IO124" s="249"/>
      <c r="IP124" s="250"/>
      <c r="IQ124" s="250"/>
      <c r="IR124" s="250"/>
      <c r="IS124" s="250"/>
      <c r="IT124" s="250"/>
      <c r="IU124" s="250"/>
      <c r="IV124" s="250"/>
      <c r="IW124" s="249"/>
      <c r="IX124" s="249"/>
      <c r="IY124" s="249"/>
      <c r="IZ124" s="249"/>
      <c r="JA124" s="249"/>
      <c r="JB124" s="249"/>
      <c r="JC124" s="249"/>
      <c r="JD124" s="250"/>
      <c r="JE124" s="250"/>
      <c r="JF124" s="250"/>
      <c r="JG124" s="250"/>
      <c r="JH124" s="250"/>
      <c r="JI124" s="250"/>
      <c r="JJ124" s="250"/>
      <c r="JK124" s="249"/>
      <c r="JL124" s="249"/>
      <c r="JM124" s="249"/>
      <c r="JN124" s="249"/>
      <c r="JO124" s="249"/>
      <c r="JP124" s="249"/>
      <c r="JQ124" s="249"/>
      <c r="JR124" s="250"/>
      <c r="JS124" s="250"/>
      <c r="JT124" s="250"/>
      <c r="JU124" s="250"/>
      <c r="JV124" s="250"/>
      <c r="JW124" s="250"/>
      <c r="JX124" s="250"/>
      <c r="JY124" s="249"/>
      <c r="JZ124" s="249"/>
      <c r="KA124" s="249"/>
      <c r="KB124" s="249"/>
      <c r="KC124" s="249"/>
      <c r="KD124" s="249"/>
      <c r="KE124" s="249"/>
      <c r="KF124" s="250"/>
      <c r="KG124" s="250"/>
      <c r="KH124" s="250"/>
      <c r="KI124" s="250"/>
      <c r="KJ124" s="250"/>
      <c r="KK124" s="250"/>
      <c r="KL124" s="250"/>
      <c r="KM124" s="249"/>
      <c r="KN124" s="249"/>
      <c r="KO124" s="249"/>
      <c r="KP124" s="249"/>
      <c r="KQ124" s="249"/>
      <c r="KR124" s="249"/>
      <c r="KS124" s="249"/>
      <c r="KT124" s="250"/>
      <c r="KU124" s="250"/>
      <c r="KV124" s="250"/>
      <c r="KW124" s="250"/>
      <c r="KX124" s="250"/>
      <c r="KY124" s="250"/>
      <c r="KZ124" s="250"/>
      <c r="LA124" s="249"/>
      <c r="LB124" s="249"/>
      <c r="LC124" s="249"/>
      <c r="LD124" s="249"/>
      <c r="LE124" s="249"/>
      <c r="LF124" s="249"/>
      <c r="LG124" s="249"/>
      <c r="LH124" s="250"/>
      <c r="LI124" s="250"/>
      <c r="LJ124" s="250"/>
      <c r="LK124" s="250"/>
      <c r="LL124" s="250"/>
      <c r="LM124" s="250"/>
      <c r="LN124" s="250"/>
      <c r="LO124" s="249"/>
      <c r="LP124" s="249"/>
      <c r="LQ124" s="249"/>
      <c r="LR124" s="249"/>
      <c r="LS124" s="249"/>
      <c r="LT124" s="249"/>
      <c r="LU124" s="249"/>
      <c r="LV124" s="250"/>
      <c r="LW124" s="250"/>
      <c r="LX124" s="250"/>
      <c r="LY124" s="250"/>
      <c r="LZ124" s="250"/>
      <c r="MA124" s="250"/>
      <c r="MB124" s="250"/>
      <c r="MC124" s="249"/>
      <c r="MD124" s="249"/>
      <c r="ME124" s="249"/>
      <c r="MF124" s="249"/>
      <c r="MG124" s="249"/>
      <c r="MH124" s="249"/>
      <c r="MI124" s="249"/>
      <c r="MJ124" s="250"/>
      <c r="MK124" s="250"/>
      <c r="ML124" s="250"/>
      <c r="MM124" s="250"/>
      <c r="MN124" s="250"/>
      <c r="MO124" s="250"/>
      <c r="MP124" s="250"/>
      <c r="MQ124" s="249"/>
      <c r="MR124" s="249"/>
      <c r="MS124" s="249"/>
      <c r="MT124" s="249"/>
      <c r="MU124" s="249"/>
      <c r="MV124" s="249"/>
      <c r="MW124" s="249"/>
      <c r="MX124" s="250"/>
      <c r="MY124" s="250"/>
      <c r="MZ124" s="250"/>
      <c r="NA124" s="250"/>
      <c r="NB124" s="250"/>
      <c r="NC124" s="250"/>
      <c r="ND124" s="250"/>
      <c r="NE124" s="249"/>
      <c r="NF124" s="249"/>
      <c r="NG124" s="249"/>
      <c r="NH124" s="250"/>
    </row>
    <row r="125" spans="1:372">
      <c r="A125" s="254" t="s">
        <v>985</v>
      </c>
      <c r="B125" s="239" t="s">
        <v>94</v>
      </c>
      <c r="C125" s="240" t="s">
        <v>674</v>
      </c>
      <c r="D125" s="240" t="s">
        <v>997</v>
      </c>
      <c r="E125" s="241">
        <v>96.378722216807304</v>
      </c>
      <c r="F125" s="252">
        <v>92</v>
      </c>
      <c r="G125" s="249"/>
      <c r="H125" s="249"/>
      <c r="I125" s="249"/>
      <c r="J125" s="249"/>
      <c r="K125" s="249"/>
      <c r="L125" s="250"/>
      <c r="M125" s="250"/>
      <c r="N125" s="250"/>
      <c r="O125" s="250"/>
      <c r="P125" s="250"/>
      <c r="Q125" s="250"/>
      <c r="R125" s="250"/>
      <c r="S125" s="249"/>
      <c r="T125" s="249"/>
      <c r="U125" s="249"/>
      <c r="V125" s="249"/>
      <c r="W125" s="249"/>
      <c r="X125" s="249"/>
      <c r="Y125" s="249"/>
      <c r="Z125" s="250"/>
      <c r="AA125" s="250"/>
      <c r="AB125" s="250"/>
      <c r="AC125" s="250"/>
      <c r="AD125" s="250"/>
      <c r="AE125" s="250"/>
      <c r="AF125" s="250"/>
      <c r="AG125" s="249"/>
      <c r="AH125" s="249"/>
      <c r="AI125" s="249"/>
      <c r="AJ125" s="249"/>
      <c r="AK125" s="249"/>
      <c r="AL125" s="249"/>
      <c r="AM125" s="249"/>
      <c r="AN125" s="250"/>
      <c r="AO125" s="250"/>
      <c r="AP125" s="250"/>
      <c r="AQ125" s="250"/>
      <c r="AR125" s="250"/>
      <c r="AS125" s="250"/>
      <c r="AT125" s="250"/>
      <c r="AU125" s="249"/>
      <c r="AV125" s="249"/>
      <c r="AW125" s="249"/>
      <c r="AX125" s="249"/>
      <c r="AY125" s="249"/>
      <c r="AZ125" s="249"/>
      <c r="BA125" s="249"/>
      <c r="BB125" s="250"/>
      <c r="BC125" s="250"/>
      <c r="BD125" s="250"/>
      <c r="BE125" s="250"/>
      <c r="BF125" s="250"/>
      <c r="BG125" s="250"/>
      <c r="BH125" s="250"/>
      <c r="BI125" s="249"/>
      <c r="BJ125" s="249"/>
      <c r="BK125" s="249"/>
      <c r="BL125" s="249"/>
      <c r="BM125" s="249"/>
      <c r="BN125" s="249"/>
      <c r="BO125" s="249"/>
      <c r="BP125" s="250"/>
      <c r="BQ125" s="250"/>
      <c r="BR125" s="250"/>
      <c r="BS125" s="250"/>
      <c r="BT125" s="250"/>
      <c r="BU125" s="250"/>
      <c r="BV125" s="250"/>
      <c r="BW125" s="249"/>
      <c r="BX125" s="249"/>
      <c r="BY125" s="249"/>
      <c r="BZ125" s="249"/>
      <c r="CA125" s="249"/>
      <c r="CB125" s="249"/>
      <c r="CC125" s="249"/>
      <c r="CD125" s="250"/>
      <c r="CE125" s="250"/>
      <c r="CF125" s="250"/>
      <c r="CG125" s="250"/>
      <c r="CH125" s="250"/>
      <c r="CI125" s="250"/>
      <c r="CJ125" s="250"/>
      <c r="CK125" s="249"/>
      <c r="CL125" s="249"/>
      <c r="CM125" s="249"/>
      <c r="CN125" s="249"/>
      <c r="CO125" s="249"/>
      <c r="CP125" s="249"/>
      <c r="CQ125" s="249"/>
      <c r="CR125" s="250"/>
      <c r="CS125" s="250"/>
      <c r="CT125" s="250"/>
      <c r="CU125" s="250"/>
      <c r="CV125" s="250"/>
      <c r="CW125" s="250"/>
      <c r="CX125" s="250"/>
      <c r="CY125" s="249"/>
      <c r="CZ125" s="249"/>
      <c r="DA125" s="249"/>
      <c r="DB125" s="249"/>
      <c r="DC125" s="249"/>
      <c r="DD125" s="249"/>
      <c r="DE125" s="249"/>
      <c r="DF125" s="250"/>
      <c r="DG125" s="250"/>
      <c r="DH125" s="250"/>
      <c r="DI125" s="250"/>
      <c r="DJ125" s="250"/>
      <c r="DK125" s="250"/>
      <c r="DL125" s="250"/>
      <c r="DM125" s="249"/>
      <c r="DN125" s="249"/>
      <c r="DO125" s="249"/>
      <c r="DP125" s="249"/>
      <c r="DQ125" s="249"/>
      <c r="DR125" s="249"/>
      <c r="DS125" s="249"/>
      <c r="DT125" s="250"/>
      <c r="DU125" s="250"/>
      <c r="DV125" s="250"/>
      <c r="DW125" s="250"/>
      <c r="DX125" s="250"/>
      <c r="DY125" s="250"/>
      <c r="DZ125" s="250"/>
      <c r="EA125" s="249"/>
      <c r="EB125" s="249"/>
      <c r="EC125" s="249"/>
      <c r="ED125" s="249"/>
      <c r="EE125" s="249"/>
      <c r="EF125" s="249"/>
      <c r="EG125" s="249"/>
      <c r="EH125" s="250"/>
      <c r="EI125" s="250"/>
      <c r="EJ125" s="250"/>
      <c r="EK125" s="250"/>
      <c r="EL125" s="250"/>
      <c r="EM125" s="250"/>
      <c r="EN125" s="250"/>
      <c r="EO125" s="249">
        <v>8</v>
      </c>
      <c r="EP125" s="249">
        <v>24</v>
      </c>
      <c r="EQ125" s="249">
        <v>24</v>
      </c>
      <c r="ER125" s="249">
        <v>24</v>
      </c>
      <c r="ES125" s="249">
        <v>12</v>
      </c>
      <c r="ET125" s="249"/>
      <c r="EU125" s="249"/>
      <c r="EV125" s="250"/>
      <c r="EW125" s="250"/>
      <c r="EX125" s="250"/>
      <c r="EY125" s="250"/>
      <c r="EZ125" s="250"/>
      <c r="FA125" s="250"/>
      <c r="FB125" s="250"/>
      <c r="FC125" s="249"/>
      <c r="FD125" s="249"/>
      <c r="FE125" s="249"/>
      <c r="FF125" s="249"/>
      <c r="FG125" s="249"/>
      <c r="FH125" s="249"/>
      <c r="FI125" s="249"/>
      <c r="FJ125" s="250"/>
      <c r="FK125" s="250"/>
      <c r="FL125" s="250"/>
      <c r="FM125" s="250"/>
      <c r="FN125" s="250"/>
      <c r="FO125" s="250"/>
      <c r="FP125" s="250"/>
      <c r="FQ125" s="249"/>
      <c r="FR125" s="249"/>
      <c r="FS125" s="249"/>
      <c r="FT125" s="249"/>
      <c r="FU125" s="249"/>
      <c r="FV125" s="249"/>
      <c r="FW125" s="249"/>
      <c r="FX125" s="250"/>
      <c r="FY125" s="250"/>
      <c r="FZ125" s="250"/>
      <c r="GA125" s="250"/>
      <c r="GB125" s="250"/>
      <c r="GC125" s="250"/>
      <c r="GD125" s="250"/>
      <c r="GE125" s="249"/>
      <c r="GF125" s="249"/>
      <c r="GG125" s="249"/>
      <c r="GH125" s="249"/>
      <c r="GI125" s="249"/>
      <c r="GJ125" s="249"/>
      <c r="GK125" s="249"/>
      <c r="GL125" s="250"/>
      <c r="GM125" s="250"/>
      <c r="GN125" s="250"/>
      <c r="GO125" s="250"/>
      <c r="GP125" s="250"/>
      <c r="GQ125" s="250"/>
      <c r="GR125" s="250"/>
      <c r="GS125" s="249"/>
      <c r="GT125" s="249"/>
      <c r="GU125" s="249"/>
      <c r="GV125" s="249"/>
      <c r="GW125" s="249"/>
      <c r="GX125" s="249"/>
      <c r="GY125" s="249"/>
      <c r="GZ125" s="250"/>
      <c r="HA125" s="250"/>
      <c r="HB125" s="250"/>
      <c r="HC125" s="250"/>
      <c r="HD125" s="250"/>
      <c r="HE125" s="250"/>
      <c r="HF125" s="250"/>
      <c r="HG125" s="249"/>
      <c r="HH125" s="249"/>
      <c r="HI125" s="249"/>
      <c r="HJ125" s="249"/>
      <c r="HK125" s="249"/>
      <c r="HL125" s="249"/>
      <c r="HM125" s="249"/>
      <c r="HN125" s="250"/>
      <c r="HO125" s="250"/>
      <c r="HP125" s="250"/>
      <c r="HQ125" s="250"/>
      <c r="HR125" s="250"/>
      <c r="HS125" s="250"/>
      <c r="HT125" s="250"/>
      <c r="HU125" s="249"/>
      <c r="HV125" s="249"/>
      <c r="HW125" s="249"/>
      <c r="HX125" s="249"/>
      <c r="HY125" s="249"/>
      <c r="HZ125" s="249"/>
      <c r="IA125" s="249"/>
      <c r="IB125" s="250"/>
      <c r="IC125" s="250"/>
      <c r="ID125" s="250"/>
      <c r="IE125" s="250"/>
      <c r="IF125" s="250"/>
      <c r="IG125" s="250"/>
      <c r="IH125" s="250"/>
      <c r="II125" s="249"/>
      <c r="IJ125" s="249"/>
      <c r="IK125" s="249"/>
      <c r="IL125" s="249"/>
      <c r="IM125" s="249"/>
      <c r="IN125" s="249"/>
      <c r="IO125" s="249"/>
      <c r="IP125" s="250"/>
      <c r="IQ125" s="250"/>
      <c r="IR125" s="250"/>
      <c r="IS125" s="250"/>
      <c r="IT125" s="250"/>
      <c r="IU125" s="250"/>
      <c r="IV125" s="250"/>
      <c r="IW125" s="249"/>
      <c r="IX125" s="249"/>
      <c r="IY125" s="249"/>
      <c r="IZ125" s="249"/>
      <c r="JA125" s="249"/>
      <c r="JB125" s="249"/>
      <c r="JC125" s="249"/>
      <c r="JD125" s="250"/>
      <c r="JE125" s="250"/>
      <c r="JF125" s="250"/>
      <c r="JG125" s="250"/>
      <c r="JH125" s="250"/>
      <c r="JI125" s="250"/>
      <c r="JJ125" s="250"/>
      <c r="JK125" s="249"/>
      <c r="JL125" s="249"/>
      <c r="JM125" s="249"/>
      <c r="JN125" s="249"/>
      <c r="JO125" s="249"/>
      <c r="JP125" s="249"/>
      <c r="JQ125" s="249"/>
      <c r="JR125" s="250"/>
      <c r="JS125" s="250"/>
      <c r="JT125" s="250"/>
      <c r="JU125" s="250"/>
      <c r="JV125" s="250"/>
      <c r="JW125" s="250"/>
      <c r="JX125" s="250"/>
      <c r="JY125" s="249"/>
      <c r="JZ125" s="249"/>
      <c r="KA125" s="249"/>
      <c r="KB125" s="249"/>
      <c r="KC125" s="249"/>
      <c r="KD125" s="249"/>
      <c r="KE125" s="249"/>
      <c r="KF125" s="250"/>
      <c r="KG125" s="250"/>
      <c r="KH125" s="250"/>
      <c r="KI125" s="250"/>
      <c r="KJ125" s="250"/>
      <c r="KK125" s="250"/>
      <c r="KL125" s="250"/>
      <c r="KM125" s="249"/>
      <c r="KN125" s="249"/>
      <c r="KO125" s="249"/>
      <c r="KP125" s="249"/>
      <c r="KQ125" s="249"/>
      <c r="KR125" s="249"/>
      <c r="KS125" s="249"/>
      <c r="KT125" s="250"/>
      <c r="KU125" s="250"/>
      <c r="KV125" s="250"/>
      <c r="KW125" s="250"/>
      <c r="KX125" s="250"/>
      <c r="KY125" s="250"/>
      <c r="KZ125" s="250"/>
      <c r="LA125" s="249"/>
      <c r="LB125" s="249"/>
      <c r="LC125" s="249"/>
      <c r="LD125" s="249"/>
      <c r="LE125" s="249"/>
      <c r="LF125" s="249"/>
      <c r="LG125" s="249"/>
      <c r="LH125" s="250"/>
      <c r="LI125" s="250"/>
      <c r="LJ125" s="250"/>
      <c r="LK125" s="250"/>
      <c r="LL125" s="250"/>
      <c r="LM125" s="250"/>
      <c r="LN125" s="250"/>
      <c r="LO125" s="249"/>
      <c r="LP125" s="249"/>
      <c r="LQ125" s="249"/>
      <c r="LR125" s="249"/>
      <c r="LS125" s="249"/>
      <c r="LT125" s="249"/>
      <c r="LU125" s="249"/>
      <c r="LV125" s="250"/>
      <c r="LW125" s="250"/>
      <c r="LX125" s="250"/>
      <c r="LY125" s="250"/>
      <c r="LZ125" s="250"/>
      <c r="MA125" s="250"/>
      <c r="MB125" s="250"/>
      <c r="MC125" s="249"/>
      <c r="MD125" s="249"/>
      <c r="ME125" s="249"/>
      <c r="MF125" s="249"/>
      <c r="MG125" s="249"/>
      <c r="MH125" s="249"/>
      <c r="MI125" s="249"/>
      <c r="MJ125" s="250"/>
      <c r="MK125" s="250"/>
      <c r="ML125" s="250"/>
      <c r="MM125" s="250"/>
      <c r="MN125" s="250"/>
      <c r="MO125" s="250"/>
      <c r="MP125" s="250"/>
      <c r="MQ125" s="249"/>
      <c r="MR125" s="249"/>
      <c r="MS125" s="249"/>
      <c r="MT125" s="249"/>
      <c r="MU125" s="249"/>
      <c r="MV125" s="249"/>
      <c r="MW125" s="249"/>
      <c r="MX125" s="250"/>
      <c r="MY125" s="250"/>
      <c r="MZ125" s="250"/>
      <c r="NA125" s="250"/>
      <c r="NB125" s="250"/>
      <c r="NC125" s="250"/>
      <c r="ND125" s="250"/>
      <c r="NE125" s="249"/>
      <c r="NF125" s="249"/>
      <c r="NG125" s="249"/>
      <c r="NH125" s="250"/>
    </row>
    <row r="126" spans="1:372">
      <c r="A126" s="254" t="s">
        <v>985</v>
      </c>
      <c r="B126" s="239" t="s">
        <v>95</v>
      </c>
      <c r="C126" s="240" t="s">
        <v>674</v>
      </c>
      <c r="D126" s="240" t="s">
        <v>997</v>
      </c>
      <c r="E126" s="241">
        <v>92.347166666574395</v>
      </c>
      <c r="F126" s="252">
        <v>92</v>
      </c>
      <c r="G126" s="249"/>
      <c r="H126" s="249"/>
      <c r="I126" s="249"/>
      <c r="J126" s="249"/>
      <c r="K126" s="249"/>
      <c r="L126" s="250"/>
      <c r="M126" s="250"/>
      <c r="N126" s="250"/>
      <c r="O126" s="250"/>
      <c r="P126" s="250"/>
      <c r="Q126" s="250"/>
      <c r="R126" s="250"/>
      <c r="S126" s="249"/>
      <c r="T126" s="249"/>
      <c r="U126" s="249"/>
      <c r="V126" s="249"/>
      <c r="W126" s="249"/>
      <c r="X126" s="249"/>
      <c r="Y126" s="249"/>
      <c r="Z126" s="250"/>
      <c r="AA126" s="250"/>
      <c r="AB126" s="250"/>
      <c r="AC126" s="250"/>
      <c r="AD126" s="250"/>
      <c r="AE126" s="250"/>
      <c r="AF126" s="250"/>
      <c r="AG126" s="249"/>
      <c r="AH126" s="249"/>
      <c r="AI126" s="249"/>
      <c r="AJ126" s="249"/>
      <c r="AK126" s="249"/>
      <c r="AL126" s="249"/>
      <c r="AM126" s="249"/>
      <c r="AN126" s="250"/>
      <c r="AO126" s="250"/>
      <c r="AP126" s="250"/>
      <c r="AQ126" s="250"/>
      <c r="AR126" s="250"/>
      <c r="AS126" s="250"/>
      <c r="AT126" s="250"/>
      <c r="AU126" s="249"/>
      <c r="AV126" s="249"/>
      <c r="AW126" s="249"/>
      <c r="AX126" s="249"/>
      <c r="AY126" s="249"/>
      <c r="AZ126" s="249"/>
      <c r="BA126" s="249"/>
      <c r="BB126" s="250"/>
      <c r="BC126" s="250"/>
      <c r="BD126" s="250"/>
      <c r="BE126" s="250"/>
      <c r="BF126" s="250"/>
      <c r="BG126" s="250"/>
      <c r="BH126" s="250"/>
      <c r="BI126" s="249"/>
      <c r="BJ126" s="249"/>
      <c r="BK126" s="249"/>
      <c r="BL126" s="249"/>
      <c r="BM126" s="249"/>
      <c r="BN126" s="249"/>
      <c r="BO126" s="249"/>
      <c r="BP126" s="250"/>
      <c r="BQ126" s="250"/>
      <c r="BR126" s="250"/>
      <c r="BS126" s="250"/>
      <c r="BT126" s="250"/>
      <c r="BU126" s="250"/>
      <c r="BV126" s="250"/>
      <c r="BW126" s="249"/>
      <c r="BX126" s="249"/>
      <c r="BY126" s="249"/>
      <c r="BZ126" s="249"/>
      <c r="CA126" s="249"/>
      <c r="CB126" s="249"/>
      <c r="CC126" s="249"/>
      <c r="CD126" s="250"/>
      <c r="CE126" s="250"/>
      <c r="CF126" s="250"/>
      <c r="CG126" s="250"/>
      <c r="CH126" s="250"/>
      <c r="CI126" s="250"/>
      <c r="CJ126" s="250"/>
      <c r="CK126" s="249"/>
      <c r="CL126" s="249"/>
      <c r="CM126" s="249"/>
      <c r="CN126" s="249"/>
      <c r="CO126" s="249"/>
      <c r="CP126" s="249"/>
      <c r="CQ126" s="249"/>
      <c r="CR126" s="250"/>
      <c r="CS126" s="250"/>
      <c r="CT126" s="250"/>
      <c r="CU126" s="250"/>
      <c r="CV126" s="250"/>
      <c r="CW126" s="250"/>
      <c r="CX126" s="250"/>
      <c r="CY126" s="249"/>
      <c r="CZ126" s="249"/>
      <c r="DA126" s="249"/>
      <c r="DB126" s="249"/>
      <c r="DC126" s="249"/>
      <c r="DD126" s="249"/>
      <c r="DE126" s="249"/>
      <c r="DF126" s="250"/>
      <c r="DG126" s="250"/>
      <c r="DH126" s="250"/>
      <c r="DI126" s="250"/>
      <c r="DJ126" s="250"/>
      <c r="DK126" s="250"/>
      <c r="DL126" s="250"/>
      <c r="DM126" s="249"/>
      <c r="DN126" s="249"/>
      <c r="DO126" s="249"/>
      <c r="DP126" s="249"/>
      <c r="DQ126" s="249"/>
      <c r="DR126" s="249"/>
      <c r="DS126" s="249"/>
      <c r="DT126" s="250"/>
      <c r="DU126" s="250"/>
      <c r="DV126" s="250"/>
      <c r="DW126" s="250"/>
      <c r="DX126" s="250"/>
      <c r="DY126" s="250"/>
      <c r="DZ126" s="250"/>
      <c r="EA126" s="249"/>
      <c r="EB126" s="249"/>
      <c r="EC126" s="249"/>
      <c r="ED126" s="249"/>
      <c r="EE126" s="249"/>
      <c r="EF126" s="249"/>
      <c r="EG126" s="249"/>
      <c r="EH126" s="250"/>
      <c r="EI126" s="250"/>
      <c r="EJ126" s="250"/>
      <c r="EK126" s="250"/>
      <c r="EL126" s="250"/>
      <c r="EM126" s="250"/>
      <c r="EN126" s="250"/>
      <c r="EO126" s="249">
        <v>8</v>
      </c>
      <c r="EP126" s="249">
        <v>24</v>
      </c>
      <c r="EQ126" s="249">
        <v>24</v>
      </c>
      <c r="ER126" s="249">
        <v>24</v>
      </c>
      <c r="ES126" s="249">
        <v>12</v>
      </c>
      <c r="ET126" s="249"/>
      <c r="EU126" s="249"/>
      <c r="EV126" s="250"/>
      <c r="EW126" s="250"/>
      <c r="EX126" s="250"/>
      <c r="EY126" s="250"/>
      <c r="EZ126" s="250"/>
      <c r="FA126" s="250"/>
      <c r="FB126" s="250"/>
      <c r="FC126" s="249"/>
      <c r="FD126" s="249"/>
      <c r="FE126" s="249"/>
      <c r="FF126" s="249"/>
      <c r="FG126" s="249"/>
      <c r="FH126" s="249"/>
      <c r="FI126" s="249"/>
      <c r="FJ126" s="250"/>
      <c r="FK126" s="250"/>
      <c r="FL126" s="250"/>
      <c r="FM126" s="250"/>
      <c r="FN126" s="250"/>
      <c r="FO126" s="250"/>
      <c r="FP126" s="250"/>
      <c r="FQ126" s="249"/>
      <c r="FR126" s="249"/>
      <c r="FS126" s="249"/>
      <c r="FT126" s="249"/>
      <c r="FU126" s="249"/>
      <c r="FV126" s="249"/>
      <c r="FW126" s="249"/>
      <c r="FX126" s="250"/>
      <c r="FY126" s="250"/>
      <c r="FZ126" s="250"/>
      <c r="GA126" s="250"/>
      <c r="GB126" s="250"/>
      <c r="GC126" s="250"/>
      <c r="GD126" s="250"/>
      <c r="GE126" s="249"/>
      <c r="GF126" s="249"/>
      <c r="GG126" s="249"/>
      <c r="GH126" s="249"/>
      <c r="GI126" s="249"/>
      <c r="GJ126" s="249"/>
      <c r="GK126" s="249"/>
      <c r="GL126" s="250"/>
      <c r="GM126" s="250"/>
      <c r="GN126" s="250"/>
      <c r="GO126" s="250"/>
      <c r="GP126" s="250"/>
      <c r="GQ126" s="250"/>
      <c r="GR126" s="250"/>
      <c r="GS126" s="249"/>
      <c r="GT126" s="249"/>
      <c r="GU126" s="249"/>
      <c r="GV126" s="249"/>
      <c r="GW126" s="249"/>
      <c r="GX126" s="249"/>
      <c r="GY126" s="249"/>
      <c r="GZ126" s="250"/>
      <c r="HA126" s="250"/>
      <c r="HB126" s="250"/>
      <c r="HC126" s="250"/>
      <c r="HD126" s="250"/>
      <c r="HE126" s="250"/>
      <c r="HF126" s="250"/>
      <c r="HG126" s="249"/>
      <c r="HH126" s="249"/>
      <c r="HI126" s="249"/>
      <c r="HJ126" s="249"/>
      <c r="HK126" s="249"/>
      <c r="HL126" s="249"/>
      <c r="HM126" s="249"/>
      <c r="HN126" s="250"/>
      <c r="HO126" s="250"/>
      <c r="HP126" s="250"/>
      <c r="HQ126" s="250"/>
      <c r="HR126" s="250"/>
      <c r="HS126" s="250"/>
      <c r="HT126" s="250"/>
      <c r="HU126" s="249"/>
      <c r="HV126" s="249"/>
      <c r="HW126" s="249"/>
      <c r="HX126" s="249"/>
      <c r="HY126" s="249"/>
      <c r="HZ126" s="249"/>
      <c r="IA126" s="249"/>
      <c r="IB126" s="250"/>
      <c r="IC126" s="250"/>
      <c r="ID126" s="250"/>
      <c r="IE126" s="250"/>
      <c r="IF126" s="250"/>
      <c r="IG126" s="250"/>
      <c r="IH126" s="250"/>
      <c r="II126" s="249"/>
      <c r="IJ126" s="249"/>
      <c r="IK126" s="249"/>
      <c r="IL126" s="249"/>
      <c r="IM126" s="249"/>
      <c r="IN126" s="249"/>
      <c r="IO126" s="249"/>
      <c r="IP126" s="250"/>
      <c r="IQ126" s="250"/>
      <c r="IR126" s="250"/>
      <c r="IS126" s="250"/>
      <c r="IT126" s="250"/>
      <c r="IU126" s="250"/>
      <c r="IV126" s="250"/>
      <c r="IW126" s="249"/>
      <c r="IX126" s="249"/>
      <c r="IY126" s="249"/>
      <c r="IZ126" s="249"/>
      <c r="JA126" s="249"/>
      <c r="JB126" s="249"/>
      <c r="JC126" s="249"/>
      <c r="JD126" s="250"/>
      <c r="JE126" s="250"/>
      <c r="JF126" s="250"/>
      <c r="JG126" s="250"/>
      <c r="JH126" s="250"/>
      <c r="JI126" s="250"/>
      <c r="JJ126" s="250"/>
      <c r="JK126" s="249"/>
      <c r="JL126" s="249"/>
      <c r="JM126" s="249"/>
      <c r="JN126" s="249"/>
      <c r="JO126" s="249"/>
      <c r="JP126" s="249"/>
      <c r="JQ126" s="249"/>
      <c r="JR126" s="250"/>
      <c r="JS126" s="250"/>
      <c r="JT126" s="250"/>
      <c r="JU126" s="250"/>
      <c r="JV126" s="250"/>
      <c r="JW126" s="250"/>
      <c r="JX126" s="250"/>
      <c r="JY126" s="249"/>
      <c r="JZ126" s="249"/>
      <c r="KA126" s="249"/>
      <c r="KB126" s="249"/>
      <c r="KC126" s="249"/>
      <c r="KD126" s="249"/>
      <c r="KE126" s="249"/>
      <c r="KF126" s="250"/>
      <c r="KG126" s="250"/>
      <c r="KH126" s="250"/>
      <c r="KI126" s="250"/>
      <c r="KJ126" s="250"/>
      <c r="KK126" s="250"/>
      <c r="KL126" s="250"/>
      <c r="KM126" s="249"/>
      <c r="KN126" s="249"/>
      <c r="KO126" s="249"/>
      <c r="KP126" s="249"/>
      <c r="KQ126" s="249"/>
      <c r="KR126" s="249"/>
      <c r="KS126" s="249"/>
      <c r="KT126" s="250"/>
      <c r="KU126" s="250"/>
      <c r="KV126" s="250"/>
      <c r="KW126" s="250"/>
      <c r="KX126" s="250"/>
      <c r="KY126" s="250"/>
      <c r="KZ126" s="250"/>
      <c r="LA126" s="249"/>
      <c r="LB126" s="249"/>
      <c r="LC126" s="249"/>
      <c r="LD126" s="249"/>
      <c r="LE126" s="249"/>
      <c r="LF126" s="249"/>
      <c r="LG126" s="249"/>
      <c r="LH126" s="250"/>
      <c r="LI126" s="250"/>
      <c r="LJ126" s="250"/>
      <c r="LK126" s="250"/>
      <c r="LL126" s="250"/>
      <c r="LM126" s="250"/>
      <c r="LN126" s="250"/>
      <c r="LO126" s="249"/>
      <c r="LP126" s="249"/>
      <c r="LQ126" s="249"/>
      <c r="LR126" s="249"/>
      <c r="LS126" s="249"/>
      <c r="LT126" s="249"/>
      <c r="LU126" s="249"/>
      <c r="LV126" s="250"/>
      <c r="LW126" s="250"/>
      <c r="LX126" s="250"/>
      <c r="LY126" s="250"/>
      <c r="LZ126" s="250"/>
      <c r="MA126" s="250"/>
      <c r="MB126" s="250"/>
      <c r="MC126" s="249"/>
      <c r="MD126" s="249"/>
      <c r="ME126" s="249"/>
      <c r="MF126" s="249"/>
      <c r="MG126" s="249"/>
      <c r="MH126" s="249"/>
      <c r="MI126" s="249"/>
      <c r="MJ126" s="250"/>
      <c r="MK126" s="250"/>
      <c r="ML126" s="250"/>
      <c r="MM126" s="250"/>
      <c r="MN126" s="250"/>
      <c r="MO126" s="250"/>
      <c r="MP126" s="250"/>
      <c r="MQ126" s="249"/>
      <c r="MR126" s="249"/>
      <c r="MS126" s="249"/>
      <c r="MT126" s="249"/>
      <c r="MU126" s="249"/>
      <c r="MV126" s="249"/>
      <c r="MW126" s="249"/>
      <c r="MX126" s="250"/>
      <c r="MY126" s="250"/>
      <c r="MZ126" s="250"/>
      <c r="NA126" s="250"/>
      <c r="NB126" s="250"/>
      <c r="NC126" s="250"/>
      <c r="ND126" s="250"/>
      <c r="NE126" s="249"/>
      <c r="NF126" s="249"/>
      <c r="NG126" s="249"/>
      <c r="NH126" s="250"/>
    </row>
    <row r="127" spans="1:372">
      <c r="A127" s="254" t="s">
        <v>985</v>
      </c>
      <c r="B127" s="239" t="s">
        <v>96</v>
      </c>
      <c r="C127" s="240" t="s">
        <v>674</v>
      </c>
      <c r="D127" s="240" t="s">
        <v>997</v>
      </c>
      <c r="E127" s="241">
        <v>91.785777767149682</v>
      </c>
      <c r="F127" s="252">
        <v>92</v>
      </c>
      <c r="G127" s="249"/>
      <c r="H127" s="249"/>
      <c r="I127" s="249"/>
      <c r="J127" s="249"/>
      <c r="K127" s="249"/>
      <c r="L127" s="250"/>
      <c r="M127" s="250"/>
      <c r="N127" s="250"/>
      <c r="O127" s="250"/>
      <c r="P127" s="250"/>
      <c r="Q127" s="250"/>
      <c r="R127" s="250"/>
      <c r="S127" s="249"/>
      <c r="T127" s="249"/>
      <c r="U127" s="249"/>
      <c r="V127" s="249"/>
      <c r="W127" s="249"/>
      <c r="X127" s="249"/>
      <c r="Y127" s="249"/>
      <c r="Z127" s="250"/>
      <c r="AA127" s="250"/>
      <c r="AB127" s="250"/>
      <c r="AC127" s="250"/>
      <c r="AD127" s="250"/>
      <c r="AE127" s="250"/>
      <c r="AF127" s="250"/>
      <c r="AG127" s="249"/>
      <c r="AH127" s="249"/>
      <c r="AI127" s="249"/>
      <c r="AJ127" s="249"/>
      <c r="AK127" s="249"/>
      <c r="AL127" s="249"/>
      <c r="AM127" s="249"/>
      <c r="AN127" s="250"/>
      <c r="AO127" s="250"/>
      <c r="AP127" s="250"/>
      <c r="AQ127" s="250"/>
      <c r="AR127" s="250"/>
      <c r="AS127" s="250"/>
      <c r="AT127" s="250"/>
      <c r="AU127" s="249"/>
      <c r="AV127" s="249"/>
      <c r="AW127" s="249"/>
      <c r="AX127" s="249"/>
      <c r="AY127" s="249"/>
      <c r="AZ127" s="249"/>
      <c r="BA127" s="249"/>
      <c r="BB127" s="250"/>
      <c r="BC127" s="250"/>
      <c r="BD127" s="250"/>
      <c r="BE127" s="250"/>
      <c r="BF127" s="250"/>
      <c r="BG127" s="250"/>
      <c r="BH127" s="250"/>
      <c r="BI127" s="249"/>
      <c r="BJ127" s="249"/>
      <c r="BK127" s="249"/>
      <c r="BL127" s="249"/>
      <c r="BM127" s="249"/>
      <c r="BN127" s="249"/>
      <c r="BO127" s="249"/>
      <c r="BP127" s="250"/>
      <c r="BQ127" s="250"/>
      <c r="BR127" s="250"/>
      <c r="BS127" s="250"/>
      <c r="BT127" s="250"/>
      <c r="BU127" s="250"/>
      <c r="BV127" s="250"/>
      <c r="BW127" s="249"/>
      <c r="BX127" s="249"/>
      <c r="BY127" s="249"/>
      <c r="BZ127" s="249"/>
      <c r="CA127" s="249"/>
      <c r="CB127" s="249"/>
      <c r="CC127" s="249"/>
      <c r="CD127" s="250"/>
      <c r="CE127" s="250"/>
      <c r="CF127" s="250"/>
      <c r="CG127" s="250"/>
      <c r="CH127" s="250"/>
      <c r="CI127" s="250"/>
      <c r="CJ127" s="250"/>
      <c r="CK127" s="249"/>
      <c r="CL127" s="249"/>
      <c r="CM127" s="249"/>
      <c r="CN127" s="249"/>
      <c r="CO127" s="249"/>
      <c r="CP127" s="249"/>
      <c r="CQ127" s="249"/>
      <c r="CR127" s="250"/>
      <c r="CS127" s="250"/>
      <c r="CT127" s="250"/>
      <c r="CU127" s="250"/>
      <c r="CV127" s="250"/>
      <c r="CW127" s="250"/>
      <c r="CX127" s="250"/>
      <c r="CY127" s="249"/>
      <c r="CZ127" s="249"/>
      <c r="DA127" s="249"/>
      <c r="DB127" s="249"/>
      <c r="DC127" s="249"/>
      <c r="DD127" s="249"/>
      <c r="DE127" s="249"/>
      <c r="DF127" s="250"/>
      <c r="DG127" s="250"/>
      <c r="DH127" s="250"/>
      <c r="DI127" s="250"/>
      <c r="DJ127" s="250"/>
      <c r="DK127" s="250"/>
      <c r="DL127" s="250"/>
      <c r="DM127" s="249"/>
      <c r="DN127" s="249"/>
      <c r="DO127" s="249"/>
      <c r="DP127" s="249"/>
      <c r="DQ127" s="249"/>
      <c r="DR127" s="249"/>
      <c r="DS127" s="249"/>
      <c r="DT127" s="250"/>
      <c r="DU127" s="250"/>
      <c r="DV127" s="250"/>
      <c r="DW127" s="250"/>
      <c r="DX127" s="250"/>
      <c r="DY127" s="250"/>
      <c r="DZ127" s="250"/>
      <c r="EA127" s="249"/>
      <c r="EB127" s="249"/>
      <c r="EC127" s="249"/>
      <c r="ED127" s="249"/>
      <c r="EE127" s="249"/>
      <c r="EF127" s="249"/>
      <c r="EG127" s="249"/>
      <c r="EH127" s="250"/>
      <c r="EI127" s="250"/>
      <c r="EJ127" s="250"/>
      <c r="EK127" s="250"/>
      <c r="EL127" s="250"/>
      <c r="EM127" s="250"/>
      <c r="EN127" s="250"/>
      <c r="EO127" s="249">
        <v>8</v>
      </c>
      <c r="EP127" s="249">
        <v>24</v>
      </c>
      <c r="EQ127" s="249">
        <v>24</v>
      </c>
      <c r="ER127" s="249">
        <v>24</v>
      </c>
      <c r="ES127" s="249">
        <v>12</v>
      </c>
      <c r="ET127" s="249"/>
      <c r="EU127" s="249"/>
      <c r="EV127" s="250"/>
      <c r="EW127" s="250"/>
      <c r="EX127" s="250"/>
      <c r="EY127" s="250"/>
      <c r="EZ127" s="250"/>
      <c r="FA127" s="250"/>
      <c r="FB127" s="250"/>
      <c r="FC127" s="249"/>
      <c r="FD127" s="249"/>
      <c r="FE127" s="249"/>
      <c r="FF127" s="249"/>
      <c r="FG127" s="249"/>
      <c r="FH127" s="249"/>
      <c r="FI127" s="249"/>
      <c r="FJ127" s="250"/>
      <c r="FK127" s="250"/>
      <c r="FL127" s="250"/>
      <c r="FM127" s="250"/>
      <c r="FN127" s="250"/>
      <c r="FO127" s="250"/>
      <c r="FP127" s="250"/>
      <c r="FQ127" s="249"/>
      <c r="FR127" s="249"/>
      <c r="FS127" s="249"/>
      <c r="FT127" s="249"/>
      <c r="FU127" s="249"/>
      <c r="FV127" s="249"/>
      <c r="FW127" s="249"/>
      <c r="FX127" s="250"/>
      <c r="FY127" s="250"/>
      <c r="FZ127" s="250"/>
      <c r="GA127" s="250"/>
      <c r="GB127" s="250"/>
      <c r="GC127" s="250"/>
      <c r="GD127" s="250"/>
      <c r="GE127" s="249"/>
      <c r="GF127" s="249"/>
      <c r="GG127" s="249"/>
      <c r="GH127" s="249"/>
      <c r="GI127" s="249"/>
      <c r="GJ127" s="249"/>
      <c r="GK127" s="249"/>
      <c r="GL127" s="250"/>
      <c r="GM127" s="250"/>
      <c r="GN127" s="250"/>
      <c r="GO127" s="250"/>
      <c r="GP127" s="250"/>
      <c r="GQ127" s="250"/>
      <c r="GR127" s="250"/>
      <c r="GS127" s="249"/>
      <c r="GT127" s="249"/>
      <c r="GU127" s="249"/>
      <c r="GV127" s="249"/>
      <c r="GW127" s="249"/>
      <c r="GX127" s="249"/>
      <c r="GY127" s="249"/>
      <c r="GZ127" s="250"/>
      <c r="HA127" s="250"/>
      <c r="HB127" s="250"/>
      <c r="HC127" s="250"/>
      <c r="HD127" s="250"/>
      <c r="HE127" s="250"/>
      <c r="HF127" s="250"/>
      <c r="HG127" s="249"/>
      <c r="HH127" s="249"/>
      <c r="HI127" s="249"/>
      <c r="HJ127" s="249"/>
      <c r="HK127" s="249"/>
      <c r="HL127" s="249"/>
      <c r="HM127" s="249"/>
      <c r="HN127" s="250"/>
      <c r="HO127" s="250"/>
      <c r="HP127" s="250"/>
      <c r="HQ127" s="250"/>
      <c r="HR127" s="250"/>
      <c r="HS127" s="250"/>
      <c r="HT127" s="250"/>
      <c r="HU127" s="249"/>
      <c r="HV127" s="249"/>
      <c r="HW127" s="249"/>
      <c r="HX127" s="249"/>
      <c r="HY127" s="249"/>
      <c r="HZ127" s="249"/>
      <c r="IA127" s="249"/>
      <c r="IB127" s="250"/>
      <c r="IC127" s="250"/>
      <c r="ID127" s="250"/>
      <c r="IE127" s="250"/>
      <c r="IF127" s="250"/>
      <c r="IG127" s="250"/>
      <c r="IH127" s="250"/>
      <c r="II127" s="249"/>
      <c r="IJ127" s="249"/>
      <c r="IK127" s="249"/>
      <c r="IL127" s="249"/>
      <c r="IM127" s="249"/>
      <c r="IN127" s="249"/>
      <c r="IO127" s="249"/>
      <c r="IP127" s="250"/>
      <c r="IQ127" s="250"/>
      <c r="IR127" s="250"/>
      <c r="IS127" s="250"/>
      <c r="IT127" s="250"/>
      <c r="IU127" s="250"/>
      <c r="IV127" s="250"/>
      <c r="IW127" s="249"/>
      <c r="IX127" s="249"/>
      <c r="IY127" s="249"/>
      <c r="IZ127" s="249"/>
      <c r="JA127" s="249"/>
      <c r="JB127" s="249"/>
      <c r="JC127" s="249"/>
      <c r="JD127" s="250"/>
      <c r="JE127" s="250"/>
      <c r="JF127" s="250"/>
      <c r="JG127" s="250"/>
      <c r="JH127" s="250"/>
      <c r="JI127" s="250"/>
      <c r="JJ127" s="250"/>
      <c r="JK127" s="249"/>
      <c r="JL127" s="249"/>
      <c r="JM127" s="249"/>
      <c r="JN127" s="249"/>
      <c r="JO127" s="249"/>
      <c r="JP127" s="249"/>
      <c r="JQ127" s="249"/>
      <c r="JR127" s="250"/>
      <c r="JS127" s="250"/>
      <c r="JT127" s="250"/>
      <c r="JU127" s="250"/>
      <c r="JV127" s="250"/>
      <c r="JW127" s="250"/>
      <c r="JX127" s="250"/>
      <c r="JY127" s="249"/>
      <c r="JZ127" s="249"/>
      <c r="KA127" s="249"/>
      <c r="KB127" s="249"/>
      <c r="KC127" s="249"/>
      <c r="KD127" s="249"/>
      <c r="KE127" s="249"/>
      <c r="KF127" s="250"/>
      <c r="KG127" s="250"/>
      <c r="KH127" s="250"/>
      <c r="KI127" s="250"/>
      <c r="KJ127" s="250"/>
      <c r="KK127" s="250"/>
      <c r="KL127" s="250"/>
      <c r="KM127" s="249"/>
      <c r="KN127" s="249"/>
      <c r="KO127" s="249"/>
      <c r="KP127" s="249"/>
      <c r="KQ127" s="249"/>
      <c r="KR127" s="249"/>
      <c r="KS127" s="249"/>
      <c r="KT127" s="250"/>
      <c r="KU127" s="250"/>
      <c r="KV127" s="250"/>
      <c r="KW127" s="250"/>
      <c r="KX127" s="250"/>
      <c r="KY127" s="250"/>
      <c r="KZ127" s="250"/>
      <c r="LA127" s="249"/>
      <c r="LB127" s="249"/>
      <c r="LC127" s="249"/>
      <c r="LD127" s="249"/>
      <c r="LE127" s="249"/>
      <c r="LF127" s="249"/>
      <c r="LG127" s="249"/>
      <c r="LH127" s="250"/>
      <c r="LI127" s="250"/>
      <c r="LJ127" s="250"/>
      <c r="LK127" s="250"/>
      <c r="LL127" s="250"/>
      <c r="LM127" s="250"/>
      <c r="LN127" s="250"/>
      <c r="LO127" s="249"/>
      <c r="LP127" s="249"/>
      <c r="LQ127" s="249"/>
      <c r="LR127" s="249"/>
      <c r="LS127" s="249"/>
      <c r="LT127" s="249"/>
      <c r="LU127" s="249"/>
      <c r="LV127" s="250"/>
      <c r="LW127" s="250"/>
      <c r="LX127" s="250"/>
      <c r="LY127" s="250"/>
      <c r="LZ127" s="250"/>
      <c r="MA127" s="250"/>
      <c r="MB127" s="250"/>
      <c r="MC127" s="249"/>
      <c r="MD127" s="249"/>
      <c r="ME127" s="249"/>
      <c r="MF127" s="249"/>
      <c r="MG127" s="249"/>
      <c r="MH127" s="249"/>
      <c r="MI127" s="249"/>
      <c r="MJ127" s="250"/>
      <c r="MK127" s="250"/>
      <c r="ML127" s="250"/>
      <c r="MM127" s="250"/>
      <c r="MN127" s="250"/>
      <c r="MO127" s="250"/>
      <c r="MP127" s="250"/>
      <c r="MQ127" s="249"/>
      <c r="MR127" s="249"/>
      <c r="MS127" s="249"/>
      <c r="MT127" s="249"/>
      <c r="MU127" s="249"/>
      <c r="MV127" s="249"/>
      <c r="MW127" s="249"/>
      <c r="MX127" s="250"/>
      <c r="MY127" s="250"/>
      <c r="MZ127" s="250"/>
      <c r="NA127" s="250"/>
      <c r="NB127" s="250"/>
      <c r="NC127" s="250"/>
      <c r="ND127" s="250"/>
      <c r="NE127" s="249"/>
      <c r="NF127" s="249"/>
      <c r="NG127" s="249"/>
      <c r="NH127" s="250"/>
    </row>
    <row r="128" spans="1:372">
      <c r="A128" s="254" t="s">
        <v>985</v>
      </c>
      <c r="B128" s="239" t="s">
        <v>653</v>
      </c>
      <c r="C128" s="240" t="s">
        <v>674</v>
      </c>
      <c r="D128" s="240" t="s">
        <v>982</v>
      </c>
      <c r="E128" s="241">
        <v>91.775333332966099</v>
      </c>
      <c r="F128" s="252">
        <v>92</v>
      </c>
      <c r="G128" s="249"/>
      <c r="H128" s="249"/>
      <c r="I128" s="249"/>
      <c r="J128" s="249"/>
      <c r="K128" s="249"/>
      <c r="L128" s="250"/>
      <c r="M128" s="250"/>
      <c r="N128" s="250"/>
      <c r="O128" s="250"/>
      <c r="P128" s="250"/>
      <c r="Q128" s="250"/>
      <c r="R128" s="250"/>
      <c r="S128" s="249"/>
      <c r="T128" s="249"/>
      <c r="U128" s="249"/>
      <c r="V128" s="249"/>
      <c r="W128" s="249"/>
      <c r="X128" s="249"/>
      <c r="Y128" s="249"/>
      <c r="Z128" s="250"/>
      <c r="AA128" s="250"/>
      <c r="AB128" s="250"/>
      <c r="AC128" s="250"/>
      <c r="AD128" s="250"/>
      <c r="AE128" s="250"/>
      <c r="AF128" s="250"/>
      <c r="AG128" s="249"/>
      <c r="AH128" s="249"/>
      <c r="AI128" s="249"/>
      <c r="AJ128" s="249"/>
      <c r="AK128" s="249"/>
      <c r="AL128" s="249"/>
      <c r="AM128" s="249"/>
      <c r="AN128" s="250"/>
      <c r="AO128" s="250"/>
      <c r="AP128" s="250"/>
      <c r="AQ128" s="250"/>
      <c r="AR128" s="250"/>
      <c r="AS128" s="250"/>
      <c r="AT128" s="250"/>
      <c r="AU128" s="249"/>
      <c r="AV128" s="249"/>
      <c r="AW128" s="249"/>
      <c r="AX128" s="249"/>
      <c r="AY128" s="249"/>
      <c r="AZ128" s="249"/>
      <c r="BA128" s="249"/>
      <c r="BB128" s="250"/>
      <c r="BC128" s="250"/>
      <c r="BD128" s="250"/>
      <c r="BE128" s="250"/>
      <c r="BF128" s="250"/>
      <c r="BG128" s="250"/>
      <c r="BH128" s="250"/>
      <c r="BI128" s="249"/>
      <c r="BJ128" s="249"/>
      <c r="BK128" s="249"/>
      <c r="BL128" s="249"/>
      <c r="BM128" s="249"/>
      <c r="BN128" s="249"/>
      <c r="BO128" s="249"/>
      <c r="BP128" s="250"/>
      <c r="BQ128" s="250"/>
      <c r="BR128" s="250"/>
      <c r="BS128" s="250"/>
      <c r="BT128" s="250"/>
      <c r="BU128" s="250"/>
      <c r="BV128" s="250"/>
      <c r="BW128" s="249"/>
      <c r="BX128" s="249"/>
      <c r="BY128" s="249"/>
      <c r="BZ128" s="249"/>
      <c r="CA128" s="249"/>
      <c r="CB128" s="249"/>
      <c r="CC128" s="249"/>
      <c r="CD128" s="250"/>
      <c r="CE128" s="250"/>
      <c r="CF128" s="250"/>
      <c r="CG128" s="250"/>
      <c r="CH128" s="250"/>
      <c r="CI128" s="250"/>
      <c r="CJ128" s="250"/>
      <c r="CK128" s="249"/>
      <c r="CL128" s="249"/>
      <c r="CM128" s="249"/>
      <c r="CN128" s="249"/>
      <c r="CO128" s="249"/>
      <c r="CP128" s="249"/>
      <c r="CQ128" s="249"/>
      <c r="CR128" s="250"/>
      <c r="CS128" s="250"/>
      <c r="CT128" s="250"/>
      <c r="CU128" s="250"/>
      <c r="CV128" s="250"/>
      <c r="CW128" s="250"/>
      <c r="CX128" s="250"/>
      <c r="CY128" s="249"/>
      <c r="CZ128" s="249"/>
      <c r="DA128" s="249"/>
      <c r="DB128" s="249"/>
      <c r="DC128" s="249"/>
      <c r="DD128" s="249"/>
      <c r="DE128" s="249"/>
      <c r="DF128" s="250"/>
      <c r="DG128" s="250"/>
      <c r="DH128" s="250"/>
      <c r="DI128" s="250"/>
      <c r="DJ128" s="250"/>
      <c r="DK128" s="250"/>
      <c r="DL128" s="250"/>
      <c r="DM128" s="249"/>
      <c r="DN128" s="249"/>
      <c r="DO128" s="249"/>
      <c r="DP128" s="249"/>
      <c r="DQ128" s="249"/>
      <c r="DR128" s="249"/>
      <c r="DS128" s="249"/>
      <c r="DT128" s="250"/>
      <c r="DU128" s="250"/>
      <c r="DV128" s="250"/>
      <c r="DW128" s="250"/>
      <c r="DX128" s="250"/>
      <c r="DY128" s="250"/>
      <c r="DZ128" s="250"/>
      <c r="EA128" s="249"/>
      <c r="EB128" s="249"/>
      <c r="EC128" s="249"/>
      <c r="ED128" s="249"/>
      <c r="EE128" s="249"/>
      <c r="EF128" s="249"/>
      <c r="EG128" s="249"/>
      <c r="EH128" s="250"/>
      <c r="EI128" s="250"/>
      <c r="EJ128" s="250"/>
      <c r="EK128" s="250"/>
      <c r="EL128" s="250"/>
      <c r="EM128" s="250"/>
      <c r="EN128" s="250"/>
      <c r="EO128" s="249">
        <v>8</v>
      </c>
      <c r="EP128" s="249">
        <v>24</v>
      </c>
      <c r="EQ128" s="249">
        <v>24</v>
      </c>
      <c r="ER128" s="249">
        <v>24</v>
      </c>
      <c r="ES128" s="249">
        <v>12</v>
      </c>
      <c r="ET128" s="249"/>
      <c r="EU128" s="249"/>
      <c r="EV128" s="250"/>
      <c r="EW128" s="250"/>
      <c r="EX128" s="250"/>
      <c r="EY128" s="250"/>
      <c r="EZ128" s="250"/>
      <c r="FA128" s="250"/>
      <c r="FB128" s="250"/>
      <c r="FC128" s="249"/>
      <c r="FD128" s="249"/>
      <c r="FE128" s="249"/>
      <c r="FF128" s="249"/>
      <c r="FG128" s="249"/>
      <c r="FH128" s="249"/>
      <c r="FI128" s="249"/>
      <c r="FJ128" s="250"/>
      <c r="FK128" s="250"/>
      <c r="FL128" s="250"/>
      <c r="FM128" s="250"/>
      <c r="FN128" s="250"/>
      <c r="FO128" s="250"/>
      <c r="FP128" s="250"/>
      <c r="FQ128" s="249"/>
      <c r="FR128" s="249"/>
      <c r="FS128" s="249"/>
      <c r="FT128" s="249"/>
      <c r="FU128" s="249"/>
      <c r="FV128" s="249"/>
      <c r="FW128" s="249"/>
      <c r="FX128" s="250"/>
      <c r="FY128" s="250"/>
      <c r="FZ128" s="250"/>
      <c r="GA128" s="250"/>
      <c r="GB128" s="250"/>
      <c r="GC128" s="250"/>
      <c r="GD128" s="250"/>
      <c r="GE128" s="249"/>
      <c r="GF128" s="249"/>
      <c r="GG128" s="249"/>
      <c r="GH128" s="249"/>
      <c r="GI128" s="249"/>
      <c r="GJ128" s="249"/>
      <c r="GK128" s="249"/>
      <c r="GL128" s="250"/>
      <c r="GM128" s="250"/>
      <c r="GN128" s="250"/>
      <c r="GO128" s="250"/>
      <c r="GP128" s="250"/>
      <c r="GQ128" s="250"/>
      <c r="GR128" s="250"/>
      <c r="GS128" s="249"/>
      <c r="GT128" s="249"/>
      <c r="GU128" s="249"/>
      <c r="GV128" s="249"/>
      <c r="GW128" s="249"/>
      <c r="GX128" s="249"/>
      <c r="GY128" s="249"/>
      <c r="GZ128" s="250"/>
      <c r="HA128" s="250"/>
      <c r="HB128" s="250"/>
      <c r="HC128" s="250"/>
      <c r="HD128" s="250"/>
      <c r="HE128" s="250"/>
      <c r="HF128" s="250"/>
      <c r="HG128" s="249"/>
      <c r="HH128" s="249"/>
      <c r="HI128" s="249"/>
      <c r="HJ128" s="249"/>
      <c r="HK128" s="249"/>
      <c r="HL128" s="249"/>
      <c r="HM128" s="249"/>
      <c r="HN128" s="250"/>
      <c r="HO128" s="250"/>
      <c r="HP128" s="250"/>
      <c r="HQ128" s="250"/>
      <c r="HR128" s="250"/>
      <c r="HS128" s="250"/>
      <c r="HT128" s="250"/>
      <c r="HU128" s="249"/>
      <c r="HV128" s="249"/>
      <c r="HW128" s="249"/>
      <c r="HX128" s="249"/>
      <c r="HY128" s="249"/>
      <c r="HZ128" s="249"/>
      <c r="IA128" s="249"/>
      <c r="IB128" s="250"/>
      <c r="IC128" s="250"/>
      <c r="ID128" s="250"/>
      <c r="IE128" s="250"/>
      <c r="IF128" s="250"/>
      <c r="IG128" s="250"/>
      <c r="IH128" s="250"/>
      <c r="II128" s="249"/>
      <c r="IJ128" s="249"/>
      <c r="IK128" s="249"/>
      <c r="IL128" s="249"/>
      <c r="IM128" s="249"/>
      <c r="IN128" s="249"/>
      <c r="IO128" s="249"/>
      <c r="IP128" s="250"/>
      <c r="IQ128" s="250"/>
      <c r="IR128" s="250"/>
      <c r="IS128" s="250"/>
      <c r="IT128" s="250"/>
      <c r="IU128" s="250"/>
      <c r="IV128" s="250"/>
      <c r="IW128" s="249"/>
      <c r="IX128" s="249"/>
      <c r="IY128" s="249"/>
      <c r="IZ128" s="249"/>
      <c r="JA128" s="249"/>
      <c r="JB128" s="249"/>
      <c r="JC128" s="249"/>
      <c r="JD128" s="250"/>
      <c r="JE128" s="250"/>
      <c r="JF128" s="250"/>
      <c r="JG128" s="250"/>
      <c r="JH128" s="250"/>
      <c r="JI128" s="250"/>
      <c r="JJ128" s="250"/>
      <c r="JK128" s="249"/>
      <c r="JL128" s="249"/>
      <c r="JM128" s="249"/>
      <c r="JN128" s="249"/>
      <c r="JO128" s="249"/>
      <c r="JP128" s="249"/>
      <c r="JQ128" s="249"/>
      <c r="JR128" s="250"/>
      <c r="JS128" s="250"/>
      <c r="JT128" s="250"/>
      <c r="JU128" s="250"/>
      <c r="JV128" s="250"/>
      <c r="JW128" s="250"/>
      <c r="JX128" s="250"/>
      <c r="JY128" s="249"/>
      <c r="JZ128" s="249"/>
      <c r="KA128" s="249"/>
      <c r="KB128" s="249"/>
      <c r="KC128" s="249"/>
      <c r="KD128" s="249"/>
      <c r="KE128" s="249"/>
      <c r="KF128" s="250"/>
      <c r="KG128" s="250"/>
      <c r="KH128" s="250"/>
      <c r="KI128" s="250"/>
      <c r="KJ128" s="250"/>
      <c r="KK128" s="250"/>
      <c r="KL128" s="250"/>
      <c r="KM128" s="249"/>
      <c r="KN128" s="249"/>
      <c r="KO128" s="249"/>
      <c r="KP128" s="249"/>
      <c r="KQ128" s="249"/>
      <c r="KR128" s="249"/>
      <c r="KS128" s="249"/>
      <c r="KT128" s="250"/>
      <c r="KU128" s="250"/>
      <c r="KV128" s="250"/>
      <c r="KW128" s="250"/>
      <c r="KX128" s="250"/>
      <c r="KY128" s="250"/>
      <c r="KZ128" s="250"/>
      <c r="LA128" s="249"/>
      <c r="LB128" s="249"/>
      <c r="LC128" s="249"/>
      <c r="LD128" s="249"/>
      <c r="LE128" s="249"/>
      <c r="LF128" s="249"/>
      <c r="LG128" s="249"/>
      <c r="LH128" s="250"/>
      <c r="LI128" s="250"/>
      <c r="LJ128" s="250"/>
      <c r="LK128" s="250"/>
      <c r="LL128" s="250"/>
      <c r="LM128" s="250"/>
      <c r="LN128" s="250"/>
      <c r="LO128" s="249"/>
      <c r="LP128" s="249"/>
      <c r="LQ128" s="249"/>
      <c r="LR128" s="249"/>
      <c r="LS128" s="249"/>
      <c r="LT128" s="249"/>
      <c r="LU128" s="249"/>
      <c r="LV128" s="250"/>
      <c r="LW128" s="250"/>
      <c r="LX128" s="250"/>
      <c r="LY128" s="250"/>
      <c r="LZ128" s="250"/>
      <c r="MA128" s="250"/>
      <c r="MB128" s="250"/>
      <c r="MC128" s="249"/>
      <c r="MD128" s="249"/>
      <c r="ME128" s="249"/>
      <c r="MF128" s="249"/>
      <c r="MG128" s="249"/>
      <c r="MH128" s="249"/>
      <c r="MI128" s="249"/>
      <c r="MJ128" s="250"/>
      <c r="MK128" s="250"/>
      <c r="ML128" s="250"/>
      <c r="MM128" s="250"/>
      <c r="MN128" s="250"/>
      <c r="MO128" s="250"/>
      <c r="MP128" s="250"/>
      <c r="MQ128" s="249"/>
      <c r="MR128" s="249"/>
      <c r="MS128" s="249"/>
      <c r="MT128" s="249"/>
      <c r="MU128" s="249"/>
      <c r="MV128" s="249"/>
      <c r="MW128" s="249"/>
      <c r="MX128" s="250"/>
      <c r="MY128" s="250"/>
      <c r="MZ128" s="250"/>
      <c r="NA128" s="250"/>
      <c r="NB128" s="250"/>
      <c r="NC128" s="250"/>
      <c r="ND128" s="250"/>
      <c r="NE128" s="249"/>
      <c r="NF128" s="249"/>
      <c r="NG128" s="249"/>
      <c r="NH128" s="250"/>
    </row>
    <row r="129" spans="1:372">
      <c r="A129" s="254" t="s">
        <v>985</v>
      </c>
      <c r="B129" s="239" t="s">
        <v>650</v>
      </c>
      <c r="C129" s="240" t="s">
        <v>674</v>
      </c>
      <c r="D129" s="240" t="s">
        <v>982</v>
      </c>
      <c r="E129" s="241">
        <v>0</v>
      </c>
      <c r="F129" s="252">
        <v>74</v>
      </c>
      <c r="G129" s="249"/>
      <c r="H129" s="249"/>
      <c r="I129" s="249"/>
      <c r="J129" s="249"/>
      <c r="K129" s="249"/>
      <c r="L129" s="250"/>
      <c r="M129" s="250"/>
      <c r="N129" s="250"/>
      <c r="O129" s="250"/>
      <c r="P129" s="250"/>
      <c r="Q129" s="250"/>
      <c r="R129" s="250"/>
      <c r="S129" s="249"/>
      <c r="T129" s="249"/>
      <c r="U129" s="249"/>
      <c r="V129" s="249"/>
      <c r="W129" s="249"/>
      <c r="X129" s="249"/>
      <c r="Y129" s="249"/>
      <c r="Z129" s="250"/>
      <c r="AA129" s="250"/>
      <c r="AB129" s="250"/>
      <c r="AC129" s="250"/>
      <c r="AD129" s="250"/>
      <c r="AE129" s="250"/>
      <c r="AF129" s="250"/>
      <c r="AG129" s="249"/>
      <c r="AH129" s="249"/>
      <c r="AI129" s="249"/>
      <c r="AJ129" s="249"/>
      <c r="AK129" s="249"/>
      <c r="AL129" s="249"/>
      <c r="AM129" s="249"/>
      <c r="AN129" s="250"/>
      <c r="AO129" s="250"/>
      <c r="AP129" s="250"/>
      <c r="AQ129" s="250"/>
      <c r="AR129" s="250"/>
      <c r="AS129" s="250"/>
      <c r="AT129" s="250"/>
      <c r="AU129" s="249"/>
      <c r="AV129" s="249"/>
      <c r="AW129" s="249"/>
      <c r="AX129" s="249"/>
      <c r="AY129" s="249"/>
      <c r="AZ129" s="249"/>
      <c r="BA129" s="249"/>
      <c r="BB129" s="250"/>
      <c r="BC129" s="250"/>
      <c r="BD129" s="250"/>
      <c r="BE129" s="250"/>
      <c r="BF129" s="250"/>
      <c r="BG129" s="250"/>
      <c r="BH129" s="250"/>
      <c r="BI129" s="249"/>
      <c r="BJ129" s="249"/>
      <c r="BK129" s="249"/>
      <c r="BL129" s="249"/>
      <c r="BM129" s="249"/>
      <c r="BN129" s="249"/>
      <c r="BO129" s="249"/>
      <c r="BP129" s="250"/>
      <c r="BQ129" s="250"/>
      <c r="BR129" s="250"/>
      <c r="BS129" s="250"/>
      <c r="BT129" s="250"/>
      <c r="BU129" s="250"/>
      <c r="BV129" s="250"/>
      <c r="BW129" s="249"/>
      <c r="BX129" s="249"/>
      <c r="BY129" s="249"/>
      <c r="BZ129" s="249"/>
      <c r="CA129" s="249"/>
      <c r="CB129" s="249"/>
      <c r="CC129" s="249"/>
      <c r="CD129" s="250"/>
      <c r="CE129" s="250"/>
      <c r="CF129" s="250"/>
      <c r="CG129" s="250"/>
      <c r="CH129" s="250"/>
      <c r="CI129" s="250"/>
      <c r="CJ129" s="250"/>
      <c r="CK129" s="249"/>
      <c r="CL129" s="249"/>
      <c r="CM129" s="249"/>
      <c r="CN129" s="249"/>
      <c r="CO129" s="249"/>
      <c r="CP129" s="249"/>
      <c r="CQ129" s="249"/>
      <c r="CR129" s="250"/>
      <c r="CS129" s="250"/>
      <c r="CT129" s="250"/>
      <c r="CU129" s="250"/>
      <c r="CV129" s="250"/>
      <c r="CW129" s="250"/>
      <c r="CX129" s="250"/>
      <c r="CY129" s="249"/>
      <c r="CZ129" s="249"/>
      <c r="DA129" s="249"/>
      <c r="DB129" s="249"/>
      <c r="DC129" s="249"/>
      <c r="DD129" s="249"/>
      <c r="DE129" s="249"/>
      <c r="DF129" s="250"/>
      <c r="DG129" s="250"/>
      <c r="DH129" s="250"/>
      <c r="DI129" s="250"/>
      <c r="DJ129" s="250"/>
      <c r="DK129" s="250"/>
      <c r="DL129" s="250"/>
      <c r="DM129" s="249"/>
      <c r="DN129" s="249"/>
      <c r="DO129" s="249"/>
      <c r="DP129" s="249"/>
      <c r="DQ129" s="249"/>
      <c r="DR129" s="249"/>
      <c r="DS129" s="249"/>
      <c r="DT129" s="250"/>
      <c r="DU129" s="250"/>
      <c r="DV129" s="250"/>
      <c r="DW129" s="250"/>
      <c r="DX129" s="250"/>
      <c r="DY129" s="250"/>
      <c r="DZ129" s="250"/>
      <c r="EA129" s="249"/>
      <c r="EB129" s="249"/>
      <c r="EC129" s="249"/>
      <c r="ED129" s="249"/>
      <c r="EE129" s="249"/>
      <c r="EF129" s="249"/>
      <c r="EG129" s="249"/>
      <c r="EH129" s="250"/>
      <c r="EI129" s="250"/>
      <c r="EJ129" s="250"/>
      <c r="EK129" s="250"/>
      <c r="EL129" s="250"/>
      <c r="EM129" s="250"/>
      <c r="EN129" s="250"/>
      <c r="EO129" s="249">
        <v>8</v>
      </c>
      <c r="EP129" s="249">
        <v>24</v>
      </c>
      <c r="EQ129" s="249">
        <v>24</v>
      </c>
      <c r="ER129" s="249">
        <v>18</v>
      </c>
      <c r="ES129" s="249"/>
      <c r="ET129" s="249"/>
      <c r="EU129" s="249"/>
      <c r="EV129" s="250"/>
      <c r="EW129" s="250"/>
      <c r="EX129" s="250"/>
      <c r="EY129" s="250"/>
      <c r="EZ129" s="250"/>
      <c r="FA129" s="250"/>
      <c r="FB129" s="250"/>
      <c r="FC129" s="249"/>
      <c r="FD129" s="249"/>
      <c r="FE129" s="249"/>
      <c r="FF129" s="249"/>
      <c r="FG129" s="249"/>
      <c r="FH129" s="249"/>
      <c r="FI129" s="249"/>
      <c r="FJ129" s="250"/>
      <c r="FK129" s="250"/>
      <c r="FL129" s="250"/>
      <c r="FM129" s="250"/>
      <c r="FN129" s="250"/>
      <c r="FO129" s="250"/>
      <c r="FP129" s="250"/>
      <c r="FQ129" s="249"/>
      <c r="FR129" s="249"/>
      <c r="FS129" s="249"/>
      <c r="FT129" s="249"/>
      <c r="FU129" s="249"/>
      <c r="FV129" s="249"/>
      <c r="FW129" s="249"/>
      <c r="FX129" s="250"/>
      <c r="FY129" s="250"/>
      <c r="FZ129" s="250"/>
      <c r="GA129" s="250"/>
      <c r="GB129" s="250"/>
      <c r="GC129" s="250"/>
      <c r="GD129" s="250"/>
      <c r="GE129" s="249"/>
      <c r="GF129" s="249"/>
      <c r="GG129" s="249"/>
      <c r="GH129" s="249"/>
      <c r="GI129" s="249"/>
      <c r="GJ129" s="249"/>
      <c r="GK129" s="249"/>
      <c r="GL129" s="250"/>
      <c r="GM129" s="250"/>
      <c r="GN129" s="250"/>
      <c r="GO129" s="250"/>
      <c r="GP129" s="250"/>
      <c r="GQ129" s="250"/>
      <c r="GR129" s="250"/>
      <c r="GS129" s="249"/>
      <c r="GT129" s="249"/>
      <c r="GU129" s="249"/>
      <c r="GV129" s="249"/>
      <c r="GW129" s="249"/>
      <c r="GX129" s="249"/>
      <c r="GY129" s="249"/>
      <c r="GZ129" s="250"/>
      <c r="HA129" s="250"/>
      <c r="HB129" s="250"/>
      <c r="HC129" s="250"/>
      <c r="HD129" s="250"/>
      <c r="HE129" s="250"/>
      <c r="HF129" s="250"/>
      <c r="HG129" s="249"/>
      <c r="HH129" s="249"/>
      <c r="HI129" s="249"/>
      <c r="HJ129" s="249"/>
      <c r="HK129" s="249"/>
      <c r="HL129" s="249"/>
      <c r="HM129" s="249"/>
      <c r="HN129" s="250"/>
      <c r="HO129" s="250"/>
      <c r="HP129" s="250"/>
      <c r="HQ129" s="250"/>
      <c r="HR129" s="250"/>
      <c r="HS129" s="250"/>
      <c r="HT129" s="250"/>
      <c r="HU129" s="249"/>
      <c r="HV129" s="249"/>
      <c r="HW129" s="249"/>
      <c r="HX129" s="249"/>
      <c r="HY129" s="249"/>
      <c r="HZ129" s="249"/>
      <c r="IA129" s="249"/>
      <c r="IB129" s="250"/>
      <c r="IC129" s="250"/>
      <c r="ID129" s="250"/>
      <c r="IE129" s="250"/>
      <c r="IF129" s="250"/>
      <c r="IG129" s="250"/>
      <c r="IH129" s="250"/>
      <c r="II129" s="249"/>
      <c r="IJ129" s="249"/>
      <c r="IK129" s="249"/>
      <c r="IL129" s="249"/>
      <c r="IM129" s="249"/>
      <c r="IN129" s="249"/>
      <c r="IO129" s="249"/>
      <c r="IP129" s="250"/>
      <c r="IQ129" s="250"/>
      <c r="IR129" s="250"/>
      <c r="IS129" s="250"/>
      <c r="IT129" s="250"/>
      <c r="IU129" s="250"/>
      <c r="IV129" s="250"/>
      <c r="IW129" s="249"/>
      <c r="IX129" s="249"/>
      <c r="IY129" s="249"/>
      <c r="IZ129" s="249"/>
      <c r="JA129" s="249"/>
      <c r="JB129" s="249"/>
      <c r="JC129" s="249"/>
      <c r="JD129" s="250"/>
      <c r="JE129" s="250"/>
      <c r="JF129" s="250"/>
      <c r="JG129" s="250"/>
      <c r="JH129" s="250"/>
      <c r="JI129" s="250"/>
      <c r="JJ129" s="250"/>
      <c r="JK129" s="249"/>
      <c r="JL129" s="249"/>
      <c r="JM129" s="249"/>
      <c r="JN129" s="249"/>
      <c r="JO129" s="249"/>
      <c r="JP129" s="249"/>
      <c r="JQ129" s="249"/>
      <c r="JR129" s="250"/>
      <c r="JS129" s="250"/>
      <c r="JT129" s="250"/>
      <c r="JU129" s="250"/>
      <c r="JV129" s="250"/>
      <c r="JW129" s="250"/>
      <c r="JX129" s="250"/>
      <c r="JY129" s="249"/>
      <c r="JZ129" s="249"/>
      <c r="KA129" s="249"/>
      <c r="KB129" s="249"/>
      <c r="KC129" s="249"/>
      <c r="KD129" s="249"/>
      <c r="KE129" s="249"/>
      <c r="KF129" s="250"/>
      <c r="KG129" s="250"/>
      <c r="KH129" s="250"/>
      <c r="KI129" s="250"/>
      <c r="KJ129" s="250"/>
      <c r="KK129" s="250"/>
      <c r="KL129" s="250"/>
      <c r="KM129" s="249"/>
      <c r="KN129" s="249"/>
      <c r="KO129" s="249"/>
      <c r="KP129" s="249"/>
      <c r="KQ129" s="249"/>
      <c r="KR129" s="249"/>
      <c r="KS129" s="249"/>
      <c r="KT129" s="250"/>
      <c r="KU129" s="250"/>
      <c r="KV129" s="250"/>
      <c r="KW129" s="250"/>
      <c r="KX129" s="250"/>
      <c r="KY129" s="250"/>
      <c r="KZ129" s="250"/>
      <c r="LA129" s="249"/>
      <c r="LB129" s="249"/>
      <c r="LC129" s="249"/>
      <c r="LD129" s="249"/>
      <c r="LE129" s="249"/>
      <c r="LF129" s="249"/>
      <c r="LG129" s="249"/>
      <c r="LH129" s="250"/>
      <c r="LI129" s="250"/>
      <c r="LJ129" s="250"/>
      <c r="LK129" s="250"/>
      <c r="LL129" s="250"/>
      <c r="LM129" s="250"/>
      <c r="LN129" s="250"/>
      <c r="LO129" s="249"/>
      <c r="LP129" s="249"/>
      <c r="LQ129" s="249"/>
      <c r="LR129" s="249"/>
      <c r="LS129" s="249"/>
      <c r="LT129" s="249"/>
      <c r="LU129" s="249"/>
      <c r="LV129" s="250"/>
      <c r="LW129" s="250"/>
      <c r="LX129" s="250"/>
      <c r="LY129" s="250"/>
      <c r="LZ129" s="250"/>
      <c r="MA129" s="250"/>
      <c r="MB129" s="250"/>
      <c r="MC129" s="249"/>
      <c r="MD129" s="249"/>
      <c r="ME129" s="249"/>
      <c r="MF129" s="249"/>
      <c r="MG129" s="249"/>
      <c r="MH129" s="249"/>
      <c r="MI129" s="249"/>
      <c r="MJ129" s="250"/>
      <c r="MK129" s="250"/>
      <c r="ML129" s="250"/>
      <c r="MM129" s="250"/>
      <c r="MN129" s="250"/>
      <c r="MO129" s="250"/>
      <c r="MP129" s="250"/>
      <c r="MQ129" s="249"/>
      <c r="MR129" s="249"/>
      <c r="MS129" s="249"/>
      <c r="MT129" s="249"/>
      <c r="MU129" s="249"/>
      <c r="MV129" s="249"/>
      <c r="MW129" s="249"/>
      <c r="MX129" s="250"/>
      <c r="MY129" s="250"/>
      <c r="MZ129" s="250"/>
      <c r="NA129" s="250"/>
      <c r="NB129" s="250"/>
      <c r="NC129" s="250"/>
      <c r="ND129" s="250"/>
      <c r="NE129" s="249"/>
      <c r="NF129" s="249"/>
      <c r="NG129" s="249"/>
      <c r="NH129" s="250"/>
    </row>
    <row r="130" spans="1:372">
      <c r="A130" s="254" t="s">
        <v>985</v>
      </c>
      <c r="B130" s="239" t="s">
        <v>651</v>
      </c>
      <c r="C130" s="240" t="s">
        <v>674</v>
      </c>
      <c r="D130" s="240" t="s">
        <v>982</v>
      </c>
      <c r="E130" s="241">
        <v>64.35083331760238</v>
      </c>
      <c r="F130" s="252">
        <v>76</v>
      </c>
      <c r="G130" s="249"/>
      <c r="H130" s="249"/>
      <c r="I130" s="249"/>
      <c r="J130" s="249"/>
      <c r="K130" s="249"/>
      <c r="L130" s="250"/>
      <c r="M130" s="250"/>
      <c r="N130" s="250"/>
      <c r="O130" s="250"/>
      <c r="P130" s="250"/>
      <c r="Q130" s="250"/>
      <c r="R130" s="250"/>
      <c r="S130" s="249"/>
      <c r="T130" s="249"/>
      <c r="U130" s="249"/>
      <c r="V130" s="249"/>
      <c r="W130" s="249"/>
      <c r="X130" s="249"/>
      <c r="Y130" s="249"/>
      <c r="Z130" s="250"/>
      <c r="AA130" s="250"/>
      <c r="AB130" s="250"/>
      <c r="AC130" s="250"/>
      <c r="AD130" s="250"/>
      <c r="AE130" s="250"/>
      <c r="AF130" s="250"/>
      <c r="AG130" s="249"/>
      <c r="AH130" s="249"/>
      <c r="AI130" s="249"/>
      <c r="AJ130" s="249"/>
      <c r="AK130" s="249"/>
      <c r="AL130" s="249"/>
      <c r="AM130" s="249"/>
      <c r="AN130" s="250"/>
      <c r="AO130" s="250"/>
      <c r="AP130" s="250"/>
      <c r="AQ130" s="250"/>
      <c r="AR130" s="250"/>
      <c r="AS130" s="250"/>
      <c r="AT130" s="250"/>
      <c r="AU130" s="249"/>
      <c r="AV130" s="249"/>
      <c r="AW130" s="249"/>
      <c r="AX130" s="249"/>
      <c r="AY130" s="249"/>
      <c r="AZ130" s="249"/>
      <c r="BA130" s="249"/>
      <c r="BB130" s="250"/>
      <c r="BC130" s="250"/>
      <c r="BD130" s="250"/>
      <c r="BE130" s="250"/>
      <c r="BF130" s="250"/>
      <c r="BG130" s="250"/>
      <c r="BH130" s="250"/>
      <c r="BI130" s="249"/>
      <c r="BJ130" s="249"/>
      <c r="BK130" s="249"/>
      <c r="BL130" s="249"/>
      <c r="BM130" s="249"/>
      <c r="BN130" s="249"/>
      <c r="BO130" s="249"/>
      <c r="BP130" s="250"/>
      <c r="BQ130" s="250"/>
      <c r="BR130" s="250"/>
      <c r="BS130" s="250"/>
      <c r="BT130" s="250"/>
      <c r="BU130" s="250"/>
      <c r="BV130" s="250"/>
      <c r="BW130" s="249"/>
      <c r="BX130" s="249"/>
      <c r="BY130" s="249"/>
      <c r="BZ130" s="249"/>
      <c r="CA130" s="249"/>
      <c r="CB130" s="249"/>
      <c r="CC130" s="249"/>
      <c r="CD130" s="250"/>
      <c r="CE130" s="250"/>
      <c r="CF130" s="250"/>
      <c r="CG130" s="250"/>
      <c r="CH130" s="250"/>
      <c r="CI130" s="250"/>
      <c r="CJ130" s="250"/>
      <c r="CK130" s="249"/>
      <c r="CL130" s="249"/>
      <c r="CM130" s="249"/>
      <c r="CN130" s="249"/>
      <c r="CO130" s="249"/>
      <c r="CP130" s="249"/>
      <c r="CQ130" s="249"/>
      <c r="CR130" s="250"/>
      <c r="CS130" s="250"/>
      <c r="CT130" s="250"/>
      <c r="CU130" s="250"/>
      <c r="CV130" s="250"/>
      <c r="CW130" s="250"/>
      <c r="CX130" s="250"/>
      <c r="CY130" s="249"/>
      <c r="CZ130" s="249"/>
      <c r="DA130" s="249"/>
      <c r="DB130" s="249"/>
      <c r="DC130" s="249"/>
      <c r="DD130" s="249"/>
      <c r="DE130" s="249"/>
      <c r="DF130" s="250"/>
      <c r="DG130" s="250"/>
      <c r="DH130" s="250"/>
      <c r="DI130" s="250"/>
      <c r="DJ130" s="250"/>
      <c r="DK130" s="250"/>
      <c r="DL130" s="250"/>
      <c r="DM130" s="249"/>
      <c r="DN130" s="249"/>
      <c r="DO130" s="249"/>
      <c r="DP130" s="249"/>
      <c r="DQ130" s="249"/>
      <c r="DR130" s="249"/>
      <c r="DS130" s="249"/>
      <c r="DT130" s="250"/>
      <c r="DU130" s="250"/>
      <c r="DV130" s="250"/>
      <c r="DW130" s="250"/>
      <c r="DX130" s="250"/>
      <c r="DY130" s="250"/>
      <c r="DZ130" s="250"/>
      <c r="EA130" s="249"/>
      <c r="EB130" s="249"/>
      <c r="EC130" s="249"/>
      <c r="ED130" s="249"/>
      <c r="EE130" s="249"/>
      <c r="EF130" s="249"/>
      <c r="EG130" s="249"/>
      <c r="EH130" s="250"/>
      <c r="EI130" s="250"/>
      <c r="EJ130" s="250"/>
      <c r="EK130" s="250"/>
      <c r="EL130" s="250"/>
      <c r="EM130" s="250"/>
      <c r="EN130" s="250"/>
      <c r="EO130" s="249">
        <v>8</v>
      </c>
      <c r="EP130" s="249">
        <v>24</v>
      </c>
      <c r="EQ130" s="249">
        <v>24</v>
      </c>
      <c r="ER130" s="249">
        <v>20</v>
      </c>
      <c r="ES130" s="249"/>
      <c r="ET130" s="249"/>
      <c r="EU130" s="249"/>
      <c r="EV130" s="250"/>
      <c r="EW130" s="250"/>
      <c r="EX130" s="250"/>
      <c r="EY130" s="250"/>
      <c r="EZ130" s="250"/>
      <c r="FA130" s="250"/>
      <c r="FB130" s="250"/>
      <c r="FC130" s="249"/>
      <c r="FD130" s="249"/>
      <c r="FE130" s="249"/>
      <c r="FF130" s="249"/>
      <c r="FG130" s="249"/>
      <c r="FH130" s="249"/>
      <c r="FI130" s="249"/>
      <c r="FJ130" s="250"/>
      <c r="FK130" s="250"/>
      <c r="FL130" s="250"/>
      <c r="FM130" s="250"/>
      <c r="FN130" s="250"/>
      <c r="FO130" s="250"/>
      <c r="FP130" s="250"/>
      <c r="FQ130" s="249"/>
      <c r="FR130" s="249"/>
      <c r="FS130" s="249"/>
      <c r="FT130" s="249"/>
      <c r="FU130" s="249"/>
      <c r="FV130" s="249"/>
      <c r="FW130" s="249"/>
      <c r="FX130" s="250"/>
      <c r="FY130" s="250"/>
      <c r="FZ130" s="250"/>
      <c r="GA130" s="250"/>
      <c r="GB130" s="250"/>
      <c r="GC130" s="250"/>
      <c r="GD130" s="250"/>
      <c r="GE130" s="249"/>
      <c r="GF130" s="249"/>
      <c r="GG130" s="249"/>
      <c r="GH130" s="249"/>
      <c r="GI130" s="249"/>
      <c r="GJ130" s="249"/>
      <c r="GK130" s="249"/>
      <c r="GL130" s="250"/>
      <c r="GM130" s="250"/>
      <c r="GN130" s="250"/>
      <c r="GO130" s="250"/>
      <c r="GP130" s="250"/>
      <c r="GQ130" s="250"/>
      <c r="GR130" s="250"/>
      <c r="GS130" s="249"/>
      <c r="GT130" s="249"/>
      <c r="GU130" s="249"/>
      <c r="GV130" s="249"/>
      <c r="GW130" s="249"/>
      <c r="GX130" s="249"/>
      <c r="GY130" s="249"/>
      <c r="GZ130" s="250"/>
      <c r="HA130" s="250"/>
      <c r="HB130" s="250"/>
      <c r="HC130" s="250"/>
      <c r="HD130" s="250"/>
      <c r="HE130" s="250"/>
      <c r="HF130" s="250"/>
      <c r="HG130" s="249"/>
      <c r="HH130" s="249"/>
      <c r="HI130" s="249"/>
      <c r="HJ130" s="249"/>
      <c r="HK130" s="249"/>
      <c r="HL130" s="249"/>
      <c r="HM130" s="249"/>
      <c r="HN130" s="250"/>
      <c r="HO130" s="250"/>
      <c r="HP130" s="250"/>
      <c r="HQ130" s="250"/>
      <c r="HR130" s="250"/>
      <c r="HS130" s="250"/>
      <c r="HT130" s="250"/>
      <c r="HU130" s="249"/>
      <c r="HV130" s="249"/>
      <c r="HW130" s="249"/>
      <c r="HX130" s="249"/>
      <c r="HY130" s="249"/>
      <c r="HZ130" s="249"/>
      <c r="IA130" s="249"/>
      <c r="IB130" s="250"/>
      <c r="IC130" s="250"/>
      <c r="ID130" s="250"/>
      <c r="IE130" s="250"/>
      <c r="IF130" s="250"/>
      <c r="IG130" s="250"/>
      <c r="IH130" s="250"/>
      <c r="II130" s="249"/>
      <c r="IJ130" s="249"/>
      <c r="IK130" s="249"/>
      <c r="IL130" s="249"/>
      <c r="IM130" s="249"/>
      <c r="IN130" s="249"/>
      <c r="IO130" s="249"/>
      <c r="IP130" s="250"/>
      <c r="IQ130" s="250"/>
      <c r="IR130" s="250"/>
      <c r="IS130" s="250"/>
      <c r="IT130" s="250"/>
      <c r="IU130" s="250"/>
      <c r="IV130" s="250"/>
      <c r="IW130" s="249"/>
      <c r="IX130" s="249"/>
      <c r="IY130" s="249"/>
      <c r="IZ130" s="249"/>
      <c r="JA130" s="249"/>
      <c r="JB130" s="249"/>
      <c r="JC130" s="249"/>
      <c r="JD130" s="250"/>
      <c r="JE130" s="250"/>
      <c r="JF130" s="250"/>
      <c r="JG130" s="250"/>
      <c r="JH130" s="250"/>
      <c r="JI130" s="250"/>
      <c r="JJ130" s="250"/>
      <c r="JK130" s="249"/>
      <c r="JL130" s="249"/>
      <c r="JM130" s="249"/>
      <c r="JN130" s="249"/>
      <c r="JO130" s="249"/>
      <c r="JP130" s="249"/>
      <c r="JQ130" s="249"/>
      <c r="JR130" s="250"/>
      <c r="JS130" s="250"/>
      <c r="JT130" s="250"/>
      <c r="JU130" s="250"/>
      <c r="JV130" s="250"/>
      <c r="JW130" s="250"/>
      <c r="JX130" s="250"/>
      <c r="JY130" s="249"/>
      <c r="JZ130" s="249"/>
      <c r="KA130" s="249"/>
      <c r="KB130" s="249"/>
      <c r="KC130" s="249"/>
      <c r="KD130" s="249"/>
      <c r="KE130" s="249"/>
      <c r="KF130" s="250"/>
      <c r="KG130" s="250"/>
      <c r="KH130" s="250"/>
      <c r="KI130" s="250"/>
      <c r="KJ130" s="250"/>
      <c r="KK130" s="250"/>
      <c r="KL130" s="250"/>
      <c r="KM130" s="249"/>
      <c r="KN130" s="249"/>
      <c r="KO130" s="249"/>
      <c r="KP130" s="249"/>
      <c r="KQ130" s="249"/>
      <c r="KR130" s="249"/>
      <c r="KS130" s="249"/>
      <c r="KT130" s="250"/>
      <c r="KU130" s="250"/>
      <c r="KV130" s="250"/>
      <c r="KW130" s="250"/>
      <c r="KX130" s="250"/>
      <c r="KY130" s="250"/>
      <c r="KZ130" s="250"/>
      <c r="LA130" s="249"/>
      <c r="LB130" s="249"/>
      <c r="LC130" s="249"/>
      <c r="LD130" s="249"/>
      <c r="LE130" s="249"/>
      <c r="LF130" s="249"/>
      <c r="LG130" s="249"/>
      <c r="LH130" s="250"/>
      <c r="LI130" s="250"/>
      <c r="LJ130" s="250"/>
      <c r="LK130" s="250"/>
      <c r="LL130" s="250"/>
      <c r="LM130" s="250"/>
      <c r="LN130" s="250"/>
      <c r="LO130" s="249"/>
      <c r="LP130" s="249"/>
      <c r="LQ130" s="249"/>
      <c r="LR130" s="249"/>
      <c r="LS130" s="249"/>
      <c r="LT130" s="249"/>
      <c r="LU130" s="249"/>
      <c r="LV130" s="250"/>
      <c r="LW130" s="250"/>
      <c r="LX130" s="250"/>
      <c r="LY130" s="250"/>
      <c r="LZ130" s="250"/>
      <c r="MA130" s="250"/>
      <c r="MB130" s="250"/>
      <c r="MC130" s="249"/>
      <c r="MD130" s="249"/>
      <c r="ME130" s="249"/>
      <c r="MF130" s="249"/>
      <c r="MG130" s="249"/>
      <c r="MH130" s="249"/>
      <c r="MI130" s="249"/>
      <c r="MJ130" s="250"/>
      <c r="MK130" s="250"/>
      <c r="ML130" s="250"/>
      <c r="MM130" s="250"/>
      <c r="MN130" s="250"/>
      <c r="MO130" s="250"/>
      <c r="MP130" s="250"/>
      <c r="MQ130" s="249"/>
      <c r="MR130" s="249"/>
      <c r="MS130" s="249"/>
      <c r="MT130" s="249"/>
      <c r="MU130" s="249"/>
      <c r="MV130" s="249"/>
      <c r="MW130" s="249"/>
      <c r="MX130" s="250"/>
      <c r="MY130" s="250"/>
      <c r="MZ130" s="250"/>
      <c r="NA130" s="250"/>
      <c r="NB130" s="250"/>
      <c r="NC130" s="250"/>
      <c r="ND130" s="250"/>
      <c r="NE130" s="249"/>
      <c r="NF130" s="249"/>
      <c r="NG130" s="249"/>
      <c r="NH130" s="250"/>
    </row>
    <row r="131" spans="1:372">
      <c r="A131" s="254" t="s">
        <v>985</v>
      </c>
      <c r="B131" s="239" t="s">
        <v>652</v>
      </c>
      <c r="C131" s="240" t="s">
        <v>674</v>
      </c>
      <c r="D131" s="240" t="s">
        <v>997</v>
      </c>
      <c r="E131" s="241">
        <v>55.514833317619896</v>
      </c>
      <c r="F131" s="252">
        <v>68</v>
      </c>
      <c r="G131" s="249"/>
      <c r="H131" s="249"/>
      <c r="I131" s="249"/>
      <c r="J131" s="249"/>
      <c r="K131" s="249"/>
      <c r="L131" s="250"/>
      <c r="M131" s="250"/>
      <c r="N131" s="250"/>
      <c r="O131" s="250"/>
      <c r="P131" s="250"/>
      <c r="Q131" s="250"/>
      <c r="R131" s="250"/>
      <c r="S131" s="249"/>
      <c r="T131" s="249"/>
      <c r="U131" s="249"/>
      <c r="V131" s="249"/>
      <c r="W131" s="249"/>
      <c r="X131" s="249"/>
      <c r="Y131" s="249"/>
      <c r="Z131" s="250"/>
      <c r="AA131" s="250"/>
      <c r="AB131" s="250"/>
      <c r="AC131" s="250"/>
      <c r="AD131" s="250"/>
      <c r="AE131" s="250"/>
      <c r="AF131" s="250"/>
      <c r="AG131" s="249"/>
      <c r="AH131" s="249"/>
      <c r="AI131" s="249"/>
      <c r="AJ131" s="249"/>
      <c r="AK131" s="249"/>
      <c r="AL131" s="249"/>
      <c r="AM131" s="249"/>
      <c r="AN131" s="250"/>
      <c r="AO131" s="250"/>
      <c r="AP131" s="250"/>
      <c r="AQ131" s="250"/>
      <c r="AR131" s="250"/>
      <c r="AS131" s="250"/>
      <c r="AT131" s="250"/>
      <c r="AU131" s="249"/>
      <c r="AV131" s="249"/>
      <c r="AW131" s="249"/>
      <c r="AX131" s="249"/>
      <c r="AY131" s="249"/>
      <c r="AZ131" s="249"/>
      <c r="BA131" s="249"/>
      <c r="BB131" s="250"/>
      <c r="BC131" s="250"/>
      <c r="BD131" s="250"/>
      <c r="BE131" s="250"/>
      <c r="BF131" s="250"/>
      <c r="BG131" s="250"/>
      <c r="BH131" s="250"/>
      <c r="BI131" s="249"/>
      <c r="BJ131" s="249"/>
      <c r="BK131" s="249"/>
      <c r="BL131" s="249"/>
      <c r="BM131" s="249"/>
      <c r="BN131" s="249"/>
      <c r="BO131" s="249"/>
      <c r="BP131" s="250"/>
      <c r="BQ131" s="250"/>
      <c r="BR131" s="250"/>
      <c r="BS131" s="250"/>
      <c r="BT131" s="250"/>
      <c r="BU131" s="250"/>
      <c r="BV131" s="250"/>
      <c r="BW131" s="249"/>
      <c r="BX131" s="249"/>
      <c r="BY131" s="249"/>
      <c r="BZ131" s="249"/>
      <c r="CA131" s="249"/>
      <c r="CB131" s="249"/>
      <c r="CC131" s="249"/>
      <c r="CD131" s="250"/>
      <c r="CE131" s="250"/>
      <c r="CF131" s="250"/>
      <c r="CG131" s="250"/>
      <c r="CH131" s="250"/>
      <c r="CI131" s="250"/>
      <c r="CJ131" s="250"/>
      <c r="CK131" s="249"/>
      <c r="CL131" s="249"/>
      <c r="CM131" s="249"/>
      <c r="CN131" s="249"/>
      <c r="CO131" s="249"/>
      <c r="CP131" s="249"/>
      <c r="CQ131" s="249"/>
      <c r="CR131" s="250"/>
      <c r="CS131" s="250"/>
      <c r="CT131" s="250"/>
      <c r="CU131" s="250"/>
      <c r="CV131" s="250"/>
      <c r="CW131" s="250"/>
      <c r="CX131" s="250"/>
      <c r="CY131" s="249"/>
      <c r="CZ131" s="249"/>
      <c r="DA131" s="249"/>
      <c r="DB131" s="249"/>
      <c r="DC131" s="249"/>
      <c r="DD131" s="249"/>
      <c r="DE131" s="249"/>
      <c r="DF131" s="250"/>
      <c r="DG131" s="250"/>
      <c r="DH131" s="250"/>
      <c r="DI131" s="250"/>
      <c r="DJ131" s="250"/>
      <c r="DK131" s="250"/>
      <c r="DL131" s="250"/>
      <c r="DM131" s="249"/>
      <c r="DN131" s="249"/>
      <c r="DO131" s="249"/>
      <c r="DP131" s="249"/>
      <c r="DQ131" s="249"/>
      <c r="DR131" s="249"/>
      <c r="DS131" s="249"/>
      <c r="DT131" s="250"/>
      <c r="DU131" s="250"/>
      <c r="DV131" s="250"/>
      <c r="DW131" s="250"/>
      <c r="DX131" s="250"/>
      <c r="DY131" s="250"/>
      <c r="DZ131" s="250"/>
      <c r="EA131" s="249"/>
      <c r="EB131" s="249"/>
      <c r="EC131" s="249"/>
      <c r="ED131" s="249"/>
      <c r="EE131" s="249"/>
      <c r="EF131" s="249"/>
      <c r="EG131" s="249"/>
      <c r="EH131" s="250"/>
      <c r="EI131" s="250"/>
      <c r="EJ131" s="250"/>
      <c r="EK131" s="250"/>
      <c r="EL131" s="250"/>
      <c r="EM131" s="250"/>
      <c r="EN131" s="250"/>
      <c r="EO131" s="249">
        <v>8</v>
      </c>
      <c r="EP131" s="249">
        <v>24</v>
      </c>
      <c r="EQ131" s="249">
        <v>24</v>
      </c>
      <c r="ER131" s="249">
        <v>12</v>
      </c>
      <c r="ES131" s="249"/>
      <c r="ET131" s="249"/>
      <c r="EU131" s="249"/>
      <c r="EV131" s="250"/>
      <c r="EW131" s="250"/>
      <c r="EX131" s="250"/>
      <c r="EY131" s="250"/>
      <c r="EZ131" s="250"/>
      <c r="FA131" s="250"/>
      <c r="FB131" s="250"/>
      <c r="FC131" s="249"/>
      <c r="FD131" s="249"/>
      <c r="FE131" s="249"/>
      <c r="FF131" s="249"/>
      <c r="FG131" s="249"/>
      <c r="FH131" s="249"/>
      <c r="FI131" s="249"/>
      <c r="FJ131" s="250"/>
      <c r="FK131" s="250"/>
      <c r="FL131" s="250"/>
      <c r="FM131" s="250"/>
      <c r="FN131" s="250"/>
      <c r="FO131" s="250"/>
      <c r="FP131" s="250"/>
      <c r="FQ131" s="249"/>
      <c r="FR131" s="249"/>
      <c r="FS131" s="249"/>
      <c r="FT131" s="249"/>
      <c r="FU131" s="249"/>
      <c r="FV131" s="249"/>
      <c r="FW131" s="249"/>
      <c r="FX131" s="250"/>
      <c r="FY131" s="250"/>
      <c r="FZ131" s="250"/>
      <c r="GA131" s="250"/>
      <c r="GB131" s="250"/>
      <c r="GC131" s="250"/>
      <c r="GD131" s="250"/>
      <c r="GE131" s="249"/>
      <c r="GF131" s="249"/>
      <c r="GG131" s="249"/>
      <c r="GH131" s="249"/>
      <c r="GI131" s="249"/>
      <c r="GJ131" s="249"/>
      <c r="GK131" s="249"/>
      <c r="GL131" s="250"/>
      <c r="GM131" s="250"/>
      <c r="GN131" s="250"/>
      <c r="GO131" s="250"/>
      <c r="GP131" s="250"/>
      <c r="GQ131" s="250"/>
      <c r="GR131" s="250"/>
      <c r="GS131" s="249"/>
      <c r="GT131" s="249"/>
      <c r="GU131" s="249"/>
      <c r="GV131" s="249"/>
      <c r="GW131" s="249"/>
      <c r="GX131" s="249"/>
      <c r="GY131" s="249"/>
      <c r="GZ131" s="250"/>
      <c r="HA131" s="250"/>
      <c r="HB131" s="250"/>
      <c r="HC131" s="250"/>
      <c r="HD131" s="250"/>
      <c r="HE131" s="250"/>
      <c r="HF131" s="250"/>
      <c r="HG131" s="249"/>
      <c r="HH131" s="249"/>
      <c r="HI131" s="249"/>
      <c r="HJ131" s="249"/>
      <c r="HK131" s="249"/>
      <c r="HL131" s="249"/>
      <c r="HM131" s="249"/>
      <c r="HN131" s="250"/>
      <c r="HO131" s="250"/>
      <c r="HP131" s="250"/>
      <c r="HQ131" s="250"/>
      <c r="HR131" s="250"/>
      <c r="HS131" s="250"/>
      <c r="HT131" s="250"/>
      <c r="HU131" s="249"/>
      <c r="HV131" s="249"/>
      <c r="HW131" s="249"/>
      <c r="HX131" s="249"/>
      <c r="HY131" s="249"/>
      <c r="HZ131" s="249"/>
      <c r="IA131" s="249"/>
      <c r="IB131" s="250"/>
      <c r="IC131" s="250"/>
      <c r="ID131" s="250"/>
      <c r="IE131" s="250"/>
      <c r="IF131" s="250"/>
      <c r="IG131" s="250"/>
      <c r="IH131" s="250"/>
      <c r="II131" s="249"/>
      <c r="IJ131" s="249"/>
      <c r="IK131" s="249"/>
      <c r="IL131" s="249"/>
      <c r="IM131" s="249"/>
      <c r="IN131" s="249"/>
      <c r="IO131" s="249"/>
      <c r="IP131" s="250"/>
      <c r="IQ131" s="250"/>
      <c r="IR131" s="250"/>
      <c r="IS131" s="250"/>
      <c r="IT131" s="250"/>
      <c r="IU131" s="250"/>
      <c r="IV131" s="250"/>
      <c r="IW131" s="249"/>
      <c r="IX131" s="249"/>
      <c r="IY131" s="249"/>
      <c r="IZ131" s="249"/>
      <c r="JA131" s="249"/>
      <c r="JB131" s="249"/>
      <c r="JC131" s="249"/>
      <c r="JD131" s="250"/>
      <c r="JE131" s="250"/>
      <c r="JF131" s="250"/>
      <c r="JG131" s="250"/>
      <c r="JH131" s="250"/>
      <c r="JI131" s="250"/>
      <c r="JJ131" s="250"/>
      <c r="JK131" s="249"/>
      <c r="JL131" s="249"/>
      <c r="JM131" s="249"/>
      <c r="JN131" s="249"/>
      <c r="JO131" s="249"/>
      <c r="JP131" s="249"/>
      <c r="JQ131" s="249"/>
      <c r="JR131" s="250"/>
      <c r="JS131" s="250"/>
      <c r="JT131" s="250"/>
      <c r="JU131" s="250"/>
      <c r="JV131" s="250"/>
      <c r="JW131" s="250"/>
      <c r="JX131" s="250"/>
      <c r="JY131" s="249"/>
      <c r="JZ131" s="249"/>
      <c r="KA131" s="249"/>
      <c r="KB131" s="249"/>
      <c r="KC131" s="249"/>
      <c r="KD131" s="249"/>
      <c r="KE131" s="249"/>
      <c r="KF131" s="250"/>
      <c r="KG131" s="250"/>
      <c r="KH131" s="250"/>
      <c r="KI131" s="250"/>
      <c r="KJ131" s="250"/>
      <c r="KK131" s="250"/>
      <c r="KL131" s="250"/>
      <c r="KM131" s="249"/>
      <c r="KN131" s="249"/>
      <c r="KO131" s="249"/>
      <c r="KP131" s="249"/>
      <c r="KQ131" s="249"/>
      <c r="KR131" s="249"/>
      <c r="KS131" s="249"/>
      <c r="KT131" s="250"/>
      <c r="KU131" s="250"/>
      <c r="KV131" s="250"/>
      <c r="KW131" s="250"/>
      <c r="KX131" s="250"/>
      <c r="KY131" s="250"/>
      <c r="KZ131" s="250"/>
      <c r="LA131" s="249"/>
      <c r="LB131" s="249"/>
      <c r="LC131" s="249"/>
      <c r="LD131" s="249"/>
      <c r="LE131" s="249"/>
      <c r="LF131" s="249"/>
      <c r="LG131" s="249"/>
      <c r="LH131" s="250"/>
      <c r="LI131" s="250"/>
      <c r="LJ131" s="250"/>
      <c r="LK131" s="250"/>
      <c r="LL131" s="250"/>
      <c r="LM131" s="250"/>
      <c r="LN131" s="250"/>
      <c r="LO131" s="249"/>
      <c r="LP131" s="249"/>
      <c r="LQ131" s="249"/>
      <c r="LR131" s="249"/>
      <c r="LS131" s="249"/>
      <c r="LT131" s="249"/>
      <c r="LU131" s="249"/>
      <c r="LV131" s="250"/>
      <c r="LW131" s="250"/>
      <c r="LX131" s="250"/>
      <c r="LY131" s="250"/>
      <c r="LZ131" s="250"/>
      <c r="MA131" s="250"/>
      <c r="MB131" s="250"/>
      <c r="MC131" s="249"/>
      <c r="MD131" s="249"/>
      <c r="ME131" s="249"/>
      <c r="MF131" s="249"/>
      <c r="MG131" s="249"/>
      <c r="MH131" s="249"/>
      <c r="MI131" s="249"/>
      <c r="MJ131" s="250"/>
      <c r="MK131" s="250"/>
      <c r="ML131" s="250"/>
      <c r="MM131" s="250"/>
      <c r="MN131" s="250"/>
      <c r="MO131" s="250"/>
      <c r="MP131" s="250"/>
      <c r="MQ131" s="249"/>
      <c r="MR131" s="249"/>
      <c r="MS131" s="249"/>
      <c r="MT131" s="249"/>
      <c r="MU131" s="249"/>
      <c r="MV131" s="249"/>
      <c r="MW131" s="249"/>
      <c r="MX131" s="250"/>
      <c r="MY131" s="250"/>
      <c r="MZ131" s="250"/>
      <c r="NA131" s="250"/>
      <c r="NB131" s="250"/>
      <c r="NC131" s="250"/>
      <c r="ND131" s="250"/>
      <c r="NE131" s="249"/>
      <c r="NF131" s="249"/>
      <c r="NG131" s="249"/>
      <c r="NH131" s="250"/>
    </row>
    <row r="132" spans="1:372">
      <c r="A132" s="254" t="s">
        <v>985</v>
      </c>
      <c r="B132" s="239" t="s">
        <v>97</v>
      </c>
      <c r="C132" s="240" t="s">
        <v>674</v>
      </c>
      <c r="D132" s="240" t="s">
        <v>982</v>
      </c>
      <c r="E132" s="241">
        <v>67.679999999864634</v>
      </c>
      <c r="F132" s="252">
        <v>92</v>
      </c>
      <c r="G132" s="249"/>
      <c r="H132" s="249"/>
      <c r="I132" s="249"/>
      <c r="J132" s="249"/>
      <c r="K132" s="249"/>
      <c r="L132" s="250"/>
      <c r="M132" s="250"/>
      <c r="N132" s="250"/>
      <c r="O132" s="250"/>
      <c r="P132" s="250"/>
      <c r="Q132" s="250"/>
      <c r="R132" s="250"/>
      <c r="S132" s="249"/>
      <c r="T132" s="249"/>
      <c r="U132" s="249"/>
      <c r="V132" s="249"/>
      <c r="W132" s="249"/>
      <c r="X132" s="249"/>
      <c r="Y132" s="249"/>
      <c r="Z132" s="250"/>
      <c r="AA132" s="250"/>
      <c r="AB132" s="250"/>
      <c r="AC132" s="250"/>
      <c r="AD132" s="250"/>
      <c r="AE132" s="250"/>
      <c r="AF132" s="250"/>
      <c r="AG132" s="249"/>
      <c r="AH132" s="249"/>
      <c r="AI132" s="249"/>
      <c r="AJ132" s="249"/>
      <c r="AK132" s="249"/>
      <c r="AL132" s="249"/>
      <c r="AM132" s="249"/>
      <c r="AN132" s="250"/>
      <c r="AO132" s="250"/>
      <c r="AP132" s="250"/>
      <c r="AQ132" s="250"/>
      <c r="AR132" s="250"/>
      <c r="AS132" s="250"/>
      <c r="AT132" s="250"/>
      <c r="AU132" s="249"/>
      <c r="AV132" s="249"/>
      <c r="AW132" s="249"/>
      <c r="AX132" s="249"/>
      <c r="AY132" s="249"/>
      <c r="AZ132" s="249"/>
      <c r="BA132" s="249"/>
      <c r="BB132" s="250"/>
      <c r="BC132" s="250"/>
      <c r="BD132" s="250"/>
      <c r="BE132" s="250"/>
      <c r="BF132" s="250"/>
      <c r="BG132" s="250"/>
      <c r="BH132" s="250"/>
      <c r="BI132" s="249"/>
      <c r="BJ132" s="249"/>
      <c r="BK132" s="249"/>
      <c r="BL132" s="249"/>
      <c r="BM132" s="249"/>
      <c r="BN132" s="249"/>
      <c r="BO132" s="249"/>
      <c r="BP132" s="250"/>
      <c r="BQ132" s="250"/>
      <c r="BR132" s="250"/>
      <c r="BS132" s="250"/>
      <c r="BT132" s="250"/>
      <c r="BU132" s="250"/>
      <c r="BV132" s="250"/>
      <c r="BW132" s="249"/>
      <c r="BX132" s="249"/>
      <c r="BY132" s="249"/>
      <c r="BZ132" s="249"/>
      <c r="CA132" s="249"/>
      <c r="CB132" s="249"/>
      <c r="CC132" s="249"/>
      <c r="CD132" s="250"/>
      <c r="CE132" s="250"/>
      <c r="CF132" s="250"/>
      <c r="CG132" s="250"/>
      <c r="CH132" s="250"/>
      <c r="CI132" s="250"/>
      <c r="CJ132" s="250"/>
      <c r="CK132" s="249"/>
      <c r="CL132" s="249"/>
      <c r="CM132" s="249"/>
      <c r="CN132" s="249"/>
      <c r="CO132" s="249"/>
      <c r="CP132" s="249"/>
      <c r="CQ132" s="249"/>
      <c r="CR132" s="250"/>
      <c r="CS132" s="250"/>
      <c r="CT132" s="250"/>
      <c r="CU132" s="250"/>
      <c r="CV132" s="250"/>
      <c r="CW132" s="250"/>
      <c r="CX132" s="250"/>
      <c r="CY132" s="249"/>
      <c r="CZ132" s="249"/>
      <c r="DA132" s="249"/>
      <c r="DB132" s="249"/>
      <c r="DC132" s="249"/>
      <c r="DD132" s="249"/>
      <c r="DE132" s="249"/>
      <c r="DF132" s="250"/>
      <c r="DG132" s="250"/>
      <c r="DH132" s="250"/>
      <c r="DI132" s="250"/>
      <c r="DJ132" s="250"/>
      <c r="DK132" s="250"/>
      <c r="DL132" s="250"/>
      <c r="DM132" s="249"/>
      <c r="DN132" s="249"/>
      <c r="DO132" s="249"/>
      <c r="DP132" s="249"/>
      <c r="DQ132" s="249"/>
      <c r="DR132" s="249"/>
      <c r="DS132" s="249"/>
      <c r="DT132" s="250"/>
      <c r="DU132" s="250"/>
      <c r="DV132" s="250"/>
      <c r="DW132" s="250"/>
      <c r="DX132" s="250"/>
      <c r="DY132" s="250"/>
      <c r="DZ132" s="250"/>
      <c r="EA132" s="249"/>
      <c r="EB132" s="249"/>
      <c r="EC132" s="249"/>
      <c r="ED132" s="249"/>
      <c r="EE132" s="249"/>
      <c r="EF132" s="249"/>
      <c r="EG132" s="249"/>
      <c r="EH132" s="250"/>
      <c r="EI132" s="250"/>
      <c r="EJ132" s="250"/>
      <c r="EK132" s="250"/>
      <c r="EL132" s="250"/>
      <c r="EM132" s="250"/>
      <c r="EN132" s="250"/>
      <c r="EO132" s="249">
        <v>8</v>
      </c>
      <c r="EP132" s="249">
        <v>24</v>
      </c>
      <c r="EQ132" s="249">
        <v>24</v>
      </c>
      <c r="ER132" s="249">
        <v>24</v>
      </c>
      <c r="ES132" s="249">
        <v>12</v>
      </c>
      <c r="ET132" s="249"/>
      <c r="EU132" s="249"/>
      <c r="EV132" s="250"/>
      <c r="EW132" s="250"/>
      <c r="EX132" s="250"/>
      <c r="EY132" s="250"/>
      <c r="EZ132" s="250"/>
      <c r="FA132" s="250"/>
      <c r="FB132" s="250"/>
      <c r="FC132" s="249"/>
      <c r="FD132" s="249"/>
      <c r="FE132" s="249"/>
      <c r="FF132" s="249"/>
      <c r="FG132" s="249"/>
      <c r="FH132" s="249"/>
      <c r="FI132" s="249"/>
      <c r="FJ132" s="250"/>
      <c r="FK132" s="250"/>
      <c r="FL132" s="250"/>
      <c r="FM132" s="250"/>
      <c r="FN132" s="250"/>
      <c r="FO132" s="250"/>
      <c r="FP132" s="250"/>
      <c r="FQ132" s="249"/>
      <c r="FR132" s="249"/>
      <c r="FS132" s="249"/>
      <c r="FT132" s="249"/>
      <c r="FU132" s="249"/>
      <c r="FV132" s="249"/>
      <c r="FW132" s="249"/>
      <c r="FX132" s="250"/>
      <c r="FY132" s="250"/>
      <c r="FZ132" s="250"/>
      <c r="GA132" s="250"/>
      <c r="GB132" s="250"/>
      <c r="GC132" s="250"/>
      <c r="GD132" s="250"/>
      <c r="GE132" s="249"/>
      <c r="GF132" s="249"/>
      <c r="GG132" s="249"/>
      <c r="GH132" s="249"/>
      <c r="GI132" s="249"/>
      <c r="GJ132" s="249"/>
      <c r="GK132" s="249"/>
      <c r="GL132" s="250"/>
      <c r="GM132" s="250"/>
      <c r="GN132" s="250"/>
      <c r="GO132" s="250"/>
      <c r="GP132" s="250"/>
      <c r="GQ132" s="250"/>
      <c r="GR132" s="250"/>
      <c r="GS132" s="249"/>
      <c r="GT132" s="249"/>
      <c r="GU132" s="249"/>
      <c r="GV132" s="249"/>
      <c r="GW132" s="249"/>
      <c r="GX132" s="249"/>
      <c r="GY132" s="249"/>
      <c r="GZ132" s="250"/>
      <c r="HA132" s="250"/>
      <c r="HB132" s="250"/>
      <c r="HC132" s="250"/>
      <c r="HD132" s="250"/>
      <c r="HE132" s="250"/>
      <c r="HF132" s="250"/>
      <c r="HG132" s="249"/>
      <c r="HH132" s="249"/>
      <c r="HI132" s="249"/>
      <c r="HJ132" s="249"/>
      <c r="HK132" s="249"/>
      <c r="HL132" s="249"/>
      <c r="HM132" s="249"/>
      <c r="HN132" s="250"/>
      <c r="HO132" s="250"/>
      <c r="HP132" s="250"/>
      <c r="HQ132" s="250"/>
      <c r="HR132" s="250"/>
      <c r="HS132" s="250"/>
      <c r="HT132" s="250"/>
      <c r="HU132" s="249"/>
      <c r="HV132" s="249"/>
      <c r="HW132" s="249"/>
      <c r="HX132" s="249"/>
      <c r="HY132" s="249"/>
      <c r="HZ132" s="249"/>
      <c r="IA132" s="249"/>
      <c r="IB132" s="250"/>
      <c r="IC132" s="250"/>
      <c r="ID132" s="250"/>
      <c r="IE132" s="250"/>
      <c r="IF132" s="250"/>
      <c r="IG132" s="250"/>
      <c r="IH132" s="250"/>
      <c r="II132" s="249"/>
      <c r="IJ132" s="249"/>
      <c r="IK132" s="249"/>
      <c r="IL132" s="249"/>
      <c r="IM132" s="249"/>
      <c r="IN132" s="249"/>
      <c r="IO132" s="249"/>
      <c r="IP132" s="250"/>
      <c r="IQ132" s="250"/>
      <c r="IR132" s="250"/>
      <c r="IS132" s="250"/>
      <c r="IT132" s="250"/>
      <c r="IU132" s="250"/>
      <c r="IV132" s="250"/>
      <c r="IW132" s="249"/>
      <c r="IX132" s="249"/>
      <c r="IY132" s="249"/>
      <c r="IZ132" s="249"/>
      <c r="JA132" s="249"/>
      <c r="JB132" s="249"/>
      <c r="JC132" s="249"/>
      <c r="JD132" s="250"/>
      <c r="JE132" s="250"/>
      <c r="JF132" s="250"/>
      <c r="JG132" s="250"/>
      <c r="JH132" s="250"/>
      <c r="JI132" s="250"/>
      <c r="JJ132" s="250"/>
      <c r="JK132" s="249"/>
      <c r="JL132" s="249"/>
      <c r="JM132" s="249"/>
      <c r="JN132" s="249"/>
      <c r="JO132" s="249"/>
      <c r="JP132" s="249"/>
      <c r="JQ132" s="249"/>
      <c r="JR132" s="250"/>
      <c r="JS132" s="250"/>
      <c r="JT132" s="250"/>
      <c r="JU132" s="250"/>
      <c r="JV132" s="250"/>
      <c r="JW132" s="250"/>
      <c r="JX132" s="250"/>
      <c r="JY132" s="249"/>
      <c r="JZ132" s="249"/>
      <c r="KA132" s="249"/>
      <c r="KB132" s="249"/>
      <c r="KC132" s="249"/>
      <c r="KD132" s="249"/>
      <c r="KE132" s="249"/>
      <c r="KF132" s="250"/>
      <c r="KG132" s="250"/>
      <c r="KH132" s="250"/>
      <c r="KI132" s="250"/>
      <c r="KJ132" s="250"/>
      <c r="KK132" s="250"/>
      <c r="KL132" s="250"/>
      <c r="KM132" s="249"/>
      <c r="KN132" s="249"/>
      <c r="KO132" s="249"/>
      <c r="KP132" s="249"/>
      <c r="KQ132" s="249"/>
      <c r="KR132" s="249"/>
      <c r="KS132" s="249"/>
      <c r="KT132" s="250"/>
      <c r="KU132" s="250"/>
      <c r="KV132" s="250"/>
      <c r="KW132" s="250"/>
      <c r="KX132" s="250"/>
      <c r="KY132" s="250"/>
      <c r="KZ132" s="250"/>
      <c r="LA132" s="249"/>
      <c r="LB132" s="249"/>
      <c r="LC132" s="249"/>
      <c r="LD132" s="249"/>
      <c r="LE132" s="249"/>
      <c r="LF132" s="249"/>
      <c r="LG132" s="249"/>
      <c r="LH132" s="250"/>
      <c r="LI132" s="250"/>
      <c r="LJ132" s="250"/>
      <c r="LK132" s="250"/>
      <c r="LL132" s="250"/>
      <c r="LM132" s="250"/>
      <c r="LN132" s="250"/>
      <c r="LO132" s="249"/>
      <c r="LP132" s="249"/>
      <c r="LQ132" s="249"/>
      <c r="LR132" s="249"/>
      <c r="LS132" s="249"/>
      <c r="LT132" s="249"/>
      <c r="LU132" s="249"/>
      <c r="LV132" s="250"/>
      <c r="LW132" s="250"/>
      <c r="LX132" s="250"/>
      <c r="LY132" s="250"/>
      <c r="LZ132" s="250"/>
      <c r="MA132" s="250"/>
      <c r="MB132" s="250"/>
      <c r="MC132" s="249"/>
      <c r="MD132" s="249"/>
      <c r="ME132" s="249"/>
      <c r="MF132" s="249"/>
      <c r="MG132" s="249"/>
      <c r="MH132" s="249"/>
      <c r="MI132" s="249"/>
      <c r="MJ132" s="250"/>
      <c r="MK132" s="250"/>
      <c r="ML132" s="250"/>
      <c r="MM132" s="250"/>
      <c r="MN132" s="250"/>
      <c r="MO132" s="250"/>
      <c r="MP132" s="250"/>
      <c r="MQ132" s="249"/>
      <c r="MR132" s="249"/>
      <c r="MS132" s="249"/>
      <c r="MT132" s="249"/>
      <c r="MU132" s="249"/>
      <c r="MV132" s="249"/>
      <c r="MW132" s="249"/>
      <c r="MX132" s="250"/>
      <c r="MY132" s="250"/>
      <c r="MZ132" s="250"/>
      <c r="NA132" s="250"/>
      <c r="NB132" s="250"/>
      <c r="NC132" s="250"/>
      <c r="ND132" s="250"/>
      <c r="NE132" s="249"/>
      <c r="NF132" s="249"/>
      <c r="NG132" s="249"/>
      <c r="NH132" s="250"/>
    </row>
    <row r="133" spans="1:372">
      <c r="A133" s="254" t="s">
        <v>985</v>
      </c>
      <c r="B133" s="239" t="s">
        <v>401</v>
      </c>
      <c r="C133" s="240" t="s">
        <v>674</v>
      </c>
      <c r="D133" s="240" t="s">
        <v>982</v>
      </c>
      <c r="E133" s="241">
        <v>160.84809999903516</v>
      </c>
      <c r="F133" s="252">
        <v>146</v>
      </c>
      <c r="G133" s="249"/>
      <c r="H133" s="249"/>
      <c r="I133" s="249"/>
      <c r="J133" s="249"/>
      <c r="K133" s="249"/>
      <c r="L133" s="250"/>
      <c r="M133" s="250"/>
      <c r="N133" s="250"/>
      <c r="O133" s="250"/>
      <c r="P133" s="250"/>
      <c r="Q133" s="250"/>
      <c r="R133" s="250"/>
      <c r="S133" s="249"/>
      <c r="T133" s="249"/>
      <c r="U133" s="249"/>
      <c r="V133" s="249"/>
      <c r="W133" s="249"/>
      <c r="X133" s="249"/>
      <c r="Y133" s="249"/>
      <c r="Z133" s="250"/>
      <c r="AA133" s="250"/>
      <c r="AB133" s="250"/>
      <c r="AC133" s="250"/>
      <c r="AD133" s="250"/>
      <c r="AE133" s="250"/>
      <c r="AF133" s="250"/>
      <c r="AG133" s="249"/>
      <c r="AH133" s="249"/>
      <c r="AI133" s="249"/>
      <c r="AJ133" s="249"/>
      <c r="AK133" s="249"/>
      <c r="AL133" s="249"/>
      <c r="AM133" s="249"/>
      <c r="AN133" s="250"/>
      <c r="AO133" s="250"/>
      <c r="AP133" s="250"/>
      <c r="AQ133" s="250"/>
      <c r="AR133" s="250"/>
      <c r="AS133" s="250"/>
      <c r="AT133" s="250"/>
      <c r="AU133" s="249"/>
      <c r="AV133" s="249"/>
      <c r="AW133" s="249"/>
      <c r="AX133" s="249"/>
      <c r="AY133" s="249"/>
      <c r="AZ133" s="249"/>
      <c r="BA133" s="249"/>
      <c r="BB133" s="250"/>
      <c r="BC133" s="250"/>
      <c r="BD133" s="250"/>
      <c r="BE133" s="250"/>
      <c r="BF133" s="250"/>
      <c r="BG133" s="250"/>
      <c r="BH133" s="250"/>
      <c r="BI133" s="249"/>
      <c r="BJ133" s="249"/>
      <c r="BK133" s="249"/>
      <c r="BL133" s="249"/>
      <c r="BM133" s="249"/>
      <c r="BN133" s="249"/>
      <c r="BO133" s="249"/>
      <c r="BP133" s="250"/>
      <c r="BQ133" s="250"/>
      <c r="BR133" s="250"/>
      <c r="BS133" s="250"/>
      <c r="BT133" s="250"/>
      <c r="BU133" s="250"/>
      <c r="BV133" s="250"/>
      <c r="BW133" s="249"/>
      <c r="BX133" s="249"/>
      <c r="BY133" s="249"/>
      <c r="BZ133" s="249"/>
      <c r="CA133" s="249"/>
      <c r="CB133" s="249"/>
      <c r="CC133" s="249"/>
      <c r="CD133" s="250"/>
      <c r="CE133" s="250"/>
      <c r="CF133" s="250"/>
      <c r="CG133" s="250"/>
      <c r="CH133" s="250"/>
      <c r="CI133" s="250"/>
      <c r="CJ133" s="250"/>
      <c r="CK133" s="249"/>
      <c r="CL133" s="249"/>
      <c r="CM133" s="249"/>
      <c r="CN133" s="249"/>
      <c r="CO133" s="249"/>
      <c r="CP133" s="249"/>
      <c r="CQ133" s="249"/>
      <c r="CR133" s="250"/>
      <c r="CS133" s="250"/>
      <c r="CT133" s="250"/>
      <c r="CU133" s="250"/>
      <c r="CV133" s="250"/>
      <c r="CW133" s="250"/>
      <c r="CX133" s="250"/>
      <c r="CY133" s="249"/>
      <c r="CZ133" s="249"/>
      <c r="DA133" s="249"/>
      <c r="DB133" s="249"/>
      <c r="DC133" s="249"/>
      <c r="DD133" s="249"/>
      <c r="DE133" s="249"/>
      <c r="DF133" s="250"/>
      <c r="DG133" s="250"/>
      <c r="DH133" s="250"/>
      <c r="DI133" s="250"/>
      <c r="DJ133" s="250"/>
      <c r="DK133" s="250"/>
      <c r="DL133" s="250"/>
      <c r="DM133" s="249"/>
      <c r="DN133" s="249"/>
      <c r="DO133" s="249"/>
      <c r="DP133" s="249"/>
      <c r="DQ133" s="249"/>
      <c r="DR133" s="249"/>
      <c r="DS133" s="249"/>
      <c r="DT133" s="250"/>
      <c r="DU133" s="250"/>
      <c r="DV133" s="250"/>
      <c r="DW133" s="250"/>
      <c r="DX133" s="250"/>
      <c r="DY133" s="250"/>
      <c r="DZ133" s="250"/>
      <c r="EA133" s="249"/>
      <c r="EB133" s="249"/>
      <c r="EC133" s="249"/>
      <c r="ED133" s="249"/>
      <c r="EE133" s="249"/>
      <c r="EF133" s="249"/>
      <c r="EG133" s="249"/>
      <c r="EH133" s="250"/>
      <c r="EI133" s="250"/>
      <c r="EJ133" s="250"/>
      <c r="EK133" s="250"/>
      <c r="EL133" s="250"/>
      <c r="EM133" s="250"/>
      <c r="EN133" s="250">
        <v>18</v>
      </c>
      <c r="EO133" s="249">
        <v>24</v>
      </c>
      <c r="EP133" s="249">
        <v>24</v>
      </c>
      <c r="EQ133" s="249">
        <v>24</v>
      </c>
      <c r="ER133" s="249">
        <v>24</v>
      </c>
      <c r="ES133" s="249">
        <v>24</v>
      </c>
      <c r="ET133" s="249">
        <v>8</v>
      </c>
      <c r="EU133" s="249"/>
      <c r="EV133" s="250"/>
      <c r="EW133" s="250"/>
      <c r="EX133" s="250"/>
      <c r="EY133" s="250"/>
      <c r="EZ133" s="250"/>
      <c r="FA133" s="250"/>
      <c r="FB133" s="250"/>
      <c r="FC133" s="249"/>
      <c r="FD133" s="249"/>
      <c r="FE133" s="249"/>
      <c r="FF133" s="249"/>
      <c r="FG133" s="249"/>
      <c r="FH133" s="249"/>
      <c r="FI133" s="249"/>
      <c r="FJ133" s="250"/>
      <c r="FK133" s="250"/>
      <c r="FL133" s="250"/>
      <c r="FM133" s="250"/>
      <c r="FN133" s="250"/>
      <c r="FO133" s="250"/>
      <c r="FP133" s="250"/>
      <c r="FQ133" s="249"/>
      <c r="FR133" s="249"/>
      <c r="FS133" s="249"/>
      <c r="FT133" s="249"/>
      <c r="FU133" s="249"/>
      <c r="FV133" s="249"/>
      <c r="FW133" s="249"/>
      <c r="FX133" s="250"/>
      <c r="FY133" s="250"/>
      <c r="FZ133" s="250"/>
      <c r="GA133" s="250"/>
      <c r="GB133" s="250"/>
      <c r="GC133" s="250"/>
      <c r="GD133" s="250"/>
      <c r="GE133" s="249"/>
      <c r="GF133" s="249"/>
      <c r="GG133" s="249"/>
      <c r="GH133" s="249"/>
      <c r="GI133" s="249"/>
      <c r="GJ133" s="249"/>
      <c r="GK133" s="249"/>
      <c r="GL133" s="250"/>
      <c r="GM133" s="250"/>
      <c r="GN133" s="250"/>
      <c r="GO133" s="250"/>
      <c r="GP133" s="250"/>
      <c r="GQ133" s="250"/>
      <c r="GR133" s="250"/>
      <c r="GS133" s="249"/>
      <c r="GT133" s="249"/>
      <c r="GU133" s="249"/>
      <c r="GV133" s="249"/>
      <c r="GW133" s="249"/>
      <c r="GX133" s="249"/>
      <c r="GY133" s="249"/>
      <c r="GZ133" s="250"/>
      <c r="HA133" s="250"/>
      <c r="HB133" s="250"/>
      <c r="HC133" s="250"/>
      <c r="HD133" s="250"/>
      <c r="HE133" s="250"/>
      <c r="HF133" s="250"/>
      <c r="HG133" s="249"/>
      <c r="HH133" s="249"/>
      <c r="HI133" s="249"/>
      <c r="HJ133" s="249"/>
      <c r="HK133" s="249"/>
      <c r="HL133" s="249"/>
      <c r="HM133" s="249"/>
      <c r="HN133" s="250"/>
      <c r="HO133" s="250"/>
      <c r="HP133" s="250"/>
      <c r="HQ133" s="250"/>
      <c r="HR133" s="250"/>
      <c r="HS133" s="250"/>
      <c r="HT133" s="250"/>
      <c r="HU133" s="249"/>
      <c r="HV133" s="249"/>
      <c r="HW133" s="249"/>
      <c r="HX133" s="249"/>
      <c r="HY133" s="249"/>
      <c r="HZ133" s="249"/>
      <c r="IA133" s="249"/>
      <c r="IB133" s="250"/>
      <c r="IC133" s="250"/>
      <c r="ID133" s="250"/>
      <c r="IE133" s="250"/>
      <c r="IF133" s="250"/>
      <c r="IG133" s="250"/>
      <c r="IH133" s="250"/>
      <c r="II133" s="249"/>
      <c r="IJ133" s="249"/>
      <c r="IK133" s="249"/>
      <c r="IL133" s="249"/>
      <c r="IM133" s="249"/>
      <c r="IN133" s="249"/>
      <c r="IO133" s="249"/>
      <c r="IP133" s="250"/>
      <c r="IQ133" s="250"/>
      <c r="IR133" s="250"/>
      <c r="IS133" s="250"/>
      <c r="IT133" s="250"/>
      <c r="IU133" s="250"/>
      <c r="IV133" s="250"/>
      <c r="IW133" s="249"/>
      <c r="IX133" s="249"/>
      <c r="IY133" s="249"/>
      <c r="IZ133" s="249"/>
      <c r="JA133" s="249"/>
      <c r="JB133" s="249"/>
      <c r="JC133" s="249"/>
      <c r="JD133" s="250"/>
      <c r="JE133" s="250"/>
      <c r="JF133" s="250"/>
      <c r="JG133" s="250"/>
      <c r="JH133" s="250"/>
      <c r="JI133" s="250"/>
      <c r="JJ133" s="250"/>
      <c r="JK133" s="249"/>
      <c r="JL133" s="249"/>
      <c r="JM133" s="249"/>
      <c r="JN133" s="249"/>
      <c r="JO133" s="249"/>
      <c r="JP133" s="249"/>
      <c r="JQ133" s="249"/>
      <c r="JR133" s="250"/>
      <c r="JS133" s="250"/>
      <c r="JT133" s="250"/>
      <c r="JU133" s="250"/>
      <c r="JV133" s="250"/>
      <c r="JW133" s="250"/>
      <c r="JX133" s="250"/>
      <c r="JY133" s="249"/>
      <c r="JZ133" s="249"/>
      <c r="KA133" s="249"/>
      <c r="KB133" s="249"/>
      <c r="KC133" s="249"/>
      <c r="KD133" s="249"/>
      <c r="KE133" s="249"/>
      <c r="KF133" s="250"/>
      <c r="KG133" s="250"/>
      <c r="KH133" s="250"/>
      <c r="KI133" s="250"/>
      <c r="KJ133" s="250"/>
      <c r="KK133" s="250"/>
      <c r="KL133" s="250"/>
      <c r="KM133" s="249"/>
      <c r="KN133" s="249"/>
      <c r="KO133" s="249"/>
      <c r="KP133" s="249"/>
      <c r="KQ133" s="249"/>
      <c r="KR133" s="249"/>
      <c r="KS133" s="249"/>
      <c r="KT133" s="250"/>
      <c r="KU133" s="250"/>
      <c r="KV133" s="250"/>
      <c r="KW133" s="250"/>
      <c r="KX133" s="250"/>
      <c r="KY133" s="250"/>
      <c r="KZ133" s="250"/>
      <c r="LA133" s="249"/>
      <c r="LB133" s="249"/>
      <c r="LC133" s="249"/>
      <c r="LD133" s="249"/>
      <c r="LE133" s="249"/>
      <c r="LF133" s="249"/>
      <c r="LG133" s="249"/>
      <c r="LH133" s="250"/>
      <c r="LI133" s="250"/>
      <c r="LJ133" s="250"/>
      <c r="LK133" s="250"/>
      <c r="LL133" s="250"/>
      <c r="LM133" s="250"/>
      <c r="LN133" s="250"/>
      <c r="LO133" s="249"/>
      <c r="LP133" s="249"/>
      <c r="LQ133" s="249"/>
      <c r="LR133" s="249"/>
      <c r="LS133" s="249"/>
      <c r="LT133" s="249"/>
      <c r="LU133" s="249"/>
      <c r="LV133" s="250"/>
      <c r="LW133" s="250"/>
      <c r="LX133" s="250"/>
      <c r="LY133" s="250"/>
      <c r="LZ133" s="250"/>
      <c r="MA133" s="250"/>
      <c r="MB133" s="250"/>
      <c r="MC133" s="249"/>
      <c r="MD133" s="249"/>
      <c r="ME133" s="249"/>
      <c r="MF133" s="249"/>
      <c r="MG133" s="249"/>
      <c r="MH133" s="249"/>
      <c r="MI133" s="249"/>
      <c r="MJ133" s="250"/>
      <c r="MK133" s="250"/>
      <c r="ML133" s="250"/>
      <c r="MM133" s="250"/>
      <c r="MN133" s="250"/>
      <c r="MO133" s="250"/>
      <c r="MP133" s="250"/>
      <c r="MQ133" s="249"/>
      <c r="MR133" s="249"/>
      <c r="MS133" s="249"/>
      <c r="MT133" s="249"/>
      <c r="MU133" s="249"/>
      <c r="MV133" s="249"/>
      <c r="MW133" s="249"/>
      <c r="MX133" s="250"/>
      <c r="MY133" s="250"/>
      <c r="MZ133" s="250"/>
      <c r="NA133" s="250"/>
      <c r="NB133" s="250"/>
      <c r="NC133" s="250"/>
      <c r="ND133" s="250"/>
      <c r="NE133" s="249"/>
      <c r="NF133" s="249"/>
      <c r="NG133" s="249"/>
      <c r="NH133" s="250"/>
    </row>
    <row r="134" spans="1:372">
      <c r="A134" s="254" t="s">
        <v>985</v>
      </c>
      <c r="B134" s="239" t="s">
        <v>402</v>
      </c>
      <c r="C134" s="240" t="s">
        <v>674</v>
      </c>
      <c r="D134" s="240" t="s">
        <v>982</v>
      </c>
      <c r="E134" s="241">
        <v>150.00232776718337</v>
      </c>
      <c r="F134" s="252">
        <v>142</v>
      </c>
      <c r="G134" s="249"/>
      <c r="H134" s="249"/>
      <c r="I134" s="249"/>
      <c r="J134" s="249"/>
      <c r="K134" s="249"/>
      <c r="L134" s="250"/>
      <c r="M134" s="250"/>
      <c r="N134" s="250"/>
      <c r="O134" s="250"/>
      <c r="P134" s="250"/>
      <c r="Q134" s="250"/>
      <c r="R134" s="250"/>
      <c r="S134" s="249"/>
      <c r="T134" s="249"/>
      <c r="U134" s="249"/>
      <c r="V134" s="249"/>
      <c r="W134" s="249"/>
      <c r="X134" s="249"/>
      <c r="Y134" s="249"/>
      <c r="Z134" s="250"/>
      <c r="AA134" s="250"/>
      <c r="AB134" s="250"/>
      <c r="AC134" s="250"/>
      <c r="AD134" s="250"/>
      <c r="AE134" s="250"/>
      <c r="AF134" s="250"/>
      <c r="AG134" s="249"/>
      <c r="AH134" s="249"/>
      <c r="AI134" s="249"/>
      <c r="AJ134" s="249"/>
      <c r="AK134" s="249"/>
      <c r="AL134" s="249"/>
      <c r="AM134" s="249"/>
      <c r="AN134" s="250"/>
      <c r="AO134" s="250"/>
      <c r="AP134" s="250"/>
      <c r="AQ134" s="250"/>
      <c r="AR134" s="250"/>
      <c r="AS134" s="250"/>
      <c r="AT134" s="250"/>
      <c r="AU134" s="249"/>
      <c r="AV134" s="249"/>
      <c r="AW134" s="249"/>
      <c r="AX134" s="249"/>
      <c r="AY134" s="249"/>
      <c r="AZ134" s="249"/>
      <c r="BA134" s="249"/>
      <c r="BB134" s="250"/>
      <c r="BC134" s="250"/>
      <c r="BD134" s="250"/>
      <c r="BE134" s="250"/>
      <c r="BF134" s="250"/>
      <c r="BG134" s="250"/>
      <c r="BH134" s="250"/>
      <c r="BI134" s="249"/>
      <c r="BJ134" s="249"/>
      <c r="BK134" s="249"/>
      <c r="BL134" s="249"/>
      <c r="BM134" s="249"/>
      <c r="BN134" s="249"/>
      <c r="BO134" s="249"/>
      <c r="BP134" s="250"/>
      <c r="BQ134" s="250"/>
      <c r="BR134" s="250"/>
      <c r="BS134" s="250"/>
      <c r="BT134" s="250"/>
      <c r="BU134" s="250"/>
      <c r="BV134" s="250"/>
      <c r="BW134" s="249"/>
      <c r="BX134" s="249"/>
      <c r="BY134" s="249"/>
      <c r="BZ134" s="249"/>
      <c r="CA134" s="249"/>
      <c r="CB134" s="249"/>
      <c r="CC134" s="249"/>
      <c r="CD134" s="250"/>
      <c r="CE134" s="250"/>
      <c r="CF134" s="250"/>
      <c r="CG134" s="250"/>
      <c r="CH134" s="250"/>
      <c r="CI134" s="250"/>
      <c r="CJ134" s="250"/>
      <c r="CK134" s="249"/>
      <c r="CL134" s="249"/>
      <c r="CM134" s="249"/>
      <c r="CN134" s="249"/>
      <c r="CO134" s="249"/>
      <c r="CP134" s="249"/>
      <c r="CQ134" s="249"/>
      <c r="CR134" s="250"/>
      <c r="CS134" s="250"/>
      <c r="CT134" s="250"/>
      <c r="CU134" s="250"/>
      <c r="CV134" s="250"/>
      <c r="CW134" s="250"/>
      <c r="CX134" s="250"/>
      <c r="CY134" s="249"/>
      <c r="CZ134" s="249"/>
      <c r="DA134" s="249"/>
      <c r="DB134" s="249"/>
      <c r="DC134" s="249"/>
      <c r="DD134" s="249"/>
      <c r="DE134" s="249"/>
      <c r="DF134" s="250"/>
      <c r="DG134" s="250"/>
      <c r="DH134" s="250"/>
      <c r="DI134" s="250"/>
      <c r="DJ134" s="250"/>
      <c r="DK134" s="250"/>
      <c r="DL134" s="250"/>
      <c r="DM134" s="249"/>
      <c r="DN134" s="249"/>
      <c r="DO134" s="249"/>
      <c r="DP134" s="249"/>
      <c r="DQ134" s="249"/>
      <c r="DR134" s="249"/>
      <c r="DS134" s="249"/>
      <c r="DT134" s="250"/>
      <c r="DU134" s="250"/>
      <c r="DV134" s="250"/>
      <c r="DW134" s="250"/>
      <c r="DX134" s="250"/>
      <c r="DY134" s="250"/>
      <c r="DZ134" s="250"/>
      <c r="EA134" s="249"/>
      <c r="EB134" s="249"/>
      <c r="EC134" s="249"/>
      <c r="ED134" s="249"/>
      <c r="EE134" s="249"/>
      <c r="EF134" s="249"/>
      <c r="EG134" s="249"/>
      <c r="EH134" s="250"/>
      <c r="EI134" s="250"/>
      <c r="EJ134" s="250"/>
      <c r="EK134" s="250"/>
      <c r="EL134" s="250"/>
      <c r="EM134" s="250"/>
      <c r="EN134" s="250">
        <v>18</v>
      </c>
      <c r="EO134" s="249">
        <v>24</v>
      </c>
      <c r="EP134" s="249">
        <v>24</v>
      </c>
      <c r="EQ134" s="249">
        <v>24</v>
      </c>
      <c r="ER134" s="249">
        <v>24</v>
      </c>
      <c r="ES134" s="249">
        <v>24</v>
      </c>
      <c r="ET134" s="249">
        <v>4</v>
      </c>
      <c r="EU134" s="249"/>
      <c r="EV134" s="250"/>
      <c r="EW134" s="250"/>
      <c r="EX134" s="250"/>
      <c r="EY134" s="250"/>
      <c r="EZ134" s="250"/>
      <c r="FA134" s="250"/>
      <c r="FB134" s="250"/>
      <c r="FC134" s="249"/>
      <c r="FD134" s="249"/>
      <c r="FE134" s="249"/>
      <c r="FF134" s="249"/>
      <c r="FG134" s="249"/>
      <c r="FH134" s="249"/>
      <c r="FI134" s="249"/>
      <c r="FJ134" s="250"/>
      <c r="FK134" s="250"/>
      <c r="FL134" s="250"/>
      <c r="FM134" s="250"/>
      <c r="FN134" s="250"/>
      <c r="FO134" s="250"/>
      <c r="FP134" s="250"/>
      <c r="FQ134" s="249"/>
      <c r="FR134" s="249"/>
      <c r="FS134" s="249"/>
      <c r="FT134" s="249"/>
      <c r="FU134" s="249"/>
      <c r="FV134" s="249"/>
      <c r="FW134" s="249"/>
      <c r="FX134" s="250"/>
      <c r="FY134" s="250"/>
      <c r="FZ134" s="250"/>
      <c r="GA134" s="250"/>
      <c r="GB134" s="250"/>
      <c r="GC134" s="250"/>
      <c r="GD134" s="250"/>
      <c r="GE134" s="249"/>
      <c r="GF134" s="249"/>
      <c r="GG134" s="249"/>
      <c r="GH134" s="249"/>
      <c r="GI134" s="249"/>
      <c r="GJ134" s="249"/>
      <c r="GK134" s="249"/>
      <c r="GL134" s="250"/>
      <c r="GM134" s="250"/>
      <c r="GN134" s="250"/>
      <c r="GO134" s="250"/>
      <c r="GP134" s="250"/>
      <c r="GQ134" s="250"/>
      <c r="GR134" s="250"/>
      <c r="GS134" s="249"/>
      <c r="GT134" s="249"/>
      <c r="GU134" s="249"/>
      <c r="GV134" s="249"/>
      <c r="GW134" s="249"/>
      <c r="GX134" s="249"/>
      <c r="GY134" s="249"/>
      <c r="GZ134" s="250"/>
      <c r="HA134" s="250"/>
      <c r="HB134" s="250"/>
      <c r="HC134" s="250"/>
      <c r="HD134" s="250"/>
      <c r="HE134" s="250"/>
      <c r="HF134" s="250"/>
      <c r="HG134" s="249"/>
      <c r="HH134" s="249"/>
      <c r="HI134" s="249"/>
      <c r="HJ134" s="249"/>
      <c r="HK134" s="249"/>
      <c r="HL134" s="249"/>
      <c r="HM134" s="249"/>
      <c r="HN134" s="250"/>
      <c r="HO134" s="250"/>
      <c r="HP134" s="250"/>
      <c r="HQ134" s="250"/>
      <c r="HR134" s="250"/>
      <c r="HS134" s="250"/>
      <c r="HT134" s="250"/>
      <c r="HU134" s="249"/>
      <c r="HV134" s="249"/>
      <c r="HW134" s="249"/>
      <c r="HX134" s="249"/>
      <c r="HY134" s="249"/>
      <c r="HZ134" s="249"/>
      <c r="IA134" s="249"/>
      <c r="IB134" s="250"/>
      <c r="IC134" s="250"/>
      <c r="ID134" s="250"/>
      <c r="IE134" s="250"/>
      <c r="IF134" s="250"/>
      <c r="IG134" s="250"/>
      <c r="IH134" s="250"/>
      <c r="II134" s="249"/>
      <c r="IJ134" s="249"/>
      <c r="IK134" s="249"/>
      <c r="IL134" s="249"/>
      <c r="IM134" s="249"/>
      <c r="IN134" s="249"/>
      <c r="IO134" s="249"/>
      <c r="IP134" s="250"/>
      <c r="IQ134" s="250"/>
      <c r="IR134" s="250"/>
      <c r="IS134" s="250"/>
      <c r="IT134" s="250"/>
      <c r="IU134" s="250"/>
      <c r="IV134" s="250"/>
      <c r="IW134" s="249"/>
      <c r="IX134" s="249"/>
      <c r="IY134" s="249"/>
      <c r="IZ134" s="249"/>
      <c r="JA134" s="249"/>
      <c r="JB134" s="249"/>
      <c r="JC134" s="249"/>
      <c r="JD134" s="250"/>
      <c r="JE134" s="250"/>
      <c r="JF134" s="250"/>
      <c r="JG134" s="250"/>
      <c r="JH134" s="250"/>
      <c r="JI134" s="250"/>
      <c r="JJ134" s="250"/>
      <c r="JK134" s="249"/>
      <c r="JL134" s="249"/>
      <c r="JM134" s="249"/>
      <c r="JN134" s="249"/>
      <c r="JO134" s="249"/>
      <c r="JP134" s="249"/>
      <c r="JQ134" s="249"/>
      <c r="JR134" s="250"/>
      <c r="JS134" s="250"/>
      <c r="JT134" s="250"/>
      <c r="JU134" s="250"/>
      <c r="JV134" s="250"/>
      <c r="JW134" s="250"/>
      <c r="JX134" s="250"/>
      <c r="JY134" s="249"/>
      <c r="JZ134" s="249"/>
      <c r="KA134" s="249"/>
      <c r="KB134" s="249"/>
      <c r="KC134" s="249"/>
      <c r="KD134" s="249"/>
      <c r="KE134" s="249"/>
      <c r="KF134" s="250"/>
      <c r="KG134" s="250"/>
      <c r="KH134" s="250"/>
      <c r="KI134" s="250"/>
      <c r="KJ134" s="250"/>
      <c r="KK134" s="250"/>
      <c r="KL134" s="250"/>
      <c r="KM134" s="249"/>
      <c r="KN134" s="249"/>
      <c r="KO134" s="249"/>
      <c r="KP134" s="249"/>
      <c r="KQ134" s="249"/>
      <c r="KR134" s="249"/>
      <c r="KS134" s="249"/>
      <c r="KT134" s="250"/>
      <c r="KU134" s="250"/>
      <c r="KV134" s="250"/>
      <c r="KW134" s="250"/>
      <c r="KX134" s="250"/>
      <c r="KY134" s="250"/>
      <c r="KZ134" s="250"/>
      <c r="LA134" s="249"/>
      <c r="LB134" s="249"/>
      <c r="LC134" s="249"/>
      <c r="LD134" s="249"/>
      <c r="LE134" s="249"/>
      <c r="LF134" s="249"/>
      <c r="LG134" s="249"/>
      <c r="LH134" s="250"/>
      <c r="LI134" s="250"/>
      <c r="LJ134" s="250"/>
      <c r="LK134" s="250"/>
      <c r="LL134" s="250"/>
      <c r="LM134" s="250"/>
      <c r="LN134" s="250"/>
      <c r="LO134" s="249"/>
      <c r="LP134" s="249"/>
      <c r="LQ134" s="249"/>
      <c r="LR134" s="249"/>
      <c r="LS134" s="249"/>
      <c r="LT134" s="249"/>
      <c r="LU134" s="249"/>
      <c r="LV134" s="250"/>
      <c r="LW134" s="250"/>
      <c r="LX134" s="250"/>
      <c r="LY134" s="250"/>
      <c r="LZ134" s="250"/>
      <c r="MA134" s="250"/>
      <c r="MB134" s="250"/>
      <c r="MC134" s="249"/>
      <c r="MD134" s="249"/>
      <c r="ME134" s="249"/>
      <c r="MF134" s="249"/>
      <c r="MG134" s="249"/>
      <c r="MH134" s="249"/>
      <c r="MI134" s="249"/>
      <c r="MJ134" s="250"/>
      <c r="MK134" s="250"/>
      <c r="ML134" s="250"/>
      <c r="MM134" s="250"/>
      <c r="MN134" s="250"/>
      <c r="MO134" s="250"/>
      <c r="MP134" s="250"/>
      <c r="MQ134" s="249"/>
      <c r="MR134" s="249"/>
      <c r="MS134" s="249"/>
      <c r="MT134" s="249"/>
      <c r="MU134" s="249"/>
      <c r="MV134" s="249"/>
      <c r="MW134" s="249"/>
      <c r="MX134" s="250"/>
      <c r="MY134" s="250"/>
      <c r="MZ134" s="250"/>
      <c r="NA134" s="250"/>
      <c r="NB134" s="250"/>
      <c r="NC134" s="250"/>
      <c r="ND134" s="250"/>
      <c r="NE134" s="249"/>
      <c r="NF134" s="249"/>
      <c r="NG134" s="249"/>
      <c r="NH134" s="250"/>
    </row>
    <row r="135" spans="1:372">
      <c r="A135" s="254" t="s">
        <v>985</v>
      </c>
      <c r="B135" s="239" t="s">
        <v>403</v>
      </c>
      <c r="C135" s="240" t="s">
        <v>674</v>
      </c>
      <c r="D135" s="240" t="s">
        <v>982</v>
      </c>
      <c r="E135" s="241">
        <v>164.09894165017204</v>
      </c>
      <c r="F135" s="252">
        <v>146</v>
      </c>
      <c r="G135" s="249"/>
      <c r="H135" s="249"/>
      <c r="I135" s="249"/>
      <c r="J135" s="249"/>
      <c r="K135" s="249"/>
      <c r="L135" s="250"/>
      <c r="M135" s="250"/>
      <c r="N135" s="250"/>
      <c r="O135" s="250"/>
      <c r="P135" s="250"/>
      <c r="Q135" s="250"/>
      <c r="R135" s="250"/>
      <c r="S135" s="249"/>
      <c r="T135" s="249"/>
      <c r="U135" s="249"/>
      <c r="V135" s="249"/>
      <c r="W135" s="249"/>
      <c r="X135" s="249"/>
      <c r="Y135" s="249"/>
      <c r="Z135" s="250"/>
      <c r="AA135" s="250"/>
      <c r="AB135" s="250"/>
      <c r="AC135" s="250"/>
      <c r="AD135" s="250"/>
      <c r="AE135" s="250"/>
      <c r="AF135" s="250"/>
      <c r="AG135" s="249"/>
      <c r="AH135" s="249"/>
      <c r="AI135" s="249"/>
      <c r="AJ135" s="249"/>
      <c r="AK135" s="249"/>
      <c r="AL135" s="249"/>
      <c r="AM135" s="249"/>
      <c r="AN135" s="250"/>
      <c r="AO135" s="250"/>
      <c r="AP135" s="250"/>
      <c r="AQ135" s="250"/>
      <c r="AR135" s="250"/>
      <c r="AS135" s="250"/>
      <c r="AT135" s="250"/>
      <c r="AU135" s="249"/>
      <c r="AV135" s="249"/>
      <c r="AW135" s="249"/>
      <c r="AX135" s="249"/>
      <c r="AY135" s="249"/>
      <c r="AZ135" s="249"/>
      <c r="BA135" s="249"/>
      <c r="BB135" s="250"/>
      <c r="BC135" s="250"/>
      <c r="BD135" s="250"/>
      <c r="BE135" s="250"/>
      <c r="BF135" s="250"/>
      <c r="BG135" s="250"/>
      <c r="BH135" s="250"/>
      <c r="BI135" s="249"/>
      <c r="BJ135" s="249"/>
      <c r="BK135" s="249"/>
      <c r="BL135" s="249"/>
      <c r="BM135" s="249"/>
      <c r="BN135" s="249"/>
      <c r="BO135" s="249"/>
      <c r="BP135" s="250"/>
      <c r="BQ135" s="250"/>
      <c r="BR135" s="250"/>
      <c r="BS135" s="250"/>
      <c r="BT135" s="250"/>
      <c r="BU135" s="250"/>
      <c r="BV135" s="250"/>
      <c r="BW135" s="249"/>
      <c r="BX135" s="249"/>
      <c r="BY135" s="249"/>
      <c r="BZ135" s="249"/>
      <c r="CA135" s="249"/>
      <c r="CB135" s="249"/>
      <c r="CC135" s="249"/>
      <c r="CD135" s="250"/>
      <c r="CE135" s="250"/>
      <c r="CF135" s="250"/>
      <c r="CG135" s="250"/>
      <c r="CH135" s="250"/>
      <c r="CI135" s="250"/>
      <c r="CJ135" s="250"/>
      <c r="CK135" s="249"/>
      <c r="CL135" s="249"/>
      <c r="CM135" s="249"/>
      <c r="CN135" s="249"/>
      <c r="CO135" s="249"/>
      <c r="CP135" s="249"/>
      <c r="CQ135" s="249"/>
      <c r="CR135" s="250"/>
      <c r="CS135" s="250"/>
      <c r="CT135" s="250"/>
      <c r="CU135" s="250"/>
      <c r="CV135" s="250"/>
      <c r="CW135" s="250"/>
      <c r="CX135" s="250"/>
      <c r="CY135" s="249"/>
      <c r="CZ135" s="249"/>
      <c r="DA135" s="249"/>
      <c r="DB135" s="249"/>
      <c r="DC135" s="249"/>
      <c r="DD135" s="249"/>
      <c r="DE135" s="249"/>
      <c r="DF135" s="250"/>
      <c r="DG135" s="250"/>
      <c r="DH135" s="250"/>
      <c r="DI135" s="250"/>
      <c r="DJ135" s="250"/>
      <c r="DK135" s="250"/>
      <c r="DL135" s="250"/>
      <c r="DM135" s="249"/>
      <c r="DN135" s="249"/>
      <c r="DO135" s="249"/>
      <c r="DP135" s="249"/>
      <c r="DQ135" s="249"/>
      <c r="DR135" s="249"/>
      <c r="DS135" s="249"/>
      <c r="DT135" s="250"/>
      <c r="DU135" s="250"/>
      <c r="DV135" s="250"/>
      <c r="DW135" s="250"/>
      <c r="DX135" s="250"/>
      <c r="DY135" s="250"/>
      <c r="DZ135" s="250"/>
      <c r="EA135" s="249"/>
      <c r="EB135" s="249"/>
      <c r="EC135" s="249"/>
      <c r="ED135" s="249"/>
      <c r="EE135" s="249"/>
      <c r="EF135" s="249"/>
      <c r="EG135" s="249"/>
      <c r="EH135" s="250"/>
      <c r="EI135" s="250"/>
      <c r="EJ135" s="250"/>
      <c r="EK135" s="250"/>
      <c r="EL135" s="250"/>
      <c r="EM135" s="250">
        <v>8</v>
      </c>
      <c r="EN135" s="250">
        <v>24</v>
      </c>
      <c r="EO135" s="249">
        <v>24</v>
      </c>
      <c r="EP135" s="249">
        <v>24</v>
      </c>
      <c r="EQ135" s="249">
        <v>24</v>
      </c>
      <c r="ER135" s="249">
        <v>24</v>
      </c>
      <c r="ES135" s="249">
        <v>18</v>
      </c>
      <c r="ET135" s="249"/>
      <c r="EU135" s="249"/>
      <c r="EV135" s="250"/>
      <c r="EW135" s="250"/>
      <c r="EX135" s="250"/>
      <c r="EY135" s="250"/>
      <c r="EZ135" s="250"/>
      <c r="FA135" s="250"/>
      <c r="FB135" s="250"/>
      <c r="FC135" s="249"/>
      <c r="FD135" s="249"/>
      <c r="FE135" s="249"/>
      <c r="FF135" s="249"/>
      <c r="FG135" s="249"/>
      <c r="FH135" s="249"/>
      <c r="FI135" s="249"/>
      <c r="FJ135" s="250"/>
      <c r="FK135" s="250"/>
      <c r="FL135" s="250"/>
      <c r="FM135" s="250"/>
      <c r="FN135" s="250"/>
      <c r="FO135" s="250"/>
      <c r="FP135" s="250"/>
      <c r="FQ135" s="249"/>
      <c r="FR135" s="249"/>
      <c r="FS135" s="249"/>
      <c r="FT135" s="249"/>
      <c r="FU135" s="249"/>
      <c r="FV135" s="249"/>
      <c r="FW135" s="249"/>
      <c r="FX135" s="250"/>
      <c r="FY135" s="250"/>
      <c r="FZ135" s="250"/>
      <c r="GA135" s="250"/>
      <c r="GB135" s="250"/>
      <c r="GC135" s="250"/>
      <c r="GD135" s="250"/>
      <c r="GE135" s="249"/>
      <c r="GF135" s="249"/>
      <c r="GG135" s="249"/>
      <c r="GH135" s="249"/>
      <c r="GI135" s="249"/>
      <c r="GJ135" s="249"/>
      <c r="GK135" s="249"/>
      <c r="GL135" s="250"/>
      <c r="GM135" s="250"/>
      <c r="GN135" s="250"/>
      <c r="GO135" s="250"/>
      <c r="GP135" s="250"/>
      <c r="GQ135" s="250"/>
      <c r="GR135" s="250"/>
      <c r="GS135" s="249"/>
      <c r="GT135" s="249"/>
      <c r="GU135" s="249"/>
      <c r="GV135" s="249"/>
      <c r="GW135" s="249"/>
      <c r="GX135" s="249"/>
      <c r="GY135" s="249"/>
      <c r="GZ135" s="250"/>
      <c r="HA135" s="250"/>
      <c r="HB135" s="250"/>
      <c r="HC135" s="250"/>
      <c r="HD135" s="250"/>
      <c r="HE135" s="250"/>
      <c r="HF135" s="250"/>
      <c r="HG135" s="249"/>
      <c r="HH135" s="249"/>
      <c r="HI135" s="249"/>
      <c r="HJ135" s="249"/>
      <c r="HK135" s="249"/>
      <c r="HL135" s="249"/>
      <c r="HM135" s="249"/>
      <c r="HN135" s="250"/>
      <c r="HO135" s="250"/>
      <c r="HP135" s="250"/>
      <c r="HQ135" s="250"/>
      <c r="HR135" s="250"/>
      <c r="HS135" s="250"/>
      <c r="HT135" s="250"/>
      <c r="HU135" s="249"/>
      <c r="HV135" s="249"/>
      <c r="HW135" s="249"/>
      <c r="HX135" s="249"/>
      <c r="HY135" s="249"/>
      <c r="HZ135" s="249"/>
      <c r="IA135" s="249"/>
      <c r="IB135" s="250"/>
      <c r="IC135" s="250"/>
      <c r="ID135" s="250"/>
      <c r="IE135" s="250"/>
      <c r="IF135" s="250"/>
      <c r="IG135" s="250"/>
      <c r="IH135" s="250"/>
      <c r="II135" s="249"/>
      <c r="IJ135" s="249"/>
      <c r="IK135" s="249"/>
      <c r="IL135" s="249"/>
      <c r="IM135" s="249"/>
      <c r="IN135" s="249"/>
      <c r="IO135" s="249"/>
      <c r="IP135" s="250"/>
      <c r="IQ135" s="250"/>
      <c r="IR135" s="250"/>
      <c r="IS135" s="250"/>
      <c r="IT135" s="250"/>
      <c r="IU135" s="250"/>
      <c r="IV135" s="250"/>
      <c r="IW135" s="249"/>
      <c r="IX135" s="249"/>
      <c r="IY135" s="249"/>
      <c r="IZ135" s="249"/>
      <c r="JA135" s="249"/>
      <c r="JB135" s="249"/>
      <c r="JC135" s="249"/>
      <c r="JD135" s="250"/>
      <c r="JE135" s="250"/>
      <c r="JF135" s="250"/>
      <c r="JG135" s="250"/>
      <c r="JH135" s="250"/>
      <c r="JI135" s="250"/>
      <c r="JJ135" s="250"/>
      <c r="JK135" s="249"/>
      <c r="JL135" s="249"/>
      <c r="JM135" s="249"/>
      <c r="JN135" s="249"/>
      <c r="JO135" s="249"/>
      <c r="JP135" s="249"/>
      <c r="JQ135" s="249"/>
      <c r="JR135" s="250"/>
      <c r="JS135" s="250"/>
      <c r="JT135" s="250"/>
      <c r="JU135" s="250"/>
      <c r="JV135" s="250"/>
      <c r="JW135" s="250"/>
      <c r="JX135" s="250"/>
      <c r="JY135" s="249"/>
      <c r="JZ135" s="249"/>
      <c r="KA135" s="249"/>
      <c r="KB135" s="249"/>
      <c r="KC135" s="249"/>
      <c r="KD135" s="249"/>
      <c r="KE135" s="249"/>
      <c r="KF135" s="250"/>
      <c r="KG135" s="250"/>
      <c r="KH135" s="250"/>
      <c r="KI135" s="250"/>
      <c r="KJ135" s="250"/>
      <c r="KK135" s="250"/>
      <c r="KL135" s="250"/>
      <c r="KM135" s="249"/>
      <c r="KN135" s="249"/>
      <c r="KO135" s="249"/>
      <c r="KP135" s="249"/>
      <c r="KQ135" s="249"/>
      <c r="KR135" s="249"/>
      <c r="KS135" s="249"/>
      <c r="KT135" s="250"/>
      <c r="KU135" s="250"/>
      <c r="KV135" s="250"/>
      <c r="KW135" s="250"/>
      <c r="KX135" s="250"/>
      <c r="KY135" s="250"/>
      <c r="KZ135" s="250"/>
      <c r="LA135" s="249"/>
      <c r="LB135" s="249"/>
      <c r="LC135" s="249"/>
      <c r="LD135" s="249"/>
      <c r="LE135" s="249"/>
      <c r="LF135" s="249"/>
      <c r="LG135" s="249"/>
      <c r="LH135" s="250"/>
      <c r="LI135" s="250"/>
      <c r="LJ135" s="250"/>
      <c r="LK135" s="250"/>
      <c r="LL135" s="250"/>
      <c r="LM135" s="250"/>
      <c r="LN135" s="250"/>
      <c r="LO135" s="249"/>
      <c r="LP135" s="249"/>
      <c r="LQ135" s="249"/>
      <c r="LR135" s="249"/>
      <c r="LS135" s="249"/>
      <c r="LT135" s="249"/>
      <c r="LU135" s="249"/>
      <c r="LV135" s="250"/>
      <c r="LW135" s="250"/>
      <c r="LX135" s="250"/>
      <c r="LY135" s="250"/>
      <c r="LZ135" s="250"/>
      <c r="MA135" s="250"/>
      <c r="MB135" s="250"/>
      <c r="MC135" s="249"/>
      <c r="MD135" s="249"/>
      <c r="ME135" s="249"/>
      <c r="MF135" s="249"/>
      <c r="MG135" s="249"/>
      <c r="MH135" s="249"/>
      <c r="MI135" s="249"/>
      <c r="MJ135" s="250"/>
      <c r="MK135" s="250"/>
      <c r="ML135" s="250"/>
      <c r="MM135" s="250"/>
      <c r="MN135" s="250"/>
      <c r="MO135" s="250"/>
      <c r="MP135" s="250"/>
      <c r="MQ135" s="249"/>
      <c r="MR135" s="249"/>
      <c r="MS135" s="249"/>
      <c r="MT135" s="249"/>
      <c r="MU135" s="249"/>
      <c r="MV135" s="249"/>
      <c r="MW135" s="249"/>
      <c r="MX135" s="250"/>
      <c r="MY135" s="250"/>
      <c r="MZ135" s="250"/>
      <c r="NA135" s="250"/>
      <c r="NB135" s="250"/>
      <c r="NC135" s="250"/>
      <c r="ND135" s="250"/>
      <c r="NE135" s="249"/>
      <c r="NF135" s="249"/>
      <c r="NG135" s="249"/>
      <c r="NH135" s="250"/>
    </row>
    <row r="136" spans="1:372">
      <c r="A136" s="254" t="s">
        <v>985</v>
      </c>
      <c r="B136" s="239" t="s">
        <v>404</v>
      </c>
      <c r="C136" s="240" t="s">
        <v>674</v>
      </c>
      <c r="D136" s="240" t="s">
        <v>982</v>
      </c>
      <c r="E136" s="241">
        <v>158.85285833285658</v>
      </c>
      <c r="F136" s="252">
        <v>144</v>
      </c>
      <c r="G136" s="249"/>
      <c r="H136" s="249"/>
      <c r="I136" s="249"/>
      <c r="J136" s="249"/>
      <c r="K136" s="249"/>
      <c r="L136" s="250"/>
      <c r="M136" s="250"/>
      <c r="N136" s="250"/>
      <c r="O136" s="250"/>
      <c r="P136" s="250"/>
      <c r="Q136" s="250"/>
      <c r="R136" s="250"/>
      <c r="S136" s="249"/>
      <c r="T136" s="249"/>
      <c r="U136" s="249"/>
      <c r="V136" s="249"/>
      <c r="W136" s="249"/>
      <c r="X136" s="249"/>
      <c r="Y136" s="249"/>
      <c r="Z136" s="250"/>
      <c r="AA136" s="250"/>
      <c r="AB136" s="250"/>
      <c r="AC136" s="250"/>
      <c r="AD136" s="250"/>
      <c r="AE136" s="250"/>
      <c r="AF136" s="250"/>
      <c r="AG136" s="249"/>
      <c r="AH136" s="249"/>
      <c r="AI136" s="249"/>
      <c r="AJ136" s="249"/>
      <c r="AK136" s="249"/>
      <c r="AL136" s="249"/>
      <c r="AM136" s="249"/>
      <c r="AN136" s="250"/>
      <c r="AO136" s="250"/>
      <c r="AP136" s="250"/>
      <c r="AQ136" s="250"/>
      <c r="AR136" s="250"/>
      <c r="AS136" s="250"/>
      <c r="AT136" s="250"/>
      <c r="AU136" s="249"/>
      <c r="AV136" s="249"/>
      <c r="AW136" s="249"/>
      <c r="AX136" s="249"/>
      <c r="AY136" s="249"/>
      <c r="AZ136" s="249"/>
      <c r="BA136" s="249"/>
      <c r="BB136" s="250"/>
      <c r="BC136" s="250"/>
      <c r="BD136" s="250"/>
      <c r="BE136" s="250"/>
      <c r="BF136" s="250"/>
      <c r="BG136" s="250"/>
      <c r="BH136" s="250"/>
      <c r="BI136" s="249"/>
      <c r="BJ136" s="249"/>
      <c r="BK136" s="249"/>
      <c r="BL136" s="249"/>
      <c r="BM136" s="249"/>
      <c r="BN136" s="249"/>
      <c r="BO136" s="249"/>
      <c r="BP136" s="250"/>
      <c r="BQ136" s="250"/>
      <c r="BR136" s="250"/>
      <c r="BS136" s="250"/>
      <c r="BT136" s="250"/>
      <c r="BU136" s="250"/>
      <c r="BV136" s="250"/>
      <c r="BW136" s="249"/>
      <c r="BX136" s="249"/>
      <c r="BY136" s="249"/>
      <c r="BZ136" s="249"/>
      <c r="CA136" s="249"/>
      <c r="CB136" s="249"/>
      <c r="CC136" s="249"/>
      <c r="CD136" s="250"/>
      <c r="CE136" s="250"/>
      <c r="CF136" s="250"/>
      <c r="CG136" s="250"/>
      <c r="CH136" s="250"/>
      <c r="CI136" s="250"/>
      <c r="CJ136" s="250"/>
      <c r="CK136" s="249"/>
      <c r="CL136" s="249"/>
      <c r="CM136" s="249"/>
      <c r="CN136" s="249"/>
      <c r="CO136" s="249"/>
      <c r="CP136" s="249"/>
      <c r="CQ136" s="249"/>
      <c r="CR136" s="250"/>
      <c r="CS136" s="250"/>
      <c r="CT136" s="250"/>
      <c r="CU136" s="250"/>
      <c r="CV136" s="250"/>
      <c r="CW136" s="250"/>
      <c r="CX136" s="250"/>
      <c r="CY136" s="249"/>
      <c r="CZ136" s="249"/>
      <c r="DA136" s="249"/>
      <c r="DB136" s="249"/>
      <c r="DC136" s="249"/>
      <c r="DD136" s="249"/>
      <c r="DE136" s="249"/>
      <c r="DF136" s="250"/>
      <c r="DG136" s="250"/>
      <c r="DH136" s="250"/>
      <c r="DI136" s="250"/>
      <c r="DJ136" s="250"/>
      <c r="DK136" s="250"/>
      <c r="DL136" s="250"/>
      <c r="DM136" s="249"/>
      <c r="DN136" s="249"/>
      <c r="DO136" s="249"/>
      <c r="DP136" s="249"/>
      <c r="DQ136" s="249"/>
      <c r="DR136" s="249"/>
      <c r="DS136" s="249"/>
      <c r="DT136" s="250"/>
      <c r="DU136" s="250"/>
      <c r="DV136" s="250"/>
      <c r="DW136" s="250"/>
      <c r="DX136" s="250"/>
      <c r="DY136" s="250"/>
      <c r="DZ136" s="250"/>
      <c r="EA136" s="249"/>
      <c r="EB136" s="249"/>
      <c r="EC136" s="249"/>
      <c r="ED136" s="249"/>
      <c r="EE136" s="249"/>
      <c r="EF136" s="249"/>
      <c r="EG136" s="249"/>
      <c r="EH136" s="250"/>
      <c r="EI136" s="250"/>
      <c r="EJ136" s="250"/>
      <c r="EK136" s="250"/>
      <c r="EL136" s="250"/>
      <c r="EM136" s="250"/>
      <c r="EN136" s="250">
        <v>18</v>
      </c>
      <c r="EO136" s="249">
        <v>24</v>
      </c>
      <c r="EP136" s="249">
        <v>24</v>
      </c>
      <c r="EQ136" s="249">
        <v>24</v>
      </c>
      <c r="ER136" s="249">
        <v>24</v>
      </c>
      <c r="ES136" s="249">
        <v>24</v>
      </c>
      <c r="ET136" s="249">
        <v>6</v>
      </c>
      <c r="EU136" s="249"/>
      <c r="EV136" s="250"/>
      <c r="EW136" s="250"/>
      <c r="EX136" s="250"/>
      <c r="EY136" s="250"/>
      <c r="EZ136" s="250"/>
      <c r="FA136" s="250"/>
      <c r="FB136" s="250"/>
      <c r="FC136" s="249"/>
      <c r="FD136" s="249"/>
      <c r="FE136" s="249"/>
      <c r="FF136" s="249"/>
      <c r="FG136" s="249"/>
      <c r="FH136" s="249"/>
      <c r="FI136" s="249"/>
      <c r="FJ136" s="250"/>
      <c r="FK136" s="250"/>
      <c r="FL136" s="250"/>
      <c r="FM136" s="250"/>
      <c r="FN136" s="250"/>
      <c r="FO136" s="250"/>
      <c r="FP136" s="250"/>
      <c r="FQ136" s="249"/>
      <c r="FR136" s="249"/>
      <c r="FS136" s="249"/>
      <c r="FT136" s="249"/>
      <c r="FU136" s="249"/>
      <c r="FV136" s="249"/>
      <c r="FW136" s="249"/>
      <c r="FX136" s="250"/>
      <c r="FY136" s="250"/>
      <c r="FZ136" s="250"/>
      <c r="GA136" s="250"/>
      <c r="GB136" s="250"/>
      <c r="GC136" s="250"/>
      <c r="GD136" s="250"/>
      <c r="GE136" s="249"/>
      <c r="GF136" s="249"/>
      <c r="GG136" s="249"/>
      <c r="GH136" s="249"/>
      <c r="GI136" s="249"/>
      <c r="GJ136" s="249"/>
      <c r="GK136" s="249"/>
      <c r="GL136" s="250"/>
      <c r="GM136" s="250"/>
      <c r="GN136" s="250"/>
      <c r="GO136" s="250"/>
      <c r="GP136" s="250"/>
      <c r="GQ136" s="250"/>
      <c r="GR136" s="250"/>
      <c r="GS136" s="249"/>
      <c r="GT136" s="249"/>
      <c r="GU136" s="249"/>
      <c r="GV136" s="249"/>
      <c r="GW136" s="249"/>
      <c r="GX136" s="249"/>
      <c r="GY136" s="249"/>
      <c r="GZ136" s="250"/>
      <c r="HA136" s="250"/>
      <c r="HB136" s="250"/>
      <c r="HC136" s="250"/>
      <c r="HD136" s="250"/>
      <c r="HE136" s="250"/>
      <c r="HF136" s="250"/>
      <c r="HG136" s="249"/>
      <c r="HH136" s="249"/>
      <c r="HI136" s="249"/>
      <c r="HJ136" s="249"/>
      <c r="HK136" s="249"/>
      <c r="HL136" s="249"/>
      <c r="HM136" s="249"/>
      <c r="HN136" s="250"/>
      <c r="HO136" s="250"/>
      <c r="HP136" s="250"/>
      <c r="HQ136" s="250"/>
      <c r="HR136" s="250"/>
      <c r="HS136" s="250"/>
      <c r="HT136" s="250"/>
      <c r="HU136" s="249"/>
      <c r="HV136" s="249"/>
      <c r="HW136" s="249"/>
      <c r="HX136" s="249"/>
      <c r="HY136" s="249"/>
      <c r="HZ136" s="249"/>
      <c r="IA136" s="249"/>
      <c r="IB136" s="250"/>
      <c r="IC136" s="250"/>
      <c r="ID136" s="250"/>
      <c r="IE136" s="250"/>
      <c r="IF136" s="250"/>
      <c r="IG136" s="250"/>
      <c r="IH136" s="250"/>
      <c r="II136" s="249"/>
      <c r="IJ136" s="249"/>
      <c r="IK136" s="249"/>
      <c r="IL136" s="249"/>
      <c r="IM136" s="249"/>
      <c r="IN136" s="249"/>
      <c r="IO136" s="249"/>
      <c r="IP136" s="250"/>
      <c r="IQ136" s="250"/>
      <c r="IR136" s="250"/>
      <c r="IS136" s="250"/>
      <c r="IT136" s="250"/>
      <c r="IU136" s="250"/>
      <c r="IV136" s="250"/>
      <c r="IW136" s="249"/>
      <c r="IX136" s="249"/>
      <c r="IY136" s="249"/>
      <c r="IZ136" s="249"/>
      <c r="JA136" s="249"/>
      <c r="JB136" s="249"/>
      <c r="JC136" s="249"/>
      <c r="JD136" s="250"/>
      <c r="JE136" s="250"/>
      <c r="JF136" s="250"/>
      <c r="JG136" s="250"/>
      <c r="JH136" s="250"/>
      <c r="JI136" s="250"/>
      <c r="JJ136" s="250"/>
      <c r="JK136" s="249"/>
      <c r="JL136" s="249"/>
      <c r="JM136" s="249"/>
      <c r="JN136" s="249"/>
      <c r="JO136" s="249"/>
      <c r="JP136" s="249"/>
      <c r="JQ136" s="249"/>
      <c r="JR136" s="250"/>
      <c r="JS136" s="250"/>
      <c r="JT136" s="250"/>
      <c r="JU136" s="250"/>
      <c r="JV136" s="250"/>
      <c r="JW136" s="250"/>
      <c r="JX136" s="250"/>
      <c r="JY136" s="249"/>
      <c r="JZ136" s="249"/>
      <c r="KA136" s="249"/>
      <c r="KB136" s="249"/>
      <c r="KC136" s="249"/>
      <c r="KD136" s="249"/>
      <c r="KE136" s="249"/>
      <c r="KF136" s="250"/>
      <c r="KG136" s="250"/>
      <c r="KH136" s="250"/>
      <c r="KI136" s="250"/>
      <c r="KJ136" s="250"/>
      <c r="KK136" s="250"/>
      <c r="KL136" s="250"/>
      <c r="KM136" s="249"/>
      <c r="KN136" s="249"/>
      <c r="KO136" s="249"/>
      <c r="KP136" s="249"/>
      <c r="KQ136" s="249"/>
      <c r="KR136" s="249"/>
      <c r="KS136" s="249"/>
      <c r="KT136" s="250"/>
      <c r="KU136" s="250"/>
      <c r="KV136" s="250"/>
      <c r="KW136" s="250"/>
      <c r="KX136" s="250"/>
      <c r="KY136" s="250"/>
      <c r="KZ136" s="250"/>
      <c r="LA136" s="249"/>
      <c r="LB136" s="249"/>
      <c r="LC136" s="249"/>
      <c r="LD136" s="249"/>
      <c r="LE136" s="249"/>
      <c r="LF136" s="249"/>
      <c r="LG136" s="249"/>
      <c r="LH136" s="250"/>
      <c r="LI136" s="250"/>
      <c r="LJ136" s="250"/>
      <c r="LK136" s="250"/>
      <c r="LL136" s="250"/>
      <c r="LM136" s="250"/>
      <c r="LN136" s="250"/>
      <c r="LO136" s="249"/>
      <c r="LP136" s="249"/>
      <c r="LQ136" s="249"/>
      <c r="LR136" s="249"/>
      <c r="LS136" s="249"/>
      <c r="LT136" s="249"/>
      <c r="LU136" s="249"/>
      <c r="LV136" s="250"/>
      <c r="LW136" s="250"/>
      <c r="LX136" s="250"/>
      <c r="LY136" s="250"/>
      <c r="LZ136" s="250"/>
      <c r="MA136" s="250"/>
      <c r="MB136" s="250"/>
      <c r="MC136" s="249"/>
      <c r="MD136" s="249"/>
      <c r="ME136" s="249"/>
      <c r="MF136" s="249"/>
      <c r="MG136" s="249"/>
      <c r="MH136" s="249"/>
      <c r="MI136" s="249"/>
      <c r="MJ136" s="250"/>
      <c r="MK136" s="250"/>
      <c r="ML136" s="250"/>
      <c r="MM136" s="250"/>
      <c r="MN136" s="250"/>
      <c r="MO136" s="250"/>
      <c r="MP136" s="250"/>
      <c r="MQ136" s="249"/>
      <c r="MR136" s="249"/>
      <c r="MS136" s="249"/>
      <c r="MT136" s="249"/>
      <c r="MU136" s="249"/>
      <c r="MV136" s="249"/>
      <c r="MW136" s="249"/>
      <c r="MX136" s="250"/>
      <c r="MY136" s="250"/>
      <c r="MZ136" s="250"/>
      <c r="NA136" s="250"/>
      <c r="NB136" s="250"/>
      <c r="NC136" s="250"/>
      <c r="ND136" s="250"/>
      <c r="NE136" s="249"/>
      <c r="NF136" s="249"/>
      <c r="NG136" s="249"/>
      <c r="NH136" s="250"/>
    </row>
    <row r="137" spans="1:372">
      <c r="A137" s="254" t="s">
        <v>985</v>
      </c>
      <c r="B137" s="239" t="s">
        <v>405</v>
      </c>
      <c r="C137" s="240" t="s">
        <v>674</v>
      </c>
      <c r="D137" s="240" t="s">
        <v>982</v>
      </c>
      <c r="E137" s="241">
        <v>183.02903054888523</v>
      </c>
      <c r="F137" s="252">
        <v>158</v>
      </c>
      <c r="G137" s="249"/>
      <c r="H137" s="249"/>
      <c r="I137" s="249"/>
      <c r="J137" s="249"/>
      <c r="K137" s="249"/>
      <c r="L137" s="250"/>
      <c r="M137" s="250"/>
      <c r="N137" s="250"/>
      <c r="O137" s="250"/>
      <c r="P137" s="250"/>
      <c r="Q137" s="250"/>
      <c r="R137" s="250"/>
      <c r="S137" s="249"/>
      <c r="T137" s="249"/>
      <c r="U137" s="249"/>
      <c r="V137" s="249"/>
      <c r="W137" s="249"/>
      <c r="X137" s="249"/>
      <c r="Y137" s="249"/>
      <c r="Z137" s="250"/>
      <c r="AA137" s="250"/>
      <c r="AB137" s="250"/>
      <c r="AC137" s="250"/>
      <c r="AD137" s="250"/>
      <c r="AE137" s="250"/>
      <c r="AF137" s="250"/>
      <c r="AG137" s="249"/>
      <c r="AH137" s="249"/>
      <c r="AI137" s="249"/>
      <c r="AJ137" s="249"/>
      <c r="AK137" s="249"/>
      <c r="AL137" s="249"/>
      <c r="AM137" s="249"/>
      <c r="AN137" s="250"/>
      <c r="AO137" s="250"/>
      <c r="AP137" s="250"/>
      <c r="AQ137" s="250"/>
      <c r="AR137" s="250"/>
      <c r="AS137" s="250"/>
      <c r="AT137" s="250"/>
      <c r="AU137" s="249"/>
      <c r="AV137" s="249"/>
      <c r="AW137" s="249"/>
      <c r="AX137" s="249"/>
      <c r="AY137" s="249"/>
      <c r="AZ137" s="249"/>
      <c r="BA137" s="249"/>
      <c r="BB137" s="250"/>
      <c r="BC137" s="250"/>
      <c r="BD137" s="250"/>
      <c r="BE137" s="250"/>
      <c r="BF137" s="250"/>
      <c r="BG137" s="250"/>
      <c r="BH137" s="250"/>
      <c r="BI137" s="249"/>
      <c r="BJ137" s="249"/>
      <c r="BK137" s="249"/>
      <c r="BL137" s="249"/>
      <c r="BM137" s="249"/>
      <c r="BN137" s="249"/>
      <c r="BO137" s="249"/>
      <c r="BP137" s="250"/>
      <c r="BQ137" s="250"/>
      <c r="BR137" s="250"/>
      <c r="BS137" s="250"/>
      <c r="BT137" s="250"/>
      <c r="BU137" s="250"/>
      <c r="BV137" s="250"/>
      <c r="BW137" s="249"/>
      <c r="BX137" s="249"/>
      <c r="BY137" s="249"/>
      <c r="BZ137" s="249"/>
      <c r="CA137" s="249"/>
      <c r="CB137" s="249"/>
      <c r="CC137" s="249"/>
      <c r="CD137" s="250"/>
      <c r="CE137" s="250"/>
      <c r="CF137" s="250"/>
      <c r="CG137" s="250"/>
      <c r="CH137" s="250"/>
      <c r="CI137" s="250"/>
      <c r="CJ137" s="250"/>
      <c r="CK137" s="249"/>
      <c r="CL137" s="249"/>
      <c r="CM137" s="249"/>
      <c r="CN137" s="249"/>
      <c r="CO137" s="249"/>
      <c r="CP137" s="249"/>
      <c r="CQ137" s="249"/>
      <c r="CR137" s="250"/>
      <c r="CS137" s="250"/>
      <c r="CT137" s="250"/>
      <c r="CU137" s="250"/>
      <c r="CV137" s="250"/>
      <c r="CW137" s="250"/>
      <c r="CX137" s="250"/>
      <c r="CY137" s="249"/>
      <c r="CZ137" s="249"/>
      <c r="DA137" s="249"/>
      <c r="DB137" s="249"/>
      <c r="DC137" s="249"/>
      <c r="DD137" s="249"/>
      <c r="DE137" s="249"/>
      <c r="DF137" s="250"/>
      <c r="DG137" s="250"/>
      <c r="DH137" s="250"/>
      <c r="DI137" s="250"/>
      <c r="DJ137" s="250"/>
      <c r="DK137" s="250"/>
      <c r="DL137" s="250"/>
      <c r="DM137" s="249"/>
      <c r="DN137" s="249"/>
      <c r="DO137" s="249"/>
      <c r="DP137" s="249"/>
      <c r="DQ137" s="249"/>
      <c r="DR137" s="249"/>
      <c r="DS137" s="249"/>
      <c r="DT137" s="250"/>
      <c r="DU137" s="250"/>
      <c r="DV137" s="250"/>
      <c r="DW137" s="250"/>
      <c r="DX137" s="250"/>
      <c r="DY137" s="250"/>
      <c r="DZ137" s="250"/>
      <c r="EA137" s="249"/>
      <c r="EB137" s="249"/>
      <c r="EC137" s="249"/>
      <c r="ED137" s="249"/>
      <c r="EE137" s="249"/>
      <c r="EF137" s="249"/>
      <c r="EG137" s="249"/>
      <c r="EH137" s="250"/>
      <c r="EI137" s="250"/>
      <c r="EJ137" s="250"/>
      <c r="EK137" s="250"/>
      <c r="EL137" s="250"/>
      <c r="EM137" s="250">
        <v>12</v>
      </c>
      <c r="EN137" s="250">
        <v>24</v>
      </c>
      <c r="EO137" s="249">
        <v>24</v>
      </c>
      <c r="EP137" s="249">
        <v>24</v>
      </c>
      <c r="EQ137" s="249">
        <v>24</v>
      </c>
      <c r="ER137" s="249">
        <v>24</v>
      </c>
      <c r="ES137" s="249">
        <v>24</v>
      </c>
      <c r="ET137" s="249">
        <v>2</v>
      </c>
      <c r="EU137" s="249"/>
      <c r="EV137" s="250"/>
      <c r="EW137" s="250"/>
      <c r="EX137" s="250"/>
      <c r="EY137" s="250"/>
      <c r="EZ137" s="250"/>
      <c r="FA137" s="250"/>
      <c r="FB137" s="250"/>
      <c r="FC137" s="249"/>
      <c r="FD137" s="249"/>
      <c r="FE137" s="249"/>
      <c r="FF137" s="249"/>
      <c r="FG137" s="249"/>
      <c r="FH137" s="249"/>
      <c r="FI137" s="249"/>
      <c r="FJ137" s="250"/>
      <c r="FK137" s="250"/>
      <c r="FL137" s="250"/>
      <c r="FM137" s="250"/>
      <c r="FN137" s="250"/>
      <c r="FO137" s="250"/>
      <c r="FP137" s="250"/>
      <c r="FQ137" s="249"/>
      <c r="FR137" s="249"/>
      <c r="FS137" s="249"/>
      <c r="FT137" s="249"/>
      <c r="FU137" s="249"/>
      <c r="FV137" s="249"/>
      <c r="FW137" s="249"/>
      <c r="FX137" s="250"/>
      <c r="FY137" s="250"/>
      <c r="FZ137" s="250"/>
      <c r="GA137" s="250"/>
      <c r="GB137" s="250"/>
      <c r="GC137" s="250"/>
      <c r="GD137" s="250"/>
      <c r="GE137" s="249"/>
      <c r="GF137" s="249"/>
      <c r="GG137" s="249"/>
      <c r="GH137" s="249"/>
      <c r="GI137" s="249"/>
      <c r="GJ137" s="249"/>
      <c r="GK137" s="249"/>
      <c r="GL137" s="250"/>
      <c r="GM137" s="250"/>
      <c r="GN137" s="250"/>
      <c r="GO137" s="250"/>
      <c r="GP137" s="250"/>
      <c r="GQ137" s="250"/>
      <c r="GR137" s="250"/>
      <c r="GS137" s="249"/>
      <c r="GT137" s="249"/>
      <c r="GU137" s="249"/>
      <c r="GV137" s="249"/>
      <c r="GW137" s="249"/>
      <c r="GX137" s="249"/>
      <c r="GY137" s="249"/>
      <c r="GZ137" s="250"/>
      <c r="HA137" s="250"/>
      <c r="HB137" s="250"/>
      <c r="HC137" s="250"/>
      <c r="HD137" s="250"/>
      <c r="HE137" s="250"/>
      <c r="HF137" s="250"/>
      <c r="HG137" s="249"/>
      <c r="HH137" s="249"/>
      <c r="HI137" s="249"/>
      <c r="HJ137" s="249"/>
      <c r="HK137" s="249"/>
      <c r="HL137" s="249"/>
      <c r="HM137" s="249"/>
      <c r="HN137" s="250"/>
      <c r="HO137" s="250"/>
      <c r="HP137" s="250"/>
      <c r="HQ137" s="250"/>
      <c r="HR137" s="250"/>
      <c r="HS137" s="250"/>
      <c r="HT137" s="250"/>
      <c r="HU137" s="249"/>
      <c r="HV137" s="249"/>
      <c r="HW137" s="249"/>
      <c r="HX137" s="249"/>
      <c r="HY137" s="249"/>
      <c r="HZ137" s="249"/>
      <c r="IA137" s="249"/>
      <c r="IB137" s="250"/>
      <c r="IC137" s="250"/>
      <c r="ID137" s="250"/>
      <c r="IE137" s="250"/>
      <c r="IF137" s="250"/>
      <c r="IG137" s="250"/>
      <c r="IH137" s="250"/>
      <c r="II137" s="249"/>
      <c r="IJ137" s="249"/>
      <c r="IK137" s="249"/>
      <c r="IL137" s="249"/>
      <c r="IM137" s="249"/>
      <c r="IN137" s="249"/>
      <c r="IO137" s="249"/>
      <c r="IP137" s="250"/>
      <c r="IQ137" s="250"/>
      <c r="IR137" s="250"/>
      <c r="IS137" s="250"/>
      <c r="IT137" s="250"/>
      <c r="IU137" s="250"/>
      <c r="IV137" s="250"/>
      <c r="IW137" s="249"/>
      <c r="IX137" s="249"/>
      <c r="IY137" s="249"/>
      <c r="IZ137" s="249"/>
      <c r="JA137" s="249"/>
      <c r="JB137" s="249"/>
      <c r="JC137" s="249"/>
      <c r="JD137" s="250"/>
      <c r="JE137" s="250"/>
      <c r="JF137" s="250"/>
      <c r="JG137" s="250"/>
      <c r="JH137" s="250"/>
      <c r="JI137" s="250"/>
      <c r="JJ137" s="250"/>
      <c r="JK137" s="249"/>
      <c r="JL137" s="249"/>
      <c r="JM137" s="249"/>
      <c r="JN137" s="249"/>
      <c r="JO137" s="249"/>
      <c r="JP137" s="249"/>
      <c r="JQ137" s="249"/>
      <c r="JR137" s="250"/>
      <c r="JS137" s="250"/>
      <c r="JT137" s="250"/>
      <c r="JU137" s="250"/>
      <c r="JV137" s="250"/>
      <c r="JW137" s="250"/>
      <c r="JX137" s="250"/>
      <c r="JY137" s="249"/>
      <c r="JZ137" s="249"/>
      <c r="KA137" s="249"/>
      <c r="KB137" s="249"/>
      <c r="KC137" s="249"/>
      <c r="KD137" s="249"/>
      <c r="KE137" s="249"/>
      <c r="KF137" s="250"/>
      <c r="KG137" s="250"/>
      <c r="KH137" s="250"/>
      <c r="KI137" s="250"/>
      <c r="KJ137" s="250"/>
      <c r="KK137" s="250"/>
      <c r="KL137" s="250"/>
      <c r="KM137" s="249"/>
      <c r="KN137" s="249"/>
      <c r="KO137" s="249"/>
      <c r="KP137" s="249"/>
      <c r="KQ137" s="249"/>
      <c r="KR137" s="249"/>
      <c r="KS137" s="249"/>
      <c r="KT137" s="250"/>
      <c r="KU137" s="250"/>
      <c r="KV137" s="250"/>
      <c r="KW137" s="250"/>
      <c r="KX137" s="250"/>
      <c r="KY137" s="250"/>
      <c r="KZ137" s="250"/>
      <c r="LA137" s="249"/>
      <c r="LB137" s="249"/>
      <c r="LC137" s="249"/>
      <c r="LD137" s="249"/>
      <c r="LE137" s="249"/>
      <c r="LF137" s="249"/>
      <c r="LG137" s="249"/>
      <c r="LH137" s="250"/>
      <c r="LI137" s="250"/>
      <c r="LJ137" s="250"/>
      <c r="LK137" s="250"/>
      <c r="LL137" s="250"/>
      <c r="LM137" s="250"/>
      <c r="LN137" s="250"/>
      <c r="LO137" s="249"/>
      <c r="LP137" s="249"/>
      <c r="LQ137" s="249"/>
      <c r="LR137" s="249"/>
      <c r="LS137" s="249"/>
      <c r="LT137" s="249"/>
      <c r="LU137" s="249"/>
      <c r="LV137" s="250"/>
      <c r="LW137" s="250"/>
      <c r="LX137" s="250"/>
      <c r="LY137" s="250"/>
      <c r="LZ137" s="250"/>
      <c r="MA137" s="250"/>
      <c r="MB137" s="250"/>
      <c r="MC137" s="249"/>
      <c r="MD137" s="249"/>
      <c r="ME137" s="249"/>
      <c r="MF137" s="249"/>
      <c r="MG137" s="249"/>
      <c r="MH137" s="249"/>
      <c r="MI137" s="249"/>
      <c r="MJ137" s="250"/>
      <c r="MK137" s="250"/>
      <c r="ML137" s="250"/>
      <c r="MM137" s="250"/>
      <c r="MN137" s="250"/>
      <c r="MO137" s="250"/>
      <c r="MP137" s="250"/>
      <c r="MQ137" s="249"/>
      <c r="MR137" s="249"/>
      <c r="MS137" s="249"/>
      <c r="MT137" s="249"/>
      <c r="MU137" s="249"/>
      <c r="MV137" s="249"/>
      <c r="MW137" s="249"/>
      <c r="MX137" s="250"/>
      <c r="MY137" s="250"/>
      <c r="MZ137" s="250"/>
      <c r="NA137" s="250"/>
      <c r="NB137" s="250"/>
      <c r="NC137" s="250"/>
      <c r="ND137" s="250"/>
      <c r="NE137" s="249"/>
      <c r="NF137" s="249"/>
      <c r="NG137" s="249"/>
      <c r="NH137" s="250"/>
    </row>
    <row r="138" spans="1:372">
      <c r="A138" s="254" t="s">
        <v>985</v>
      </c>
      <c r="B138" s="239" t="s">
        <v>406</v>
      </c>
      <c r="C138" s="240" t="s">
        <v>674</v>
      </c>
      <c r="D138" s="240" t="s">
        <v>982</v>
      </c>
      <c r="E138" s="241">
        <v>165.62211110008562</v>
      </c>
      <c r="F138" s="252">
        <v>132</v>
      </c>
      <c r="G138" s="249"/>
      <c r="H138" s="249"/>
      <c r="I138" s="249"/>
      <c r="J138" s="249"/>
      <c r="K138" s="249"/>
      <c r="L138" s="250"/>
      <c r="M138" s="250"/>
      <c r="N138" s="250"/>
      <c r="O138" s="250"/>
      <c r="P138" s="250"/>
      <c r="Q138" s="250"/>
      <c r="R138" s="250"/>
      <c r="S138" s="249"/>
      <c r="T138" s="249"/>
      <c r="U138" s="249"/>
      <c r="V138" s="249"/>
      <c r="W138" s="249"/>
      <c r="X138" s="249"/>
      <c r="Y138" s="249"/>
      <c r="Z138" s="250"/>
      <c r="AA138" s="250"/>
      <c r="AB138" s="250"/>
      <c r="AC138" s="250"/>
      <c r="AD138" s="250"/>
      <c r="AE138" s="250"/>
      <c r="AF138" s="250"/>
      <c r="AG138" s="249"/>
      <c r="AH138" s="249"/>
      <c r="AI138" s="249"/>
      <c r="AJ138" s="249"/>
      <c r="AK138" s="249"/>
      <c r="AL138" s="249"/>
      <c r="AM138" s="249"/>
      <c r="AN138" s="250"/>
      <c r="AO138" s="250"/>
      <c r="AP138" s="250"/>
      <c r="AQ138" s="250"/>
      <c r="AR138" s="250"/>
      <c r="AS138" s="250"/>
      <c r="AT138" s="250"/>
      <c r="AU138" s="249"/>
      <c r="AV138" s="249"/>
      <c r="AW138" s="249"/>
      <c r="AX138" s="249"/>
      <c r="AY138" s="249"/>
      <c r="AZ138" s="249"/>
      <c r="BA138" s="249"/>
      <c r="BB138" s="250"/>
      <c r="BC138" s="250"/>
      <c r="BD138" s="250"/>
      <c r="BE138" s="250"/>
      <c r="BF138" s="250"/>
      <c r="BG138" s="250"/>
      <c r="BH138" s="250"/>
      <c r="BI138" s="249"/>
      <c r="BJ138" s="249"/>
      <c r="BK138" s="249"/>
      <c r="BL138" s="249"/>
      <c r="BM138" s="249"/>
      <c r="BN138" s="249"/>
      <c r="BO138" s="249"/>
      <c r="BP138" s="250"/>
      <c r="BQ138" s="250"/>
      <c r="BR138" s="250"/>
      <c r="BS138" s="250"/>
      <c r="BT138" s="250"/>
      <c r="BU138" s="250"/>
      <c r="BV138" s="250"/>
      <c r="BW138" s="249"/>
      <c r="BX138" s="249"/>
      <c r="BY138" s="249"/>
      <c r="BZ138" s="249"/>
      <c r="CA138" s="249"/>
      <c r="CB138" s="249"/>
      <c r="CC138" s="249"/>
      <c r="CD138" s="250"/>
      <c r="CE138" s="250"/>
      <c r="CF138" s="250"/>
      <c r="CG138" s="250"/>
      <c r="CH138" s="250"/>
      <c r="CI138" s="250"/>
      <c r="CJ138" s="250"/>
      <c r="CK138" s="249"/>
      <c r="CL138" s="249"/>
      <c r="CM138" s="249"/>
      <c r="CN138" s="249"/>
      <c r="CO138" s="249"/>
      <c r="CP138" s="249"/>
      <c r="CQ138" s="249"/>
      <c r="CR138" s="250"/>
      <c r="CS138" s="250"/>
      <c r="CT138" s="250"/>
      <c r="CU138" s="250"/>
      <c r="CV138" s="250"/>
      <c r="CW138" s="250"/>
      <c r="CX138" s="250"/>
      <c r="CY138" s="249"/>
      <c r="CZ138" s="249"/>
      <c r="DA138" s="249"/>
      <c r="DB138" s="249"/>
      <c r="DC138" s="249"/>
      <c r="DD138" s="249"/>
      <c r="DE138" s="249"/>
      <c r="DF138" s="250"/>
      <c r="DG138" s="250"/>
      <c r="DH138" s="250"/>
      <c r="DI138" s="250"/>
      <c r="DJ138" s="250"/>
      <c r="DK138" s="250"/>
      <c r="DL138" s="250"/>
      <c r="DM138" s="249"/>
      <c r="DN138" s="249"/>
      <c r="DO138" s="249"/>
      <c r="DP138" s="249"/>
      <c r="DQ138" s="249"/>
      <c r="DR138" s="249"/>
      <c r="DS138" s="249"/>
      <c r="DT138" s="250"/>
      <c r="DU138" s="250"/>
      <c r="DV138" s="250"/>
      <c r="DW138" s="250"/>
      <c r="DX138" s="250"/>
      <c r="DY138" s="250"/>
      <c r="DZ138" s="250"/>
      <c r="EA138" s="249"/>
      <c r="EB138" s="249"/>
      <c r="EC138" s="249"/>
      <c r="ED138" s="249"/>
      <c r="EE138" s="249"/>
      <c r="EF138" s="249"/>
      <c r="EG138" s="249"/>
      <c r="EH138" s="250"/>
      <c r="EI138" s="250"/>
      <c r="EJ138" s="250"/>
      <c r="EK138" s="250"/>
      <c r="EL138" s="250"/>
      <c r="EM138" s="250"/>
      <c r="EN138" s="250">
        <v>20</v>
      </c>
      <c r="EO138" s="249">
        <v>24</v>
      </c>
      <c r="EP138" s="249">
        <v>24</v>
      </c>
      <c r="EQ138" s="249">
        <v>24</v>
      </c>
      <c r="ER138" s="249">
        <v>24</v>
      </c>
      <c r="ES138" s="249">
        <v>16</v>
      </c>
      <c r="ET138" s="249"/>
      <c r="EU138" s="249"/>
      <c r="EV138" s="250"/>
      <c r="EW138" s="250"/>
      <c r="EX138" s="250"/>
      <c r="EY138" s="250"/>
      <c r="EZ138" s="250"/>
      <c r="FA138" s="250"/>
      <c r="FB138" s="250"/>
      <c r="FC138" s="249"/>
      <c r="FD138" s="249"/>
      <c r="FE138" s="249"/>
      <c r="FF138" s="249"/>
      <c r="FG138" s="249"/>
      <c r="FH138" s="249"/>
      <c r="FI138" s="249"/>
      <c r="FJ138" s="250"/>
      <c r="FK138" s="250"/>
      <c r="FL138" s="250"/>
      <c r="FM138" s="250"/>
      <c r="FN138" s="250"/>
      <c r="FO138" s="250"/>
      <c r="FP138" s="250"/>
      <c r="FQ138" s="249"/>
      <c r="FR138" s="249"/>
      <c r="FS138" s="249"/>
      <c r="FT138" s="249"/>
      <c r="FU138" s="249"/>
      <c r="FV138" s="249"/>
      <c r="FW138" s="249"/>
      <c r="FX138" s="250"/>
      <c r="FY138" s="250"/>
      <c r="FZ138" s="250"/>
      <c r="GA138" s="250"/>
      <c r="GB138" s="250"/>
      <c r="GC138" s="250"/>
      <c r="GD138" s="250"/>
      <c r="GE138" s="249"/>
      <c r="GF138" s="249"/>
      <c r="GG138" s="249"/>
      <c r="GH138" s="249"/>
      <c r="GI138" s="249"/>
      <c r="GJ138" s="249"/>
      <c r="GK138" s="249"/>
      <c r="GL138" s="250"/>
      <c r="GM138" s="250"/>
      <c r="GN138" s="250"/>
      <c r="GO138" s="250"/>
      <c r="GP138" s="250"/>
      <c r="GQ138" s="250"/>
      <c r="GR138" s="250"/>
      <c r="GS138" s="249"/>
      <c r="GT138" s="249"/>
      <c r="GU138" s="249"/>
      <c r="GV138" s="249"/>
      <c r="GW138" s="249"/>
      <c r="GX138" s="249"/>
      <c r="GY138" s="249"/>
      <c r="GZ138" s="250"/>
      <c r="HA138" s="250"/>
      <c r="HB138" s="250"/>
      <c r="HC138" s="250"/>
      <c r="HD138" s="250"/>
      <c r="HE138" s="250"/>
      <c r="HF138" s="250"/>
      <c r="HG138" s="249"/>
      <c r="HH138" s="249"/>
      <c r="HI138" s="249"/>
      <c r="HJ138" s="249"/>
      <c r="HK138" s="249"/>
      <c r="HL138" s="249"/>
      <c r="HM138" s="249"/>
      <c r="HN138" s="250"/>
      <c r="HO138" s="250"/>
      <c r="HP138" s="250"/>
      <c r="HQ138" s="250"/>
      <c r="HR138" s="250"/>
      <c r="HS138" s="250"/>
      <c r="HT138" s="250"/>
      <c r="HU138" s="249"/>
      <c r="HV138" s="249"/>
      <c r="HW138" s="249"/>
      <c r="HX138" s="249"/>
      <c r="HY138" s="249"/>
      <c r="HZ138" s="249"/>
      <c r="IA138" s="249"/>
      <c r="IB138" s="250"/>
      <c r="IC138" s="250"/>
      <c r="ID138" s="250"/>
      <c r="IE138" s="250"/>
      <c r="IF138" s="250"/>
      <c r="IG138" s="250"/>
      <c r="IH138" s="250"/>
      <c r="II138" s="249"/>
      <c r="IJ138" s="249"/>
      <c r="IK138" s="249"/>
      <c r="IL138" s="249"/>
      <c r="IM138" s="249"/>
      <c r="IN138" s="249"/>
      <c r="IO138" s="249"/>
      <c r="IP138" s="250"/>
      <c r="IQ138" s="250"/>
      <c r="IR138" s="250"/>
      <c r="IS138" s="250"/>
      <c r="IT138" s="250"/>
      <c r="IU138" s="250"/>
      <c r="IV138" s="250"/>
      <c r="IW138" s="249"/>
      <c r="IX138" s="249"/>
      <c r="IY138" s="249"/>
      <c r="IZ138" s="249"/>
      <c r="JA138" s="249"/>
      <c r="JB138" s="249"/>
      <c r="JC138" s="249"/>
      <c r="JD138" s="250"/>
      <c r="JE138" s="250"/>
      <c r="JF138" s="250"/>
      <c r="JG138" s="250"/>
      <c r="JH138" s="250"/>
      <c r="JI138" s="250"/>
      <c r="JJ138" s="250"/>
      <c r="JK138" s="249"/>
      <c r="JL138" s="249"/>
      <c r="JM138" s="249"/>
      <c r="JN138" s="249"/>
      <c r="JO138" s="249"/>
      <c r="JP138" s="249"/>
      <c r="JQ138" s="249"/>
      <c r="JR138" s="250"/>
      <c r="JS138" s="250"/>
      <c r="JT138" s="250"/>
      <c r="JU138" s="250"/>
      <c r="JV138" s="250"/>
      <c r="JW138" s="250"/>
      <c r="JX138" s="250"/>
      <c r="JY138" s="249"/>
      <c r="JZ138" s="249"/>
      <c r="KA138" s="249"/>
      <c r="KB138" s="249"/>
      <c r="KC138" s="249"/>
      <c r="KD138" s="249"/>
      <c r="KE138" s="249"/>
      <c r="KF138" s="250"/>
      <c r="KG138" s="250"/>
      <c r="KH138" s="250"/>
      <c r="KI138" s="250"/>
      <c r="KJ138" s="250"/>
      <c r="KK138" s="250"/>
      <c r="KL138" s="250"/>
      <c r="KM138" s="249"/>
      <c r="KN138" s="249"/>
      <c r="KO138" s="249"/>
      <c r="KP138" s="249"/>
      <c r="KQ138" s="249"/>
      <c r="KR138" s="249"/>
      <c r="KS138" s="249"/>
      <c r="KT138" s="250"/>
      <c r="KU138" s="250"/>
      <c r="KV138" s="250"/>
      <c r="KW138" s="250"/>
      <c r="KX138" s="250"/>
      <c r="KY138" s="250"/>
      <c r="KZ138" s="250"/>
      <c r="LA138" s="249"/>
      <c r="LB138" s="249"/>
      <c r="LC138" s="249"/>
      <c r="LD138" s="249"/>
      <c r="LE138" s="249"/>
      <c r="LF138" s="249"/>
      <c r="LG138" s="249"/>
      <c r="LH138" s="250"/>
      <c r="LI138" s="250"/>
      <c r="LJ138" s="250"/>
      <c r="LK138" s="250"/>
      <c r="LL138" s="250"/>
      <c r="LM138" s="250"/>
      <c r="LN138" s="250"/>
      <c r="LO138" s="249"/>
      <c r="LP138" s="249"/>
      <c r="LQ138" s="249"/>
      <c r="LR138" s="249"/>
      <c r="LS138" s="249"/>
      <c r="LT138" s="249"/>
      <c r="LU138" s="249"/>
      <c r="LV138" s="250"/>
      <c r="LW138" s="250"/>
      <c r="LX138" s="250"/>
      <c r="LY138" s="250"/>
      <c r="LZ138" s="250"/>
      <c r="MA138" s="250"/>
      <c r="MB138" s="250"/>
      <c r="MC138" s="249"/>
      <c r="MD138" s="249"/>
      <c r="ME138" s="249"/>
      <c r="MF138" s="249"/>
      <c r="MG138" s="249"/>
      <c r="MH138" s="249"/>
      <c r="MI138" s="249"/>
      <c r="MJ138" s="250"/>
      <c r="MK138" s="250"/>
      <c r="ML138" s="250"/>
      <c r="MM138" s="250"/>
      <c r="MN138" s="250"/>
      <c r="MO138" s="250"/>
      <c r="MP138" s="250"/>
      <c r="MQ138" s="249"/>
      <c r="MR138" s="249"/>
      <c r="MS138" s="249"/>
      <c r="MT138" s="249"/>
      <c r="MU138" s="249"/>
      <c r="MV138" s="249"/>
      <c r="MW138" s="249"/>
      <c r="MX138" s="250"/>
      <c r="MY138" s="250"/>
      <c r="MZ138" s="250"/>
      <c r="NA138" s="250"/>
      <c r="NB138" s="250"/>
      <c r="NC138" s="250"/>
      <c r="ND138" s="250"/>
      <c r="NE138" s="249"/>
      <c r="NF138" s="249"/>
      <c r="NG138" s="249"/>
      <c r="NH138" s="250"/>
    </row>
    <row r="139" spans="1:372">
      <c r="A139" s="254" t="s">
        <v>985</v>
      </c>
      <c r="B139" s="239" t="s">
        <v>407</v>
      </c>
      <c r="C139" s="240" t="s">
        <v>674</v>
      </c>
      <c r="D139" s="240" t="s">
        <v>982</v>
      </c>
      <c r="E139" s="241">
        <v>150.13105553452669</v>
      </c>
      <c r="F139" s="252">
        <v>130</v>
      </c>
      <c r="G139" s="249"/>
      <c r="H139" s="249"/>
      <c r="I139" s="249"/>
      <c r="J139" s="249"/>
      <c r="K139" s="249"/>
      <c r="L139" s="250"/>
      <c r="M139" s="250"/>
      <c r="N139" s="250"/>
      <c r="O139" s="250"/>
      <c r="P139" s="250"/>
      <c r="Q139" s="250"/>
      <c r="R139" s="250"/>
      <c r="S139" s="249"/>
      <c r="T139" s="249"/>
      <c r="U139" s="249"/>
      <c r="V139" s="249"/>
      <c r="W139" s="249"/>
      <c r="X139" s="249"/>
      <c r="Y139" s="249"/>
      <c r="Z139" s="250"/>
      <c r="AA139" s="250"/>
      <c r="AB139" s="250"/>
      <c r="AC139" s="250"/>
      <c r="AD139" s="250"/>
      <c r="AE139" s="250"/>
      <c r="AF139" s="250"/>
      <c r="AG139" s="249"/>
      <c r="AH139" s="249"/>
      <c r="AI139" s="249"/>
      <c r="AJ139" s="249"/>
      <c r="AK139" s="249"/>
      <c r="AL139" s="249"/>
      <c r="AM139" s="249"/>
      <c r="AN139" s="250"/>
      <c r="AO139" s="250"/>
      <c r="AP139" s="250"/>
      <c r="AQ139" s="250"/>
      <c r="AR139" s="250"/>
      <c r="AS139" s="250"/>
      <c r="AT139" s="250"/>
      <c r="AU139" s="249"/>
      <c r="AV139" s="249"/>
      <c r="AW139" s="249"/>
      <c r="AX139" s="249"/>
      <c r="AY139" s="249"/>
      <c r="AZ139" s="249"/>
      <c r="BA139" s="249"/>
      <c r="BB139" s="250"/>
      <c r="BC139" s="250"/>
      <c r="BD139" s="250"/>
      <c r="BE139" s="250"/>
      <c r="BF139" s="250"/>
      <c r="BG139" s="250"/>
      <c r="BH139" s="250"/>
      <c r="BI139" s="249"/>
      <c r="BJ139" s="249"/>
      <c r="BK139" s="249"/>
      <c r="BL139" s="249"/>
      <c r="BM139" s="249"/>
      <c r="BN139" s="249"/>
      <c r="BO139" s="249"/>
      <c r="BP139" s="250"/>
      <c r="BQ139" s="250"/>
      <c r="BR139" s="250"/>
      <c r="BS139" s="250"/>
      <c r="BT139" s="250"/>
      <c r="BU139" s="250"/>
      <c r="BV139" s="250"/>
      <c r="BW139" s="249"/>
      <c r="BX139" s="249"/>
      <c r="BY139" s="249"/>
      <c r="BZ139" s="249"/>
      <c r="CA139" s="249"/>
      <c r="CB139" s="249"/>
      <c r="CC139" s="249"/>
      <c r="CD139" s="250"/>
      <c r="CE139" s="250"/>
      <c r="CF139" s="250"/>
      <c r="CG139" s="250"/>
      <c r="CH139" s="250"/>
      <c r="CI139" s="250"/>
      <c r="CJ139" s="250"/>
      <c r="CK139" s="249"/>
      <c r="CL139" s="249"/>
      <c r="CM139" s="249"/>
      <c r="CN139" s="249"/>
      <c r="CO139" s="249"/>
      <c r="CP139" s="249"/>
      <c r="CQ139" s="249"/>
      <c r="CR139" s="250"/>
      <c r="CS139" s="250"/>
      <c r="CT139" s="250"/>
      <c r="CU139" s="250"/>
      <c r="CV139" s="250"/>
      <c r="CW139" s="250"/>
      <c r="CX139" s="250"/>
      <c r="CY139" s="249"/>
      <c r="CZ139" s="249"/>
      <c r="DA139" s="249"/>
      <c r="DB139" s="249"/>
      <c r="DC139" s="249"/>
      <c r="DD139" s="249"/>
      <c r="DE139" s="249"/>
      <c r="DF139" s="250"/>
      <c r="DG139" s="250"/>
      <c r="DH139" s="250"/>
      <c r="DI139" s="250"/>
      <c r="DJ139" s="250"/>
      <c r="DK139" s="250"/>
      <c r="DL139" s="250"/>
      <c r="DM139" s="249"/>
      <c r="DN139" s="249"/>
      <c r="DO139" s="249"/>
      <c r="DP139" s="249"/>
      <c r="DQ139" s="249"/>
      <c r="DR139" s="249"/>
      <c r="DS139" s="249"/>
      <c r="DT139" s="250"/>
      <c r="DU139" s="250"/>
      <c r="DV139" s="250"/>
      <c r="DW139" s="250"/>
      <c r="DX139" s="250"/>
      <c r="DY139" s="250"/>
      <c r="DZ139" s="250"/>
      <c r="EA139" s="249"/>
      <c r="EB139" s="249"/>
      <c r="EC139" s="249"/>
      <c r="ED139" s="249"/>
      <c r="EE139" s="249"/>
      <c r="EF139" s="249"/>
      <c r="EG139" s="249"/>
      <c r="EH139" s="250"/>
      <c r="EI139" s="250"/>
      <c r="EJ139" s="250"/>
      <c r="EK139" s="250"/>
      <c r="EL139" s="250"/>
      <c r="EM139" s="250"/>
      <c r="EN139" s="250">
        <v>20</v>
      </c>
      <c r="EO139" s="249">
        <v>24</v>
      </c>
      <c r="EP139" s="249">
        <v>24</v>
      </c>
      <c r="EQ139" s="249">
        <v>24</v>
      </c>
      <c r="ER139" s="249">
        <v>24</v>
      </c>
      <c r="ES139" s="249">
        <v>14</v>
      </c>
      <c r="ET139" s="249"/>
      <c r="EU139" s="249"/>
      <c r="EV139" s="250"/>
      <c r="EW139" s="250"/>
      <c r="EX139" s="250"/>
      <c r="EY139" s="250"/>
      <c r="EZ139" s="250"/>
      <c r="FA139" s="250"/>
      <c r="FB139" s="250"/>
      <c r="FC139" s="249"/>
      <c r="FD139" s="249"/>
      <c r="FE139" s="249"/>
      <c r="FF139" s="249"/>
      <c r="FG139" s="249"/>
      <c r="FH139" s="249"/>
      <c r="FI139" s="249"/>
      <c r="FJ139" s="250"/>
      <c r="FK139" s="250"/>
      <c r="FL139" s="250"/>
      <c r="FM139" s="250"/>
      <c r="FN139" s="250"/>
      <c r="FO139" s="250"/>
      <c r="FP139" s="250"/>
      <c r="FQ139" s="249"/>
      <c r="FR139" s="249"/>
      <c r="FS139" s="249"/>
      <c r="FT139" s="249"/>
      <c r="FU139" s="249"/>
      <c r="FV139" s="249"/>
      <c r="FW139" s="249"/>
      <c r="FX139" s="250"/>
      <c r="FY139" s="250"/>
      <c r="FZ139" s="250"/>
      <c r="GA139" s="250"/>
      <c r="GB139" s="250"/>
      <c r="GC139" s="250"/>
      <c r="GD139" s="250"/>
      <c r="GE139" s="249"/>
      <c r="GF139" s="249"/>
      <c r="GG139" s="249"/>
      <c r="GH139" s="249"/>
      <c r="GI139" s="249"/>
      <c r="GJ139" s="249"/>
      <c r="GK139" s="249"/>
      <c r="GL139" s="250"/>
      <c r="GM139" s="250"/>
      <c r="GN139" s="250"/>
      <c r="GO139" s="250"/>
      <c r="GP139" s="250"/>
      <c r="GQ139" s="250"/>
      <c r="GR139" s="250"/>
      <c r="GS139" s="249"/>
      <c r="GT139" s="249"/>
      <c r="GU139" s="249"/>
      <c r="GV139" s="249"/>
      <c r="GW139" s="249"/>
      <c r="GX139" s="249"/>
      <c r="GY139" s="249"/>
      <c r="GZ139" s="250"/>
      <c r="HA139" s="250"/>
      <c r="HB139" s="250"/>
      <c r="HC139" s="250"/>
      <c r="HD139" s="250"/>
      <c r="HE139" s="250"/>
      <c r="HF139" s="250"/>
      <c r="HG139" s="249"/>
      <c r="HH139" s="249"/>
      <c r="HI139" s="249"/>
      <c r="HJ139" s="249"/>
      <c r="HK139" s="249"/>
      <c r="HL139" s="249"/>
      <c r="HM139" s="249"/>
      <c r="HN139" s="250"/>
      <c r="HO139" s="250"/>
      <c r="HP139" s="250"/>
      <c r="HQ139" s="250"/>
      <c r="HR139" s="250"/>
      <c r="HS139" s="250"/>
      <c r="HT139" s="250"/>
      <c r="HU139" s="249"/>
      <c r="HV139" s="249"/>
      <c r="HW139" s="249"/>
      <c r="HX139" s="249"/>
      <c r="HY139" s="249"/>
      <c r="HZ139" s="249"/>
      <c r="IA139" s="249"/>
      <c r="IB139" s="250"/>
      <c r="IC139" s="250"/>
      <c r="ID139" s="250"/>
      <c r="IE139" s="250"/>
      <c r="IF139" s="250"/>
      <c r="IG139" s="250"/>
      <c r="IH139" s="250"/>
      <c r="II139" s="249"/>
      <c r="IJ139" s="249"/>
      <c r="IK139" s="249"/>
      <c r="IL139" s="249"/>
      <c r="IM139" s="249"/>
      <c r="IN139" s="249"/>
      <c r="IO139" s="249"/>
      <c r="IP139" s="250"/>
      <c r="IQ139" s="250"/>
      <c r="IR139" s="250"/>
      <c r="IS139" s="250"/>
      <c r="IT139" s="250"/>
      <c r="IU139" s="250"/>
      <c r="IV139" s="250"/>
      <c r="IW139" s="249"/>
      <c r="IX139" s="249"/>
      <c r="IY139" s="249"/>
      <c r="IZ139" s="249"/>
      <c r="JA139" s="249"/>
      <c r="JB139" s="249"/>
      <c r="JC139" s="249"/>
      <c r="JD139" s="250"/>
      <c r="JE139" s="250"/>
      <c r="JF139" s="250"/>
      <c r="JG139" s="250"/>
      <c r="JH139" s="250"/>
      <c r="JI139" s="250"/>
      <c r="JJ139" s="250"/>
      <c r="JK139" s="249"/>
      <c r="JL139" s="249"/>
      <c r="JM139" s="249"/>
      <c r="JN139" s="249"/>
      <c r="JO139" s="249"/>
      <c r="JP139" s="249"/>
      <c r="JQ139" s="249"/>
      <c r="JR139" s="250"/>
      <c r="JS139" s="250"/>
      <c r="JT139" s="250"/>
      <c r="JU139" s="250"/>
      <c r="JV139" s="250"/>
      <c r="JW139" s="250"/>
      <c r="JX139" s="250"/>
      <c r="JY139" s="249"/>
      <c r="JZ139" s="249"/>
      <c r="KA139" s="249"/>
      <c r="KB139" s="249"/>
      <c r="KC139" s="249"/>
      <c r="KD139" s="249"/>
      <c r="KE139" s="249"/>
      <c r="KF139" s="250"/>
      <c r="KG139" s="250"/>
      <c r="KH139" s="250"/>
      <c r="KI139" s="250"/>
      <c r="KJ139" s="250"/>
      <c r="KK139" s="250"/>
      <c r="KL139" s="250"/>
      <c r="KM139" s="249"/>
      <c r="KN139" s="249"/>
      <c r="KO139" s="249"/>
      <c r="KP139" s="249"/>
      <c r="KQ139" s="249"/>
      <c r="KR139" s="249"/>
      <c r="KS139" s="249"/>
      <c r="KT139" s="250"/>
      <c r="KU139" s="250"/>
      <c r="KV139" s="250"/>
      <c r="KW139" s="250"/>
      <c r="KX139" s="250"/>
      <c r="KY139" s="250"/>
      <c r="KZ139" s="250"/>
      <c r="LA139" s="249"/>
      <c r="LB139" s="249"/>
      <c r="LC139" s="249"/>
      <c r="LD139" s="249"/>
      <c r="LE139" s="249"/>
      <c r="LF139" s="249"/>
      <c r="LG139" s="249"/>
      <c r="LH139" s="250"/>
      <c r="LI139" s="250"/>
      <c r="LJ139" s="250"/>
      <c r="LK139" s="250"/>
      <c r="LL139" s="250"/>
      <c r="LM139" s="250"/>
      <c r="LN139" s="250"/>
      <c r="LO139" s="249"/>
      <c r="LP139" s="249"/>
      <c r="LQ139" s="249"/>
      <c r="LR139" s="249"/>
      <c r="LS139" s="249"/>
      <c r="LT139" s="249"/>
      <c r="LU139" s="249"/>
      <c r="LV139" s="250"/>
      <c r="LW139" s="250"/>
      <c r="LX139" s="250"/>
      <c r="LY139" s="250"/>
      <c r="LZ139" s="250"/>
      <c r="MA139" s="250"/>
      <c r="MB139" s="250"/>
      <c r="MC139" s="249"/>
      <c r="MD139" s="249"/>
      <c r="ME139" s="249"/>
      <c r="MF139" s="249"/>
      <c r="MG139" s="249"/>
      <c r="MH139" s="249"/>
      <c r="MI139" s="249"/>
      <c r="MJ139" s="250"/>
      <c r="MK139" s="250"/>
      <c r="ML139" s="250"/>
      <c r="MM139" s="250"/>
      <c r="MN139" s="250"/>
      <c r="MO139" s="250"/>
      <c r="MP139" s="250"/>
      <c r="MQ139" s="249"/>
      <c r="MR139" s="249"/>
      <c r="MS139" s="249"/>
      <c r="MT139" s="249"/>
      <c r="MU139" s="249"/>
      <c r="MV139" s="249"/>
      <c r="MW139" s="249"/>
      <c r="MX139" s="250"/>
      <c r="MY139" s="250"/>
      <c r="MZ139" s="250"/>
      <c r="NA139" s="250"/>
      <c r="NB139" s="250"/>
      <c r="NC139" s="250"/>
      <c r="ND139" s="250"/>
      <c r="NE139" s="249"/>
      <c r="NF139" s="249"/>
      <c r="NG139" s="249"/>
      <c r="NH139" s="250"/>
    </row>
    <row r="140" spans="1:372">
      <c r="A140" s="254" t="s">
        <v>985</v>
      </c>
      <c r="B140" s="239" t="s">
        <v>987</v>
      </c>
      <c r="C140" s="240" t="s">
        <v>674</v>
      </c>
      <c r="D140" s="240" t="s">
        <v>982</v>
      </c>
      <c r="E140" s="241">
        <v>0</v>
      </c>
      <c r="F140" s="252">
        <v>92</v>
      </c>
      <c r="G140" s="249"/>
      <c r="H140" s="249"/>
      <c r="I140" s="249"/>
      <c r="J140" s="249"/>
      <c r="K140" s="249"/>
      <c r="L140" s="250"/>
      <c r="M140" s="250"/>
      <c r="N140" s="250"/>
      <c r="O140" s="250"/>
      <c r="P140" s="250"/>
      <c r="Q140" s="250"/>
      <c r="R140" s="250"/>
      <c r="S140" s="249"/>
      <c r="T140" s="249"/>
      <c r="U140" s="249"/>
      <c r="V140" s="249"/>
      <c r="W140" s="249"/>
      <c r="X140" s="249"/>
      <c r="Y140" s="249"/>
      <c r="Z140" s="250"/>
      <c r="AA140" s="250"/>
      <c r="AB140" s="250"/>
      <c r="AC140" s="250"/>
      <c r="AD140" s="250"/>
      <c r="AE140" s="250"/>
      <c r="AF140" s="250"/>
      <c r="AG140" s="249"/>
      <c r="AH140" s="249"/>
      <c r="AI140" s="249"/>
      <c r="AJ140" s="249"/>
      <c r="AK140" s="249"/>
      <c r="AL140" s="249"/>
      <c r="AM140" s="249"/>
      <c r="AN140" s="250"/>
      <c r="AO140" s="250"/>
      <c r="AP140" s="250"/>
      <c r="AQ140" s="250"/>
      <c r="AR140" s="250"/>
      <c r="AS140" s="250"/>
      <c r="AT140" s="250"/>
      <c r="AU140" s="249"/>
      <c r="AV140" s="249"/>
      <c r="AW140" s="249"/>
      <c r="AX140" s="249"/>
      <c r="AY140" s="249"/>
      <c r="AZ140" s="249"/>
      <c r="BA140" s="249"/>
      <c r="BB140" s="250"/>
      <c r="BC140" s="250"/>
      <c r="BD140" s="250"/>
      <c r="BE140" s="250"/>
      <c r="BF140" s="250"/>
      <c r="BG140" s="250"/>
      <c r="BH140" s="250"/>
      <c r="BI140" s="249"/>
      <c r="BJ140" s="249"/>
      <c r="BK140" s="249"/>
      <c r="BL140" s="249"/>
      <c r="BM140" s="249"/>
      <c r="BN140" s="249"/>
      <c r="BO140" s="249"/>
      <c r="BP140" s="250"/>
      <c r="BQ140" s="250"/>
      <c r="BR140" s="250"/>
      <c r="BS140" s="250"/>
      <c r="BT140" s="250"/>
      <c r="BU140" s="250"/>
      <c r="BV140" s="250"/>
      <c r="BW140" s="249"/>
      <c r="BX140" s="249"/>
      <c r="BY140" s="249"/>
      <c r="BZ140" s="249"/>
      <c r="CA140" s="249"/>
      <c r="CB140" s="249"/>
      <c r="CC140" s="249"/>
      <c r="CD140" s="250"/>
      <c r="CE140" s="250"/>
      <c r="CF140" s="250"/>
      <c r="CG140" s="250"/>
      <c r="CH140" s="250"/>
      <c r="CI140" s="250"/>
      <c r="CJ140" s="250"/>
      <c r="CK140" s="249"/>
      <c r="CL140" s="249"/>
      <c r="CM140" s="249"/>
      <c r="CN140" s="249"/>
      <c r="CO140" s="249"/>
      <c r="CP140" s="249"/>
      <c r="CQ140" s="249"/>
      <c r="CR140" s="250"/>
      <c r="CS140" s="250"/>
      <c r="CT140" s="250"/>
      <c r="CU140" s="250"/>
      <c r="CV140" s="250"/>
      <c r="CW140" s="250"/>
      <c r="CX140" s="250"/>
      <c r="CY140" s="249"/>
      <c r="CZ140" s="249"/>
      <c r="DA140" s="249"/>
      <c r="DB140" s="249"/>
      <c r="DC140" s="249"/>
      <c r="DD140" s="249"/>
      <c r="DE140" s="249"/>
      <c r="DF140" s="250"/>
      <c r="DG140" s="250"/>
      <c r="DH140" s="250"/>
      <c r="DI140" s="250"/>
      <c r="DJ140" s="250"/>
      <c r="DK140" s="250"/>
      <c r="DL140" s="250"/>
      <c r="DM140" s="249"/>
      <c r="DN140" s="249"/>
      <c r="DO140" s="249"/>
      <c r="DP140" s="249"/>
      <c r="DQ140" s="249"/>
      <c r="DR140" s="249"/>
      <c r="DS140" s="249"/>
      <c r="DT140" s="250"/>
      <c r="DU140" s="250"/>
      <c r="DV140" s="250"/>
      <c r="DW140" s="250"/>
      <c r="DX140" s="250"/>
      <c r="DY140" s="250"/>
      <c r="DZ140" s="250"/>
      <c r="EA140" s="249"/>
      <c r="EB140" s="249"/>
      <c r="EC140" s="249"/>
      <c r="ED140" s="249"/>
      <c r="EE140" s="249"/>
      <c r="EF140" s="249"/>
      <c r="EG140" s="249"/>
      <c r="EH140" s="250"/>
      <c r="EI140" s="250"/>
      <c r="EJ140" s="250"/>
      <c r="EK140" s="250"/>
      <c r="EL140" s="250"/>
      <c r="EM140" s="250"/>
      <c r="EN140" s="250"/>
      <c r="EO140" s="249">
        <v>8</v>
      </c>
      <c r="EP140" s="249">
        <v>24</v>
      </c>
      <c r="EQ140" s="249">
        <v>24</v>
      </c>
      <c r="ER140" s="249">
        <v>24</v>
      </c>
      <c r="ES140" s="249">
        <v>12</v>
      </c>
      <c r="ET140" s="249"/>
      <c r="EU140" s="249"/>
      <c r="EV140" s="250"/>
      <c r="EW140" s="250"/>
      <c r="EX140" s="250"/>
      <c r="EY140" s="250"/>
      <c r="EZ140" s="250"/>
      <c r="FA140" s="250"/>
      <c r="FB140" s="250"/>
      <c r="FC140" s="249"/>
      <c r="FD140" s="249"/>
      <c r="FE140" s="249"/>
      <c r="FF140" s="249"/>
      <c r="FG140" s="249"/>
      <c r="FH140" s="249"/>
      <c r="FI140" s="249"/>
      <c r="FJ140" s="250"/>
      <c r="FK140" s="250"/>
      <c r="FL140" s="250"/>
      <c r="FM140" s="250"/>
      <c r="FN140" s="250"/>
      <c r="FO140" s="250"/>
      <c r="FP140" s="250"/>
      <c r="FQ140" s="249"/>
      <c r="FR140" s="249"/>
      <c r="FS140" s="249"/>
      <c r="FT140" s="249"/>
      <c r="FU140" s="249"/>
      <c r="FV140" s="249"/>
      <c r="FW140" s="249"/>
      <c r="FX140" s="250"/>
      <c r="FY140" s="250"/>
      <c r="FZ140" s="250"/>
      <c r="GA140" s="250"/>
      <c r="GB140" s="250"/>
      <c r="GC140" s="250"/>
      <c r="GD140" s="250"/>
      <c r="GE140" s="249"/>
      <c r="GF140" s="249"/>
      <c r="GG140" s="249"/>
      <c r="GH140" s="249"/>
      <c r="GI140" s="249"/>
      <c r="GJ140" s="249"/>
      <c r="GK140" s="249"/>
      <c r="GL140" s="250"/>
      <c r="GM140" s="250"/>
      <c r="GN140" s="250"/>
      <c r="GO140" s="250"/>
      <c r="GP140" s="250"/>
      <c r="GQ140" s="250"/>
      <c r="GR140" s="250"/>
      <c r="GS140" s="249"/>
      <c r="GT140" s="249"/>
      <c r="GU140" s="249"/>
      <c r="GV140" s="249"/>
      <c r="GW140" s="249"/>
      <c r="GX140" s="249"/>
      <c r="GY140" s="249"/>
      <c r="GZ140" s="250"/>
      <c r="HA140" s="250"/>
      <c r="HB140" s="250"/>
      <c r="HC140" s="250"/>
      <c r="HD140" s="250"/>
      <c r="HE140" s="250"/>
      <c r="HF140" s="250"/>
      <c r="HG140" s="249"/>
      <c r="HH140" s="249"/>
      <c r="HI140" s="249"/>
      <c r="HJ140" s="249"/>
      <c r="HK140" s="249"/>
      <c r="HL140" s="249"/>
      <c r="HM140" s="249"/>
      <c r="HN140" s="250"/>
      <c r="HO140" s="250"/>
      <c r="HP140" s="250"/>
      <c r="HQ140" s="250"/>
      <c r="HR140" s="250"/>
      <c r="HS140" s="250"/>
      <c r="HT140" s="250"/>
      <c r="HU140" s="249"/>
      <c r="HV140" s="249"/>
      <c r="HW140" s="249"/>
      <c r="HX140" s="249"/>
      <c r="HY140" s="249"/>
      <c r="HZ140" s="249"/>
      <c r="IA140" s="249"/>
      <c r="IB140" s="250"/>
      <c r="IC140" s="250"/>
      <c r="ID140" s="250"/>
      <c r="IE140" s="250"/>
      <c r="IF140" s="250"/>
      <c r="IG140" s="250"/>
      <c r="IH140" s="250"/>
      <c r="II140" s="249"/>
      <c r="IJ140" s="249"/>
      <c r="IK140" s="249"/>
      <c r="IL140" s="249"/>
      <c r="IM140" s="249"/>
      <c r="IN140" s="249"/>
      <c r="IO140" s="249"/>
      <c r="IP140" s="250"/>
      <c r="IQ140" s="250"/>
      <c r="IR140" s="250"/>
      <c r="IS140" s="250"/>
      <c r="IT140" s="250"/>
      <c r="IU140" s="250"/>
      <c r="IV140" s="250"/>
      <c r="IW140" s="249"/>
      <c r="IX140" s="249"/>
      <c r="IY140" s="249"/>
      <c r="IZ140" s="249"/>
      <c r="JA140" s="249"/>
      <c r="JB140" s="249"/>
      <c r="JC140" s="249"/>
      <c r="JD140" s="250"/>
      <c r="JE140" s="250"/>
      <c r="JF140" s="250"/>
      <c r="JG140" s="250"/>
      <c r="JH140" s="250"/>
      <c r="JI140" s="250"/>
      <c r="JJ140" s="250"/>
      <c r="JK140" s="249"/>
      <c r="JL140" s="249"/>
      <c r="JM140" s="249"/>
      <c r="JN140" s="249"/>
      <c r="JO140" s="249"/>
      <c r="JP140" s="249"/>
      <c r="JQ140" s="249"/>
      <c r="JR140" s="250"/>
      <c r="JS140" s="250"/>
      <c r="JT140" s="250"/>
      <c r="JU140" s="250"/>
      <c r="JV140" s="250"/>
      <c r="JW140" s="250"/>
      <c r="JX140" s="250"/>
      <c r="JY140" s="249"/>
      <c r="JZ140" s="249"/>
      <c r="KA140" s="249"/>
      <c r="KB140" s="249"/>
      <c r="KC140" s="249"/>
      <c r="KD140" s="249"/>
      <c r="KE140" s="249"/>
      <c r="KF140" s="250"/>
      <c r="KG140" s="250"/>
      <c r="KH140" s="250"/>
      <c r="KI140" s="250"/>
      <c r="KJ140" s="250"/>
      <c r="KK140" s="250"/>
      <c r="KL140" s="250"/>
      <c r="KM140" s="249"/>
      <c r="KN140" s="249"/>
      <c r="KO140" s="249"/>
      <c r="KP140" s="249"/>
      <c r="KQ140" s="249"/>
      <c r="KR140" s="249"/>
      <c r="KS140" s="249"/>
      <c r="KT140" s="250"/>
      <c r="KU140" s="250"/>
      <c r="KV140" s="250"/>
      <c r="KW140" s="250"/>
      <c r="KX140" s="250"/>
      <c r="KY140" s="250"/>
      <c r="KZ140" s="250"/>
      <c r="LA140" s="249"/>
      <c r="LB140" s="249"/>
      <c r="LC140" s="249"/>
      <c r="LD140" s="249"/>
      <c r="LE140" s="249"/>
      <c r="LF140" s="249"/>
      <c r="LG140" s="249"/>
      <c r="LH140" s="250"/>
      <c r="LI140" s="250"/>
      <c r="LJ140" s="250"/>
      <c r="LK140" s="250"/>
      <c r="LL140" s="250"/>
      <c r="LM140" s="250"/>
      <c r="LN140" s="250"/>
      <c r="LO140" s="249"/>
      <c r="LP140" s="249"/>
      <c r="LQ140" s="249"/>
      <c r="LR140" s="249"/>
      <c r="LS140" s="249"/>
      <c r="LT140" s="249"/>
      <c r="LU140" s="249"/>
      <c r="LV140" s="250"/>
      <c r="LW140" s="250"/>
      <c r="LX140" s="250"/>
      <c r="LY140" s="250"/>
      <c r="LZ140" s="250"/>
      <c r="MA140" s="250"/>
      <c r="MB140" s="250"/>
      <c r="MC140" s="249"/>
      <c r="MD140" s="249"/>
      <c r="ME140" s="249"/>
      <c r="MF140" s="249"/>
      <c r="MG140" s="249"/>
      <c r="MH140" s="249"/>
      <c r="MI140" s="249"/>
      <c r="MJ140" s="250"/>
      <c r="MK140" s="250"/>
      <c r="ML140" s="250"/>
      <c r="MM140" s="250"/>
      <c r="MN140" s="250"/>
      <c r="MO140" s="250"/>
      <c r="MP140" s="250"/>
      <c r="MQ140" s="249"/>
      <c r="MR140" s="249"/>
      <c r="MS140" s="249"/>
      <c r="MT140" s="249"/>
      <c r="MU140" s="249"/>
      <c r="MV140" s="249"/>
      <c r="MW140" s="249"/>
      <c r="MX140" s="250"/>
      <c r="MY140" s="250"/>
      <c r="MZ140" s="250"/>
      <c r="NA140" s="250"/>
      <c r="NB140" s="250"/>
      <c r="NC140" s="250"/>
      <c r="ND140" s="250"/>
      <c r="NE140" s="249"/>
      <c r="NF140" s="249"/>
      <c r="NG140" s="249"/>
      <c r="NH140" s="250"/>
    </row>
    <row r="141" spans="1:372">
      <c r="A141" s="254" t="s">
        <v>985</v>
      </c>
      <c r="B141" s="239" t="s">
        <v>98</v>
      </c>
      <c r="C141" s="240" t="s">
        <v>674</v>
      </c>
      <c r="D141" s="240" t="s">
        <v>982</v>
      </c>
      <c r="E141" s="241">
        <v>69.839999999860325</v>
      </c>
      <c r="F141" s="252">
        <v>84</v>
      </c>
      <c r="G141" s="249"/>
      <c r="H141" s="249"/>
      <c r="I141" s="249"/>
      <c r="J141" s="249"/>
      <c r="K141" s="249"/>
      <c r="L141" s="250"/>
      <c r="M141" s="250"/>
      <c r="N141" s="250"/>
      <c r="O141" s="250"/>
      <c r="P141" s="250"/>
      <c r="Q141" s="250"/>
      <c r="R141" s="250"/>
      <c r="S141" s="249"/>
      <c r="T141" s="249"/>
      <c r="U141" s="249"/>
      <c r="V141" s="249"/>
      <c r="W141" s="249"/>
      <c r="X141" s="249"/>
      <c r="Y141" s="249"/>
      <c r="Z141" s="250"/>
      <c r="AA141" s="250"/>
      <c r="AB141" s="250"/>
      <c r="AC141" s="250"/>
      <c r="AD141" s="250"/>
      <c r="AE141" s="250"/>
      <c r="AF141" s="250"/>
      <c r="AG141" s="249"/>
      <c r="AH141" s="249"/>
      <c r="AI141" s="249"/>
      <c r="AJ141" s="249"/>
      <c r="AK141" s="249"/>
      <c r="AL141" s="249"/>
      <c r="AM141" s="249"/>
      <c r="AN141" s="250"/>
      <c r="AO141" s="250"/>
      <c r="AP141" s="250"/>
      <c r="AQ141" s="250"/>
      <c r="AR141" s="250"/>
      <c r="AS141" s="250"/>
      <c r="AT141" s="250"/>
      <c r="AU141" s="249"/>
      <c r="AV141" s="249"/>
      <c r="AW141" s="249"/>
      <c r="AX141" s="249"/>
      <c r="AY141" s="249"/>
      <c r="AZ141" s="249"/>
      <c r="BA141" s="249"/>
      <c r="BB141" s="250"/>
      <c r="BC141" s="250"/>
      <c r="BD141" s="250"/>
      <c r="BE141" s="250"/>
      <c r="BF141" s="250"/>
      <c r="BG141" s="250"/>
      <c r="BH141" s="250"/>
      <c r="BI141" s="249"/>
      <c r="BJ141" s="249"/>
      <c r="BK141" s="249"/>
      <c r="BL141" s="249"/>
      <c r="BM141" s="249"/>
      <c r="BN141" s="249"/>
      <c r="BO141" s="249"/>
      <c r="BP141" s="250"/>
      <c r="BQ141" s="250"/>
      <c r="BR141" s="250"/>
      <c r="BS141" s="250"/>
      <c r="BT141" s="250"/>
      <c r="BU141" s="250"/>
      <c r="BV141" s="250"/>
      <c r="BW141" s="249"/>
      <c r="BX141" s="249"/>
      <c r="BY141" s="249"/>
      <c r="BZ141" s="249"/>
      <c r="CA141" s="249"/>
      <c r="CB141" s="249"/>
      <c r="CC141" s="249"/>
      <c r="CD141" s="250"/>
      <c r="CE141" s="250"/>
      <c r="CF141" s="250"/>
      <c r="CG141" s="250"/>
      <c r="CH141" s="250"/>
      <c r="CI141" s="250"/>
      <c r="CJ141" s="250"/>
      <c r="CK141" s="249"/>
      <c r="CL141" s="249"/>
      <c r="CM141" s="249"/>
      <c r="CN141" s="249"/>
      <c r="CO141" s="249"/>
      <c r="CP141" s="249"/>
      <c r="CQ141" s="249"/>
      <c r="CR141" s="250"/>
      <c r="CS141" s="250"/>
      <c r="CT141" s="250"/>
      <c r="CU141" s="250"/>
      <c r="CV141" s="250"/>
      <c r="CW141" s="250"/>
      <c r="CX141" s="250"/>
      <c r="CY141" s="249"/>
      <c r="CZ141" s="249"/>
      <c r="DA141" s="249"/>
      <c r="DB141" s="249"/>
      <c r="DC141" s="249"/>
      <c r="DD141" s="249"/>
      <c r="DE141" s="249"/>
      <c r="DF141" s="250"/>
      <c r="DG141" s="250"/>
      <c r="DH141" s="250"/>
      <c r="DI141" s="250"/>
      <c r="DJ141" s="250"/>
      <c r="DK141" s="250"/>
      <c r="DL141" s="250"/>
      <c r="DM141" s="249"/>
      <c r="DN141" s="249"/>
      <c r="DO141" s="249"/>
      <c r="DP141" s="249"/>
      <c r="DQ141" s="249"/>
      <c r="DR141" s="249"/>
      <c r="DS141" s="249"/>
      <c r="DT141" s="250"/>
      <c r="DU141" s="250"/>
      <c r="DV141" s="250"/>
      <c r="DW141" s="250"/>
      <c r="DX141" s="250"/>
      <c r="DY141" s="250"/>
      <c r="DZ141" s="250"/>
      <c r="EA141" s="249"/>
      <c r="EB141" s="249"/>
      <c r="EC141" s="249"/>
      <c r="ED141" s="249"/>
      <c r="EE141" s="249"/>
      <c r="EF141" s="249"/>
      <c r="EG141" s="249"/>
      <c r="EH141" s="250"/>
      <c r="EI141" s="250"/>
      <c r="EJ141" s="250"/>
      <c r="EK141" s="250"/>
      <c r="EL141" s="250"/>
      <c r="EM141" s="250"/>
      <c r="EN141" s="250"/>
      <c r="EO141" s="249"/>
      <c r="EP141" s="249">
        <v>24</v>
      </c>
      <c r="EQ141" s="249">
        <v>24</v>
      </c>
      <c r="ER141" s="249">
        <v>24</v>
      </c>
      <c r="ES141" s="249">
        <v>12</v>
      </c>
      <c r="ET141" s="249"/>
      <c r="EU141" s="249"/>
      <c r="EV141" s="250"/>
      <c r="EW141" s="250"/>
      <c r="EX141" s="250"/>
      <c r="EY141" s="250"/>
      <c r="EZ141" s="250"/>
      <c r="FA141" s="250"/>
      <c r="FB141" s="250"/>
      <c r="FC141" s="249"/>
      <c r="FD141" s="249"/>
      <c r="FE141" s="249"/>
      <c r="FF141" s="249"/>
      <c r="FG141" s="249"/>
      <c r="FH141" s="249"/>
      <c r="FI141" s="249"/>
      <c r="FJ141" s="250"/>
      <c r="FK141" s="250"/>
      <c r="FL141" s="250"/>
      <c r="FM141" s="250"/>
      <c r="FN141" s="250"/>
      <c r="FO141" s="250"/>
      <c r="FP141" s="250"/>
      <c r="FQ141" s="249"/>
      <c r="FR141" s="249"/>
      <c r="FS141" s="249"/>
      <c r="FT141" s="249"/>
      <c r="FU141" s="249"/>
      <c r="FV141" s="249"/>
      <c r="FW141" s="249"/>
      <c r="FX141" s="250"/>
      <c r="FY141" s="250"/>
      <c r="FZ141" s="250"/>
      <c r="GA141" s="250"/>
      <c r="GB141" s="250"/>
      <c r="GC141" s="250"/>
      <c r="GD141" s="250"/>
      <c r="GE141" s="249"/>
      <c r="GF141" s="249"/>
      <c r="GG141" s="249"/>
      <c r="GH141" s="249"/>
      <c r="GI141" s="249"/>
      <c r="GJ141" s="249"/>
      <c r="GK141" s="249"/>
      <c r="GL141" s="250"/>
      <c r="GM141" s="250"/>
      <c r="GN141" s="250"/>
      <c r="GO141" s="250"/>
      <c r="GP141" s="250"/>
      <c r="GQ141" s="250"/>
      <c r="GR141" s="250"/>
      <c r="GS141" s="249"/>
      <c r="GT141" s="249"/>
      <c r="GU141" s="249"/>
      <c r="GV141" s="249"/>
      <c r="GW141" s="249"/>
      <c r="GX141" s="249"/>
      <c r="GY141" s="249"/>
      <c r="GZ141" s="250"/>
      <c r="HA141" s="250"/>
      <c r="HB141" s="250"/>
      <c r="HC141" s="250"/>
      <c r="HD141" s="250"/>
      <c r="HE141" s="250"/>
      <c r="HF141" s="250"/>
      <c r="HG141" s="249"/>
      <c r="HH141" s="249"/>
      <c r="HI141" s="249"/>
      <c r="HJ141" s="249"/>
      <c r="HK141" s="249"/>
      <c r="HL141" s="249"/>
      <c r="HM141" s="249"/>
      <c r="HN141" s="250"/>
      <c r="HO141" s="250"/>
      <c r="HP141" s="250"/>
      <c r="HQ141" s="250"/>
      <c r="HR141" s="250"/>
      <c r="HS141" s="250"/>
      <c r="HT141" s="250"/>
      <c r="HU141" s="249"/>
      <c r="HV141" s="249"/>
      <c r="HW141" s="249"/>
      <c r="HX141" s="249"/>
      <c r="HY141" s="249"/>
      <c r="HZ141" s="249"/>
      <c r="IA141" s="249"/>
      <c r="IB141" s="250"/>
      <c r="IC141" s="250"/>
      <c r="ID141" s="250"/>
      <c r="IE141" s="250"/>
      <c r="IF141" s="250"/>
      <c r="IG141" s="250"/>
      <c r="IH141" s="250"/>
      <c r="II141" s="249"/>
      <c r="IJ141" s="249"/>
      <c r="IK141" s="249"/>
      <c r="IL141" s="249"/>
      <c r="IM141" s="249"/>
      <c r="IN141" s="249"/>
      <c r="IO141" s="249"/>
      <c r="IP141" s="250"/>
      <c r="IQ141" s="250"/>
      <c r="IR141" s="250"/>
      <c r="IS141" s="250"/>
      <c r="IT141" s="250"/>
      <c r="IU141" s="250"/>
      <c r="IV141" s="250"/>
      <c r="IW141" s="249"/>
      <c r="IX141" s="249"/>
      <c r="IY141" s="249"/>
      <c r="IZ141" s="249"/>
      <c r="JA141" s="249"/>
      <c r="JB141" s="249"/>
      <c r="JC141" s="249"/>
      <c r="JD141" s="250"/>
      <c r="JE141" s="250"/>
      <c r="JF141" s="250"/>
      <c r="JG141" s="250"/>
      <c r="JH141" s="250"/>
      <c r="JI141" s="250"/>
      <c r="JJ141" s="250"/>
      <c r="JK141" s="249"/>
      <c r="JL141" s="249"/>
      <c r="JM141" s="249"/>
      <c r="JN141" s="249"/>
      <c r="JO141" s="249"/>
      <c r="JP141" s="249"/>
      <c r="JQ141" s="249"/>
      <c r="JR141" s="250"/>
      <c r="JS141" s="250"/>
      <c r="JT141" s="250"/>
      <c r="JU141" s="250"/>
      <c r="JV141" s="250"/>
      <c r="JW141" s="250"/>
      <c r="JX141" s="250"/>
      <c r="JY141" s="249"/>
      <c r="JZ141" s="249"/>
      <c r="KA141" s="249"/>
      <c r="KB141" s="249"/>
      <c r="KC141" s="249"/>
      <c r="KD141" s="249"/>
      <c r="KE141" s="249"/>
      <c r="KF141" s="250"/>
      <c r="KG141" s="250"/>
      <c r="KH141" s="250"/>
      <c r="KI141" s="250"/>
      <c r="KJ141" s="250"/>
      <c r="KK141" s="250"/>
      <c r="KL141" s="250"/>
      <c r="KM141" s="249"/>
      <c r="KN141" s="249"/>
      <c r="KO141" s="249"/>
      <c r="KP141" s="249"/>
      <c r="KQ141" s="249"/>
      <c r="KR141" s="249"/>
      <c r="KS141" s="249"/>
      <c r="KT141" s="250"/>
      <c r="KU141" s="250"/>
      <c r="KV141" s="250"/>
      <c r="KW141" s="250"/>
      <c r="KX141" s="250"/>
      <c r="KY141" s="250"/>
      <c r="KZ141" s="250"/>
      <c r="LA141" s="249"/>
      <c r="LB141" s="249"/>
      <c r="LC141" s="249"/>
      <c r="LD141" s="249"/>
      <c r="LE141" s="249"/>
      <c r="LF141" s="249"/>
      <c r="LG141" s="249"/>
      <c r="LH141" s="250"/>
      <c r="LI141" s="250"/>
      <c r="LJ141" s="250"/>
      <c r="LK141" s="250"/>
      <c r="LL141" s="250"/>
      <c r="LM141" s="250"/>
      <c r="LN141" s="250"/>
      <c r="LO141" s="249"/>
      <c r="LP141" s="249"/>
      <c r="LQ141" s="249"/>
      <c r="LR141" s="249"/>
      <c r="LS141" s="249"/>
      <c r="LT141" s="249"/>
      <c r="LU141" s="249"/>
      <c r="LV141" s="250"/>
      <c r="LW141" s="250"/>
      <c r="LX141" s="250"/>
      <c r="LY141" s="250"/>
      <c r="LZ141" s="250"/>
      <c r="MA141" s="250"/>
      <c r="MB141" s="250"/>
      <c r="MC141" s="249"/>
      <c r="MD141" s="249"/>
      <c r="ME141" s="249"/>
      <c r="MF141" s="249"/>
      <c r="MG141" s="249"/>
      <c r="MH141" s="249"/>
      <c r="MI141" s="249"/>
      <c r="MJ141" s="250"/>
      <c r="MK141" s="250"/>
      <c r="ML141" s="250"/>
      <c r="MM141" s="250"/>
      <c r="MN141" s="250"/>
      <c r="MO141" s="250"/>
      <c r="MP141" s="250"/>
      <c r="MQ141" s="249"/>
      <c r="MR141" s="249"/>
      <c r="MS141" s="249"/>
      <c r="MT141" s="249"/>
      <c r="MU141" s="249"/>
      <c r="MV141" s="249"/>
      <c r="MW141" s="249"/>
      <c r="MX141" s="250"/>
      <c r="MY141" s="250"/>
      <c r="MZ141" s="250"/>
      <c r="NA141" s="250"/>
      <c r="NB141" s="250"/>
      <c r="NC141" s="250"/>
      <c r="ND141" s="250"/>
      <c r="NE141" s="249"/>
      <c r="NF141" s="249"/>
      <c r="NG141" s="249"/>
      <c r="NH141" s="250"/>
    </row>
    <row r="142" spans="1:372">
      <c r="A142" s="254" t="s">
        <v>988</v>
      </c>
      <c r="B142" s="239" t="s">
        <v>109</v>
      </c>
      <c r="C142" s="240" t="s">
        <v>674</v>
      </c>
      <c r="D142" s="240" t="s">
        <v>997</v>
      </c>
      <c r="E142" s="241">
        <v>0</v>
      </c>
      <c r="F142" s="252">
        <v>0</v>
      </c>
      <c r="G142" s="249"/>
      <c r="H142" s="249"/>
      <c r="I142" s="249"/>
      <c r="J142" s="249"/>
      <c r="K142" s="249"/>
      <c r="L142" s="250"/>
      <c r="M142" s="250"/>
      <c r="N142" s="250"/>
      <c r="O142" s="250"/>
      <c r="P142" s="250"/>
      <c r="Q142" s="250"/>
      <c r="R142" s="250"/>
      <c r="S142" s="249"/>
      <c r="T142" s="249"/>
      <c r="U142" s="249"/>
      <c r="V142" s="249"/>
      <c r="W142" s="249"/>
      <c r="X142" s="249"/>
      <c r="Y142" s="249"/>
      <c r="Z142" s="250"/>
      <c r="AA142" s="250"/>
      <c r="AB142" s="250"/>
      <c r="AC142" s="250"/>
      <c r="AD142" s="250"/>
      <c r="AE142" s="250"/>
      <c r="AF142" s="250"/>
      <c r="AG142" s="249"/>
      <c r="AH142" s="249"/>
      <c r="AI142" s="249"/>
      <c r="AJ142" s="249"/>
      <c r="AK142" s="249"/>
      <c r="AL142" s="249"/>
      <c r="AM142" s="249"/>
      <c r="AN142" s="250"/>
      <c r="AO142" s="250"/>
      <c r="AP142" s="250"/>
      <c r="AQ142" s="250"/>
      <c r="AR142" s="250"/>
      <c r="AS142" s="250"/>
      <c r="AT142" s="250"/>
      <c r="AU142" s="249"/>
      <c r="AV142" s="249"/>
      <c r="AW142" s="249"/>
      <c r="AX142" s="249"/>
      <c r="AY142" s="249"/>
      <c r="AZ142" s="249"/>
      <c r="BA142" s="249"/>
      <c r="BB142" s="250"/>
      <c r="BC142" s="250"/>
      <c r="BD142" s="250"/>
      <c r="BE142" s="250"/>
      <c r="BF142" s="250"/>
      <c r="BG142" s="250"/>
      <c r="BH142" s="250"/>
      <c r="BI142" s="249"/>
      <c r="BJ142" s="249"/>
      <c r="BK142" s="249"/>
      <c r="BL142" s="249"/>
      <c r="BM142" s="249"/>
      <c r="BN142" s="249"/>
      <c r="BO142" s="249"/>
      <c r="BP142" s="250"/>
      <c r="BQ142" s="250"/>
      <c r="BR142" s="250"/>
      <c r="BS142" s="250"/>
      <c r="BT142" s="250"/>
      <c r="BU142" s="250"/>
      <c r="BV142" s="250"/>
      <c r="BW142" s="249"/>
      <c r="BX142" s="249"/>
      <c r="BY142" s="249"/>
      <c r="BZ142" s="249"/>
      <c r="CA142" s="249"/>
      <c r="CB142" s="249"/>
      <c r="CC142" s="249"/>
      <c r="CD142" s="250"/>
      <c r="CE142" s="250"/>
      <c r="CF142" s="250"/>
      <c r="CG142" s="250"/>
      <c r="CH142" s="250"/>
      <c r="CI142" s="250"/>
      <c r="CJ142" s="250"/>
      <c r="CK142" s="249"/>
      <c r="CL142" s="249"/>
      <c r="CM142" s="249"/>
      <c r="CN142" s="249"/>
      <c r="CO142" s="249"/>
      <c r="CP142" s="249"/>
      <c r="CQ142" s="249"/>
      <c r="CR142" s="250"/>
      <c r="CS142" s="250"/>
      <c r="CT142" s="250"/>
      <c r="CU142" s="250"/>
      <c r="CV142" s="250"/>
      <c r="CW142" s="250"/>
      <c r="CX142" s="250"/>
      <c r="CY142" s="249"/>
      <c r="CZ142" s="249"/>
      <c r="DA142" s="249"/>
      <c r="DB142" s="249"/>
      <c r="DC142" s="249"/>
      <c r="DD142" s="249"/>
      <c r="DE142" s="249"/>
      <c r="DF142" s="250"/>
      <c r="DG142" s="250"/>
      <c r="DH142" s="250"/>
      <c r="DI142" s="250"/>
      <c r="DJ142" s="250"/>
      <c r="DK142" s="250"/>
      <c r="DL142" s="250"/>
      <c r="DM142" s="249"/>
      <c r="DN142" s="249"/>
      <c r="DO142" s="249"/>
      <c r="DP142" s="249"/>
      <c r="DQ142" s="249"/>
      <c r="DR142" s="249"/>
      <c r="DS142" s="249"/>
      <c r="DT142" s="250"/>
      <c r="DU142" s="250"/>
      <c r="DV142" s="250"/>
      <c r="DW142" s="250"/>
      <c r="DX142" s="250"/>
      <c r="DY142" s="250"/>
      <c r="DZ142" s="250"/>
      <c r="EA142" s="249"/>
      <c r="EB142" s="249"/>
      <c r="EC142" s="249"/>
      <c r="ED142" s="249"/>
      <c r="EE142" s="249"/>
      <c r="EF142" s="249"/>
      <c r="EG142" s="249"/>
      <c r="EH142" s="250"/>
      <c r="EI142" s="250"/>
      <c r="EJ142" s="250"/>
      <c r="EK142" s="250"/>
      <c r="EL142" s="250"/>
      <c r="EM142" s="250"/>
      <c r="EN142" s="250"/>
      <c r="EO142" s="249"/>
      <c r="EP142" s="249"/>
      <c r="EQ142" s="249"/>
      <c r="ER142" s="249"/>
      <c r="ES142" s="249"/>
      <c r="ET142" s="249"/>
      <c r="EU142" s="249"/>
      <c r="EV142" s="250"/>
      <c r="EW142" s="250"/>
      <c r="EX142" s="250"/>
      <c r="EY142" s="250"/>
      <c r="EZ142" s="250"/>
      <c r="FA142" s="250"/>
      <c r="FB142" s="250"/>
      <c r="FC142" s="249"/>
      <c r="FD142" s="249"/>
      <c r="FE142" s="249"/>
      <c r="FF142" s="249"/>
      <c r="FG142" s="249"/>
      <c r="FH142" s="249"/>
      <c r="FI142" s="249"/>
      <c r="FJ142" s="250"/>
      <c r="FK142" s="250"/>
      <c r="FL142" s="250"/>
      <c r="FM142" s="250"/>
      <c r="FN142" s="250"/>
      <c r="FO142" s="250"/>
      <c r="FP142" s="250"/>
      <c r="FQ142" s="249"/>
      <c r="FR142" s="249"/>
      <c r="FS142" s="249"/>
      <c r="FT142" s="249"/>
      <c r="FU142" s="249"/>
      <c r="FV142" s="249"/>
      <c r="FW142" s="249"/>
      <c r="FX142" s="250"/>
      <c r="FY142" s="250"/>
      <c r="FZ142" s="250"/>
      <c r="GA142" s="250"/>
      <c r="GB142" s="250"/>
      <c r="GC142" s="250"/>
      <c r="GD142" s="250"/>
      <c r="GE142" s="249"/>
      <c r="GF142" s="249"/>
      <c r="GG142" s="249"/>
      <c r="GH142" s="249"/>
      <c r="GI142" s="249"/>
      <c r="GJ142" s="249"/>
      <c r="GK142" s="249"/>
      <c r="GL142" s="250"/>
      <c r="GM142" s="250"/>
      <c r="GN142" s="250"/>
      <c r="GO142" s="250"/>
      <c r="GP142" s="250"/>
      <c r="GQ142" s="250"/>
      <c r="GR142" s="250"/>
      <c r="GS142" s="249"/>
      <c r="GT142" s="249"/>
      <c r="GU142" s="249"/>
      <c r="GV142" s="249"/>
      <c r="GW142" s="249"/>
      <c r="GX142" s="249"/>
      <c r="GY142" s="249"/>
      <c r="GZ142" s="250"/>
      <c r="HA142" s="250"/>
      <c r="HB142" s="250"/>
      <c r="HC142" s="250"/>
      <c r="HD142" s="250"/>
      <c r="HE142" s="250"/>
      <c r="HF142" s="250"/>
      <c r="HG142" s="249"/>
      <c r="HH142" s="249"/>
      <c r="HI142" s="249"/>
      <c r="HJ142" s="249"/>
      <c r="HK142" s="249"/>
      <c r="HL142" s="249"/>
      <c r="HM142" s="249"/>
      <c r="HN142" s="250"/>
      <c r="HO142" s="250"/>
      <c r="HP142" s="250"/>
      <c r="HQ142" s="250"/>
      <c r="HR142" s="250"/>
      <c r="HS142" s="250"/>
      <c r="HT142" s="250"/>
      <c r="HU142" s="249"/>
      <c r="HV142" s="249"/>
      <c r="HW142" s="249"/>
      <c r="HX142" s="249"/>
      <c r="HY142" s="249"/>
      <c r="HZ142" s="249"/>
      <c r="IA142" s="249"/>
      <c r="IB142" s="250"/>
      <c r="IC142" s="250"/>
      <c r="ID142" s="250"/>
      <c r="IE142" s="250"/>
      <c r="IF142" s="250"/>
      <c r="IG142" s="250"/>
      <c r="IH142" s="250"/>
      <c r="II142" s="249"/>
      <c r="IJ142" s="249"/>
      <c r="IK142" s="249"/>
      <c r="IL142" s="249"/>
      <c r="IM142" s="249"/>
      <c r="IN142" s="249"/>
      <c r="IO142" s="249"/>
      <c r="IP142" s="250"/>
      <c r="IQ142" s="250"/>
      <c r="IR142" s="250"/>
      <c r="IS142" s="250"/>
      <c r="IT142" s="250"/>
      <c r="IU142" s="250"/>
      <c r="IV142" s="250"/>
      <c r="IW142" s="249"/>
      <c r="IX142" s="249"/>
      <c r="IY142" s="249"/>
      <c r="IZ142" s="249"/>
      <c r="JA142" s="249"/>
      <c r="JB142" s="249"/>
      <c r="JC142" s="249"/>
      <c r="JD142" s="250"/>
      <c r="JE142" s="250"/>
      <c r="JF142" s="250"/>
      <c r="JG142" s="250"/>
      <c r="JH142" s="250"/>
      <c r="JI142" s="250"/>
      <c r="JJ142" s="250"/>
      <c r="JK142" s="249"/>
      <c r="JL142" s="249"/>
      <c r="JM142" s="249"/>
      <c r="JN142" s="249"/>
      <c r="JO142" s="249"/>
      <c r="JP142" s="249"/>
      <c r="JQ142" s="249"/>
      <c r="JR142" s="250"/>
      <c r="JS142" s="250"/>
      <c r="JT142" s="250"/>
      <c r="JU142" s="250"/>
      <c r="JV142" s="250"/>
      <c r="JW142" s="250"/>
      <c r="JX142" s="250"/>
      <c r="JY142" s="249"/>
      <c r="JZ142" s="249"/>
      <c r="KA142" s="249"/>
      <c r="KB142" s="249"/>
      <c r="KC142" s="249"/>
      <c r="KD142" s="249"/>
      <c r="KE142" s="249"/>
      <c r="KF142" s="250"/>
      <c r="KG142" s="250"/>
      <c r="KH142" s="250"/>
      <c r="KI142" s="250"/>
      <c r="KJ142" s="250"/>
      <c r="KK142" s="250"/>
      <c r="KL142" s="250"/>
      <c r="KM142" s="249"/>
      <c r="KN142" s="249"/>
      <c r="KO142" s="249"/>
      <c r="KP142" s="249"/>
      <c r="KQ142" s="249"/>
      <c r="KR142" s="249"/>
      <c r="KS142" s="249"/>
      <c r="KT142" s="250"/>
      <c r="KU142" s="250"/>
      <c r="KV142" s="250"/>
      <c r="KW142" s="250"/>
      <c r="KX142" s="250"/>
      <c r="KY142" s="250"/>
      <c r="KZ142" s="250"/>
      <c r="LA142" s="249"/>
      <c r="LB142" s="249"/>
      <c r="LC142" s="249"/>
      <c r="LD142" s="249"/>
      <c r="LE142" s="249"/>
      <c r="LF142" s="249"/>
      <c r="LG142" s="249"/>
      <c r="LH142" s="250"/>
      <c r="LI142" s="250"/>
      <c r="LJ142" s="250"/>
      <c r="LK142" s="250"/>
      <c r="LL142" s="250"/>
      <c r="LM142" s="250"/>
      <c r="LN142" s="250"/>
      <c r="LO142" s="249"/>
      <c r="LP142" s="249"/>
      <c r="LQ142" s="249"/>
      <c r="LR142" s="249"/>
      <c r="LS142" s="249"/>
      <c r="LT142" s="249"/>
      <c r="LU142" s="249"/>
      <c r="LV142" s="250"/>
      <c r="LW142" s="250"/>
      <c r="LX142" s="250"/>
      <c r="LY142" s="250"/>
      <c r="LZ142" s="250"/>
      <c r="MA142" s="250"/>
      <c r="MB142" s="250"/>
      <c r="MC142" s="249"/>
      <c r="MD142" s="249"/>
      <c r="ME142" s="249"/>
      <c r="MF142" s="249"/>
      <c r="MG142" s="249"/>
      <c r="MH142" s="249"/>
      <c r="MI142" s="249"/>
      <c r="MJ142" s="250"/>
      <c r="MK142" s="250"/>
      <c r="ML142" s="250"/>
      <c r="MM142" s="250"/>
      <c r="MN142" s="250"/>
      <c r="MO142" s="250"/>
      <c r="MP142" s="250"/>
      <c r="MQ142" s="249"/>
      <c r="MR142" s="249"/>
      <c r="MS142" s="249"/>
      <c r="MT142" s="249"/>
      <c r="MU142" s="249"/>
      <c r="MV142" s="249"/>
      <c r="MW142" s="249"/>
      <c r="MX142" s="250"/>
      <c r="MY142" s="250"/>
      <c r="MZ142" s="250"/>
      <c r="NA142" s="250"/>
      <c r="NB142" s="250"/>
      <c r="NC142" s="250"/>
      <c r="ND142" s="250"/>
      <c r="NE142" s="249"/>
      <c r="NF142" s="249"/>
      <c r="NG142" s="249"/>
      <c r="NH142" s="250"/>
    </row>
    <row r="143" spans="1:372">
      <c r="A143" s="254" t="s">
        <v>988</v>
      </c>
      <c r="B143" s="239" t="s">
        <v>110</v>
      </c>
      <c r="C143" s="240" t="s">
        <v>674</v>
      </c>
      <c r="D143" s="240" t="s">
        <v>997</v>
      </c>
      <c r="E143" s="241">
        <v>0</v>
      </c>
      <c r="F143" s="252">
        <v>0</v>
      </c>
      <c r="G143" s="249"/>
      <c r="H143" s="249"/>
      <c r="I143" s="249"/>
      <c r="J143" s="249"/>
      <c r="K143" s="249"/>
      <c r="L143" s="250"/>
      <c r="M143" s="250"/>
      <c r="N143" s="250"/>
      <c r="O143" s="250"/>
      <c r="P143" s="250"/>
      <c r="Q143" s="250"/>
      <c r="R143" s="250"/>
      <c r="S143" s="249"/>
      <c r="T143" s="249"/>
      <c r="U143" s="249"/>
      <c r="V143" s="249"/>
      <c r="W143" s="249"/>
      <c r="X143" s="249"/>
      <c r="Y143" s="249"/>
      <c r="Z143" s="250"/>
      <c r="AA143" s="250"/>
      <c r="AB143" s="250"/>
      <c r="AC143" s="250"/>
      <c r="AD143" s="250"/>
      <c r="AE143" s="250"/>
      <c r="AF143" s="250"/>
      <c r="AG143" s="249"/>
      <c r="AH143" s="249"/>
      <c r="AI143" s="249"/>
      <c r="AJ143" s="249"/>
      <c r="AK143" s="249"/>
      <c r="AL143" s="249"/>
      <c r="AM143" s="249"/>
      <c r="AN143" s="250"/>
      <c r="AO143" s="250"/>
      <c r="AP143" s="250"/>
      <c r="AQ143" s="250"/>
      <c r="AR143" s="250"/>
      <c r="AS143" s="250"/>
      <c r="AT143" s="250"/>
      <c r="AU143" s="249"/>
      <c r="AV143" s="249"/>
      <c r="AW143" s="249"/>
      <c r="AX143" s="249"/>
      <c r="AY143" s="249"/>
      <c r="AZ143" s="249"/>
      <c r="BA143" s="249"/>
      <c r="BB143" s="250"/>
      <c r="BC143" s="250"/>
      <c r="BD143" s="250"/>
      <c r="BE143" s="250"/>
      <c r="BF143" s="250"/>
      <c r="BG143" s="250"/>
      <c r="BH143" s="250"/>
      <c r="BI143" s="249"/>
      <c r="BJ143" s="249"/>
      <c r="BK143" s="249"/>
      <c r="BL143" s="249"/>
      <c r="BM143" s="249"/>
      <c r="BN143" s="249"/>
      <c r="BO143" s="249"/>
      <c r="BP143" s="250"/>
      <c r="BQ143" s="250"/>
      <c r="BR143" s="250"/>
      <c r="BS143" s="250"/>
      <c r="BT143" s="250"/>
      <c r="BU143" s="250"/>
      <c r="BV143" s="250"/>
      <c r="BW143" s="249"/>
      <c r="BX143" s="249"/>
      <c r="BY143" s="249"/>
      <c r="BZ143" s="249"/>
      <c r="CA143" s="249"/>
      <c r="CB143" s="249"/>
      <c r="CC143" s="249"/>
      <c r="CD143" s="250"/>
      <c r="CE143" s="250"/>
      <c r="CF143" s="250"/>
      <c r="CG143" s="250"/>
      <c r="CH143" s="250"/>
      <c r="CI143" s="250"/>
      <c r="CJ143" s="250"/>
      <c r="CK143" s="249"/>
      <c r="CL143" s="249"/>
      <c r="CM143" s="249"/>
      <c r="CN143" s="249"/>
      <c r="CO143" s="249"/>
      <c r="CP143" s="249"/>
      <c r="CQ143" s="249"/>
      <c r="CR143" s="250"/>
      <c r="CS143" s="250"/>
      <c r="CT143" s="250"/>
      <c r="CU143" s="250"/>
      <c r="CV143" s="250"/>
      <c r="CW143" s="250"/>
      <c r="CX143" s="250"/>
      <c r="CY143" s="249"/>
      <c r="CZ143" s="249"/>
      <c r="DA143" s="249"/>
      <c r="DB143" s="249"/>
      <c r="DC143" s="249"/>
      <c r="DD143" s="249"/>
      <c r="DE143" s="249"/>
      <c r="DF143" s="250"/>
      <c r="DG143" s="250"/>
      <c r="DH143" s="250"/>
      <c r="DI143" s="250"/>
      <c r="DJ143" s="250"/>
      <c r="DK143" s="250"/>
      <c r="DL143" s="250"/>
      <c r="DM143" s="249"/>
      <c r="DN143" s="249"/>
      <c r="DO143" s="249"/>
      <c r="DP143" s="249"/>
      <c r="DQ143" s="249"/>
      <c r="DR143" s="249"/>
      <c r="DS143" s="249"/>
      <c r="DT143" s="250"/>
      <c r="DU143" s="250"/>
      <c r="DV143" s="250"/>
      <c r="DW143" s="250"/>
      <c r="DX143" s="250"/>
      <c r="DY143" s="250"/>
      <c r="DZ143" s="250"/>
      <c r="EA143" s="249"/>
      <c r="EB143" s="249"/>
      <c r="EC143" s="249"/>
      <c r="ED143" s="249"/>
      <c r="EE143" s="249"/>
      <c r="EF143" s="249"/>
      <c r="EG143" s="249"/>
      <c r="EH143" s="250"/>
      <c r="EI143" s="250"/>
      <c r="EJ143" s="250"/>
      <c r="EK143" s="250"/>
      <c r="EL143" s="250"/>
      <c r="EM143" s="250"/>
      <c r="EN143" s="250"/>
      <c r="EO143" s="249"/>
      <c r="EP143" s="249"/>
      <c r="EQ143" s="249"/>
      <c r="ER143" s="249"/>
      <c r="ES143" s="249"/>
      <c r="ET143" s="249"/>
      <c r="EU143" s="249"/>
      <c r="EV143" s="250"/>
      <c r="EW143" s="250"/>
      <c r="EX143" s="250"/>
      <c r="EY143" s="250"/>
      <c r="EZ143" s="250"/>
      <c r="FA143" s="250"/>
      <c r="FB143" s="250"/>
      <c r="FC143" s="249"/>
      <c r="FD143" s="249"/>
      <c r="FE143" s="249"/>
      <c r="FF143" s="249"/>
      <c r="FG143" s="249"/>
      <c r="FH143" s="249"/>
      <c r="FI143" s="249"/>
      <c r="FJ143" s="250"/>
      <c r="FK143" s="250"/>
      <c r="FL143" s="250"/>
      <c r="FM143" s="250"/>
      <c r="FN143" s="250"/>
      <c r="FO143" s="250"/>
      <c r="FP143" s="250"/>
      <c r="FQ143" s="249"/>
      <c r="FR143" s="249"/>
      <c r="FS143" s="249"/>
      <c r="FT143" s="249"/>
      <c r="FU143" s="249"/>
      <c r="FV143" s="249"/>
      <c r="FW143" s="249"/>
      <c r="FX143" s="250"/>
      <c r="FY143" s="250"/>
      <c r="FZ143" s="250"/>
      <c r="GA143" s="250"/>
      <c r="GB143" s="250"/>
      <c r="GC143" s="250"/>
      <c r="GD143" s="250"/>
      <c r="GE143" s="249"/>
      <c r="GF143" s="249"/>
      <c r="GG143" s="249"/>
      <c r="GH143" s="249"/>
      <c r="GI143" s="249"/>
      <c r="GJ143" s="249"/>
      <c r="GK143" s="249"/>
      <c r="GL143" s="250"/>
      <c r="GM143" s="250"/>
      <c r="GN143" s="250"/>
      <c r="GO143" s="250"/>
      <c r="GP143" s="250"/>
      <c r="GQ143" s="250"/>
      <c r="GR143" s="250"/>
      <c r="GS143" s="249"/>
      <c r="GT143" s="249"/>
      <c r="GU143" s="249"/>
      <c r="GV143" s="249"/>
      <c r="GW143" s="249"/>
      <c r="GX143" s="249"/>
      <c r="GY143" s="249"/>
      <c r="GZ143" s="250"/>
      <c r="HA143" s="250"/>
      <c r="HB143" s="250"/>
      <c r="HC143" s="250"/>
      <c r="HD143" s="250"/>
      <c r="HE143" s="250"/>
      <c r="HF143" s="250"/>
      <c r="HG143" s="249"/>
      <c r="HH143" s="249"/>
      <c r="HI143" s="249"/>
      <c r="HJ143" s="249"/>
      <c r="HK143" s="249"/>
      <c r="HL143" s="249"/>
      <c r="HM143" s="249"/>
      <c r="HN143" s="250"/>
      <c r="HO143" s="250"/>
      <c r="HP143" s="250"/>
      <c r="HQ143" s="250"/>
      <c r="HR143" s="250"/>
      <c r="HS143" s="250"/>
      <c r="HT143" s="250"/>
      <c r="HU143" s="249"/>
      <c r="HV143" s="249"/>
      <c r="HW143" s="249"/>
      <c r="HX143" s="249"/>
      <c r="HY143" s="249"/>
      <c r="HZ143" s="249"/>
      <c r="IA143" s="249"/>
      <c r="IB143" s="250"/>
      <c r="IC143" s="250"/>
      <c r="ID143" s="250"/>
      <c r="IE143" s="250"/>
      <c r="IF143" s="250"/>
      <c r="IG143" s="250"/>
      <c r="IH143" s="250"/>
      <c r="II143" s="249"/>
      <c r="IJ143" s="249"/>
      <c r="IK143" s="249"/>
      <c r="IL143" s="249"/>
      <c r="IM143" s="249"/>
      <c r="IN143" s="249"/>
      <c r="IO143" s="249"/>
      <c r="IP143" s="250"/>
      <c r="IQ143" s="250"/>
      <c r="IR143" s="250"/>
      <c r="IS143" s="250"/>
      <c r="IT143" s="250"/>
      <c r="IU143" s="250"/>
      <c r="IV143" s="250"/>
      <c r="IW143" s="249"/>
      <c r="IX143" s="249"/>
      <c r="IY143" s="249"/>
      <c r="IZ143" s="249"/>
      <c r="JA143" s="249"/>
      <c r="JB143" s="249"/>
      <c r="JC143" s="249"/>
      <c r="JD143" s="250"/>
      <c r="JE143" s="250"/>
      <c r="JF143" s="250"/>
      <c r="JG143" s="250"/>
      <c r="JH143" s="250"/>
      <c r="JI143" s="250"/>
      <c r="JJ143" s="250"/>
      <c r="JK143" s="249"/>
      <c r="JL143" s="249"/>
      <c r="JM143" s="249"/>
      <c r="JN143" s="249"/>
      <c r="JO143" s="249"/>
      <c r="JP143" s="249"/>
      <c r="JQ143" s="249"/>
      <c r="JR143" s="250"/>
      <c r="JS143" s="250"/>
      <c r="JT143" s="250"/>
      <c r="JU143" s="250"/>
      <c r="JV143" s="250"/>
      <c r="JW143" s="250"/>
      <c r="JX143" s="250"/>
      <c r="JY143" s="249"/>
      <c r="JZ143" s="249"/>
      <c r="KA143" s="249"/>
      <c r="KB143" s="249"/>
      <c r="KC143" s="249"/>
      <c r="KD143" s="249"/>
      <c r="KE143" s="249"/>
      <c r="KF143" s="250"/>
      <c r="KG143" s="250"/>
      <c r="KH143" s="250"/>
      <c r="KI143" s="250"/>
      <c r="KJ143" s="250"/>
      <c r="KK143" s="250"/>
      <c r="KL143" s="250"/>
      <c r="KM143" s="249"/>
      <c r="KN143" s="249"/>
      <c r="KO143" s="249"/>
      <c r="KP143" s="249"/>
      <c r="KQ143" s="249"/>
      <c r="KR143" s="249"/>
      <c r="KS143" s="249"/>
      <c r="KT143" s="250"/>
      <c r="KU143" s="250"/>
      <c r="KV143" s="250"/>
      <c r="KW143" s="250"/>
      <c r="KX143" s="250"/>
      <c r="KY143" s="250"/>
      <c r="KZ143" s="250"/>
      <c r="LA143" s="249"/>
      <c r="LB143" s="249"/>
      <c r="LC143" s="249"/>
      <c r="LD143" s="249"/>
      <c r="LE143" s="249"/>
      <c r="LF143" s="249"/>
      <c r="LG143" s="249"/>
      <c r="LH143" s="250"/>
      <c r="LI143" s="250"/>
      <c r="LJ143" s="250"/>
      <c r="LK143" s="250"/>
      <c r="LL143" s="250"/>
      <c r="LM143" s="250"/>
      <c r="LN143" s="250"/>
      <c r="LO143" s="249"/>
      <c r="LP143" s="249"/>
      <c r="LQ143" s="249"/>
      <c r="LR143" s="249"/>
      <c r="LS143" s="249"/>
      <c r="LT143" s="249"/>
      <c r="LU143" s="249"/>
      <c r="LV143" s="250"/>
      <c r="LW143" s="250"/>
      <c r="LX143" s="250"/>
      <c r="LY143" s="250"/>
      <c r="LZ143" s="250"/>
      <c r="MA143" s="250"/>
      <c r="MB143" s="250"/>
      <c r="MC143" s="249"/>
      <c r="MD143" s="249"/>
      <c r="ME143" s="249"/>
      <c r="MF143" s="249"/>
      <c r="MG143" s="249"/>
      <c r="MH143" s="249"/>
      <c r="MI143" s="249"/>
      <c r="MJ143" s="250"/>
      <c r="MK143" s="250"/>
      <c r="ML143" s="250"/>
      <c r="MM143" s="250"/>
      <c r="MN143" s="250"/>
      <c r="MO143" s="250"/>
      <c r="MP143" s="250"/>
      <c r="MQ143" s="249"/>
      <c r="MR143" s="249"/>
      <c r="MS143" s="249"/>
      <c r="MT143" s="249"/>
      <c r="MU143" s="249"/>
      <c r="MV143" s="249"/>
      <c r="MW143" s="249"/>
      <c r="MX143" s="250"/>
      <c r="MY143" s="250"/>
      <c r="MZ143" s="250"/>
      <c r="NA143" s="250"/>
      <c r="NB143" s="250"/>
      <c r="NC143" s="250"/>
      <c r="ND143" s="250"/>
      <c r="NE143" s="249"/>
      <c r="NF143" s="249"/>
      <c r="NG143" s="249"/>
      <c r="NH143" s="250"/>
    </row>
    <row r="144" spans="1:372">
      <c r="A144" s="254" t="s">
        <v>988</v>
      </c>
      <c r="B144" s="239" t="s">
        <v>111</v>
      </c>
      <c r="C144" s="240" t="s">
        <v>674</v>
      </c>
      <c r="D144" s="240" t="s">
        <v>997</v>
      </c>
      <c r="E144" s="241">
        <v>0</v>
      </c>
      <c r="F144" s="252">
        <v>0</v>
      </c>
      <c r="G144" s="249"/>
      <c r="H144" s="249"/>
      <c r="I144" s="249"/>
      <c r="J144" s="249"/>
      <c r="K144" s="249"/>
      <c r="L144" s="250"/>
      <c r="M144" s="250"/>
      <c r="N144" s="250"/>
      <c r="O144" s="250"/>
      <c r="P144" s="250"/>
      <c r="Q144" s="250"/>
      <c r="R144" s="250"/>
      <c r="S144" s="249"/>
      <c r="T144" s="249"/>
      <c r="U144" s="249"/>
      <c r="V144" s="249"/>
      <c r="W144" s="249"/>
      <c r="X144" s="249"/>
      <c r="Y144" s="249"/>
      <c r="Z144" s="250"/>
      <c r="AA144" s="250"/>
      <c r="AB144" s="250"/>
      <c r="AC144" s="250"/>
      <c r="AD144" s="250"/>
      <c r="AE144" s="250"/>
      <c r="AF144" s="250"/>
      <c r="AG144" s="249"/>
      <c r="AH144" s="249"/>
      <c r="AI144" s="249"/>
      <c r="AJ144" s="249"/>
      <c r="AK144" s="249"/>
      <c r="AL144" s="249"/>
      <c r="AM144" s="249"/>
      <c r="AN144" s="250"/>
      <c r="AO144" s="250"/>
      <c r="AP144" s="250"/>
      <c r="AQ144" s="250"/>
      <c r="AR144" s="250"/>
      <c r="AS144" s="250"/>
      <c r="AT144" s="250"/>
      <c r="AU144" s="249"/>
      <c r="AV144" s="249"/>
      <c r="AW144" s="249"/>
      <c r="AX144" s="249"/>
      <c r="AY144" s="249"/>
      <c r="AZ144" s="249"/>
      <c r="BA144" s="249"/>
      <c r="BB144" s="250"/>
      <c r="BC144" s="250"/>
      <c r="BD144" s="250"/>
      <c r="BE144" s="250"/>
      <c r="BF144" s="250"/>
      <c r="BG144" s="250"/>
      <c r="BH144" s="250"/>
      <c r="BI144" s="249"/>
      <c r="BJ144" s="249"/>
      <c r="BK144" s="249"/>
      <c r="BL144" s="249"/>
      <c r="BM144" s="249"/>
      <c r="BN144" s="249"/>
      <c r="BO144" s="249"/>
      <c r="BP144" s="250"/>
      <c r="BQ144" s="250"/>
      <c r="BR144" s="250"/>
      <c r="BS144" s="250"/>
      <c r="BT144" s="250"/>
      <c r="BU144" s="250"/>
      <c r="BV144" s="250"/>
      <c r="BW144" s="249"/>
      <c r="BX144" s="249"/>
      <c r="BY144" s="249"/>
      <c r="BZ144" s="249"/>
      <c r="CA144" s="249"/>
      <c r="CB144" s="249"/>
      <c r="CC144" s="249"/>
      <c r="CD144" s="250"/>
      <c r="CE144" s="250"/>
      <c r="CF144" s="250"/>
      <c r="CG144" s="250"/>
      <c r="CH144" s="250"/>
      <c r="CI144" s="250"/>
      <c r="CJ144" s="250"/>
      <c r="CK144" s="249"/>
      <c r="CL144" s="249"/>
      <c r="CM144" s="249"/>
      <c r="CN144" s="249"/>
      <c r="CO144" s="249"/>
      <c r="CP144" s="249"/>
      <c r="CQ144" s="249"/>
      <c r="CR144" s="250"/>
      <c r="CS144" s="250"/>
      <c r="CT144" s="250"/>
      <c r="CU144" s="250"/>
      <c r="CV144" s="250"/>
      <c r="CW144" s="250"/>
      <c r="CX144" s="250"/>
      <c r="CY144" s="249"/>
      <c r="CZ144" s="249"/>
      <c r="DA144" s="249"/>
      <c r="DB144" s="249"/>
      <c r="DC144" s="249"/>
      <c r="DD144" s="249"/>
      <c r="DE144" s="249"/>
      <c r="DF144" s="250"/>
      <c r="DG144" s="250"/>
      <c r="DH144" s="250"/>
      <c r="DI144" s="250"/>
      <c r="DJ144" s="250"/>
      <c r="DK144" s="250"/>
      <c r="DL144" s="250"/>
      <c r="DM144" s="249"/>
      <c r="DN144" s="249"/>
      <c r="DO144" s="249"/>
      <c r="DP144" s="249"/>
      <c r="DQ144" s="249"/>
      <c r="DR144" s="249"/>
      <c r="DS144" s="249"/>
      <c r="DT144" s="250"/>
      <c r="DU144" s="250"/>
      <c r="DV144" s="250"/>
      <c r="DW144" s="250"/>
      <c r="DX144" s="250"/>
      <c r="DY144" s="250"/>
      <c r="DZ144" s="250"/>
      <c r="EA144" s="249"/>
      <c r="EB144" s="249"/>
      <c r="EC144" s="249"/>
      <c r="ED144" s="249"/>
      <c r="EE144" s="249"/>
      <c r="EF144" s="249"/>
      <c r="EG144" s="249"/>
      <c r="EH144" s="250"/>
      <c r="EI144" s="250"/>
      <c r="EJ144" s="250"/>
      <c r="EK144" s="250"/>
      <c r="EL144" s="250"/>
      <c r="EM144" s="250"/>
      <c r="EN144" s="250"/>
      <c r="EO144" s="249"/>
      <c r="EP144" s="249"/>
      <c r="EQ144" s="249"/>
      <c r="ER144" s="249"/>
      <c r="ES144" s="249"/>
      <c r="ET144" s="249"/>
      <c r="EU144" s="249"/>
      <c r="EV144" s="250"/>
      <c r="EW144" s="250"/>
      <c r="EX144" s="250"/>
      <c r="EY144" s="250"/>
      <c r="EZ144" s="250"/>
      <c r="FA144" s="250"/>
      <c r="FB144" s="250"/>
      <c r="FC144" s="249"/>
      <c r="FD144" s="249"/>
      <c r="FE144" s="249"/>
      <c r="FF144" s="249"/>
      <c r="FG144" s="249"/>
      <c r="FH144" s="249"/>
      <c r="FI144" s="249"/>
      <c r="FJ144" s="250"/>
      <c r="FK144" s="250"/>
      <c r="FL144" s="250"/>
      <c r="FM144" s="250"/>
      <c r="FN144" s="250"/>
      <c r="FO144" s="250"/>
      <c r="FP144" s="250"/>
      <c r="FQ144" s="249"/>
      <c r="FR144" s="249"/>
      <c r="FS144" s="249"/>
      <c r="FT144" s="249"/>
      <c r="FU144" s="249"/>
      <c r="FV144" s="249"/>
      <c r="FW144" s="249"/>
      <c r="FX144" s="250"/>
      <c r="FY144" s="250"/>
      <c r="FZ144" s="250"/>
      <c r="GA144" s="250"/>
      <c r="GB144" s="250"/>
      <c r="GC144" s="250"/>
      <c r="GD144" s="250"/>
      <c r="GE144" s="249"/>
      <c r="GF144" s="249"/>
      <c r="GG144" s="249"/>
      <c r="GH144" s="249"/>
      <c r="GI144" s="249"/>
      <c r="GJ144" s="249"/>
      <c r="GK144" s="249"/>
      <c r="GL144" s="250"/>
      <c r="GM144" s="250"/>
      <c r="GN144" s="250"/>
      <c r="GO144" s="250"/>
      <c r="GP144" s="250"/>
      <c r="GQ144" s="250"/>
      <c r="GR144" s="250"/>
      <c r="GS144" s="249"/>
      <c r="GT144" s="249"/>
      <c r="GU144" s="249"/>
      <c r="GV144" s="249"/>
      <c r="GW144" s="249"/>
      <c r="GX144" s="249"/>
      <c r="GY144" s="249"/>
      <c r="GZ144" s="250"/>
      <c r="HA144" s="250"/>
      <c r="HB144" s="250"/>
      <c r="HC144" s="250"/>
      <c r="HD144" s="250"/>
      <c r="HE144" s="250"/>
      <c r="HF144" s="250"/>
      <c r="HG144" s="249"/>
      <c r="HH144" s="249"/>
      <c r="HI144" s="249"/>
      <c r="HJ144" s="249"/>
      <c r="HK144" s="249"/>
      <c r="HL144" s="249"/>
      <c r="HM144" s="249"/>
      <c r="HN144" s="250"/>
      <c r="HO144" s="250"/>
      <c r="HP144" s="250"/>
      <c r="HQ144" s="250"/>
      <c r="HR144" s="250"/>
      <c r="HS144" s="250"/>
      <c r="HT144" s="250"/>
      <c r="HU144" s="249"/>
      <c r="HV144" s="249"/>
      <c r="HW144" s="249"/>
      <c r="HX144" s="249"/>
      <c r="HY144" s="249"/>
      <c r="HZ144" s="249"/>
      <c r="IA144" s="249"/>
      <c r="IB144" s="250"/>
      <c r="IC144" s="250"/>
      <c r="ID144" s="250"/>
      <c r="IE144" s="250"/>
      <c r="IF144" s="250"/>
      <c r="IG144" s="250"/>
      <c r="IH144" s="250"/>
      <c r="II144" s="249"/>
      <c r="IJ144" s="249"/>
      <c r="IK144" s="249"/>
      <c r="IL144" s="249"/>
      <c r="IM144" s="249"/>
      <c r="IN144" s="249"/>
      <c r="IO144" s="249"/>
      <c r="IP144" s="250"/>
      <c r="IQ144" s="250"/>
      <c r="IR144" s="250"/>
      <c r="IS144" s="250"/>
      <c r="IT144" s="250"/>
      <c r="IU144" s="250"/>
      <c r="IV144" s="250"/>
      <c r="IW144" s="249"/>
      <c r="IX144" s="249"/>
      <c r="IY144" s="249"/>
      <c r="IZ144" s="249"/>
      <c r="JA144" s="249"/>
      <c r="JB144" s="249"/>
      <c r="JC144" s="249"/>
      <c r="JD144" s="250"/>
      <c r="JE144" s="250"/>
      <c r="JF144" s="250"/>
      <c r="JG144" s="250"/>
      <c r="JH144" s="250"/>
      <c r="JI144" s="250"/>
      <c r="JJ144" s="250"/>
      <c r="JK144" s="249"/>
      <c r="JL144" s="249"/>
      <c r="JM144" s="249"/>
      <c r="JN144" s="249"/>
      <c r="JO144" s="249"/>
      <c r="JP144" s="249"/>
      <c r="JQ144" s="249"/>
      <c r="JR144" s="250"/>
      <c r="JS144" s="250"/>
      <c r="JT144" s="250"/>
      <c r="JU144" s="250"/>
      <c r="JV144" s="250"/>
      <c r="JW144" s="250"/>
      <c r="JX144" s="250"/>
      <c r="JY144" s="249"/>
      <c r="JZ144" s="249"/>
      <c r="KA144" s="249"/>
      <c r="KB144" s="249"/>
      <c r="KC144" s="249"/>
      <c r="KD144" s="249"/>
      <c r="KE144" s="249"/>
      <c r="KF144" s="250"/>
      <c r="KG144" s="250"/>
      <c r="KH144" s="250"/>
      <c r="KI144" s="250"/>
      <c r="KJ144" s="250"/>
      <c r="KK144" s="250"/>
      <c r="KL144" s="250"/>
      <c r="KM144" s="249"/>
      <c r="KN144" s="249"/>
      <c r="KO144" s="249"/>
      <c r="KP144" s="249"/>
      <c r="KQ144" s="249"/>
      <c r="KR144" s="249"/>
      <c r="KS144" s="249"/>
      <c r="KT144" s="250"/>
      <c r="KU144" s="250"/>
      <c r="KV144" s="250"/>
      <c r="KW144" s="250"/>
      <c r="KX144" s="250"/>
      <c r="KY144" s="250"/>
      <c r="KZ144" s="250"/>
      <c r="LA144" s="249"/>
      <c r="LB144" s="249"/>
      <c r="LC144" s="249"/>
      <c r="LD144" s="249"/>
      <c r="LE144" s="249"/>
      <c r="LF144" s="249"/>
      <c r="LG144" s="249"/>
      <c r="LH144" s="250"/>
      <c r="LI144" s="250"/>
      <c r="LJ144" s="250"/>
      <c r="LK144" s="250"/>
      <c r="LL144" s="250"/>
      <c r="LM144" s="250"/>
      <c r="LN144" s="250"/>
      <c r="LO144" s="249"/>
      <c r="LP144" s="249"/>
      <c r="LQ144" s="249"/>
      <c r="LR144" s="249"/>
      <c r="LS144" s="249"/>
      <c r="LT144" s="249"/>
      <c r="LU144" s="249"/>
      <c r="LV144" s="250"/>
      <c r="LW144" s="250"/>
      <c r="LX144" s="250"/>
      <c r="LY144" s="250"/>
      <c r="LZ144" s="250"/>
      <c r="MA144" s="250"/>
      <c r="MB144" s="250"/>
      <c r="MC144" s="249"/>
      <c r="MD144" s="249"/>
      <c r="ME144" s="249"/>
      <c r="MF144" s="249"/>
      <c r="MG144" s="249"/>
      <c r="MH144" s="249"/>
      <c r="MI144" s="249"/>
      <c r="MJ144" s="250"/>
      <c r="MK144" s="250"/>
      <c r="ML144" s="250"/>
      <c r="MM144" s="250"/>
      <c r="MN144" s="250"/>
      <c r="MO144" s="250"/>
      <c r="MP144" s="250"/>
      <c r="MQ144" s="249"/>
      <c r="MR144" s="249"/>
      <c r="MS144" s="249"/>
      <c r="MT144" s="249"/>
      <c r="MU144" s="249"/>
      <c r="MV144" s="249"/>
      <c r="MW144" s="249"/>
      <c r="MX144" s="250"/>
      <c r="MY144" s="250"/>
      <c r="MZ144" s="250"/>
      <c r="NA144" s="250"/>
      <c r="NB144" s="250"/>
      <c r="NC144" s="250"/>
      <c r="ND144" s="250"/>
      <c r="NE144" s="249"/>
      <c r="NF144" s="249"/>
      <c r="NG144" s="249"/>
      <c r="NH144" s="250"/>
    </row>
    <row r="145" spans="1:372">
      <c r="A145" s="254" t="s">
        <v>988</v>
      </c>
      <c r="B145" s="239" t="s">
        <v>112</v>
      </c>
      <c r="C145" s="240" t="s">
        <v>674</v>
      </c>
      <c r="D145" s="240" t="s">
        <v>997</v>
      </c>
      <c r="E145" s="241">
        <v>0</v>
      </c>
      <c r="F145" s="252">
        <v>0</v>
      </c>
      <c r="G145" s="249"/>
      <c r="H145" s="249"/>
      <c r="I145" s="249"/>
      <c r="J145" s="249"/>
      <c r="K145" s="249"/>
      <c r="L145" s="250"/>
      <c r="M145" s="250"/>
      <c r="N145" s="250"/>
      <c r="O145" s="250"/>
      <c r="P145" s="250"/>
      <c r="Q145" s="250"/>
      <c r="R145" s="250"/>
      <c r="S145" s="249"/>
      <c r="T145" s="249"/>
      <c r="U145" s="249"/>
      <c r="V145" s="249"/>
      <c r="W145" s="249"/>
      <c r="X145" s="249"/>
      <c r="Y145" s="249"/>
      <c r="Z145" s="250"/>
      <c r="AA145" s="250"/>
      <c r="AB145" s="250"/>
      <c r="AC145" s="250"/>
      <c r="AD145" s="250"/>
      <c r="AE145" s="250"/>
      <c r="AF145" s="250"/>
      <c r="AG145" s="249"/>
      <c r="AH145" s="249"/>
      <c r="AI145" s="249"/>
      <c r="AJ145" s="249"/>
      <c r="AK145" s="249"/>
      <c r="AL145" s="249"/>
      <c r="AM145" s="249"/>
      <c r="AN145" s="250"/>
      <c r="AO145" s="250"/>
      <c r="AP145" s="250"/>
      <c r="AQ145" s="250"/>
      <c r="AR145" s="250"/>
      <c r="AS145" s="250"/>
      <c r="AT145" s="250"/>
      <c r="AU145" s="249"/>
      <c r="AV145" s="249"/>
      <c r="AW145" s="249"/>
      <c r="AX145" s="249"/>
      <c r="AY145" s="249"/>
      <c r="AZ145" s="249"/>
      <c r="BA145" s="249"/>
      <c r="BB145" s="250"/>
      <c r="BC145" s="250"/>
      <c r="BD145" s="250"/>
      <c r="BE145" s="250"/>
      <c r="BF145" s="250"/>
      <c r="BG145" s="250"/>
      <c r="BH145" s="250"/>
      <c r="BI145" s="249"/>
      <c r="BJ145" s="249"/>
      <c r="BK145" s="249"/>
      <c r="BL145" s="249"/>
      <c r="BM145" s="249"/>
      <c r="BN145" s="249"/>
      <c r="BO145" s="249"/>
      <c r="BP145" s="250"/>
      <c r="BQ145" s="250"/>
      <c r="BR145" s="250"/>
      <c r="BS145" s="250"/>
      <c r="BT145" s="250"/>
      <c r="BU145" s="250"/>
      <c r="BV145" s="250"/>
      <c r="BW145" s="249"/>
      <c r="BX145" s="249"/>
      <c r="BY145" s="249"/>
      <c r="BZ145" s="249"/>
      <c r="CA145" s="249"/>
      <c r="CB145" s="249"/>
      <c r="CC145" s="249"/>
      <c r="CD145" s="250"/>
      <c r="CE145" s="250"/>
      <c r="CF145" s="250"/>
      <c r="CG145" s="250"/>
      <c r="CH145" s="250"/>
      <c r="CI145" s="250"/>
      <c r="CJ145" s="250"/>
      <c r="CK145" s="249"/>
      <c r="CL145" s="249"/>
      <c r="CM145" s="249"/>
      <c r="CN145" s="249"/>
      <c r="CO145" s="249"/>
      <c r="CP145" s="249"/>
      <c r="CQ145" s="249"/>
      <c r="CR145" s="250"/>
      <c r="CS145" s="250"/>
      <c r="CT145" s="250"/>
      <c r="CU145" s="250"/>
      <c r="CV145" s="250"/>
      <c r="CW145" s="250"/>
      <c r="CX145" s="250"/>
      <c r="CY145" s="249"/>
      <c r="CZ145" s="249"/>
      <c r="DA145" s="249"/>
      <c r="DB145" s="249"/>
      <c r="DC145" s="249"/>
      <c r="DD145" s="249"/>
      <c r="DE145" s="249"/>
      <c r="DF145" s="250"/>
      <c r="DG145" s="250"/>
      <c r="DH145" s="250"/>
      <c r="DI145" s="250"/>
      <c r="DJ145" s="250"/>
      <c r="DK145" s="250"/>
      <c r="DL145" s="250"/>
      <c r="DM145" s="249"/>
      <c r="DN145" s="249"/>
      <c r="DO145" s="249"/>
      <c r="DP145" s="249"/>
      <c r="DQ145" s="249"/>
      <c r="DR145" s="249"/>
      <c r="DS145" s="249"/>
      <c r="DT145" s="250"/>
      <c r="DU145" s="250"/>
      <c r="DV145" s="250"/>
      <c r="DW145" s="250"/>
      <c r="DX145" s="250"/>
      <c r="DY145" s="250"/>
      <c r="DZ145" s="250"/>
      <c r="EA145" s="249"/>
      <c r="EB145" s="249"/>
      <c r="EC145" s="249"/>
      <c r="ED145" s="249"/>
      <c r="EE145" s="249"/>
      <c r="EF145" s="249"/>
      <c r="EG145" s="249"/>
      <c r="EH145" s="250"/>
      <c r="EI145" s="250"/>
      <c r="EJ145" s="250"/>
      <c r="EK145" s="250"/>
      <c r="EL145" s="250"/>
      <c r="EM145" s="250"/>
      <c r="EN145" s="250"/>
      <c r="EO145" s="249"/>
      <c r="EP145" s="249"/>
      <c r="EQ145" s="249"/>
      <c r="ER145" s="249"/>
      <c r="ES145" s="249"/>
      <c r="ET145" s="249"/>
      <c r="EU145" s="249"/>
      <c r="EV145" s="250"/>
      <c r="EW145" s="250"/>
      <c r="EX145" s="250"/>
      <c r="EY145" s="250"/>
      <c r="EZ145" s="250"/>
      <c r="FA145" s="250"/>
      <c r="FB145" s="250"/>
      <c r="FC145" s="249"/>
      <c r="FD145" s="249"/>
      <c r="FE145" s="249"/>
      <c r="FF145" s="249"/>
      <c r="FG145" s="249"/>
      <c r="FH145" s="249"/>
      <c r="FI145" s="249"/>
      <c r="FJ145" s="250"/>
      <c r="FK145" s="250"/>
      <c r="FL145" s="250"/>
      <c r="FM145" s="250"/>
      <c r="FN145" s="250"/>
      <c r="FO145" s="250"/>
      <c r="FP145" s="250"/>
      <c r="FQ145" s="249"/>
      <c r="FR145" s="249"/>
      <c r="FS145" s="249"/>
      <c r="FT145" s="249"/>
      <c r="FU145" s="249"/>
      <c r="FV145" s="249"/>
      <c r="FW145" s="249"/>
      <c r="FX145" s="250"/>
      <c r="FY145" s="250"/>
      <c r="FZ145" s="250"/>
      <c r="GA145" s="250"/>
      <c r="GB145" s="250"/>
      <c r="GC145" s="250"/>
      <c r="GD145" s="250"/>
      <c r="GE145" s="249"/>
      <c r="GF145" s="249"/>
      <c r="GG145" s="249"/>
      <c r="GH145" s="249"/>
      <c r="GI145" s="249"/>
      <c r="GJ145" s="249"/>
      <c r="GK145" s="249"/>
      <c r="GL145" s="250"/>
      <c r="GM145" s="250"/>
      <c r="GN145" s="250"/>
      <c r="GO145" s="250"/>
      <c r="GP145" s="250"/>
      <c r="GQ145" s="250"/>
      <c r="GR145" s="250"/>
      <c r="GS145" s="249"/>
      <c r="GT145" s="249"/>
      <c r="GU145" s="249"/>
      <c r="GV145" s="249"/>
      <c r="GW145" s="249"/>
      <c r="GX145" s="249"/>
      <c r="GY145" s="249"/>
      <c r="GZ145" s="250"/>
      <c r="HA145" s="250"/>
      <c r="HB145" s="250"/>
      <c r="HC145" s="250"/>
      <c r="HD145" s="250"/>
      <c r="HE145" s="250"/>
      <c r="HF145" s="250"/>
      <c r="HG145" s="249"/>
      <c r="HH145" s="249"/>
      <c r="HI145" s="249"/>
      <c r="HJ145" s="249"/>
      <c r="HK145" s="249"/>
      <c r="HL145" s="249"/>
      <c r="HM145" s="249"/>
      <c r="HN145" s="250"/>
      <c r="HO145" s="250"/>
      <c r="HP145" s="250"/>
      <c r="HQ145" s="250"/>
      <c r="HR145" s="250"/>
      <c r="HS145" s="250"/>
      <c r="HT145" s="250"/>
      <c r="HU145" s="249"/>
      <c r="HV145" s="249"/>
      <c r="HW145" s="249"/>
      <c r="HX145" s="249"/>
      <c r="HY145" s="249"/>
      <c r="HZ145" s="249"/>
      <c r="IA145" s="249"/>
      <c r="IB145" s="250"/>
      <c r="IC145" s="250"/>
      <c r="ID145" s="250"/>
      <c r="IE145" s="250"/>
      <c r="IF145" s="250"/>
      <c r="IG145" s="250"/>
      <c r="IH145" s="250"/>
      <c r="II145" s="249"/>
      <c r="IJ145" s="249"/>
      <c r="IK145" s="249"/>
      <c r="IL145" s="249"/>
      <c r="IM145" s="249"/>
      <c r="IN145" s="249"/>
      <c r="IO145" s="249"/>
      <c r="IP145" s="250"/>
      <c r="IQ145" s="250"/>
      <c r="IR145" s="250"/>
      <c r="IS145" s="250"/>
      <c r="IT145" s="250"/>
      <c r="IU145" s="250"/>
      <c r="IV145" s="250"/>
      <c r="IW145" s="249"/>
      <c r="IX145" s="249"/>
      <c r="IY145" s="249"/>
      <c r="IZ145" s="249"/>
      <c r="JA145" s="249"/>
      <c r="JB145" s="249"/>
      <c r="JC145" s="249"/>
      <c r="JD145" s="250"/>
      <c r="JE145" s="250"/>
      <c r="JF145" s="250"/>
      <c r="JG145" s="250"/>
      <c r="JH145" s="250"/>
      <c r="JI145" s="250"/>
      <c r="JJ145" s="250"/>
      <c r="JK145" s="249"/>
      <c r="JL145" s="249"/>
      <c r="JM145" s="249"/>
      <c r="JN145" s="249"/>
      <c r="JO145" s="249"/>
      <c r="JP145" s="249"/>
      <c r="JQ145" s="249"/>
      <c r="JR145" s="250"/>
      <c r="JS145" s="250"/>
      <c r="JT145" s="250"/>
      <c r="JU145" s="250"/>
      <c r="JV145" s="250"/>
      <c r="JW145" s="250"/>
      <c r="JX145" s="250"/>
      <c r="JY145" s="249"/>
      <c r="JZ145" s="249"/>
      <c r="KA145" s="249"/>
      <c r="KB145" s="249"/>
      <c r="KC145" s="249"/>
      <c r="KD145" s="249"/>
      <c r="KE145" s="249"/>
      <c r="KF145" s="250"/>
      <c r="KG145" s="250"/>
      <c r="KH145" s="250"/>
      <c r="KI145" s="250"/>
      <c r="KJ145" s="250"/>
      <c r="KK145" s="250"/>
      <c r="KL145" s="250"/>
      <c r="KM145" s="249"/>
      <c r="KN145" s="249"/>
      <c r="KO145" s="249"/>
      <c r="KP145" s="249"/>
      <c r="KQ145" s="249"/>
      <c r="KR145" s="249"/>
      <c r="KS145" s="249"/>
      <c r="KT145" s="250"/>
      <c r="KU145" s="250"/>
      <c r="KV145" s="250"/>
      <c r="KW145" s="250"/>
      <c r="KX145" s="250"/>
      <c r="KY145" s="250"/>
      <c r="KZ145" s="250"/>
      <c r="LA145" s="249"/>
      <c r="LB145" s="249"/>
      <c r="LC145" s="249"/>
      <c r="LD145" s="249"/>
      <c r="LE145" s="249"/>
      <c r="LF145" s="249"/>
      <c r="LG145" s="249"/>
      <c r="LH145" s="250"/>
      <c r="LI145" s="250"/>
      <c r="LJ145" s="250"/>
      <c r="LK145" s="250"/>
      <c r="LL145" s="250"/>
      <c r="LM145" s="250"/>
      <c r="LN145" s="250"/>
      <c r="LO145" s="249"/>
      <c r="LP145" s="249"/>
      <c r="LQ145" s="249"/>
      <c r="LR145" s="249"/>
      <c r="LS145" s="249"/>
      <c r="LT145" s="249"/>
      <c r="LU145" s="249"/>
      <c r="LV145" s="250"/>
      <c r="LW145" s="250"/>
      <c r="LX145" s="250"/>
      <c r="LY145" s="250"/>
      <c r="LZ145" s="250"/>
      <c r="MA145" s="250"/>
      <c r="MB145" s="250"/>
      <c r="MC145" s="249"/>
      <c r="MD145" s="249"/>
      <c r="ME145" s="249"/>
      <c r="MF145" s="249"/>
      <c r="MG145" s="249"/>
      <c r="MH145" s="249"/>
      <c r="MI145" s="249"/>
      <c r="MJ145" s="250"/>
      <c r="MK145" s="250"/>
      <c r="ML145" s="250"/>
      <c r="MM145" s="250"/>
      <c r="MN145" s="250"/>
      <c r="MO145" s="250"/>
      <c r="MP145" s="250"/>
      <c r="MQ145" s="249"/>
      <c r="MR145" s="249"/>
      <c r="MS145" s="249"/>
      <c r="MT145" s="249"/>
      <c r="MU145" s="249"/>
      <c r="MV145" s="249"/>
      <c r="MW145" s="249"/>
      <c r="MX145" s="250"/>
      <c r="MY145" s="250"/>
      <c r="MZ145" s="250"/>
      <c r="NA145" s="250"/>
      <c r="NB145" s="250"/>
      <c r="NC145" s="250"/>
      <c r="ND145" s="250"/>
      <c r="NE145" s="249"/>
      <c r="NF145" s="249"/>
      <c r="NG145" s="249"/>
      <c r="NH145" s="250"/>
    </row>
    <row r="146" spans="1:372">
      <c r="A146" s="254" t="s">
        <v>990</v>
      </c>
      <c r="B146" s="239" t="s">
        <v>991</v>
      </c>
      <c r="C146" s="240" t="s">
        <v>675</v>
      </c>
      <c r="D146" s="240" t="e">
        <v>#N/A</v>
      </c>
      <c r="E146" s="241">
        <v>0</v>
      </c>
      <c r="F146" s="252">
        <v>0</v>
      </c>
      <c r="G146" s="249"/>
      <c r="H146" s="249"/>
      <c r="I146" s="249"/>
      <c r="J146" s="249"/>
      <c r="K146" s="249"/>
      <c r="L146" s="250"/>
      <c r="M146" s="250"/>
      <c r="N146" s="250"/>
      <c r="O146" s="250"/>
      <c r="P146" s="250"/>
      <c r="Q146" s="250"/>
      <c r="R146" s="250"/>
      <c r="S146" s="249"/>
      <c r="T146" s="249"/>
      <c r="U146" s="249"/>
      <c r="V146" s="249"/>
      <c r="W146" s="249"/>
      <c r="X146" s="249"/>
      <c r="Y146" s="249"/>
      <c r="Z146" s="250"/>
      <c r="AA146" s="250"/>
      <c r="AB146" s="250"/>
      <c r="AC146" s="250"/>
      <c r="AD146" s="250"/>
      <c r="AE146" s="250"/>
      <c r="AF146" s="250"/>
      <c r="AG146" s="249"/>
      <c r="AH146" s="249"/>
      <c r="AI146" s="249"/>
      <c r="AJ146" s="249"/>
      <c r="AK146" s="249"/>
      <c r="AL146" s="249"/>
      <c r="AM146" s="249"/>
      <c r="AN146" s="250"/>
      <c r="AO146" s="250"/>
      <c r="AP146" s="250"/>
      <c r="AQ146" s="250"/>
      <c r="AR146" s="250"/>
      <c r="AS146" s="250"/>
      <c r="AT146" s="250"/>
      <c r="AU146" s="249"/>
      <c r="AV146" s="249"/>
      <c r="AW146" s="249"/>
      <c r="AX146" s="249"/>
      <c r="AY146" s="249"/>
      <c r="AZ146" s="249"/>
      <c r="BA146" s="249"/>
      <c r="BB146" s="250"/>
      <c r="BC146" s="250"/>
      <c r="BD146" s="250"/>
      <c r="BE146" s="250"/>
      <c r="BF146" s="250"/>
      <c r="BG146" s="250"/>
      <c r="BH146" s="250"/>
      <c r="BI146" s="249"/>
      <c r="BJ146" s="249"/>
      <c r="BK146" s="249"/>
      <c r="BL146" s="249"/>
      <c r="BM146" s="249"/>
      <c r="BN146" s="249"/>
      <c r="BO146" s="249"/>
      <c r="BP146" s="250"/>
      <c r="BQ146" s="250"/>
      <c r="BR146" s="250"/>
      <c r="BS146" s="250"/>
      <c r="BT146" s="250"/>
      <c r="BU146" s="250"/>
      <c r="BV146" s="250"/>
      <c r="BW146" s="249"/>
      <c r="BX146" s="249"/>
      <c r="BY146" s="249"/>
      <c r="BZ146" s="249"/>
      <c r="CA146" s="249"/>
      <c r="CB146" s="249"/>
      <c r="CC146" s="249"/>
      <c r="CD146" s="250"/>
      <c r="CE146" s="250"/>
      <c r="CF146" s="250"/>
      <c r="CG146" s="250"/>
      <c r="CH146" s="250"/>
      <c r="CI146" s="250"/>
      <c r="CJ146" s="250"/>
      <c r="CK146" s="249"/>
      <c r="CL146" s="249"/>
      <c r="CM146" s="249"/>
      <c r="CN146" s="249"/>
      <c r="CO146" s="249"/>
      <c r="CP146" s="249"/>
      <c r="CQ146" s="249"/>
      <c r="CR146" s="250"/>
      <c r="CS146" s="250"/>
      <c r="CT146" s="250"/>
      <c r="CU146" s="250"/>
      <c r="CV146" s="250"/>
      <c r="CW146" s="250"/>
      <c r="CX146" s="250"/>
      <c r="CY146" s="249"/>
      <c r="CZ146" s="249"/>
      <c r="DA146" s="249"/>
      <c r="DB146" s="249"/>
      <c r="DC146" s="249"/>
      <c r="DD146" s="249"/>
      <c r="DE146" s="249"/>
      <c r="DF146" s="250"/>
      <c r="DG146" s="250"/>
      <c r="DH146" s="250"/>
      <c r="DI146" s="250"/>
      <c r="DJ146" s="250"/>
      <c r="DK146" s="250"/>
      <c r="DL146" s="250"/>
      <c r="DM146" s="249"/>
      <c r="DN146" s="249"/>
      <c r="DO146" s="249"/>
      <c r="DP146" s="249"/>
      <c r="DQ146" s="249"/>
      <c r="DR146" s="249"/>
      <c r="DS146" s="249"/>
      <c r="DT146" s="250"/>
      <c r="DU146" s="250"/>
      <c r="DV146" s="250"/>
      <c r="DW146" s="250"/>
      <c r="DX146" s="250"/>
      <c r="DY146" s="250"/>
      <c r="DZ146" s="250"/>
      <c r="EA146" s="249"/>
      <c r="EB146" s="249"/>
      <c r="EC146" s="249"/>
      <c r="ED146" s="249"/>
      <c r="EE146" s="249"/>
      <c r="EF146" s="249"/>
      <c r="EG146" s="249"/>
      <c r="EH146" s="250"/>
      <c r="EI146" s="250"/>
      <c r="EJ146" s="250"/>
      <c r="EK146" s="250"/>
      <c r="EL146" s="250"/>
      <c r="EM146" s="250"/>
      <c r="EN146" s="250"/>
      <c r="EO146" s="249"/>
      <c r="EP146" s="249"/>
      <c r="EQ146" s="249"/>
      <c r="ER146" s="249"/>
      <c r="ES146" s="249"/>
      <c r="ET146" s="249"/>
      <c r="EU146" s="249"/>
      <c r="EV146" s="250"/>
      <c r="EW146" s="250"/>
      <c r="EX146" s="250"/>
      <c r="EY146" s="250"/>
      <c r="EZ146" s="250"/>
      <c r="FA146" s="250"/>
      <c r="FB146" s="250"/>
      <c r="FC146" s="249"/>
      <c r="FD146" s="249"/>
      <c r="FE146" s="249"/>
      <c r="FF146" s="249"/>
      <c r="FG146" s="249"/>
      <c r="FH146" s="249"/>
      <c r="FI146" s="249"/>
      <c r="FJ146" s="250"/>
      <c r="FK146" s="250"/>
      <c r="FL146" s="250"/>
      <c r="FM146" s="250"/>
      <c r="FN146" s="250"/>
      <c r="FO146" s="250"/>
      <c r="FP146" s="250"/>
      <c r="FQ146" s="249"/>
      <c r="FR146" s="249"/>
      <c r="FS146" s="249"/>
      <c r="FT146" s="249"/>
      <c r="FU146" s="249"/>
      <c r="FV146" s="249"/>
      <c r="FW146" s="249"/>
      <c r="FX146" s="250"/>
      <c r="FY146" s="250"/>
      <c r="FZ146" s="250"/>
      <c r="GA146" s="250"/>
      <c r="GB146" s="250"/>
      <c r="GC146" s="250"/>
      <c r="GD146" s="250"/>
      <c r="GE146" s="249"/>
      <c r="GF146" s="249"/>
      <c r="GG146" s="249"/>
      <c r="GH146" s="249"/>
      <c r="GI146" s="249"/>
      <c r="GJ146" s="249"/>
      <c r="GK146" s="249"/>
      <c r="GL146" s="250"/>
      <c r="GM146" s="250"/>
      <c r="GN146" s="250"/>
      <c r="GO146" s="250"/>
      <c r="GP146" s="250"/>
      <c r="GQ146" s="250"/>
      <c r="GR146" s="250"/>
      <c r="GS146" s="249"/>
      <c r="GT146" s="249"/>
      <c r="GU146" s="249"/>
      <c r="GV146" s="249"/>
      <c r="GW146" s="249"/>
      <c r="GX146" s="249"/>
      <c r="GY146" s="249"/>
      <c r="GZ146" s="250"/>
      <c r="HA146" s="250"/>
      <c r="HB146" s="250"/>
      <c r="HC146" s="250"/>
      <c r="HD146" s="250"/>
      <c r="HE146" s="250"/>
      <c r="HF146" s="250"/>
      <c r="HG146" s="249"/>
      <c r="HH146" s="249"/>
      <c r="HI146" s="249"/>
      <c r="HJ146" s="249"/>
      <c r="HK146" s="249"/>
      <c r="HL146" s="249"/>
      <c r="HM146" s="249"/>
      <c r="HN146" s="250"/>
      <c r="HO146" s="250"/>
      <c r="HP146" s="250"/>
      <c r="HQ146" s="250"/>
      <c r="HR146" s="250"/>
      <c r="HS146" s="250"/>
      <c r="HT146" s="250"/>
      <c r="HU146" s="249"/>
      <c r="HV146" s="249"/>
      <c r="HW146" s="249"/>
      <c r="HX146" s="249"/>
      <c r="HY146" s="249"/>
      <c r="HZ146" s="249"/>
      <c r="IA146" s="249"/>
      <c r="IB146" s="250"/>
      <c r="IC146" s="250"/>
      <c r="ID146" s="250"/>
      <c r="IE146" s="250"/>
      <c r="IF146" s="250"/>
      <c r="IG146" s="250"/>
      <c r="IH146" s="250"/>
      <c r="II146" s="249"/>
      <c r="IJ146" s="249"/>
      <c r="IK146" s="249"/>
      <c r="IL146" s="249"/>
      <c r="IM146" s="249"/>
      <c r="IN146" s="249"/>
      <c r="IO146" s="249"/>
      <c r="IP146" s="250"/>
      <c r="IQ146" s="250"/>
      <c r="IR146" s="250"/>
      <c r="IS146" s="250"/>
      <c r="IT146" s="250"/>
      <c r="IU146" s="250"/>
      <c r="IV146" s="250"/>
      <c r="IW146" s="249"/>
      <c r="IX146" s="249"/>
      <c r="IY146" s="249"/>
      <c r="IZ146" s="249"/>
      <c r="JA146" s="249"/>
      <c r="JB146" s="249"/>
      <c r="JC146" s="249"/>
      <c r="JD146" s="250"/>
      <c r="JE146" s="250"/>
      <c r="JF146" s="250"/>
      <c r="JG146" s="250"/>
      <c r="JH146" s="250"/>
      <c r="JI146" s="250"/>
      <c r="JJ146" s="250"/>
      <c r="JK146" s="249"/>
      <c r="JL146" s="249"/>
      <c r="JM146" s="249"/>
      <c r="JN146" s="249"/>
      <c r="JO146" s="249"/>
      <c r="JP146" s="249"/>
      <c r="JQ146" s="249"/>
      <c r="JR146" s="250"/>
      <c r="JS146" s="250"/>
      <c r="JT146" s="250"/>
      <c r="JU146" s="250"/>
      <c r="JV146" s="250"/>
      <c r="JW146" s="250"/>
      <c r="JX146" s="250"/>
      <c r="JY146" s="249"/>
      <c r="JZ146" s="249"/>
      <c r="KA146" s="249"/>
      <c r="KB146" s="249"/>
      <c r="KC146" s="249"/>
      <c r="KD146" s="249"/>
      <c r="KE146" s="249"/>
      <c r="KF146" s="250"/>
      <c r="KG146" s="250"/>
      <c r="KH146" s="250"/>
      <c r="KI146" s="250"/>
      <c r="KJ146" s="250"/>
      <c r="KK146" s="250"/>
      <c r="KL146" s="250"/>
      <c r="KM146" s="249"/>
      <c r="KN146" s="249"/>
      <c r="KO146" s="249"/>
      <c r="KP146" s="249"/>
      <c r="KQ146" s="249"/>
      <c r="KR146" s="249"/>
      <c r="KS146" s="249"/>
      <c r="KT146" s="250"/>
      <c r="KU146" s="250"/>
      <c r="KV146" s="250"/>
      <c r="KW146" s="250"/>
      <c r="KX146" s="250"/>
      <c r="KY146" s="250"/>
      <c r="KZ146" s="250"/>
      <c r="LA146" s="249"/>
      <c r="LB146" s="249"/>
      <c r="LC146" s="249"/>
      <c r="LD146" s="249"/>
      <c r="LE146" s="249"/>
      <c r="LF146" s="249"/>
      <c r="LG146" s="249"/>
      <c r="LH146" s="250"/>
      <c r="LI146" s="250"/>
      <c r="LJ146" s="250"/>
      <c r="LK146" s="250"/>
      <c r="LL146" s="250"/>
      <c r="LM146" s="250"/>
      <c r="LN146" s="250"/>
      <c r="LO146" s="249"/>
      <c r="LP146" s="249"/>
      <c r="LQ146" s="249"/>
      <c r="LR146" s="249"/>
      <c r="LS146" s="249"/>
      <c r="LT146" s="249"/>
      <c r="LU146" s="249"/>
      <c r="LV146" s="250"/>
      <c r="LW146" s="250"/>
      <c r="LX146" s="250"/>
      <c r="LY146" s="250"/>
      <c r="LZ146" s="250"/>
      <c r="MA146" s="250"/>
      <c r="MB146" s="250"/>
      <c r="MC146" s="249"/>
      <c r="MD146" s="249"/>
      <c r="ME146" s="249"/>
      <c r="MF146" s="249"/>
      <c r="MG146" s="249"/>
      <c r="MH146" s="249"/>
      <c r="MI146" s="249"/>
      <c r="MJ146" s="250"/>
      <c r="MK146" s="250"/>
      <c r="ML146" s="250"/>
      <c r="MM146" s="250"/>
      <c r="MN146" s="250"/>
      <c r="MO146" s="250"/>
      <c r="MP146" s="250"/>
      <c r="MQ146" s="249"/>
      <c r="MR146" s="249"/>
      <c r="MS146" s="249"/>
      <c r="MT146" s="249"/>
      <c r="MU146" s="249"/>
      <c r="MV146" s="249"/>
      <c r="MW146" s="249"/>
      <c r="MX146" s="250"/>
      <c r="MY146" s="250"/>
      <c r="MZ146" s="250"/>
      <c r="NA146" s="250"/>
      <c r="NB146" s="250"/>
      <c r="NC146" s="250"/>
      <c r="ND146" s="250"/>
      <c r="NE146" s="249"/>
      <c r="NF146" s="249"/>
      <c r="NG146" s="249"/>
      <c r="NH146" s="250"/>
    </row>
    <row r="147" spans="1:372">
      <c r="A147" s="254" t="s">
        <v>990</v>
      </c>
      <c r="B147" s="239" t="s">
        <v>992</v>
      </c>
      <c r="C147" s="240" t="s">
        <v>675</v>
      </c>
      <c r="D147" s="240" t="e">
        <v>#N/A</v>
      </c>
      <c r="E147" s="241">
        <v>0</v>
      </c>
      <c r="F147" s="252">
        <v>0</v>
      </c>
      <c r="G147" s="249"/>
      <c r="H147" s="249"/>
      <c r="I147" s="249"/>
      <c r="J147" s="249"/>
      <c r="K147" s="249"/>
      <c r="L147" s="250"/>
      <c r="M147" s="250"/>
      <c r="N147" s="250"/>
      <c r="O147" s="250"/>
      <c r="P147" s="250"/>
      <c r="Q147" s="250"/>
      <c r="R147" s="250"/>
      <c r="S147" s="249"/>
      <c r="T147" s="249"/>
      <c r="U147" s="249"/>
      <c r="V147" s="249"/>
      <c r="W147" s="249"/>
      <c r="X147" s="249"/>
      <c r="Y147" s="249"/>
      <c r="Z147" s="250"/>
      <c r="AA147" s="250"/>
      <c r="AB147" s="250"/>
      <c r="AC147" s="250"/>
      <c r="AD147" s="250"/>
      <c r="AE147" s="250"/>
      <c r="AF147" s="250"/>
      <c r="AG147" s="249"/>
      <c r="AH147" s="249"/>
      <c r="AI147" s="249"/>
      <c r="AJ147" s="249"/>
      <c r="AK147" s="249"/>
      <c r="AL147" s="249"/>
      <c r="AM147" s="249"/>
      <c r="AN147" s="250"/>
      <c r="AO147" s="250"/>
      <c r="AP147" s="250"/>
      <c r="AQ147" s="250"/>
      <c r="AR147" s="250"/>
      <c r="AS147" s="250"/>
      <c r="AT147" s="250"/>
      <c r="AU147" s="249"/>
      <c r="AV147" s="249"/>
      <c r="AW147" s="249"/>
      <c r="AX147" s="249"/>
      <c r="AY147" s="249"/>
      <c r="AZ147" s="249"/>
      <c r="BA147" s="249"/>
      <c r="BB147" s="250"/>
      <c r="BC147" s="250"/>
      <c r="BD147" s="250"/>
      <c r="BE147" s="250"/>
      <c r="BF147" s="250"/>
      <c r="BG147" s="250"/>
      <c r="BH147" s="250"/>
      <c r="BI147" s="249"/>
      <c r="BJ147" s="249"/>
      <c r="BK147" s="249"/>
      <c r="BL147" s="249"/>
      <c r="BM147" s="249"/>
      <c r="BN147" s="249"/>
      <c r="BO147" s="249"/>
      <c r="BP147" s="250"/>
      <c r="BQ147" s="250"/>
      <c r="BR147" s="250"/>
      <c r="BS147" s="250"/>
      <c r="BT147" s="250"/>
      <c r="BU147" s="250"/>
      <c r="BV147" s="250"/>
      <c r="BW147" s="249"/>
      <c r="BX147" s="249"/>
      <c r="BY147" s="249"/>
      <c r="BZ147" s="249"/>
      <c r="CA147" s="249"/>
      <c r="CB147" s="249"/>
      <c r="CC147" s="249"/>
      <c r="CD147" s="250"/>
      <c r="CE147" s="250"/>
      <c r="CF147" s="250"/>
      <c r="CG147" s="250"/>
      <c r="CH147" s="250"/>
      <c r="CI147" s="250"/>
      <c r="CJ147" s="250"/>
      <c r="CK147" s="249"/>
      <c r="CL147" s="249"/>
      <c r="CM147" s="249"/>
      <c r="CN147" s="249"/>
      <c r="CO147" s="249"/>
      <c r="CP147" s="249"/>
      <c r="CQ147" s="249"/>
      <c r="CR147" s="250"/>
      <c r="CS147" s="250"/>
      <c r="CT147" s="250"/>
      <c r="CU147" s="250"/>
      <c r="CV147" s="250"/>
      <c r="CW147" s="250"/>
      <c r="CX147" s="250"/>
      <c r="CY147" s="249"/>
      <c r="CZ147" s="249"/>
      <c r="DA147" s="249"/>
      <c r="DB147" s="249"/>
      <c r="DC147" s="249"/>
      <c r="DD147" s="249"/>
      <c r="DE147" s="249"/>
      <c r="DF147" s="250"/>
      <c r="DG147" s="250"/>
      <c r="DH147" s="250"/>
      <c r="DI147" s="250"/>
      <c r="DJ147" s="250"/>
      <c r="DK147" s="250"/>
      <c r="DL147" s="250"/>
      <c r="DM147" s="249"/>
      <c r="DN147" s="249"/>
      <c r="DO147" s="249"/>
      <c r="DP147" s="249"/>
      <c r="DQ147" s="249"/>
      <c r="DR147" s="249"/>
      <c r="DS147" s="249"/>
      <c r="DT147" s="250"/>
      <c r="DU147" s="250"/>
      <c r="DV147" s="250"/>
      <c r="DW147" s="250"/>
      <c r="DX147" s="250"/>
      <c r="DY147" s="250"/>
      <c r="DZ147" s="250"/>
      <c r="EA147" s="249"/>
      <c r="EB147" s="249"/>
      <c r="EC147" s="249"/>
      <c r="ED147" s="249"/>
      <c r="EE147" s="249"/>
      <c r="EF147" s="249"/>
      <c r="EG147" s="249"/>
      <c r="EH147" s="250"/>
      <c r="EI147" s="250"/>
      <c r="EJ147" s="250"/>
      <c r="EK147" s="250"/>
      <c r="EL147" s="250"/>
      <c r="EM147" s="250"/>
      <c r="EN147" s="250"/>
      <c r="EO147" s="249"/>
      <c r="EP147" s="249"/>
      <c r="EQ147" s="249"/>
      <c r="ER147" s="249"/>
      <c r="ES147" s="249"/>
      <c r="ET147" s="249"/>
      <c r="EU147" s="249"/>
      <c r="EV147" s="250"/>
      <c r="EW147" s="250"/>
      <c r="EX147" s="250"/>
      <c r="EY147" s="250"/>
      <c r="EZ147" s="250"/>
      <c r="FA147" s="250"/>
      <c r="FB147" s="250"/>
      <c r="FC147" s="249"/>
      <c r="FD147" s="249"/>
      <c r="FE147" s="249"/>
      <c r="FF147" s="249"/>
      <c r="FG147" s="249"/>
      <c r="FH147" s="249"/>
      <c r="FI147" s="249"/>
      <c r="FJ147" s="250"/>
      <c r="FK147" s="250"/>
      <c r="FL147" s="250"/>
      <c r="FM147" s="250"/>
      <c r="FN147" s="250"/>
      <c r="FO147" s="250"/>
      <c r="FP147" s="250"/>
      <c r="FQ147" s="249"/>
      <c r="FR147" s="249"/>
      <c r="FS147" s="249"/>
      <c r="FT147" s="249"/>
      <c r="FU147" s="249"/>
      <c r="FV147" s="249"/>
      <c r="FW147" s="249"/>
      <c r="FX147" s="250"/>
      <c r="FY147" s="250"/>
      <c r="FZ147" s="250"/>
      <c r="GA147" s="250"/>
      <c r="GB147" s="250"/>
      <c r="GC147" s="250"/>
      <c r="GD147" s="250"/>
      <c r="GE147" s="249"/>
      <c r="GF147" s="249"/>
      <c r="GG147" s="249"/>
      <c r="GH147" s="249"/>
      <c r="GI147" s="249"/>
      <c r="GJ147" s="249"/>
      <c r="GK147" s="249"/>
      <c r="GL147" s="250"/>
      <c r="GM147" s="250"/>
      <c r="GN147" s="250"/>
      <c r="GO147" s="250"/>
      <c r="GP147" s="250"/>
      <c r="GQ147" s="250"/>
      <c r="GR147" s="250"/>
      <c r="GS147" s="249"/>
      <c r="GT147" s="249"/>
      <c r="GU147" s="249"/>
      <c r="GV147" s="249"/>
      <c r="GW147" s="249"/>
      <c r="GX147" s="249"/>
      <c r="GY147" s="249"/>
      <c r="GZ147" s="250"/>
      <c r="HA147" s="250"/>
      <c r="HB147" s="250"/>
      <c r="HC147" s="250"/>
      <c r="HD147" s="250"/>
      <c r="HE147" s="250"/>
      <c r="HF147" s="250"/>
      <c r="HG147" s="249"/>
      <c r="HH147" s="249"/>
      <c r="HI147" s="249"/>
      <c r="HJ147" s="249"/>
      <c r="HK147" s="249"/>
      <c r="HL147" s="249"/>
      <c r="HM147" s="249"/>
      <c r="HN147" s="250"/>
      <c r="HO147" s="250"/>
      <c r="HP147" s="250"/>
      <c r="HQ147" s="250"/>
      <c r="HR147" s="250"/>
      <c r="HS147" s="250"/>
      <c r="HT147" s="250"/>
      <c r="HU147" s="249"/>
      <c r="HV147" s="249"/>
      <c r="HW147" s="249"/>
      <c r="HX147" s="249"/>
      <c r="HY147" s="249"/>
      <c r="HZ147" s="249"/>
      <c r="IA147" s="249"/>
      <c r="IB147" s="250"/>
      <c r="IC147" s="250"/>
      <c r="ID147" s="250"/>
      <c r="IE147" s="250"/>
      <c r="IF147" s="250"/>
      <c r="IG147" s="250"/>
      <c r="IH147" s="250"/>
      <c r="II147" s="249"/>
      <c r="IJ147" s="249"/>
      <c r="IK147" s="249"/>
      <c r="IL147" s="249"/>
      <c r="IM147" s="249"/>
      <c r="IN147" s="249"/>
      <c r="IO147" s="249"/>
      <c r="IP147" s="250"/>
      <c r="IQ147" s="250"/>
      <c r="IR147" s="250"/>
      <c r="IS147" s="250"/>
      <c r="IT147" s="250"/>
      <c r="IU147" s="250"/>
      <c r="IV147" s="250"/>
      <c r="IW147" s="249"/>
      <c r="IX147" s="249"/>
      <c r="IY147" s="249"/>
      <c r="IZ147" s="249"/>
      <c r="JA147" s="249"/>
      <c r="JB147" s="249"/>
      <c r="JC147" s="249"/>
      <c r="JD147" s="250"/>
      <c r="JE147" s="250"/>
      <c r="JF147" s="250"/>
      <c r="JG147" s="250"/>
      <c r="JH147" s="250"/>
      <c r="JI147" s="250"/>
      <c r="JJ147" s="250"/>
      <c r="JK147" s="249"/>
      <c r="JL147" s="249"/>
      <c r="JM147" s="249"/>
      <c r="JN147" s="249"/>
      <c r="JO147" s="249"/>
      <c r="JP147" s="249"/>
      <c r="JQ147" s="249"/>
      <c r="JR147" s="250"/>
      <c r="JS147" s="250"/>
      <c r="JT147" s="250"/>
      <c r="JU147" s="250"/>
      <c r="JV147" s="250"/>
      <c r="JW147" s="250"/>
      <c r="JX147" s="250"/>
      <c r="JY147" s="249"/>
      <c r="JZ147" s="249"/>
      <c r="KA147" s="249"/>
      <c r="KB147" s="249"/>
      <c r="KC147" s="249"/>
      <c r="KD147" s="249"/>
      <c r="KE147" s="249"/>
      <c r="KF147" s="250"/>
      <c r="KG147" s="250"/>
      <c r="KH147" s="250"/>
      <c r="KI147" s="250"/>
      <c r="KJ147" s="250"/>
      <c r="KK147" s="250"/>
      <c r="KL147" s="250"/>
      <c r="KM147" s="249"/>
      <c r="KN147" s="249"/>
      <c r="KO147" s="249"/>
      <c r="KP147" s="249"/>
      <c r="KQ147" s="249"/>
      <c r="KR147" s="249"/>
      <c r="KS147" s="249"/>
      <c r="KT147" s="250"/>
      <c r="KU147" s="250"/>
      <c r="KV147" s="250"/>
      <c r="KW147" s="250"/>
      <c r="KX147" s="250"/>
      <c r="KY147" s="250"/>
      <c r="KZ147" s="250"/>
      <c r="LA147" s="249"/>
      <c r="LB147" s="249"/>
      <c r="LC147" s="249"/>
      <c r="LD147" s="249"/>
      <c r="LE147" s="249"/>
      <c r="LF147" s="249"/>
      <c r="LG147" s="249"/>
      <c r="LH147" s="250"/>
      <c r="LI147" s="250"/>
      <c r="LJ147" s="250"/>
      <c r="LK147" s="250"/>
      <c r="LL147" s="250"/>
      <c r="LM147" s="250"/>
      <c r="LN147" s="250"/>
      <c r="LO147" s="249"/>
      <c r="LP147" s="249"/>
      <c r="LQ147" s="249"/>
      <c r="LR147" s="249"/>
      <c r="LS147" s="249"/>
      <c r="LT147" s="249"/>
      <c r="LU147" s="249"/>
      <c r="LV147" s="250"/>
      <c r="LW147" s="250"/>
      <c r="LX147" s="250"/>
      <c r="LY147" s="250"/>
      <c r="LZ147" s="250"/>
      <c r="MA147" s="250"/>
      <c r="MB147" s="250"/>
      <c r="MC147" s="249"/>
      <c r="MD147" s="249"/>
      <c r="ME147" s="249"/>
      <c r="MF147" s="249"/>
      <c r="MG147" s="249"/>
      <c r="MH147" s="249"/>
      <c r="MI147" s="249"/>
      <c r="MJ147" s="250"/>
      <c r="MK147" s="250"/>
      <c r="ML147" s="250"/>
      <c r="MM147" s="250"/>
      <c r="MN147" s="250"/>
      <c r="MO147" s="250"/>
      <c r="MP147" s="250"/>
      <c r="MQ147" s="249"/>
      <c r="MR147" s="249"/>
      <c r="MS147" s="249"/>
      <c r="MT147" s="249"/>
      <c r="MU147" s="249"/>
      <c r="MV147" s="249"/>
      <c r="MW147" s="249"/>
      <c r="MX147" s="250"/>
      <c r="MY147" s="250"/>
      <c r="MZ147" s="250"/>
      <c r="NA147" s="250"/>
      <c r="NB147" s="250"/>
      <c r="NC147" s="250"/>
      <c r="ND147" s="250"/>
      <c r="NE147" s="249"/>
      <c r="NF147" s="249"/>
      <c r="NG147" s="249"/>
      <c r="NH147" s="250"/>
    </row>
    <row r="148" spans="1:372">
      <c r="A148" s="254" t="s">
        <v>1158</v>
      </c>
      <c r="B148" s="239" t="s">
        <v>1159</v>
      </c>
      <c r="C148" s="240" t="s">
        <v>674</v>
      </c>
      <c r="D148" s="240" t="e">
        <v>#N/A</v>
      </c>
      <c r="E148" s="241">
        <v>0</v>
      </c>
      <c r="F148" s="252">
        <v>24</v>
      </c>
      <c r="G148" s="249"/>
      <c r="H148" s="249"/>
      <c r="I148" s="249"/>
      <c r="J148" s="249"/>
      <c r="K148" s="249"/>
      <c r="L148" s="250"/>
      <c r="M148" s="250"/>
      <c r="N148" s="250"/>
      <c r="O148" s="250"/>
      <c r="P148" s="250"/>
      <c r="Q148" s="250"/>
      <c r="R148" s="250"/>
      <c r="S148" s="249"/>
      <c r="T148" s="249"/>
      <c r="U148" s="249"/>
      <c r="V148" s="249"/>
      <c r="W148" s="249"/>
      <c r="X148" s="249"/>
      <c r="Y148" s="249"/>
      <c r="Z148" s="250"/>
      <c r="AA148" s="250"/>
      <c r="AB148" s="250"/>
      <c r="AC148" s="250"/>
      <c r="AD148" s="250"/>
      <c r="AE148" s="250"/>
      <c r="AF148" s="250"/>
      <c r="AG148" s="249"/>
      <c r="AH148" s="249"/>
      <c r="AI148" s="249"/>
      <c r="AJ148" s="249"/>
      <c r="AK148" s="249"/>
      <c r="AL148" s="249"/>
      <c r="AM148" s="249"/>
      <c r="AN148" s="250"/>
      <c r="AO148" s="250"/>
      <c r="AP148" s="250"/>
      <c r="AQ148" s="250"/>
      <c r="AR148" s="250"/>
      <c r="AS148" s="250"/>
      <c r="AT148" s="250"/>
      <c r="AU148" s="249"/>
      <c r="AV148" s="249"/>
      <c r="AW148" s="249"/>
      <c r="AX148" s="249"/>
      <c r="AY148" s="249"/>
      <c r="AZ148" s="249"/>
      <c r="BA148" s="249"/>
      <c r="BB148" s="250"/>
      <c r="BC148" s="250"/>
      <c r="BD148" s="250"/>
      <c r="BE148" s="250"/>
      <c r="BF148" s="250"/>
      <c r="BG148" s="250"/>
      <c r="BH148" s="250"/>
      <c r="BI148" s="249"/>
      <c r="BJ148" s="249"/>
      <c r="BK148" s="249"/>
      <c r="BL148" s="249"/>
      <c r="BM148" s="249"/>
      <c r="BN148" s="249"/>
      <c r="BO148" s="249"/>
      <c r="BP148" s="250"/>
      <c r="BQ148" s="250"/>
      <c r="BR148" s="250"/>
      <c r="BS148" s="250"/>
      <c r="BT148" s="250"/>
      <c r="BU148" s="250"/>
      <c r="BV148" s="250"/>
      <c r="BW148" s="249"/>
      <c r="BX148" s="249"/>
      <c r="BY148" s="249"/>
      <c r="BZ148" s="249"/>
      <c r="CA148" s="249"/>
      <c r="CB148" s="249"/>
      <c r="CC148" s="249"/>
      <c r="CD148" s="250"/>
      <c r="CE148" s="250"/>
      <c r="CF148" s="250"/>
      <c r="CG148" s="250"/>
      <c r="CH148" s="250"/>
      <c r="CI148" s="250"/>
      <c r="CJ148" s="250"/>
      <c r="CK148" s="249"/>
      <c r="CL148" s="249"/>
      <c r="CM148" s="249"/>
      <c r="CN148" s="249"/>
      <c r="CO148" s="249"/>
      <c r="CP148" s="249"/>
      <c r="CQ148" s="249"/>
      <c r="CR148" s="250"/>
      <c r="CS148" s="250"/>
      <c r="CT148" s="250"/>
      <c r="CU148" s="250"/>
      <c r="CV148" s="250">
        <v>24</v>
      </c>
      <c r="CW148" s="250"/>
      <c r="CX148" s="250"/>
      <c r="CY148" s="249"/>
      <c r="CZ148" s="249"/>
      <c r="DA148" s="249"/>
      <c r="DB148" s="249"/>
      <c r="DC148" s="249"/>
      <c r="DD148" s="249"/>
      <c r="DE148" s="249"/>
      <c r="DF148" s="250"/>
      <c r="DG148" s="250"/>
      <c r="DH148" s="250"/>
      <c r="DI148" s="250"/>
      <c r="DJ148" s="250"/>
      <c r="DK148" s="250"/>
      <c r="DL148" s="250"/>
      <c r="DM148" s="249"/>
      <c r="DN148" s="249"/>
      <c r="DO148" s="249"/>
      <c r="DP148" s="249"/>
      <c r="DQ148" s="249"/>
      <c r="DR148" s="249"/>
      <c r="DS148" s="249"/>
      <c r="DT148" s="250"/>
      <c r="DU148" s="250"/>
      <c r="DV148" s="250"/>
      <c r="DW148" s="250"/>
      <c r="DX148" s="250"/>
      <c r="DY148" s="250"/>
      <c r="DZ148" s="250"/>
      <c r="EA148" s="249"/>
      <c r="EB148" s="249"/>
      <c r="EC148" s="249"/>
      <c r="ED148" s="249"/>
      <c r="EE148" s="249"/>
      <c r="EF148" s="249"/>
      <c r="EG148" s="249"/>
      <c r="EH148" s="250"/>
      <c r="EI148" s="250"/>
      <c r="EJ148" s="250"/>
      <c r="EK148" s="250"/>
      <c r="EL148" s="250"/>
      <c r="EM148" s="250"/>
      <c r="EN148" s="250"/>
      <c r="EO148" s="249"/>
      <c r="EP148" s="249"/>
      <c r="EQ148" s="249"/>
      <c r="ER148" s="249"/>
      <c r="ES148" s="249"/>
      <c r="ET148" s="249"/>
      <c r="EU148" s="249"/>
      <c r="EV148" s="250"/>
      <c r="EW148" s="250"/>
      <c r="EX148" s="250"/>
      <c r="EY148" s="250"/>
      <c r="EZ148" s="250"/>
      <c r="FA148" s="250"/>
      <c r="FB148" s="250"/>
      <c r="FC148" s="249"/>
      <c r="FD148" s="249"/>
      <c r="FE148" s="249"/>
      <c r="FF148" s="249"/>
      <c r="FG148" s="249"/>
      <c r="FH148" s="249"/>
      <c r="FI148" s="249"/>
      <c r="FJ148" s="250"/>
      <c r="FK148" s="250"/>
      <c r="FL148" s="250"/>
      <c r="FM148" s="250"/>
      <c r="FN148" s="250"/>
      <c r="FO148" s="250"/>
      <c r="FP148" s="250"/>
      <c r="FQ148" s="249"/>
      <c r="FR148" s="249"/>
      <c r="FS148" s="249"/>
      <c r="FT148" s="249"/>
      <c r="FU148" s="249"/>
      <c r="FV148" s="249"/>
      <c r="FW148" s="249"/>
      <c r="FX148" s="250"/>
      <c r="FY148" s="250"/>
      <c r="FZ148" s="250"/>
      <c r="GA148" s="250"/>
      <c r="GB148" s="250"/>
      <c r="GC148" s="250"/>
      <c r="GD148" s="250"/>
      <c r="GE148" s="249"/>
      <c r="GF148" s="249"/>
      <c r="GG148" s="249"/>
      <c r="GH148" s="249"/>
      <c r="GI148" s="249"/>
      <c r="GJ148" s="249"/>
      <c r="GK148" s="249"/>
      <c r="GL148" s="250"/>
      <c r="GM148" s="250"/>
      <c r="GN148" s="250"/>
      <c r="GO148" s="250"/>
      <c r="GP148" s="250"/>
      <c r="GQ148" s="250"/>
      <c r="GR148" s="250"/>
      <c r="GS148" s="249"/>
      <c r="GT148" s="249"/>
      <c r="GU148" s="249"/>
      <c r="GV148" s="249"/>
      <c r="GW148" s="249"/>
      <c r="GX148" s="249"/>
      <c r="GY148" s="249"/>
      <c r="GZ148" s="250"/>
      <c r="HA148" s="250"/>
      <c r="HB148" s="250"/>
      <c r="HC148" s="250"/>
      <c r="HD148" s="250"/>
      <c r="HE148" s="250"/>
      <c r="HF148" s="250"/>
      <c r="HG148" s="249"/>
      <c r="HH148" s="249"/>
      <c r="HI148" s="249"/>
      <c r="HJ148" s="249"/>
      <c r="HK148" s="249"/>
      <c r="HL148" s="249"/>
      <c r="HM148" s="249"/>
      <c r="HN148" s="250"/>
      <c r="HO148" s="250"/>
      <c r="HP148" s="250"/>
      <c r="HQ148" s="250"/>
      <c r="HR148" s="250"/>
      <c r="HS148" s="250"/>
      <c r="HT148" s="250"/>
      <c r="HU148" s="249"/>
      <c r="HV148" s="249"/>
      <c r="HW148" s="249"/>
      <c r="HX148" s="249"/>
      <c r="HY148" s="249"/>
      <c r="HZ148" s="249"/>
      <c r="IA148" s="249"/>
      <c r="IB148" s="250"/>
      <c r="IC148" s="250"/>
      <c r="ID148" s="250"/>
      <c r="IE148" s="250"/>
      <c r="IF148" s="250"/>
      <c r="IG148" s="250"/>
      <c r="IH148" s="250"/>
      <c r="II148" s="249"/>
      <c r="IJ148" s="249"/>
      <c r="IK148" s="249"/>
      <c r="IL148" s="249"/>
      <c r="IM148" s="249"/>
      <c r="IN148" s="249"/>
      <c r="IO148" s="249"/>
      <c r="IP148" s="250"/>
      <c r="IQ148" s="250"/>
      <c r="IR148" s="250"/>
      <c r="IS148" s="250"/>
      <c r="IT148" s="250"/>
      <c r="IU148" s="250"/>
      <c r="IV148" s="250"/>
      <c r="IW148" s="249"/>
      <c r="IX148" s="249"/>
      <c r="IY148" s="249"/>
      <c r="IZ148" s="249"/>
      <c r="JA148" s="249"/>
      <c r="JB148" s="249"/>
      <c r="JC148" s="249"/>
      <c r="JD148" s="250"/>
      <c r="JE148" s="250"/>
      <c r="JF148" s="250"/>
      <c r="JG148" s="250"/>
      <c r="JH148" s="250"/>
      <c r="JI148" s="250"/>
      <c r="JJ148" s="250"/>
      <c r="JK148" s="249"/>
      <c r="JL148" s="249"/>
      <c r="JM148" s="249"/>
      <c r="JN148" s="249"/>
      <c r="JO148" s="249"/>
      <c r="JP148" s="249"/>
      <c r="JQ148" s="249"/>
      <c r="JR148" s="250"/>
      <c r="JS148" s="250"/>
      <c r="JT148" s="250"/>
      <c r="JU148" s="250"/>
      <c r="JV148" s="250"/>
      <c r="JW148" s="250"/>
      <c r="JX148" s="250"/>
      <c r="JY148" s="249"/>
      <c r="JZ148" s="249"/>
      <c r="KA148" s="249"/>
      <c r="KB148" s="249"/>
      <c r="KC148" s="249"/>
      <c r="KD148" s="249"/>
      <c r="KE148" s="249"/>
      <c r="KF148" s="250"/>
      <c r="KG148" s="250"/>
      <c r="KH148" s="250"/>
      <c r="KI148" s="250"/>
      <c r="KJ148" s="250"/>
      <c r="KK148" s="250"/>
      <c r="KL148" s="250"/>
      <c r="KM148" s="249"/>
      <c r="KN148" s="249"/>
      <c r="KO148" s="249"/>
      <c r="KP148" s="249"/>
      <c r="KQ148" s="249"/>
      <c r="KR148" s="249"/>
      <c r="KS148" s="249"/>
      <c r="KT148" s="250"/>
      <c r="KU148" s="250"/>
      <c r="KV148" s="250"/>
      <c r="KW148" s="250"/>
      <c r="KX148" s="250"/>
      <c r="KY148" s="250"/>
      <c r="KZ148" s="250"/>
      <c r="LA148" s="249"/>
      <c r="LB148" s="249"/>
      <c r="LC148" s="249"/>
      <c r="LD148" s="249"/>
      <c r="LE148" s="249"/>
      <c r="LF148" s="249"/>
      <c r="LG148" s="249"/>
      <c r="LH148" s="250"/>
      <c r="LI148" s="250"/>
      <c r="LJ148" s="250"/>
      <c r="LK148" s="250"/>
      <c r="LL148" s="250"/>
      <c r="LM148" s="250"/>
      <c r="LN148" s="250"/>
      <c r="LO148" s="249"/>
      <c r="LP148" s="249"/>
      <c r="LQ148" s="249"/>
      <c r="LR148" s="249"/>
      <c r="LS148" s="249"/>
      <c r="LT148" s="249"/>
      <c r="LU148" s="249"/>
      <c r="LV148" s="250"/>
      <c r="LW148" s="250"/>
      <c r="LX148" s="250"/>
      <c r="LY148" s="250"/>
      <c r="LZ148" s="250"/>
      <c r="MA148" s="250"/>
      <c r="MB148" s="250"/>
      <c r="MC148" s="249"/>
      <c r="MD148" s="249"/>
      <c r="ME148" s="249"/>
      <c r="MF148" s="249"/>
      <c r="MG148" s="249"/>
      <c r="MH148" s="249"/>
      <c r="MI148" s="249"/>
      <c r="MJ148" s="250"/>
      <c r="MK148" s="250"/>
      <c r="ML148" s="250"/>
      <c r="MM148" s="250"/>
      <c r="MN148" s="250"/>
      <c r="MO148" s="250"/>
      <c r="MP148" s="250"/>
      <c r="MQ148" s="249"/>
      <c r="MR148" s="249"/>
      <c r="MS148" s="249"/>
      <c r="MT148" s="249"/>
      <c r="MU148" s="249"/>
      <c r="MV148" s="249"/>
      <c r="MW148" s="249"/>
      <c r="MX148" s="250"/>
      <c r="MY148" s="250"/>
      <c r="MZ148" s="250"/>
      <c r="NA148" s="250"/>
      <c r="NB148" s="250"/>
      <c r="NC148" s="250"/>
      <c r="ND148" s="250"/>
      <c r="NE148" s="249"/>
      <c r="NF148" s="249"/>
      <c r="NG148" s="249"/>
      <c r="NH148" s="250"/>
    </row>
    <row r="149" spans="1:372">
      <c r="A149" s="255" t="s">
        <v>1160</v>
      </c>
      <c r="B149" s="348" t="s">
        <v>1161</v>
      </c>
      <c r="C149" s="256" t="s">
        <v>674</v>
      </c>
      <c r="D149" s="256" t="s">
        <v>982</v>
      </c>
      <c r="E149" s="257">
        <v>0</v>
      </c>
      <c r="F149" s="258">
        <v>0</v>
      </c>
      <c r="G149" s="249"/>
      <c r="H149" s="249"/>
      <c r="I149" s="249"/>
      <c r="J149" s="249"/>
      <c r="K149" s="249"/>
      <c r="L149" s="250"/>
      <c r="M149" s="250"/>
      <c r="N149" s="250"/>
      <c r="O149" s="250"/>
      <c r="P149" s="250"/>
      <c r="Q149" s="250"/>
      <c r="R149" s="250"/>
      <c r="S149" s="249"/>
      <c r="T149" s="249"/>
      <c r="U149" s="249"/>
      <c r="V149" s="249"/>
      <c r="W149" s="249"/>
      <c r="X149" s="249"/>
      <c r="Y149" s="249"/>
      <c r="Z149" s="250"/>
      <c r="AA149" s="250"/>
      <c r="AB149" s="250"/>
      <c r="AC149" s="250"/>
      <c r="AD149" s="250"/>
      <c r="AE149" s="250"/>
      <c r="AF149" s="250"/>
      <c r="AG149" s="249"/>
      <c r="AH149" s="249"/>
      <c r="AI149" s="249"/>
      <c r="AJ149" s="249"/>
      <c r="AK149" s="249"/>
      <c r="AL149" s="249"/>
      <c r="AM149" s="249"/>
      <c r="AN149" s="250"/>
      <c r="AO149" s="250"/>
      <c r="AP149" s="250"/>
      <c r="AQ149" s="250"/>
      <c r="AR149" s="250"/>
      <c r="AS149" s="250"/>
      <c r="AT149" s="250"/>
      <c r="AU149" s="249"/>
      <c r="AV149" s="249"/>
      <c r="AW149" s="249"/>
      <c r="AX149" s="249"/>
      <c r="AY149" s="249"/>
      <c r="AZ149" s="249"/>
      <c r="BA149" s="249"/>
      <c r="BB149" s="250"/>
      <c r="BC149" s="250"/>
      <c r="BD149" s="250"/>
      <c r="BE149" s="250"/>
      <c r="BF149" s="250"/>
      <c r="BG149" s="250"/>
      <c r="BH149" s="250"/>
      <c r="BI149" s="249"/>
      <c r="BJ149" s="249"/>
      <c r="BK149" s="249"/>
      <c r="BL149" s="249"/>
      <c r="BM149" s="249"/>
      <c r="BN149" s="249"/>
      <c r="BO149" s="249"/>
      <c r="BP149" s="250"/>
      <c r="BQ149" s="250"/>
      <c r="BR149" s="250"/>
      <c r="BS149" s="250"/>
      <c r="BT149" s="250"/>
      <c r="BU149" s="250"/>
      <c r="BV149" s="250"/>
      <c r="BW149" s="249"/>
      <c r="BX149" s="249"/>
      <c r="BY149" s="249"/>
      <c r="BZ149" s="249"/>
      <c r="CA149" s="249"/>
      <c r="CB149" s="249"/>
      <c r="CC149" s="249"/>
      <c r="CD149" s="250"/>
      <c r="CE149" s="250"/>
      <c r="CF149" s="250"/>
      <c r="CG149" s="250"/>
      <c r="CH149" s="250"/>
      <c r="CI149" s="250"/>
      <c r="CJ149" s="250"/>
      <c r="CK149" s="249"/>
      <c r="CL149" s="249"/>
      <c r="CM149" s="249"/>
      <c r="CN149" s="249"/>
      <c r="CO149" s="249"/>
      <c r="CP149" s="249"/>
      <c r="CQ149" s="249"/>
      <c r="CR149" s="250"/>
      <c r="CS149" s="250"/>
      <c r="CT149" s="250"/>
      <c r="CU149" s="250"/>
      <c r="CV149" s="250"/>
      <c r="CW149" s="250"/>
      <c r="CX149" s="250"/>
      <c r="CY149" s="249"/>
      <c r="CZ149" s="249"/>
      <c r="DA149" s="249"/>
      <c r="DB149" s="249"/>
      <c r="DC149" s="249"/>
      <c r="DD149" s="249"/>
      <c r="DE149" s="249"/>
      <c r="DF149" s="250"/>
      <c r="DG149" s="250"/>
      <c r="DH149" s="250"/>
      <c r="DI149" s="250"/>
      <c r="DJ149" s="250"/>
      <c r="DK149" s="250"/>
      <c r="DL149" s="250"/>
      <c r="DM149" s="249"/>
      <c r="DN149" s="249"/>
      <c r="DO149" s="249"/>
      <c r="DP149" s="249"/>
      <c r="DQ149" s="249"/>
      <c r="DR149" s="249"/>
      <c r="DS149" s="249"/>
      <c r="DT149" s="250"/>
      <c r="DU149" s="250"/>
      <c r="DV149" s="250"/>
      <c r="DW149" s="250"/>
      <c r="DX149" s="250"/>
      <c r="DY149" s="250"/>
      <c r="DZ149" s="250"/>
      <c r="EA149" s="249"/>
      <c r="EB149" s="249"/>
      <c r="EC149" s="249"/>
      <c r="ED149" s="249"/>
      <c r="EE149" s="249"/>
      <c r="EF149" s="249"/>
      <c r="EG149" s="249"/>
      <c r="EH149" s="250"/>
      <c r="EI149" s="250"/>
      <c r="EJ149" s="250"/>
      <c r="EK149" s="250"/>
      <c r="EL149" s="250"/>
      <c r="EM149" s="250"/>
      <c r="EN149" s="250"/>
      <c r="EO149" s="249"/>
      <c r="EP149" s="249"/>
      <c r="EQ149" s="249"/>
      <c r="ER149" s="249"/>
      <c r="ES149" s="249"/>
      <c r="ET149" s="249"/>
      <c r="EU149" s="249"/>
      <c r="EV149" s="250"/>
      <c r="EW149" s="250"/>
      <c r="EX149" s="250"/>
      <c r="EY149" s="250"/>
      <c r="EZ149" s="250"/>
      <c r="FA149" s="250"/>
      <c r="FB149" s="250"/>
      <c r="FC149" s="249"/>
      <c r="FD149" s="249"/>
      <c r="FE149" s="249"/>
      <c r="FF149" s="249"/>
      <c r="FG149" s="249"/>
      <c r="FH149" s="249"/>
      <c r="FI149" s="249"/>
      <c r="FJ149" s="250"/>
      <c r="FK149" s="250"/>
      <c r="FL149" s="250"/>
      <c r="FM149" s="250"/>
      <c r="FN149" s="250"/>
      <c r="FO149" s="250"/>
      <c r="FP149" s="250"/>
      <c r="FQ149" s="249"/>
      <c r="FR149" s="249"/>
      <c r="FS149" s="249"/>
      <c r="FT149" s="249"/>
      <c r="FU149" s="249"/>
      <c r="FV149" s="249"/>
      <c r="FW149" s="249"/>
      <c r="FX149" s="250"/>
      <c r="FY149" s="250"/>
      <c r="FZ149" s="250"/>
      <c r="GA149" s="250"/>
      <c r="GB149" s="250"/>
      <c r="GC149" s="250"/>
      <c r="GD149" s="250"/>
      <c r="GE149" s="249"/>
      <c r="GF149" s="249"/>
      <c r="GG149" s="249"/>
      <c r="GH149" s="249"/>
      <c r="GI149" s="249"/>
      <c r="GJ149" s="249"/>
      <c r="GK149" s="249"/>
      <c r="GL149" s="250"/>
      <c r="GM149" s="250"/>
      <c r="GN149" s="250"/>
      <c r="GO149" s="250"/>
      <c r="GP149" s="250"/>
      <c r="GQ149" s="250"/>
      <c r="GR149" s="250"/>
      <c r="GS149" s="249"/>
      <c r="GT149" s="249"/>
      <c r="GU149" s="249"/>
      <c r="GV149" s="249"/>
      <c r="GW149" s="249"/>
      <c r="GX149" s="249"/>
      <c r="GY149" s="249"/>
      <c r="GZ149" s="250"/>
      <c r="HA149" s="250"/>
      <c r="HB149" s="250"/>
      <c r="HC149" s="250"/>
      <c r="HD149" s="250"/>
      <c r="HE149" s="250"/>
      <c r="HF149" s="250"/>
      <c r="HG149" s="249"/>
      <c r="HH149" s="249"/>
      <c r="HI149" s="249"/>
      <c r="HJ149" s="249"/>
      <c r="HK149" s="249"/>
      <c r="HL149" s="249"/>
      <c r="HM149" s="249"/>
      <c r="HN149" s="250"/>
      <c r="HO149" s="250"/>
      <c r="HP149" s="250"/>
      <c r="HQ149" s="250"/>
      <c r="HR149" s="250"/>
      <c r="HS149" s="250"/>
      <c r="HT149" s="250"/>
      <c r="HU149" s="249"/>
      <c r="HV149" s="249"/>
      <c r="HW149" s="249"/>
      <c r="HX149" s="249"/>
      <c r="HY149" s="249"/>
      <c r="HZ149" s="249"/>
      <c r="IA149" s="249"/>
      <c r="IB149" s="250"/>
      <c r="IC149" s="250"/>
      <c r="ID149" s="250"/>
      <c r="IE149" s="250"/>
      <c r="IF149" s="250"/>
      <c r="IG149" s="250"/>
      <c r="IH149" s="250"/>
      <c r="II149" s="249"/>
      <c r="IJ149" s="249"/>
      <c r="IK149" s="249"/>
      <c r="IL149" s="249"/>
      <c r="IM149" s="249"/>
      <c r="IN149" s="249"/>
      <c r="IO149" s="249"/>
      <c r="IP149" s="250"/>
      <c r="IQ149" s="250"/>
      <c r="IR149" s="250"/>
      <c r="IS149" s="250"/>
      <c r="IT149" s="250"/>
      <c r="IU149" s="250"/>
      <c r="IV149" s="250"/>
      <c r="IW149" s="249"/>
      <c r="IX149" s="249"/>
      <c r="IY149" s="249"/>
      <c r="IZ149" s="249"/>
      <c r="JA149" s="249"/>
      <c r="JB149" s="249"/>
      <c r="JC149" s="249"/>
      <c r="JD149" s="250"/>
      <c r="JE149" s="250"/>
      <c r="JF149" s="250"/>
      <c r="JG149" s="250"/>
      <c r="JH149" s="250"/>
      <c r="JI149" s="250"/>
      <c r="JJ149" s="250"/>
      <c r="JK149" s="249"/>
      <c r="JL149" s="249"/>
      <c r="JM149" s="249"/>
      <c r="JN149" s="249"/>
      <c r="JO149" s="249"/>
      <c r="JP149" s="249"/>
      <c r="JQ149" s="249"/>
      <c r="JR149" s="250"/>
      <c r="JS149" s="250"/>
      <c r="JT149" s="250"/>
      <c r="JU149" s="250"/>
      <c r="JV149" s="250"/>
      <c r="JW149" s="250"/>
      <c r="JX149" s="250"/>
      <c r="JY149" s="249"/>
      <c r="JZ149" s="249"/>
      <c r="KA149" s="249"/>
      <c r="KB149" s="249"/>
      <c r="KC149" s="249"/>
      <c r="KD149" s="249"/>
      <c r="KE149" s="249"/>
      <c r="KF149" s="250"/>
      <c r="KG149" s="250"/>
      <c r="KH149" s="250"/>
      <c r="KI149" s="250"/>
      <c r="KJ149" s="250"/>
      <c r="KK149" s="250"/>
      <c r="KL149" s="250"/>
      <c r="KM149" s="249"/>
      <c r="KN149" s="249"/>
      <c r="KO149" s="249"/>
      <c r="KP149" s="249"/>
      <c r="KQ149" s="249"/>
      <c r="KR149" s="249"/>
      <c r="KS149" s="249"/>
      <c r="KT149" s="250"/>
      <c r="KU149" s="250"/>
      <c r="KV149" s="250"/>
      <c r="KW149" s="250"/>
      <c r="KX149" s="250"/>
      <c r="KY149" s="250"/>
      <c r="KZ149" s="250"/>
      <c r="LA149" s="249"/>
      <c r="LB149" s="249"/>
      <c r="LC149" s="249"/>
      <c r="LD149" s="249"/>
      <c r="LE149" s="249"/>
      <c r="LF149" s="249"/>
      <c r="LG149" s="249"/>
      <c r="LH149" s="250"/>
      <c r="LI149" s="250"/>
      <c r="LJ149" s="250"/>
      <c r="LK149" s="250"/>
      <c r="LL149" s="250"/>
      <c r="LM149" s="250"/>
      <c r="LN149" s="250"/>
      <c r="LO149" s="249"/>
      <c r="LP149" s="249"/>
      <c r="LQ149" s="249"/>
      <c r="LR149" s="249"/>
      <c r="LS149" s="249"/>
      <c r="LT149" s="249"/>
      <c r="LU149" s="249"/>
      <c r="LV149" s="250"/>
      <c r="LW149" s="250"/>
      <c r="LX149" s="250"/>
      <c r="LY149" s="250"/>
      <c r="LZ149" s="250"/>
      <c r="MA149" s="250"/>
      <c r="MB149" s="250"/>
      <c r="MC149" s="249"/>
      <c r="MD149" s="249"/>
      <c r="ME149" s="249"/>
      <c r="MF149" s="249"/>
      <c r="MG149" s="249"/>
      <c r="MH149" s="249"/>
      <c r="MI149" s="249"/>
      <c r="MJ149" s="250"/>
      <c r="MK149" s="250"/>
      <c r="ML149" s="250"/>
      <c r="MM149" s="250"/>
      <c r="MN149" s="250"/>
      <c r="MO149" s="250"/>
      <c r="MP149" s="250"/>
      <c r="MQ149" s="249"/>
      <c r="MR149" s="249"/>
      <c r="MS149" s="249"/>
      <c r="MT149" s="249"/>
      <c r="MU149" s="249"/>
      <c r="MV149" s="249"/>
      <c r="MW149" s="249"/>
      <c r="MX149" s="250"/>
      <c r="MY149" s="250"/>
      <c r="MZ149" s="250"/>
      <c r="NA149" s="250"/>
      <c r="NB149" s="250"/>
      <c r="NC149" s="250"/>
      <c r="ND149" s="250"/>
      <c r="NE149" s="249"/>
      <c r="NF149" s="249"/>
      <c r="NG149" s="249"/>
      <c r="NH149" s="250"/>
    </row>
  </sheetData>
  <protectedRanges>
    <protectedRange sqref="AT4:BA91 G4:AS149 AT93:BA149 BB4:NH149" name="EntryRange"/>
  </protectedRanges>
  <mergeCells count="66">
    <mergeCell ref="MX2:ND2"/>
    <mergeCell ref="NE2:NG2"/>
    <mergeCell ref="LH2:LN2"/>
    <mergeCell ref="LO2:LU2"/>
    <mergeCell ref="LV2:MB2"/>
    <mergeCell ref="MC2:MI2"/>
    <mergeCell ref="MJ2:MP2"/>
    <mergeCell ref="MQ2:MW2"/>
    <mergeCell ref="LA2:LG2"/>
    <mergeCell ref="IB2:IH2"/>
    <mergeCell ref="II2:IO2"/>
    <mergeCell ref="IP2:IV2"/>
    <mergeCell ref="IW2:JC2"/>
    <mergeCell ref="JD2:JJ2"/>
    <mergeCell ref="JK2:JQ2"/>
    <mergeCell ref="JR2:JX2"/>
    <mergeCell ref="JY2:KE2"/>
    <mergeCell ref="KF2:KL2"/>
    <mergeCell ref="KM2:KS2"/>
    <mergeCell ref="KT2:KZ2"/>
    <mergeCell ref="HU2:IA2"/>
    <mergeCell ref="EV2:FB2"/>
    <mergeCell ref="FC2:FI2"/>
    <mergeCell ref="FJ2:FP2"/>
    <mergeCell ref="FQ2:FW2"/>
    <mergeCell ref="FX2:GD2"/>
    <mergeCell ref="GE2:GK2"/>
    <mergeCell ref="GL2:GR2"/>
    <mergeCell ref="GS2:GY2"/>
    <mergeCell ref="GZ2:HF2"/>
    <mergeCell ref="HG2:HM2"/>
    <mergeCell ref="HN2:HT2"/>
    <mergeCell ref="EO2:EU2"/>
    <mergeCell ref="BP2:BV2"/>
    <mergeCell ref="BW2:CC2"/>
    <mergeCell ref="CD2:CJ2"/>
    <mergeCell ref="CK2:CQ2"/>
    <mergeCell ref="CR2:CX2"/>
    <mergeCell ref="CY2:DE2"/>
    <mergeCell ref="DF2:DL2"/>
    <mergeCell ref="DM2:DS2"/>
    <mergeCell ref="DT2:DZ2"/>
    <mergeCell ref="EA2:EG2"/>
    <mergeCell ref="EH2:EN2"/>
    <mergeCell ref="NH1:NH3"/>
    <mergeCell ref="G2:K2"/>
    <mergeCell ref="L2:R2"/>
    <mergeCell ref="S2:Y2"/>
    <mergeCell ref="Z2:AF2"/>
    <mergeCell ref="AG2:AM2"/>
    <mergeCell ref="AN2:AT2"/>
    <mergeCell ref="AU2:BA2"/>
    <mergeCell ref="BB2:BH2"/>
    <mergeCell ref="BI2:BO2"/>
    <mergeCell ref="GF1:HI1"/>
    <mergeCell ref="HJ1:IO1"/>
    <mergeCell ref="IP1:JS1"/>
    <mergeCell ref="JT1:KX1"/>
    <mergeCell ref="KY1:MB1"/>
    <mergeCell ref="MC1:NG1"/>
    <mergeCell ref="FB1:GE1"/>
    <mergeCell ref="G1:AK1"/>
    <mergeCell ref="AL1:BM1"/>
    <mergeCell ref="BN1:CR1"/>
    <mergeCell ref="CS1:DV1"/>
    <mergeCell ref="DW1:FA1"/>
  </mergeCells>
  <conditionalFormatting sqref="F4:F149">
    <cfRule type="cellIs" dxfId="18" priority="1" operator="greaterThan">
      <formula>E4+1</formula>
    </cfRule>
  </conditionalFormatting>
  <hyperlinks>
    <hyperlink ref="B1" r:id="rId1" display="../../../../../../:x:/r/sites/SC00035T12607/Maintenance  Reliability/M%26R Objectives, KPI%27s %26 Targets/2025/2025 EQ Reliability Target Setting - All EMEA Sites (1).xlsx?d=wfdcfca1babf34500a3e02d9023d77a25&amp;csf=1&amp;web=1&amp;e=Jq7GYy&amp;xsdata=MDV8MDJ8ZXJpay5waGlsaXBzZUBub3VyeW9uLmNvbXw3ZWJjYWIxOTIwMzY0OWVlNDU5YjA4ZGQzNjI0YTlmZXxkMzRiMjIxZmFjZDQ0ZTQ0OTJmODEyMTVhOTY1ZDQyYXwwfDB8NjM4NzI2MjUzMjY2NjUyMjYzfFVua25vd258VFdGcGJHWnNiM2Q4ZXlKRmJYQjBlVTFoY0draU9uUnlkV1VzSWxZaU9pSXdMakF1TURBd01DSXNJbEFpT2lKWGFXNHpNaUlzSWtGT0lqb2lUV0ZwYkNJc0lsZFVJam95ZlE9PXwwfHx8&amp;sdata=dUlBV2R0cXcrdjFqWEFXUWVHZENZRlNUU3VVZW9LZFNVRW5LQzlRbTZHMD0%3d" xr:uid="{93AE6E60-20B5-467B-A94A-E78197AD362B}"/>
  </hyperlinks>
  <pageMargins left="0.7" right="0.7" top="0.75" bottom="0.75" header="0.3" footer="0.3"/>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92088-4375-40D4-B0BE-EE8BF383472F}">
  <sheetPr codeName="Sheet17">
    <tabColor theme="9"/>
  </sheetPr>
  <dimension ref="A1:G27"/>
  <sheetViews>
    <sheetView workbookViewId="0">
      <selection activeCell="C27" sqref="C27"/>
    </sheetView>
  </sheetViews>
  <sheetFormatPr defaultRowHeight="12.75"/>
  <cols>
    <col min="1" max="1" width="28.28515625" customWidth="1"/>
    <col min="2" max="2" width="29.140625" customWidth="1"/>
    <col min="3" max="7" width="25.7109375" customWidth="1"/>
  </cols>
  <sheetData>
    <row r="1" spans="1:7">
      <c r="A1" t="s">
        <v>137</v>
      </c>
      <c r="E1" t="s">
        <v>138</v>
      </c>
    </row>
    <row r="2" spans="1:7">
      <c r="D2" s="21"/>
    </row>
    <row r="3" spans="1:7" ht="72">
      <c r="A3" s="25" t="s">
        <v>118</v>
      </c>
      <c r="B3" s="26" t="s">
        <v>119</v>
      </c>
      <c r="C3" s="1"/>
      <c r="D3" s="4"/>
      <c r="E3" s="25" t="s">
        <v>127</v>
      </c>
      <c r="F3" s="26" t="s">
        <v>128</v>
      </c>
    </row>
    <row r="4" spans="1:7" ht="18">
      <c r="A4" s="27" t="s">
        <v>120</v>
      </c>
      <c r="B4" s="28">
        <v>0.09</v>
      </c>
      <c r="C4" s="1"/>
      <c r="D4" s="4"/>
      <c r="E4" s="27" t="s">
        <v>120</v>
      </c>
      <c r="F4" s="28">
        <v>0.13</v>
      </c>
    </row>
    <row r="5" spans="1:7" ht="18">
      <c r="A5" s="27" t="s">
        <v>121</v>
      </c>
      <c r="B5" s="28">
        <v>0.06</v>
      </c>
      <c r="C5" s="1"/>
      <c r="D5" s="4"/>
      <c r="E5" s="27" t="s">
        <v>129</v>
      </c>
      <c r="F5" s="28">
        <v>0.09</v>
      </c>
    </row>
    <row r="6" spans="1:7" ht="18">
      <c r="A6" s="27" t="s">
        <v>122</v>
      </c>
      <c r="B6" s="28">
        <v>0.04</v>
      </c>
      <c r="C6" s="1"/>
      <c r="D6" s="4"/>
      <c r="E6" s="27" t="s">
        <v>130</v>
      </c>
      <c r="F6" s="28">
        <v>0.06</v>
      </c>
    </row>
    <row r="7" spans="1:7" ht="18">
      <c r="A7" s="27" t="s">
        <v>123</v>
      </c>
      <c r="B7" s="28">
        <v>0.03</v>
      </c>
      <c r="C7" s="1"/>
      <c r="D7" s="4"/>
      <c r="E7" s="27" t="s">
        <v>131</v>
      </c>
      <c r="F7" s="28">
        <v>0.03</v>
      </c>
    </row>
    <row r="8" spans="1:7" ht="18">
      <c r="A8" s="27" t="s">
        <v>124</v>
      </c>
      <c r="B8" s="28">
        <v>0.02</v>
      </c>
      <c r="C8" s="1"/>
      <c r="D8" s="4"/>
      <c r="E8" s="27" t="s">
        <v>132</v>
      </c>
      <c r="F8" s="28">
        <v>0.02</v>
      </c>
    </row>
    <row r="9" spans="1:7" ht="18">
      <c r="A9" s="27" t="s">
        <v>125</v>
      </c>
      <c r="B9" s="28">
        <v>0.01</v>
      </c>
      <c r="C9" s="1"/>
      <c r="D9" s="4"/>
      <c r="E9" s="27" t="s">
        <v>133</v>
      </c>
      <c r="F9" s="28">
        <v>0.01</v>
      </c>
    </row>
    <row r="10" spans="1:7" ht="18">
      <c r="A10" s="27" t="s">
        <v>126</v>
      </c>
      <c r="B10" s="28">
        <v>0.01</v>
      </c>
      <c r="D10" s="21"/>
    </row>
    <row r="11" spans="1:7">
      <c r="D11" s="21"/>
    </row>
    <row r="12" spans="1:7">
      <c r="D12" s="21"/>
    </row>
    <row r="13" spans="1:7">
      <c r="A13" t="s">
        <v>134</v>
      </c>
      <c r="B13" t="s">
        <v>135</v>
      </c>
      <c r="C13" t="s">
        <v>136</v>
      </c>
      <c r="D13" s="21"/>
      <c r="E13" s="22" t="s">
        <v>134</v>
      </c>
      <c r="F13" s="23" t="s">
        <v>135</v>
      </c>
      <c r="G13" s="24" t="s">
        <v>136</v>
      </c>
    </row>
    <row r="14" spans="1:7">
      <c r="A14" s="20">
        <v>0</v>
      </c>
      <c r="B14" s="20">
        <v>0.5</v>
      </c>
      <c r="C14" s="21">
        <f t="shared" ref="C14:C20" si="0">B4</f>
        <v>0.09</v>
      </c>
      <c r="D14" s="21"/>
      <c r="E14" s="20">
        <v>0</v>
      </c>
      <c r="F14" s="20">
        <v>0.5</v>
      </c>
      <c r="G14" s="21">
        <f t="shared" ref="G14:G19" si="1">F4</f>
        <v>0.13</v>
      </c>
    </row>
    <row r="15" spans="1:7">
      <c r="A15" s="20">
        <v>0.5</v>
      </c>
      <c r="B15" s="20">
        <v>0.6</v>
      </c>
      <c r="C15" s="21">
        <f t="shared" si="0"/>
        <v>0.06</v>
      </c>
      <c r="D15" s="21"/>
      <c r="E15" s="20">
        <v>0.5</v>
      </c>
      <c r="F15" s="20">
        <v>0.7</v>
      </c>
      <c r="G15" s="21">
        <f t="shared" si="1"/>
        <v>0.09</v>
      </c>
    </row>
    <row r="16" spans="1:7">
      <c r="A16" s="20">
        <v>0.6</v>
      </c>
      <c r="B16" s="20">
        <v>0.7</v>
      </c>
      <c r="C16" s="21">
        <f t="shared" si="0"/>
        <v>0.04</v>
      </c>
      <c r="D16" s="21"/>
      <c r="E16" s="20">
        <v>0.7</v>
      </c>
      <c r="F16" s="20">
        <v>0.8</v>
      </c>
      <c r="G16" s="21">
        <f t="shared" si="1"/>
        <v>0.06</v>
      </c>
    </row>
    <row r="17" spans="1:7">
      <c r="A17" s="20">
        <v>0.7</v>
      </c>
      <c r="B17" s="20">
        <v>0.75</v>
      </c>
      <c r="C17" s="21">
        <f t="shared" si="0"/>
        <v>0.03</v>
      </c>
      <c r="D17" s="21"/>
      <c r="E17" s="20">
        <v>0.8</v>
      </c>
      <c r="F17" s="20">
        <v>0.9</v>
      </c>
      <c r="G17" s="21">
        <f t="shared" si="1"/>
        <v>0.03</v>
      </c>
    </row>
    <row r="18" spans="1:7">
      <c r="A18" s="20">
        <v>0.75</v>
      </c>
      <c r="B18" s="20">
        <v>0.8</v>
      </c>
      <c r="C18" s="21">
        <f t="shared" si="0"/>
        <v>0.02</v>
      </c>
      <c r="D18" s="21"/>
      <c r="E18" s="20">
        <v>0.9</v>
      </c>
      <c r="F18" s="20">
        <v>0.95</v>
      </c>
      <c r="G18" s="21">
        <f t="shared" si="1"/>
        <v>0.02</v>
      </c>
    </row>
    <row r="19" spans="1:7">
      <c r="A19" s="20">
        <v>0.8</v>
      </c>
      <c r="B19" s="20">
        <v>0.85</v>
      </c>
      <c r="C19" s="21">
        <f t="shared" si="0"/>
        <v>0.01</v>
      </c>
      <c r="D19" s="21"/>
      <c r="E19" s="20">
        <v>0.95</v>
      </c>
      <c r="F19" s="20">
        <v>2</v>
      </c>
      <c r="G19" s="21">
        <f t="shared" si="1"/>
        <v>0.01</v>
      </c>
    </row>
    <row r="20" spans="1:7">
      <c r="A20" s="20">
        <v>0.85</v>
      </c>
      <c r="B20" s="20">
        <v>2</v>
      </c>
      <c r="C20" s="21">
        <f t="shared" si="0"/>
        <v>0.01</v>
      </c>
      <c r="D20" s="21"/>
      <c r="G20" s="21"/>
    </row>
    <row r="24" spans="1:7">
      <c r="A24" t="s">
        <v>1028</v>
      </c>
    </row>
    <row r="25" spans="1:7">
      <c r="A25" s="277" t="s">
        <v>1029</v>
      </c>
    </row>
    <row r="26" spans="1:7">
      <c r="A26" t="s">
        <v>1030</v>
      </c>
      <c r="C26" s="313">
        <v>0.1</v>
      </c>
    </row>
    <row r="27" spans="1:7">
      <c r="A27" t="s">
        <v>1031</v>
      </c>
      <c r="C27" s="313">
        <v>0.1</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BB87C5F0D836B419EC3FD6932510199" ma:contentTypeVersion="18" ma:contentTypeDescription="Create a new document." ma:contentTypeScope="" ma:versionID="ae0fa1b94c967874433fe4216078d2df">
  <xsd:schema xmlns:xsd="http://www.w3.org/2001/XMLSchema" xmlns:xs="http://www.w3.org/2001/XMLSchema" xmlns:p="http://schemas.microsoft.com/office/2006/metadata/properties" xmlns:ns2="64ab6aff-35a5-4a93-b97b-4c45b2027a5d" xmlns:ns3="84527b46-f950-49b6-86b2-fa01c75fdf8e" xmlns:ns4="21e502b6-6643-43d6-8ae8-8f0c2ded687b" targetNamespace="http://schemas.microsoft.com/office/2006/metadata/properties" ma:root="true" ma:fieldsID="3e72e3bd972f9f88f3eb33d3e7f3265d" ns2:_="" ns3:_="" ns4:_="">
    <xsd:import namespace="64ab6aff-35a5-4a93-b97b-4c45b2027a5d"/>
    <xsd:import namespace="84527b46-f950-49b6-86b2-fa01c75fdf8e"/>
    <xsd:import namespace="21e502b6-6643-43d6-8ae8-8f0c2ded687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Location" minOccurs="0"/>
                <xsd:element ref="ns2:MediaServiceGenerationTime" minOccurs="0"/>
                <xsd:element ref="ns2:MediaServiceEventHashCode" minOccurs="0"/>
                <xsd:element ref="ns2:MediaServiceAutoTags" minOccurs="0"/>
                <xsd:element ref="ns2:MediaServiceOCR" minOccurs="0"/>
                <xsd:element ref="ns3:SharedWithUsers" minOccurs="0"/>
                <xsd:element ref="ns3:SharedWithDetails" minOccurs="0"/>
                <xsd:element ref="ns2:lcf76f155ced4ddcb4097134ff3c332f" minOccurs="0"/>
                <xsd:element ref="ns4: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ab6aff-35a5-4a93-b97b-4c45b2027a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5f30985-c752-4d2f-b29e-c20a11f763f1"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4527b46-f950-49b6-86b2-fa01c75fdf8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e502b6-6643-43d6-8ae8-8f0c2ded687b"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fa361e68-2bec-48a5-9378-41d4ab59b817}" ma:internalName="TaxCatchAll" ma:showField="CatchAllData" ma:web="84527b46-f950-49b6-86b2-fa01c75fdf8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MediaLengthInSeconds xmlns="64ab6aff-35a5-4a93-b97b-4c45b2027a5d" xsi:nil="true"/>
    <SharedWithUsers xmlns="84527b46-f950-49b6-86b2-fa01c75fdf8e">
      <UserInfo>
        <DisplayName/>
        <AccountId xsi:nil="true"/>
        <AccountType/>
      </UserInfo>
    </SharedWithUsers>
    <lcf76f155ced4ddcb4097134ff3c332f xmlns="64ab6aff-35a5-4a93-b97b-4c45b2027a5d">
      <Terms xmlns="http://schemas.microsoft.com/office/infopath/2007/PartnerControls"/>
    </lcf76f155ced4ddcb4097134ff3c332f>
    <TaxCatchAll xmlns="21e502b6-6643-43d6-8ae8-8f0c2ded687b" xsi:nil="true"/>
  </documentManagement>
</p:properties>
</file>

<file path=customXml/itemProps1.xml><?xml version="1.0" encoding="utf-8"?>
<ds:datastoreItem xmlns:ds="http://schemas.openxmlformats.org/officeDocument/2006/customXml" ds:itemID="{8B084A70-1A8D-4DA1-BCC0-C03A993F50D3}">
  <ds:schemaRefs>
    <ds:schemaRef ds:uri="http://schemas.microsoft.com/sharepoint/v3/contenttype/forms"/>
  </ds:schemaRefs>
</ds:datastoreItem>
</file>

<file path=customXml/itemProps2.xml><?xml version="1.0" encoding="utf-8"?>
<ds:datastoreItem xmlns:ds="http://schemas.openxmlformats.org/officeDocument/2006/customXml" ds:itemID="{D3DA0F94-B30A-45C8-A723-E77F377994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ab6aff-35a5-4a93-b97b-4c45b2027a5d"/>
    <ds:schemaRef ds:uri="84527b46-f950-49b6-86b2-fa01c75fdf8e"/>
    <ds:schemaRef ds:uri="21e502b6-6643-43d6-8ae8-8f0c2ded68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FB4C7C-63E2-4667-8123-DA1E0CEA38D7}">
  <ds:schemaRefs>
    <ds:schemaRef ds:uri="dbdce9b5-6a10-46b0-80b9-200d959286fb"/>
    <ds:schemaRef ds:uri="http://purl.org/dc/terms/"/>
    <ds:schemaRef ds:uri="http://schemas.openxmlformats.org/package/2006/metadata/core-properties"/>
    <ds:schemaRef ds:uri="http://purl.org/dc/dcmitype/"/>
    <ds:schemaRef ds:uri="e0e4f4d4-cce3-41c9-904f-951fa7cb2a7d"/>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www.w3.org/XML/1998/namespace"/>
    <ds:schemaRef ds:uri="64ab6aff-35a5-4a93-b97b-4c45b2027a5d"/>
    <ds:schemaRef ds:uri="84527b46-f950-49b6-86b2-fa01c75fdf8e"/>
    <ds:schemaRef ds:uri="21e502b6-6643-43d6-8ae8-8f0c2ded687b"/>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27</vt:i4>
      </vt:variant>
    </vt:vector>
  </HeadingPairs>
  <TitlesOfParts>
    <vt:vector size="47" baseType="lpstr">
      <vt:lpstr>Instructions</vt:lpstr>
      <vt:lpstr>FlowChart</vt:lpstr>
      <vt:lpstr>OEE target setting Tool</vt:lpstr>
      <vt:lpstr>OEE target setting (manual)</vt:lpstr>
      <vt:lpstr>Results</vt:lpstr>
      <vt:lpstr>(HOT) K201 Kettle</vt:lpstr>
      <vt:lpstr>(HOT) K600 Kettle</vt:lpstr>
      <vt:lpstr>(HOT) R200 Alkox Reactor</vt:lpstr>
      <vt:lpstr>(HOT) R300 Alkox Reactor</vt:lpstr>
      <vt:lpstr>(HOT) V600 Alkox Reactor</vt:lpstr>
      <vt:lpstr>(HOT) V500 Alkox Reactor</vt:lpstr>
      <vt:lpstr>(HOT) V700 Alkox Reactor</vt:lpstr>
      <vt:lpstr>Table Exception hours</vt:lpstr>
      <vt:lpstr>Version management</vt:lpstr>
      <vt:lpstr>Table OEE</vt:lpstr>
      <vt:lpstr>Table normalized OEE</vt:lpstr>
      <vt:lpstr>Table Categories</vt:lpstr>
      <vt:lpstr>EMEA SD plan</vt:lpstr>
      <vt:lpstr>EMEA TA plan</vt:lpstr>
      <vt:lpstr>Playbook Matrix</vt:lpstr>
      <vt:lpstr>'(HOT) K201 Kettle'!EMEA_SD_plan</vt:lpstr>
      <vt:lpstr>'(HOT) K600 Kettle'!EMEA_SD_plan</vt:lpstr>
      <vt:lpstr>'(HOT) R200 Alkox Reactor'!EMEA_SD_plan</vt:lpstr>
      <vt:lpstr>'(HOT) R300 Alkox Reactor'!EMEA_SD_plan</vt:lpstr>
      <vt:lpstr>'(HOT) V500 Alkox Reactor'!EMEA_SD_plan</vt:lpstr>
      <vt:lpstr>'(HOT) V600 Alkox Reactor'!EMEA_SD_plan</vt:lpstr>
      <vt:lpstr>'(HOT) V700 Alkox Reactor'!EMEA_SD_plan</vt:lpstr>
      <vt:lpstr>EMEA_SD_plan</vt:lpstr>
      <vt:lpstr>'(HOT) K201 Kettle'!EMEA_TA_plan</vt:lpstr>
      <vt:lpstr>'(HOT) K600 Kettle'!EMEA_TA_plan</vt:lpstr>
      <vt:lpstr>'(HOT) R200 Alkox Reactor'!EMEA_TA_plan</vt:lpstr>
      <vt:lpstr>'(HOT) R300 Alkox Reactor'!EMEA_TA_plan</vt:lpstr>
      <vt:lpstr>'(HOT) V500 Alkox Reactor'!EMEA_TA_plan</vt:lpstr>
      <vt:lpstr>'(HOT) V600 Alkox Reactor'!EMEA_TA_plan</vt:lpstr>
      <vt:lpstr>'(HOT) V700 Alkox Reactor'!EMEA_TA_plan</vt:lpstr>
      <vt:lpstr>EMEA_TA_plan</vt:lpstr>
      <vt:lpstr>RunningOEE_criteriaPM</vt:lpstr>
      <vt:lpstr>RunningOEE_criteriaVolume</vt:lpstr>
      <vt:lpstr>'(HOT) K201 Kettle'!UnitList</vt:lpstr>
      <vt:lpstr>'(HOT) K600 Kettle'!UnitList</vt:lpstr>
      <vt:lpstr>'(HOT) R200 Alkox Reactor'!UnitList</vt:lpstr>
      <vt:lpstr>'(HOT) R300 Alkox Reactor'!UnitList</vt:lpstr>
      <vt:lpstr>'(HOT) V500 Alkox Reactor'!UnitList</vt:lpstr>
      <vt:lpstr>'(HOT) V600 Alkox Reactor'!UnitList</vt:lpstr>
      <vt:lpstr>'(HOT) V700 Alkox Reactor'!UnitList</vt:lpstr>
      <vt:lpstr>'Table normalized OEE'!UnitList</vt:lpstr>
      <vt:lpstr>UnitList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Thorén, M.T. (Mikael)</dc:creator>
  <cp:lastModifiedBy>Bowden, B.B. (Blake)</cp:lastModifiedBy>
  <cp:lastPrinted>2024-11-27T11:05:22Z</cp:lastPrinted>
  <dcterms:created xsi:type="dcterms:W3CDTF">2020-11-12T09:43:52Z</dcterms:created>
  <dcterms:modified xsi:type="dcterms:W3CDTF">2025-01-27T22:50:25Z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0x0101006BB87C5F0D836B419EC3FD6932510199</vt:lpwstr>
  </property>
  <property fmtid="{D5CDD505-2E9C-101B-9397-08002B2CF9AE}" pid="3" name="ComplianceAssetId">
    <vt:lpwstr/>
  </property>
  <property fmtid="{D5CDD505-2E9C-101B-9397-08002B2CF9AE}" pid="4" name="_ExtendedDescription">
    <vt:lpwstr/>
  </property>
  <property fmtid="{D5CDD505-2E9C-101B-9397-08002B2CF9AE}" pid="5" name="TriggerFlowInfo">
    <vt:lpwstr/>
  </property>
  <property fmtid="{D5CDD505-2E9C-101B-9397-08002B2CF9AE}" pid="6" name="MediaServiceImageTags">
    <vt:lpwstr/>
  </property>
</Properties>
</file>